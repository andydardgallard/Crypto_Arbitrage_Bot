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75" windowWidth="20115" windowHeight="7995"/>
  </bookViews>
  <sheets>
    <sheet name="data" sheetId="5" r:id="rId1"/>
    <sheet name="Лист2" sheetId="8" r:id="rId2"/>
    <sheet name="Лист3" sheetId="9" r:id="rId3"/>
    <sheet name="Лист4" sheetId="10" r:id="rId4"/>
    <sheet name="Лист5" sheetId="11" r:id="rId5"/>
  </sheets>
  <definedNames>
    <definedName name="_xlnm._FilterDatabase" localSheetId="1" hidden="1">Лист2!$A$1:$A$2302</definedName>
    <definedName name="common" localSheetId="0">data!$A$1:$F$2302</definedName>
  </definedNames>
  <calcPr calcId="145621"/>
</workbook>
</file>

<file path=xl/calcChain.xml><?xml version="1.0" encoding="utf-8"?>
<calcChain xmlns="http://schemas.openxmlformats.org/spreadsheetml/2006/main">
  <c r="R4" i="10" l="1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R117" i="10"/>
  <c r="S117" i="10"/>
  <c r="T117" i="10"/>
  <c r="U117" i="10"/>
  <c r="V117" i="10"/>
  <c r="W117" i="10"/>
  <c r="X117" i="10"/>
  <c r="Y117" i="10"/>
  <c r="Z117" i="10"/>
  <c r="AA117" i="10"/>
  <c r="AB117" i="10"/>
  <c r="AC117" i="10"/>
  <c r="AD117" i="10"/>
  <c r="AE117" i="10"/>
  <c r="AF117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R119" i="10"/>
  <c r="S119" i="10"/>
  <c r="T119" i="10"/>
  <c r="U119" i="10"/>
  <c r="V119" i="10"/>
  <c r="W119" i="10"/>
  <c r="X119" i="10"/>
  <c r="Y119" i="10"/>
  <c r="Z119" i="10"/>
  <c r="AA119" i="10"/>
  <c r="AB119" i="10"/>
  <c r="AC119" i="10"/>
  <c r="AD119" i="10"/>
  <c r="AE119" i="10"/>
  <c r="AF119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R121" i="10"/>
  <c r="S121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R123" i="10"/>
  <c r="S123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R125" i="10"/>
  <c r="S125" i="10"/>
  <c r="T125" i="10"/>
  <c r="U125" i="10"/>
  <c r="V125" i="10"/>
  <c r="W125" i="10"/>
  <c r="X125" i="10"/>
  <c r="Y125" i="10"/>
  <c r="Z125" i="10"/>
  <c r="AA125" i="10"/>
  <c r="AB125" i="10"/>
  <c r="AC125" i="10"/>
  <c r="AD125" i="10"/>
  <c r="AE125" i="10"/>
  <c r="AF125" i="10"/>
  <c r="R126" i="10"/>
  <c r="S126" i="10"/>
  <c r="T126" i="10"/>
  <c r="U126" i="10"/>
  <c r="V126" i="10"/>
  <c r="W126" i="10"/>
  <c r="X126" i="10"/>
  <c r="Y126" i="10"/>
  <c r="Z126" i="10"/>
  <c r="AA126" i="10"/>
  <c r="AB126" i="10"/>
  <c r="AC126" i="10"/>
  <c r="AD126" i="10"/>
  <c r="AE126" i="10"/>
  <c r="AF126" i="10"/>
  <c r="R127" i="10"/>
  <c r="S127" i="10"/>
  <c r="T127" i="10"/>
  <c r="U127" i="10"/>
  <c r="V127" i="10"/>
  <c r="W127" i="10"/>
  <c r="X127" i="10"/>
  <c r="Y127" i="10"/>
  <c r="Z127" i="10"/>
  <c r="AA127" i="10"/>
  <c r="AB127" i="10"/>
  <c r="AC127" i="10"/>
  <c r="AD127" i="10"/>
  <c r="AE127" i="10"/>
  <c r="AF127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R129" i="10"/>
  <c r="S129" i="10"/>
  <c r="T129" i="10"/>
  <c r="U129" i="10"/>
  <c r="V129" i="10"/>
  <c r="W129" i="10"/>
  <c r="X129" i="10"/>
  <c r="Y129" i="10"/>
  <c r="Z129" i="10"/>
  <c r="AA129" i="10"/>
  <c r="AB129" i="10"/>
  <c r="AC129" i="10"/>
  <c r="AD129" i="10"/>
  <c r="AE129" i="10"/>
  <c r="AF129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R131" i="10"/>
  <c r="S131" i="10"/>
  <c r="T131" i="10"/>
  <c r="U131" i="10"/>
  <c r="V131" i="10"/>
  <c r="W131" i="10"/>
  <c r="X131" i="10"/>
  <c r="Y131" i="10"/>
  <c r="Z131" i="10"/>
  <c r="AA131" i="10"/>
  <c r="AB131" i="10"/>
  <c r="AC131" i="10"/>
  <c r="AD131" i="10"/>
  <c r="AE131" i="10"/>
  <c r="AF131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R133" i="10"/>
  <c r="S133" i="10"/>
  <c r="T133" i="10"/>
  <c r="U133" i="10"/>
  <c r="V133" i="10"/>
  <c r="W133" i="10"/>
  <c r="X133" i="10"/>
  <c r="Y133" i="10"/>
  <c r="Z133" i="10"/>
  <c r="AA133" i="10"/>
  <c r="AB133" i="10"/>
  <c r="AC133" i="10"/>
  <c r="AD133" i="10"/>
  <c r="AE133" i="10"/>
  <c r="AF133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R135" i="10"/>
  <c r="S135" i="10"/>
  <c r="T135" i="10"/>
  <c r="U135" i="10"/>
  <c r="V135" i="10"/>
  <c r="W135" i="10"/>
  <c r="X135" i="10"/>
  <c r="Y135" i="10"/>
  <c r="Z135" i="10"/>
  <c r="AA135" i="10"/>
  <c r="AB135" i="10"/>
  <c r="AC135" i="10"/>
  <c r="AD135" i="10"/>
  <c r="AE135" i="10"/>
  <c r="AF135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R137" i="10"/>
  <c r="S137" i="10"/>
  <c r="T137" i="10"/>
  <c r="U137" i="10"/>
  <c r="V137" i="10"/>
  <c r="W137" i="10"/>
  <c r="X137" i="10"/>
  <c r="Y137" i="10"/>
  <c r="Z137" i="10"/>
  <c r="AA137" i="10"/>
  <c r="AB137" i="10"/>
  <c r="AC137" i="10"/>
  <c r="AD137" i="10"/>
  <c r="AE137" i="10"/>
  <c r="AF137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R139" i="10"/>
  <c r="S139" i="10"/>
  <c r="T139" i="10"/>
  <c r="U139" i="10"/>
  <c r="V139" i="10"/>
  <c r="W139" i="10"/>
  <c r="X139" i="10"/>
  <c r="Y139" i="10"/>
  <c r="Z139" i="10"/>
  <c r="AA139" i="10"/>
  <c r="AB139" i="10"/>
  <c r="AC139" i="10"/>
  <c r="AD139" i="10"/>
  <c r="AE139" i="10"/>
  <c r="AF139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R146" i="10"/>
  <c r="S146" i="10"/>
  <c r="T146" i="10"/>
  <c r="U146" i="10"/>
  <c r="V146" i="10"/>
  <c r="W146" i="10"/>
  <c r="X146" i="10"/>
  <c r="Y146" i="10"/>
  <c r="Z146" i="10"/>
  <c r="AA146" i="10"/>
  <c r="AB146" i="10"/>
  <c r="AC146" i="10"/>
  <c r="AD146" i="10"/>
  <c r="AE146" i="10"/>
  <c r="AF146" i="10"/>
  <c r="R147" i="10"/>
  <c r="S147" i="10"/>
  <c r="T147" i="10"/>
  <c r="U147" i="10"/>
  <c r="V147" i="10"/>
  <c r="W147" i="10"/>
  <c r="X147" i="10"/>
  <c r="Y147" i="10"/>
  <c r="Z147" i="10"/>
  <c r="AA147" i="10"/>
  <c r="AB147" i="10"/>
  <c r="AC147" i="10"/>
  <c r="AD147" i="10"/>
  <c r="AE147" i="10"/>
  <c r="AF147" i="10"/>
  <c r="R148" i="10"/>
  <c r="S148" i="10"/>
  <c r="T148" i="10"/>
  <c r="U148" i="10"/>
  <c r="V148" i="10"/>
  <c r="W148" i="10"/>
  <c r="X148" i="10"/>
  <c r="Y148" i="10"/>
  <c r="Z148" i="10"/>
  <c r="AA148" i="10"/>
  <c r="AB148" i="10"/>
  <c r="AC148" i="10"/>
  <c r="AD148" i="10"/>
  <c r="AE148" i="10"/>
  <c r="AF148" i="10"/>
  <c r="R149" i="10"/>
  <c r="S149" i="10"/>
  <c r="T149" i="10"/>
  <c r="U149" i="10"/>
  <c r="V149" i="10"/>
  <c r="W149" i="10"/>
  <c r="X149" i="10"/>
  <c r="Y149" i="10"/>
  <c r="Z149" i="10"/>
  <c r="AA149" i="10"/>
  <c r="AB149" i="10"/>
  <c r="AC149" i="10"/>
  <c r="AD149" i="10"/>
  <c r="AE149" i="10"/>
  <c r="AF149" i="10"/>
  <c r="R150" i="10"/>
  <c r="S150" i="10"/>
  <c r="T150" i="10"/>
  <c r="U150" i="10"/>
  <c r="V150" i="10"/>
  <c r="W150" i="10"/>
  <c r="X150" i="10"/>
  <c r="Y150" i="10"/>
  <c r="Z150" i="10"/>
  <c r="AA150" i="10"/>
  <c r="AB150" i="10"/>
  <c r="AC150" i="10"/>
  <c r="AD150" i="10"/>
  <c r="AE150" i="10"/>
  <c r="AF150" i="10"/>
  <c r="R151" i="10"/>
  <c r="S151" i="10"/>
  <c r="T151" i="10"/>
  <c r="U151" i="10"/>
  <c r="V151" i="10"/>
  <c r="W151" i="10"/>
  <c r="X151" i="10"/>
  <c r="Y151" i="10"/>
  <c r="Z151" i="10"/>
  <c r="AA151" i="10"/>
  <c r="AB151" i="10"/>
  <c r="AC151" i="10"/>
  <c r="AD151" i="10"/>
  <c r="AE151" i="10"/>
  <c r="AF151" i="10"/>
  <c r="R152" i="10"/>
  <c r="S152" i="10"/>
  <c r="T152" i="10"/>
  <c r="U152" i="10"/>
  <c r="V152" i="10"/>
  <c r="W152" i="10"/>
  <c r="X152" i="10"/>
  <c r="Y152" i="10"/>
  <c r="Z152" i="10"/>
  <c r="AA152" i="10"/>
  <c r="AB152" i="10"/>
  <c r="AC152" i="10"/>
  <c r="AD152" i="10"/>
  <c r="AE152" i="10"/>
  <c r="AF152" i="10"/>
  <c r="R153" i="10"/>
  <c r="S153" i="10"/>
  <c r="T153" i="10"/>
  <c r="U153" i="10"/>
  <c r="V153" i="10"/>
  <c r="W153" i="10"/>
  <c r="X153" i="10"/>
  <c r="Y153" i="10"/>
  <c r="Z153" i="10"/>
  <c r="AA153" i="10"/>
  <c r="AB153" i="10"/>
  <c r="AC153" i="10"/>
  <c r="AD153" i="10"/>
  <c r="AE153" i="10"/>
  <c r="AF153" i="10"/>
  <c r="R154" i="10"/>
  <c r="S154" i="10"/>
  <c r="T154" i="10"/>
  <c r="U154" i="10"/>
  <c r="V154" i="10"/>
  <c r="W154" i="10"/>
  <c r="X154" i="10"/>
  <c r="Y154" i="10"/>
  <c r="Z154" i="10"/>
  <c r="AA154" i="10"/>
  <c r="AB154" i="10"/>
  <c r="AC154" i="10"/>
  <c r="AD154" i="10"/>
  <c r="AE154" i="10"/>
  <c r="AF154" i="10"/>
  <c r="R155" i="10"/>
  <c r="S155" i="10"/>
  <c r="T155" i="10"/>
  <c r="U155" i="10"/>
  <c r="V155" i="10"/>
  <c r="W155" i="10"/>
  <c r="X155" i="10"/>
  <c r="Y155" i="10"/>
  <c r="Z155" i="10"/>
  <c r="AA155" i="10"/>
  <c r="AB155" i="10"/>
  <c r="AC155" i="10"/>
  <c r="AD155" i="10"/>
  <c r="AE155" i="10"/>
  <c r="AF155" i="10"/>
  <c r="R156" i="10"/>
  <c r="S156" i="10"/>
  <c r="T156" i="10"/>
  <c r="U156" i="10"/>
  <c r="V156" i="10"/>
  <c r="W156" i="10"/>
  <c r="X156" i="10"/>
  <c r="Y156" i="10"/>
  <c r="Z156" i="10"/>
  <c r="AA156" i="10"/>
  <c r="AB156" i="10"/>
  <c r="AC156" i="10"/>
  <c r="AD156" i="10"/>
  <c r="AE156" i="10"/>
  <c r="AF156" i="10"/>
  <c r="R157" i="10"/>
  <c r="S157" i="10"/>
  <c r="T157" i="10"/>
  <c r="U157" i="10"/>
  <c r="V157" i="10"/>
  <c r="W157" i="10"/>
  <c r="X157" i="10"/>
  <c r="Y157" i="10"/>
  <c r="Z157" i="10"/>
  <c r="AA157" i="10"/>
  <c r="AB157" i="10"/>
  <c r="AC157" i="10"/>
  <c r="AD157" i="10"/>
  <c r="AE157" i="10"/>
  <c r="AF157" i="10"/>
  <c r="R158" i="10"/>
  <c r="S158" i="10"/>
  <c r="T158" i="10"/>
  <c r="U158" i="10"/>
  <c r="V158" i="10"/>
  <c r="W158" i="10"/>
  <c r="X158" i="10"/>
  <c r="Y158" i="10"/>
  <c r="Z158" i="10"/>
  <c r="AA158" i="10"/>
  <c r="AB158" i="10"/>
  <c r="AC158" i="10"/>
  <c r="AD158" i="10"/>
  <c r="AE158" i="10"/>
  <c r="AF158" i="10"/>
  <c r="R159" i="10"/>
  <c r="S159" i="10"/>
  <c r="T159" i="10"/>
  <c r="U159" i="10"/>
  <c r="V159" i="10"/>
  <c r="W159" i="10"/>
  <c r="X159" i="10"/>
  <c r="Y159" i="10"/>
  <c r="Z159" i="10"/>
  <c r="AA159" i="10"/>
  <c r="AB159" i="10"/>
  <c r="AC159" i="10"/>
  <c r="AD159" i="10"/>
  <c r="AE159" i="10"/>
  <c r="AF159" i="10"/>
  <c r="R160" i="10"/>
  <c r="S160" i="10"/>
  <c r="T160" i="10"/>
  <c r="U160" i="10"/>
  <c r="V160" i="10"/>
  <c r="W160" i="10"/>
  <c r="X160" i="10"/>
  <c r="Y160" i="10"/>
  <c r="Z160" i="10"/>
  <c r="AA160" i="10"/>
  <c r="AB160" i="10"/>
  <c r="AC160" i="10"/>
  <c r="AD160" i="10"/>
  <c r="AE160" i="10"/>
  <c r="AF160" i="10"/>
  <c r="R161" i="10"/>
  <c r="S161" i="10"/>
  <c r="T161" i="10"/>
  <c r="U161" i="10"/>
  <c r="V161" i="10"/>
  <c r="W161" i="10"/>
  <c r="X161" i="10"/>
  <c r="Y161" i="10"/>
  <c r="Z161" i="10"/>
  <c r="AA161" i="10"/>
  <c r="AB161" i="10"/>
  <c r="AC161" i="10"/>
  <c r="AD161" i="10"/>
  <c r="AE161" i="10"/>
  <c r="AF161" i="10"/>
  <c r="R162" i="10"/>
  <c r="S162" i="10"/>
  <c r="T162" i="10"/>
  <c r="U162" i="10"/>
  <c r="V162" i="10"/>
  <c r="W162" i="10"/>
  <c r="X162" i="10"/>
  <c r="Y162" i="10"/>
  <c r="Z162" i="10"/>
  <c r="AA162" i="10"/>
  <c r="AB162" i="10"/>
  <c r="AC162" i="10"/>
  <c r="AD162" i="10"/>
  <c r="AE162" i="10"/>
  <c r="AF162" i="10"/>
  <c r="R163" i="10"/>
  <c r="S163" i="10"/>
  <c r="T163" i="10"/>
  <c r="U163" i="10"/>
  <c r="V163" i="10"/>
  <c r="W163" i="10"/>
  <c r="X163" i="10"/>
  <c r="Y163" i="10"/>
  <c r="Z163" i="10"/>
  <c r="AA163" i="10"/>
  <c r="AB163" i="10"/>
  <c r="AC163" i="10"/>
  <c r="AD163" i="10"/>
  <c r="AE163" i="10"/>
  <c r="AF163" i="10"/>
  <c r="R164" i="10"/>
  <c r="S164" i="10"/>
  <c r="T164" i="10"/>
  <c r="U164" i="10"/>
  <c r="V164" i="10"/>
  <c r="W164" i="10"/>
  <c r="X164" i="10"/>
  <c r="Y164" i="10"/>
  <c r="Z164" i="10"/>
  <c r="AA164" i="10"/>
  <c r="AB164" i="10"/>
  <c r="AC164" i="10"/>
  <c r="AD164" i="10"/>
  <c r="AE164" i="10"/>
  <c r="AF164" i="10"/>
  <c r="R165" i="10"/>
  <c r="S165" i="10"/>
  <c r="T165" i="10"/>
  <c r="U165" i="10"/>
  <c r="V165" i="10"/>
  <c r="W165" i="10"/>
  <c r="X165" i="10"/>
  <c r="Y165" i="10"/>
  <c r="Z165" i="10"/>
  <c r="AA165" i="10"/>
  <c r="AB165" i="10"/>
  <c r="AC165" i="10"/>
  <c r="AD165" i="10"/>
  <c r="AE165" i="10"/>
  <c r="AF165" i="10"/>
  <c r="R166" i="10"/>
  <c r="S166" i="10"/>
  <c r="T166" i="10"/>
  <c r="U166" i="10"/>
  <c r="V166" i="10"/>
  <c r="W166" i="10"/>
  <c r="X166" i="10"/>
  <c r="Y166" i="10"/>
  <c r="Z166" i="10"/>
  <c r="AA166" i="10"/>
  <c r="AB166" i="10"/>
  <c r="AC166" i="10"/>
  <c r="AD166" i="10"/>
  <c r="AE166" i="10"/>
  <c r="AF166" i="10"/>
  <c r="R167" i="10"/>
  <c r="S167" i="10"/>
  <c r="T167" i="10"/>
  <c r="U167" i="10"/>
  <c r="V167" i="10"/>
  <c r="W167" i="10"/>
  <c r="X167" i="10"/>
  <c r="Y167" i="10"/>
  <c r="Z167" i="10"/>
  <c r="AA167" i="10"/>
  <c r="AB167" i="10"/>
  <c r="AC167" i="10"/>
  <c r="AD167" i="10"/>
  <c r="AE167" i="10"/>
  <c r="AF167" i="10"/>
  <c r="R168" i="10"/>
  <c r="S168" i="10"/>
  <c r="T168" i="10"/>
  <c r="U168" i="10"/>
  <c r="V168" i="10"/>
  <c r="W168" i="10"/>
  <c r="X168" i="10"/>
  <c r="Y168" i="10"/>
  <c r="Z168" i="10"/>
  <c r="AA168" i="10"/>
  <c r="AB168" i="10"/>
  <c r="AC168" i="10"/>
  <c r="AD168" i="10"/>
  <c r="AE168" i="10"/>
  <c r="AF168" i="10"/>
  <c r="R169" i="10"/>
  <c r="S169" i="10"/>
  <c r="T169" i="10"/>
  <c r="U169" i="10"/>
  <c r="V169" i="10"/>
  <c r="W169" i="10"/>
  <c r="X169" i="10"/>
  <c r="Y169" i="10"/>
  <c r="Z169" i="10"/>
  <c r="AA169" i="10"/>
  <c r="AB169" i="10"/>
  <c r="AC169" i="10"/>
  <c r="AD169" i="10"/>
  <c r="AE169" i="10"/>
  <c r="AF169" i="10"/>
  <c r="R170" i="10"/>
  <c r="S170" i="10"/>
  <c r="T170" i="10"/>
  <c r="U170" i="10"/>
  <c r="V170" i="10"/>
  <c r="W170" i="10"/>
  <c r="X170" i="10"/>
  <c r="Y170" i="10"/>
  <c r="Z170" i="10"/>
  <c r="AA170" i="10"/>
  <c r="AB170" i="10"/>
  <c r="AC170" i="10"/>
  <c r="AD170" i="10"/>
  <c r="AE170" i="10"/>
  <c r="AF170" i="10"/>
  <c r="R171" i="10"/>
  <c r="S171" i="10"/>
  <c r="T171" i="10"/>
  <c r="U171" i="10"/>
  <c r="V171" i="10"/>
  <c r="W171" i="10"/>
  <c r="X171" i="10"/>
  <c r="Y171" i="10"/>
  <c r="Z171" i="10"/>
  <c r="AA171" i="10"/>
  <c r="AB171" i="10"/>
  <c r="AC171" i="10"/>
  <c r="AD171" i="10"/>
  <c r="AE171" i="10"/>
  <c r="AF171" i="10"/>
  <c r="R172" i="10"/>
  <c r="S172" i="10"/>
  <c r="T172" i="10"/>
  <c r="U172" i="10"/>
  <c r="V172" i="10"/>
  <c r="W172" i="10"/>
  <c r="X172" i="10"/>
  <c r="Y172" i="10"/>
  <c r="Z172" i="10"/>
  <c r="AA172" i="10"/>
  <c r="AB172" i="10"/>
  <c r="AC172" i="10"/>
  <c r="AD172" i="10"/>
  <c r="AE172" i="10"/>
  <c r="AF172" i="10"/>
  <c r="R173" i="10"/>
  <c r="S173" i="10"/>
  <c r="T173" i="10"/>
  <c r="U173" i="10"/>
  <c r="V173" i="10"/>
  <c r="W173" i="10"/>
  <c r="X173" i="10"/>
  <c r="Y173" i="10"/>
  <c r="Z173" i="10"/>
  <c r="AA173" i="10"/>
  <c r="AB173" i="10"/>
  <c r="AC173" i="10"/>
  <c r="AD173" i="10"/>
  <c r="AE173" i="10"/>
  <c r="AF173" i="10"/>
  <c r="R174" i="10"/>
  <c r="S174" i="10"/>
  <c r="T174" i="10"/>
  <c r="U174" i="10"/>
  <c r="V174" i="10"/>
  <c r="W174" i="10"/>
  <c r="X174" i="10"/>
  <c r="Y174" i="10"/>
  <c r="Z174" i="10"/>
  <c r="AA174" i="10"/>
  <c r="AB174" i="10"/>
  <c r="AC174" i="10"/>
  <c r="AD174" i="10"/>
  <c r="AE174" i="10"/>
  <c r="AF174" i="10"/>
  <c r="R175" i="10"/>
  <c r="S175" i="10"/>
  <c r="T175" i="10"/>
  <c r="U175" i="10"/>
  <c r="V175" i="10"/>
  <c r="W175" i="10"/>
  <c r="X175" i="10"/>
  <c r="Y175" i="10"/>
  <c r="Z175" i="10"/>
  <c r="AA175" i="10"/>
  <c r="AB175" i="10"/>
  <c r="AC175" i="10"/>
  <c r="AD175" i="10"/>
  <c r="AE175" i="10"/>
  <c r="AF175" i="10"/>
  <c r="R176" i="10"/>
  <c r="S176" i="10"/>
  <c r="T176" i="10"/>
  <c r="U176" i="10"/>
  <c r="V176" i="10"/>
  <c r="W176" i="10"/>
  <c r="X176" i="10"/>
  <c r="Y176" i="10"/>
  <c r="Z176" i="10"/>
  <c r="AA176" i="10"/>
  <c r="AB176" i="10"/>
  <c r="AC176" i="10"/>
  <c r="AD176" i="10"/>
  <c r="AE176" i="10"/>
  <c r="AF176" i="10"/>
  <c r="R177" i="10"/>
  <c r="S177" i="10"/>
  <c r="T177" i="10"/>
  <c r="U177" i="10"/>
  <c r="V177" i="10"/>
  <c r="W177" i="10"/>
  <c r="X177" i="10"/>
  <c r="Y177" i="10"/>
  <c r="Z177" i="10"/>
  <c r="AA177" i="10"/>
  <c r="AB177" i="10"/>
  <c r="AC177" i="10"/>
  <c r="AD177" i="10"/>
  <c r="AE177" i="10"/>
  <c r="AF177" i="10"/>
  <c r="R178" i="10"/>
  <c r="S178" i="10"/>
  <c r="T178" i="10"/>
  <c r="U178" i="10"/>
  <c r="V178" i="10"/>
  <c r="W178" i="10"/>
  <c r="X178" i="10"/>
  <c r="Y178" i="10"/>
  <c r="Z178" i="10"/>
  <c r="AA178" i="10"/>
  <c r="AB178" i="10"/>
  <c r="AC178" i="10"/>
  <c r="AD178" i="10"/>
  <c r="AE178" i="10"/>
  <c r="AF178" i="10"/>
  <c r="R179" i="10"/>
  <c r="S179" i="10"/>
  <c r="T179" i="10"/>
  <c r="U179" i="10"/>
  <c r="V179" i="10"/>
  <c r="W179" i="10"/>
  <c r="X179" i="10"/>
  <c r="Y179" i="10"/>
  <c r="Z179" i="10"/>
  <c r="AA179" i="10"/>
  <c r="AB179" i="10"/>
  <c r="AC179" i="10"/>
  <c r="AD179" i="10"/>
  <c r="AE179" i="10"/>
  <c r="AF179" i="10"/>
  <c r="R180" i="10"/>
  <c r="S180" i="10"/>
  <c r="T180" i="10"/>
  <c r="U180" i="10"/>
  <c r="V180" i="10"/>
  <c r="W180" i="10"/>
  <c r="X180" i="10"/>
  <c r="Y180" i="10"/>
  <c r="Z180" i="10"/>
  <c r="AA180" i="10"/>
  <c r="AB180" i="10"/>
  <c r="AC180" i="10"/>
  <c r="AD180" i="10"/>
  <c r="AE180" i="10"/>
  <c r="AF180" i="10"/>
  <c r="R181" i="10"/>
  <c r="S181" i="10"/>
  <c r="T181" i="10"/>
  <c r="U181" i="10"/>
  <c r="V181" i="10"/>
  <c r="W181" i="10"/>
  <c r="X181" i="10"/>
  <c r="Y181" i="10"/>
  <c r="Z181" i="10"/>
  <c r="AA181" i="10"/>
  <c r="AB181" i="10"/>
  <c r="AC181" i="10"/>
  <c r="AD181" i="10"/>
  <c r="AE181" i="10"/>
  <c r="AF181" i="10"/>
  <c r="R182" i="10"/>
  <c r="S182" i="10"/>
  <c r="T182" i="10"/>
  <c r="U182" i="10"/>
  <c r="V182" i="10"/>
  <c r="W182" i="10"/>
  <c r="X182" i="10"/>
  <c r="Y182" i="10"/>
  <c r="Z182" i="10"/>
  <c r="AA182" i="10"/>
  <c r="AB182" i="10"/>
  <c r="AC182" i="10"/>
  <c r="AD182" i="10"/>
  <c r="AE182" i="10"/>
  <c r="AF182" i="10"/>
  <c r="R183" i="10"/>
  <c r="S183" i="10"/>
  <c r="T183" i="10"/>
  <c r="U183" i="10"/>
  <c r="V183" i="10"/>
  <c r="W183" i="10"/>
  <c r="X183" i="10"/>
  <c r="Y183" i="10"/>
  <c r="Z183" i="10"/>
  <c r="AA183" i="10"/>
  <c r="AB183" i="10"/>
  <c r="AC183" i="10"/>
  <c r="AD183" i="10"/>
  <c r="AE183" i="10"/>
  <c r="AF183" i="10"/>
  <c r="R184" i="10"/>
  <c r="S184" i="10"/>
  <c r="T184" i="10"/>
  <c r="U184" i="10"/>
  <c r="V184" i="10"/>
  <c r="W184" i="10"/>
  <c r="X184" i="10"/>
  <c r="Y184" i="10"/>
  <c r="Z184" i="10"/>
  <c r="AA184" i="10"/>
  <c r="AB184" i="10"/>
  <c r="AC184" i="10"/>
  <c r="AD184" i="10"/>
  <c r="AE184" i="10"/>
  <c r="AF184" i="10"/>
  <c r="R185" i="10"/>
  <c r="S185" i="10"/>
  <c r="T185" i="10"/>
  <c r="U185" i="10"/>
  <c r="V185" i="10"/>
  <c r="W185" i="10"/>
  <c r="X185" i="10"/>
  <c r="Y185" i="10"/>
  <c r="Z185" i="10"/>
  <c r="AA185" i="10"/>
  <c r="AB185" i="10"/>
  <c r="AC185" i="10"/>
  <c r="AD185" i="10"/>
  <c r="AE185" i="10"/>
  <c r="AF185" i="10"/>
  <c r="R186" i="10"/>
  <c r="S186" i="10"/>
  <c r="T186" i="10"/>
  <c r="U186" i="10"/>
  <c r="V186" i="10"/>
  <c r="W186" i="10"/>
  <c r="X186" i="10"/>
  <c r="Y186" i="10"/>
  <c r="Z186" i="10"/>
  <c r="AA186" i="10"/>
  <c r="AB186" i="10"/>
  <c r="AC186" i="10"/>
  <c r="AD186" i="10"/>
  <c r="AE186" i="10"/>
  <c r="AF186" i="10"/>
  <c r="R187" i="10"/>
  <c r="S187" i="10"/>
  <c r="T187" i="10"/>
  <c r="U187" i="10"/>
  <c r="V187" i="10"/>
  <c r="W187" i="10"/>
  <c r="X187" i="10"/>
  <c r="Y187" i="10"/>
  <c r="Z187" i="10"/>
  <c r="AA187" i="10"/>
  <c r="AB187" i="10"/>
  <c r="AC187" i="10"/>
  <c r="AD187" i="10"/>
  <c r="AE187" i="10"/>
  <c r="AF187" i="10"/>
  <c r="R188" i="10"/>
  <c r="S188" i="10"/>
  <c r="T188" i="10"/>
  <c r="U188" i="10"/>
  <c r="V188" i="10"/>
  <c r="W188" i="10"/>
  <c r="X188" i="10"/>
  <c r="Y188" i="10"/>
  <c r="Z188" i="10"/>
  <c r="AA188" i="10"/>
  <c r="AB188" i="10"/>
  <c r="AC188" i="10"/>
  <c r="AD188" i="10"/>
  <c r="AE188" i="10"/>
  <c r="AF188" i="10"/>
  <c r="R189" i="10"/>
  <c r="S189" i="10"/>
  <c r="T189" i="10"/>
  <c r="U189" i="10"/>
  <c r="V189" i="10"/>
  <c r="W189" i="10"/>
  <c r="X189" i="10"/>
  <c r="Y189" i="10"/>
  <c r="Z189" i="10"/>
  <c r="AA189" i="10"/>
  <c r="AB189" i="10"/>
  <c r="AC189" i="10"/>
  <c r="AD189" i="10"/>
  <c r="AE189" i="10"/>
  <c r="AF189" i="10"/>
  <c r="R190" i="10"/>
  <c r="S190" i="10"/>
  <c r="T190" i="10"/>
  <c r="U190" i="10"/>
  <c r="V190" i="10"/>
  <c r="W190" i="10"/>
  <c r="X190" i="10"/>
  <c r="Y190" i="10"/>
  <c r="Z190" i="10"/>
  <c r="AA190" i="10"/>
  <c r="AB190" i="10"/>
  <c r="AC190" i="10"/>
  <c r="AD190" i="10"/>
  <c r="AE190" i="10"/>
  <c r="AF190" i="10"/>
  <c r="R191" i="10"/>
  <c r="S191" i="10"/>
  <c r="T191" i="10"/>
  <c r="U191" i="10"/>
  <c r="V191" i="10"/>
  <c r="W191" i="10"/>
  <c r="X191" i="10"/>
  <c r="Y191" i="10"/>
  <c r="Z191" i="10"/>
  <c r="AA191" i="10"/>
  <c r="AB191" i="10"/>
  <c r="AC191" i="10"/>
  <c r="AD191" i="10"/>
  <c r="AE191" i="10"/>
  <c r="AF191" i="10"/>
  <c r="R192" i="10"/>
  <c r="S192" i="10"/>
  <c r="T192" i="10"/>
  <c r="U192" i="10"/>
  <c r="V192" i="10"/>
  <c r="W192" i="10"/>
  <c r="X192" i="10"/>
  <c r="Y192" i="10"/>
  <c r="Z192" i="10"/>
  <c r="AA192" i="10"/>
  <c r="AB192" i="10"/>
  <c r="AC192" i="10"/>
  <c r="AD192" i="10"/>
  <c r="AE192" i="10"/>
  <c r="AF192" i="10"/>
  <c r="R193" i="10"/>
  <c r="S193" i="10"/>
  <c r="T193" i="10"/>
  <c r="U193" i="10"/>
  <c r="V193" i="10"/>
  <c r="W193" i="10"/>
  <c r="X193" i="10"/>
  <c r="Y193" i="10"/>
  <c r="Z193" i="10"/>
  <c r="AA193" i="10"/>
  <c r="AB193" i="10"/>
  <c r="AC193" i="10"/>
  <c r="AD193" i="10"/>
  <c r="AE193" i="10"/>
  <c r="AF193" i="10"/>
  <c r="R194" i="10"/>
  <c r="S194" i="10"/>
  <c r="T194" i="10"/>
  <c r="U194" i="10"/>
  <c r="V194" i="10"/>
  <c r="W194" i="10"/>
  <c r="X194" i="10"/>
  <c r="Y194" i="10"/>
  <c r="Z194" i="10"/>
  <c r="AA194" i="10"/>
  <c r="AB194" i="10"/>
  <c r="AC194" i="10"/>
  <c r="AD194" i="10"/>
  <c r="AE194" i="10"/>
  <c r="AF194" i="10"/>
  <c r="R195" i="10"/>
  <c r="S195" i="10"/>
  <c r="T195" i="10"/>
  <c r="U195" i="10"/>
  <c r="V195" i="10"/>
  <c r="W195" i="10"/>
  <c r="X195" i="10"/>
  <c r="Y195" i="10"/>
  <c r="Z195" i="10"/>
  <c r="AA195" i="10"/>
  <c r="AB195" i="10"/>
  <c r="AC195" i="10"/>
  <c r="AD195" i="10"/>
  <c r="AE195" i="10"/>
  <c r="AF195" i="10"/>
  <c r="R196" i="10"/>
  <c r="S196" i="10"/>
  <c r="T196" i="10"/>
  <c r="U196" i="10"/>
  <c r="V196" i="10"/>
  <c r="W196" i="10"/>
  <c r="X196" i="10"/>
  <c r="Y196" i="10"/>
  <c r="Z196" i="10"/>
  <c r="AA196" i="10"/>
  <c r="AB196" i="10"/>
  <c r="AC196" i="10"/>
  <c r="AD196" i="10"/>
  <c r="AE196" i="10"/>
  <c r="AF196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E3" i="10"/>
  <c r="F3" i="10"/>
  <c r="G3" i="10"/>
  <c r="H3" i="10"/>
  <c r="I3" i="10"/>
  <c r="J3" i="10"/>
  <c r="K3" i="10"/>
  <c r="L3" i="10"/>
  <c r="M3" i="10"/>
  <c r="N3" i="10"/>
  <c r="O3" i="10"/>
  <c r="P3" i="10"/>
  <c r="E4" i="10"/>
  <c r="F4" i="10"/>
  <c r="G4" i="10"/>
  <c r="H4" i="10"/>
  <c r="I4" i="10"/>
  <c r="J4" i="10"/>
  <c r="K4" i="10"/>
  <c r="L4" i="10"/>
  <c r="M4" i="10"/>
  <c r="N4" i="10"/>
  <c r="O4" i="10"/>
  <c r="P4" i="10"/>
  <c r="E5" i="10"/>
  <c r="F5" i="10"/>
  <c r="G5" i="10"/>
  <c r="H5" i="10"/>
  <c r="I5" i="10"/>
  <c r="J5" i="10"/>
  <c r="K5" i="10"/>
  <c r="L5" i="10"/>
  <c r="M5" i="10"/>
  <c r="N5" i="10"/>
  <c r="O5" i="10"/>
  <c r="P5" i="10"/>
  <c r="E6" i="10"/>
  <c r="F6" i="10"/>
  <c r="G6" i="10"/>
  <c r="H6" i="10"/>
  <c r="I6" i="10"/>
  <c r="J6" i="10"/>
  <c r="K6" i="10"/>
  <c r="L6" i="10"/>
  <c r="M6" i="10"/>
  <c r="N6" i="10"/>
  <c r="O6" i="10"/>
  <c r="P6" i="10"/>
  <c r="E7" i="10"/>
  <c r="F7" i="10"/>
  <c r="G7" i="10"/>
  <c r="H7" i="10"/>
  <c r="I7" i="10"/>
  <c r="J7" i="10"/>
  <c r="K7" i="10"/>
  <c r="L7" i="10"/>
  <c r="M7" i="10"/>
  <c r="N7" i="10"/>
  <c r="O7" i="10"/>
  <c r="P7" i="10"/>
  <c r="E8" i="10"/>
  <c r="F8" i="10"/>
  <c r="G8" i="10"/>
  <c r="H8" i="10"/>
  <c r="I8" i="10"/>
  <c r="J8" i="10"/>
  <c r="K8" i="10"/>
  <c r="L8" i="10"/>
  <c r="M8" i="10"/>
  <c r="N8" i="10"/>
  <c r="O8" i="10"/>
  <c r="P8" i="10"/>
  <c r="E9" i="10"/>
  <c r="F9" i="10"/>
  <c r="G9" i="10"/>
  <c r="H9" i="10"/>
  <c r="I9" i="10"/>
  <c r="J9" i="10"/>
  <c r="K9" i="10"/>
  <c r="L9" i="10"/>
  <c r="M9" i="10"/>
  <c r="N9" i="10"/>
  <c r="O9" i="10"/>
  <c r="P9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E116" i="10"/>
  <c r="F116" i="10"/>
  <c r="G116" i="10"/>
  <c r="H116" i="10"/>
  <c r="I116" i="10"/>
  <c r="J116" i="10"/>
  <c r="K116" i="10"/>
  <c r="L116" i="10"/>
  <c r="M116" i="10"/>
  <c r="N116" i="10"/>
  <c r="O116" i="10"/>
  <c r="P116" i="10"/>
  <c r="E117" i="10"/>
  <c r="F117" i="10"/>
  <c r="G117" i="10"/>
  <c r="H117" i="10"/>
  <c r="I117" i="10"/>
  <c r="J117" i="10"/>
  <c r="K117" i="10"/>
  <c r="L117" i="10"/>
  <c r="M117" i="10"/>
  <c r="N117" i="10"/>
  <c r="O117" i="10"/>
  <c r="P117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E119" i="10"/>
  <c r="F119" i="10"/>
  <c r="G119" i="10"/>
  <c r="H119" i="10"/>
  <c r="I119" i="10"/>
  <c r="J119" i="10"/>
  <c r="K119" i="10"/>
  <c r="L119" i="10"/>
  <c r="M119" i="10"/>
  <c r="N119" i="10"/>
  <c r="O119" i="10"/>
  <c r="P119" i="10"/>
  <c r="E120" i="10"/>
  <c r="F120" i="10"/>
  <c r="G120" i="10"/>
  <c r="H120" i="10"/>
  <c r="I120" i="10"/>
  <c r="J120" i="10"/>
  <c r="K120" i="10"/>
  <c r="L120" i="10"/>
  <c r="M120" i="10"/>
  <c r="N120" i="10"/>
  <c r="O120" i="10"/>
  <c r="P120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E122" i="10"/>
  <c r="F122" i="10"/>
  <c r="G122" i="10"/>
  <c r="H122" i="10"/>
  <c r="I122" i="10"/>
  <c r="J122" i="10"/>
  <c r="K122" i="10"/>
  <c r="L122" i="10"/>
  <c r="M122" i="10"/>
  <c r="N122" i="10"/>
  <c r="O122" i="10"/>
  <c r="P122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E125" i="10"/>
  <c r="F125" i="10"/>
  <c r="G125" i="10"/>
  <c r="H125" i="10"/>
  <c r="I125" i="10"/>
  <c r="J125" i="10"/>
  <c r="K125" i="10"/>
  <c r="L125" i="10"/>
  <c r="M125" i="10"/>
  <c r="N125" i="10"/>
  <c r="O125" i="10"/>
  <c r="P125" i="10"/>
  <c r="E126" i="10"/>
  <c r="F126" i="10"/>
  <c r="G126" i="10"/>
  <c r="H126" i="10"/>
  <c r="I126" i="10"/>
  <c r="J126" i="10"/>
  <c r="K126" i="10"/>
  <c r="L126" i="10"/>
  <c r="M126" i="10"/>
  <c r="N126" i="10"/>
  <c r="O126" i="10"/>
  <c r="P126" i="10"/>
  <c r="E127" i="10"/>
  <c r="F127" i="10"/>
  <c r="G127" i="10"/>
  <c r="H127" i="10"/>
  <c r="I127" i="10"/>
  <c r="J127" i="10"/>
  <c r="K127" i="10"/>
  <c r="L127" i="10"/>
  <c r="M127" i="10"/>
  <c r="N127" i="10"/>
  <c r="O127" i="10"/>
  <c r="P127" i="10"/>
  <c r="E128" i="10"/>
  <c r="F128" i="10"/>
  <c r="G128" i="10"/>
  <c r="H128" i="10"/>
  <c r="I128" i="10"/>
  <c r="J128" i="10"/>
  <c r="K128" i="10"/>
  <c r="L128" i="10"/>
  <c r="M128" i="10"/>
  <c r="N128" i="10"/>
  <c r="O128" i="10"/>
  <c r="P128" i="10"/>
  <c r="E129" i="10"/>
  <c r="F129" i="10"/>
  <c r="G129" i="10"/>
  <c r="H129" i="10"/>
  <c r="I129" i="10"/>
  <c r="J129" i="10"/>
  <c r="K129" i="10"/>
  <c r="L129" i="10"/>
  <c r="M129" i="10"/>
  <c r="N129" i="10"/>
  <c r="O129" i="10"/>
  <c r="P129" i="10"/>
  <c r="E130" i="10"/>
  <c r="F130" i="10"/>
  <c r="G130" i="10"/>
  <c r="H130" i="10"/>
  <c r="I130" i="10"/>
  <c r="J130" i="10"/>
  <c r="K130" i="10"/>
  <c r="L130" i="10"/>
  <c r="M130" i="10"/>
  <c r="N130" i="10"/>
  <c r="O130" i="10"/>
  <c r="P130" i="10"/>
  <c r="E131" i="10"/>
  <c r="F131" i="10"/>
  <c r="G131" i="10"/>
  <c r="H131" i="10"/>
  <c r="I131" i="10"/>
  <c r="J131" i="10"/>
  <c r="K131" i="10"/>
  <c r="L131" i="10"/>
  <c r="M131" i="10"/>
  <c r="N131" i="10"/>
  <c r="O131" i="10"/>
  <c r="P131" i="10"/>
  <c r="E132" i="10"/>
  <c r="F132" i="10"/>
  <c r="G132" i="10"/>
  <c r="H132" i="10"/>
  <c r="I132" i="10"/>
  <c r="J132" i="10"/>
  <c r="K132" i="10"/>
  <c r="L132" i="10"/>
  <c r="M132" i="10"/>
  <c r="N132" i="10"/>
  <c r="O132" i="10"/>
  <c r="P132" i="10"/>
  <c r="E133" i="10"/>
  <c r="F133" i="10"/>
  <c r="G133" i="10"/>
  <c r="H133" i="10"/>
  <c r="I133" i="10"/>
  <c r="J133" i="10"/>
  <c r="K133" i="10"/>
  <c r="L133" i="10"/>
  <c r="M133" i="10"/>
  <c r="N133" i="10"/>
  <c r="O133" i="10"/>
  <c r="P133" i="10"/>
  <c r="E134" i="10"/>
  <c r="F134" i="10"/>
  <c r="G134" i="10"/>
  <c r="H134" i="10"/>
  <c r="I134" i="10"/>
  <c r="J134" i="10"/>
  <c r="K134" i="10"/>
  <c r="L134" i="10"/>
  <c r="M134" i="10"/>
  <c r="N134" i="10"/>
  <c r="O134" i="10"/>
  <c r="P134" i="10"/>
  <c r="E135" i="10"/>
  <c r="F135" i="10"/>
  <c r="G135" i="10"/>
  <c r="H135" i="10"/>
  <c r="I135" i="10"/>
  <c r="J135" i="10"/>
  <c r="K135" i="10"/>
  <c r="L135" i="10"/>
  <c r="M135" i="10"/>
  <c r="N135" i="10"/>
  <c r="O135" i="10"/>
  <c r="P135" i="10"/>
  <c r="E136" i="10"/>
  <c r="F136" i="10"/>
  <c r="G136" i="10"/>
  <c r="H136" i="10"/>
  <c r="I136" i="10"/>
  <c r="J136" i="10"/>
  <c r="K136" i="10"/>
  <c r="L136" i="10"/>
  <c r="M136" i="10"/>
  <c r="N136" i="10"/>
  <c r="O136" i="10"/>
  <c r="P136" i="10"/>
  <c r="E137" i="10"/>
  <c r="F137" i="10"/>
  <c r="G137" i="10"/>
  <c r="H137" i="10"/>
  <c r="I137" i="10"/>
  <c r="J137" i="10"/>
  <c r="K137" i="10"/>
  <c r="L137" i="10"/>
  <c r="M137" i="10"/>
  <c r="N137" i="10"/>
  <c r="O137" i="10"/>
  <c r="P137" i="10"/>
  <c r="E138" i="10"/>
  <c r="F138" i="10"/>
  <c r="G138" i="10"/>
  <c r="H138" i="10"/>
  <c r="I138" i="10"/>
  <c r="J138" i="10"/>
  <c r="K138" i="10"/>
  <c r="L138" i="10"/>
  <c r="M138" i="10"/>
  <c r="N138" i="10"/>
  <c r="O138" i="10"/>
  <c r="P138" i="10"/>
  <c r="E139" i="10"/>
  <c r="F139" i="10"/>
  <c r="G139" i="10"/>
  <c r="H139" i="10"/>
  <c r="I139" i="10"/>
  <c r="J139" i="10"/>
  <c r="K139" i="10"/>
  <c r="L139" i="10"/>
  <c r="M139" i="10"/>
  <c r="N139" i="10"/>
  <c r="O139" i="10"/>
  <c r="P139" i="10"/>
  <c r="E140" i="10"/>
  <c r="F140" i="10"/>
  <c r="G140" i="10"/>
  <c r="H140" i="10"/>
  <c r="I140" i="10"/>
  <c r="J140" i="10"/>
  <c r="K140" i="10"/>
  <c r="L140" i="10"/>
  <c r="M140" i="10"/>
  <c r="N140" i="10"/>
  <c r="O140" i="10"/>
  <c r="P140" i="10"/>
  <c r="E141" i="10"/>
  <c r="F141" i="10"/>
  <c r="G141" i="10"/>
  <c r="H141" i="10"/>
  <c r="I141" i="10"/>
  <c r="J141" i="10"/>
  <c r="K141" i="10"/>
  <c r="L141" i="10"/>
  <c r="M141" i="10"/>
  <c r="N141" i="10"/>
  <c r="O141" i="10"/>
  <c r="P141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E143" i="10"/>
  <c r="F143" i="10"/>
  <c r="G143" i="10"/>
  <c r="H143" i="10"/>
  <c r="I143" i="10"/>
  <c r="J143" i="10"/>
  <c r="K143" i="10"/>
  <c r="L143" i="10"/>
  <c r="M143" i="10"/>
  <c r="N143" i="10"/>
  <c r="O143" i="10"/>
  <c r="P143" i="10"/>
  <c r="E144" i="10"/>
  <c r="F144" i="10"/>
  <c r="G144" i="10"/>
  <c r="H144" i="10"/>
  <c r="I144" i="10"/>
  <c r="J144" i="10"/>
  <c r="K144" i="10"/>
  <c r="L144" i="10"/>
  <c r="M144" i="10"/>
  <c r="N144" i="10"/>
  <c r="O144" i="10"/>
  <c r="P144" i="10"/>
  <c r="E145" i="10"/>
  <c r="F145" i="10"/>
  <c r="G145" i="10"/>
  <c r="H145" i="10"/>
  <c r="I145" i="10"/>
  <c r="J145" i="10"/>
  <c r="K145" i="10"/>
  <c r="L145" i="10"/>
  <c r="M145" i="10"/>
  <c r="N145" i="10"/>
  <c r="O145" i="10"/>
  <c r="P145" i="10"/>
  <c r="E146" i="10"/>
  <c r="F146" i="10"/>
  <c r="G146" i="10"/>
  <c r="H146" i="10"/>
  <c r="I146" i="10"/>
  <c r="J146" i="10"/>
  <c r="K146" i="10"/>
  <c r="L146" i="10"/>
  <c r="M146" i="10"/>
  <c r="N146" i="10"/>
  <c r="O146" i="10"/>
  <c r="P146" i="10"/>
  <c r="E147" i="10"/>
  <c r="F147" i="10"/>
  <c r="G147" i="10"/>
  <c r="H147" i="10"/>
  <c r="I147" i="10"/>
  <c r="J147" i="10"/>
  <c r="K147" i="10"/>
  <c r="L147" i="10"/>
  <c r="M147" i="10"/>
  <c r="N147" i="10"/>
  <c r="O147" i="10"/>
  <c r="P147" i="10"/>
  <c r="E148" i="10"/>
  <c r="F148" i="10"/>
  <c r="G148" i="10"/>
  <c r="H148" i="10"/>
  <c r="I148" i="10"/>
  <c r="J148" i="10"/>
  <c r="K148" i="10"/>
  <c r="L148" i="10"/>
  <c r="M148" i="10"/>
  <c r="N148" i="10"/>
  <c r="O148" i="10"/>
  <c r="P148" i="10"/>
  <c r="E149" i="10"/>
  <c r="F149" i="10"/>
  <c r="G149" i="10"/>
  <c r="H149" i="10"/>
  <c r="I149" i="10"/>
  <c r="J149" i="10"/>
  <c r="K149" i="10"/>
  <c r="L149" i="10"/>
  <c r="M149" i="10"/>
  <c r="N149" i="10"/>
  <c r="O149" i="10"/>
  <c r="P149" i="10"/>
  <c r="E150" i="10"/>
  <c r="F150" i="10"/>
  <c r="G150" i="10"/>
  <c r="H150" i="10"/>
  <c r="I150" i="10"/>
  <c r="J150" i="10"/>
  <c r="K150" i="10"/>
  <c r="L150" i="10"/>
  <c r="M150" i="10"/>
  <c r="N150" i="10"/>
  <c r="O150" i="10"/>
  <c r="P150" i="10"/>
  <c r="E151" i="10"/>
  <c r="F151" i="10"/>
  <c r="G151" i="10"/>
  <c r="H151" i="10"/>
  <c r="I151" i="10"/>
  <c r="J151" i="10"/>
  <c r="K151" i="10"/>
  <c r="L151" i="10"/>
  <c r="M151" i="10"/>
  <c r="N151" i="10"/>
  <c r="O151" i="10"/>
  <c r="P151" i="10"/>
  <c r="E152" i="10"/>
  <c r="F152" i="10"/>
  <c r="G152" i="10"/>
  <c r="H152" i="10"/>
  <c r="I152" i="10"/>
  <c r="J152" i="10"/>
  <c r="K152" i="10"/>
  <c r="L152" i="10"/>
  <c r="M152" i="10"/>
  <c r="N152" i="10"/>
  <c r="O152" i="10"/>
  <c r="P152" i="10"/>
  <c r="E153" i="10"/>
  <c r="F153" i="10"/>
  <c r="G153" i="10"/>
  <c r="H153" i="10"/>
  <c r="I153" i="10"/>
  <c r="J153" i="10"/>
  <c r="K153" i="10"/>
  <c r="L153" i="10"/>
  <c r="M153" i="10"/>
  <c r="N153" i="10"/>
  <c r="O153" i="10"/>
  <c r="P153" i="10"/>
  <c r="E154" i="10"/>
  <c r="F154" i="10"/>
  <c r="G154" i="10"/>
  <c r="H154" i="10"/>
  <c r="I154" i="10"/>
  <c r="J154" i="10"/>
  <c r="K154" i="10"/>
  <c r="L154" i="10"/>
  <c r="M154" i="10"/>
  <c r="N154" i="10"/>
  <c r="O154" i="10"/>
  <c r="P154" i="10"/>
  <c r="E155" i="10"/>
  <c r="F155" i="10"/>
  <c r="G155" i="10"/>
  <c r="H155" i="10"/>
  <c r="I155" i="10"/>
  <c r="J155" i="10"/>
  <c r="K155" i="10"/>
  <c r="L155" i="10"/>
  <c r="M155" i="10"/>
  <c r="N155" i="10"/>
  <c r="O155" i="10"/>
  <c r="P155" i="10"/>
  <c r="E156" i="10"/>
  <c r="F156" i="10"/>
  <c r="G156" i="10"/>
  <c r="H156" i="10"/>
  <c r="I156" i="10"/>
  <c r="J156" i="10"/>
  <c r="K156" i="10"/>
  <c r="L156" i="10"/>
  <c r="M156" i="10"/>
  <c r="N156" i="10"/>
  <c r="O156" i="10"/>
  <c r="P156" i="10"/>
  <c r="E157" i="10"/>
  <c r="F157" i="10"/>
  <c r="G157" i="10"/>
  <c r="H157" i="10"/>
  <c r="I157" i="10"/>
  <c r="J157" i="10"/>
  <c r="K157" i="10"/>
  <c r="L157" i="10"/>
  <c r="M157" i="10"/>
  <c r="N157" i="10"/>
  <c r="O157" i="10"/>
  <c r="P157" i="10"/>
  <c r="E158" i="10"/>
  <c r="F158" i="10"/>
  <c r="G158" i="10"/>
  <c r="H158" i="10"/>
  <c r="I158" i="10"/>
  <c r="J158" i="10"/>
  <c r="K158" i="10"/>
  <c r="L158" i="10"/>
  <c r="M158" i="10"/>
  <c r="N158" i="10"/>
  <c r="O158" i="10"/>
  <c r="P158" i="10"/>
  <c r="E159" i="10"/>
  <c r="F159" i="10"/>
  <c r="G159" i="10"/>
  <c r="H159" i="10"/>
  <c r="I159" i="10"/>
  <c r="J159" i="10"/>
  <c r="K159" i="10"/>
  <c r="L159" i="10"/>
  <c r="M159" i="10"/>
  <c r="N159" i="10"/>
  <c r="O159" i="10"/>
  <c r="P159" i="10"/>
  <c r="E160" i="10"/>
  <c r="F160" i="10"/>
  <c r="G160" i="10"/>
  <c r="H160" i="10"/>
  <c r="I160" i="10"/>
  <c r="J160" i="10"/>
  <c r="K160" i="10"/>
  <c r="L160" i="10"/>
  <c r="M160" i="10"/>
  <c r="N160" i="10"/>
  <c r="O160" i="10"/>
  <c r="P160" i="10"/>
  <c r="E161" i="10"/>
  <c r="F161" i="10"/>
  <c r="G161" i="10"/>
  <c r="H161" i="10"/>
  <c r="I161" i="10"/>
  <c r="J161" i="10"/>
  <c r="K161" i="10"/>
  <c r="L161" i="10"/>
  <c r="M161" i="10"/>
  <c r="N161" i="10"/>
  <c r="O161" i="10"/>
  <c r="P161" i="10"/>
  <c r="E162" i="10"/>
  <c r="F162" i="10"/>
  <c r="G162" i="10"/>
  <c r="H162" i="10"/>
  <c r="I162" i="10"/>
  <c r="J162" i="10"/>
  <c r="K162" i="10"/>
  <c r="L162" i="10"/>
  <c r="M162" i="10"/>
  <c r="N162" i="10"/>
  <c r="O162" i="10"/>
  <c r="P162" i="10"/>
  <c r="E163" i="10"/>
  <c r="F163" i="10"/>
  <c r="G163" i="10"/>
  <c r="H163" i="10"/>
  <c r="I163" i="10"/>
  <c r="J163" i="10"/>
  <c r="K163" i="10"/>
  <c r="L163" i="10"/>
  <c r="M163" i="10"/>
  <c r="N163" i="10"/>
  <c r="O163" i="10"/>
  <c r="P163" i="10"/>
  <c r="E164" i="10"/>
  <c r="F164" i="10"/>
  <c r="G164" i="10"/>
  <c r="H164" i="10"/>
  <c r="I164" i="10"/>
  <c r="J164" i="10"/>
  <c r="K164" i="10"/>
  <c r="L164" i="10"/>
  <c r="M164" i="10"/>
  <c r="N164" i="10"/>
  <c r="O164" i="10"/>
  <c r="P164" i="10"/>
  <c r="E165" i="10"/>
  <c r="F165" i="10"/>
  <c r="G165" i="10"/>
  <c r="H165" i="10"/>
  <c r="I165" i="10"/>
  <c r="J165" i="10"/>
  <c r="K165" i="10"/>
  <c r="L165" i="10"/>
  <c r="M165" i="10"/>
  <c r="N165" i="10"/>
  <c r="O165" i="10"/>
  <c r="P165" i="10"/>
  <c r="E166" i="10"/>
  <c r="F166" i="10"/>
  <c r="G166" i="10"/>
  <c r="H166" i="10"/>
  <c r="I166" i="10"/>
  <c r="J166" i="10"/>
  <c r="K166" i="10"/>
  <c r="L166" i="10"/>
  <c r="M166" i="10"/>
  <c r="N166" i="10"/>
  <c r="O166" i="10"/>
  <c r="P166" i="10"/>
  <c r="E167" i="10"/>
  <c r="F167" i="10"/>
  <c r="G167" i="10"/>
  <c r="H167" i="10"/>
  <c r="I167" i="10"/>
  <c r="J167" i="10"/>
  <c r="K167" i="10"/>
  <c r="L167" i="10"/>
  <c r="M167" i="10"/>
  <c r="N167" i="10"/>
  <c r="O167" i="10"/>
  <c r="P167" i="10"/>
  <c r="E168" i="10"/>
  <c r="F168" i="10"/>
  <c r="G168" i="10"/>
  <c r="H168" i="10"/>
  <c r="I168" i="10"/>
  <c r="J168" i="10"/>
  <c r="K168" i="10"/>
  <c r="L168" i="10"/>
  <c r="M168" i="10"/>
  <c r="N168" i="10"/>
  <c r="O168" i="10"/>
  <c r="P168" i="10"/>
  <c r="E169" i="10"/>
  <c r="F169" i="10"/>
  <c r="G169" i="10"/>
  <c r="H169" i="10"/>
  <c r="I169" i="10"/>
  <c r="J169" i="10"/>
  <c r="K169" i="10"/>
  <c r="L169" i="10"/>
  <c r="M169" i="10"/>
  <c r="N169" i="10"/>
  <c r="O169" i="10"/>
  <c r="P169" i="10"/>
  <c r="E170" i="10"/>
  <c r="F170" i="10"/>
  <c r="G170" i="10"/>
  <c r="H170" i="10"/>
  <c r="I170" i="10"/>
  <c r="J170" i="10"/>
  <c r="K170" i="10"/>
  <c r="L170" i="10"/>
  <c r="M170" i="10"/>
  <c r="N170" i="10"/>
  <c r="O170" i="10"/>
  <c r="P170" i="10"/>
  <c r="E171" i="10"/>
  <c r="F171" i="10"/>
  <c r="G171" i="10"/>
  <c r="H171" i="10"/>
  <c r="I171" i="10"/>
  <c r="J171" i="10"/>
  <c r="K171" i="10"/>
  <c r="L171" i="10"/>
  <c r="M171" i="10"/>
  <c r="N171" i="10"/>
  <c r="O171" i="10"/>
  <c r="P171" i="10"/>
  <c r="E172" i="10"/>
  <c r="F172" i="10"/>
  <c r="G172" i="10"/>
  <c r="H172" i="10"/>
  <c r="I172" i="10"/>
  <c r="J172" i="10"/>
  <c r="K172" i="10"/>
  <c r="L172" i="10"/>
  <c r="M172" i="10"/>
  <c r="N172" i="10"/>
  <c r="O172" i="10"/>
  <c r="P172" i="10"/>
  <c r="E173" i="10"/>
  <c r="F173" i="10"/>
  <c r="G173" i="10"/>
  <c r="H173" i="10"/>
  <c r="I173" i="10"/>
  <c r="J173" i="10"/>
  <c r="K173" i="10"/>
  <c r="L173" i="10"/>
  <c r="M173" i="10"/>
  <c r="N173" i="10"/>
  <c r="O173" i="10"/>
  <c r="P173" i="10"/>
  <c r="E174" i="10"/>
  <c r="F174" i="10"/>
  <c r="G174" i="10"/>
  <c r="H174" i="10"/>
  <c r="I174" i="10"/>
  <c r="J174" i="10"/>
  <c r="K174" i="10"/>
  <c r="L174" i="10"/>
  <c r="M174" i="10"/>
  <c r="N174" i="10"/>
  <c r="O174" i="10"/>
  <c r="P174" i="10"/>
  <c r="E175" i="10"/>
  <c r="F175" i="10"/>
  <c r="G175" i="10"/>
  <c r="H175" i="10"/>
  <c r="I175" i="10"/>
  <c r="J175" i="10"/>
  <c r="K175" i="10"/>
  <c r="L175" i="10"/>
  <c r="M175" i="10"/>
  <c r="N175" i="10"/>
  <c r="O175" i="10"/>
  <c r="P175" i="10"/>
  <c r="E176" i="10"/>
  <c r="F176" i="10"/>
  <c r="G176" i="10"/>
  <c r="H176" i="10"/>
  <c r="I176" i="10"/>
  <c r="J176" i="10"/>
  <c r="K176" i="10"/>
  <c r="L176" i="10"/>
  <c r="M176" i="10"/>
  <c r="N176" i="10"/>
  <c r="O176" i="10"/>
  <c r="P176" i="10"/>
  <c r="E177" i="10"/>
  <c r="F177" i="10"/>
  <c r="G177" i="10"/>
  <c r="H177" i="10"/>
  <c r="I177" i="10"/>
  <c r="J177" i="10"/>
  <c r="K177" i="10"/>
  <c r="L177" i="10"/>
  <c r="M177" i="10"/>
  <c r="N177" i="10"/>
  <c r="O177" i="10"/>
  <c r="P177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E179" i="10"/>
  <c r="F179" i="10"/>
  <c r="G179" i="10"/>
  <c r="H179" i="10"/>
  <c r="I179" i="10"/>
  <c r="J179" i="10"/>
  <c r="K179" i="10"/>
  <c r="L179" i="10"/>
  <c r="M179" i="10"/>
  <c r="N179" i="10"/>
  <c r="O179" i="10"/>
  <c r="P179" i="10"/>
  <c r="E180" i="10"/>
  <c r="F180" i="10"/>
  <c r="G180" i="10"/>
  <c r="H180" i="10"/>
  <c r="I180" i="10"/>
  <c r="J180" i="10"/>
  <c r="K180" i="10"/>
  <c r="L180" i="10"/>
  <c r="M180" i="10"/>
  <c r="N180" i="10"/>
  <c r="O180" i="10"/>
  <c r="P180" i="10"/>
  <c r="E181" i="10"/>
  <c r="F181" i="10"/>
  <c r="G181" i="10"/>
  <c r="H181" i="10"/>
  <c r="I181" i="10"/>
  <c r="J181" i="10"/>
  <c r="K181" i="10"/>
  <c r="L181" i="10"/>
  <c r="M181" i="10"/>
  <c r="N181" i="10"/>
  <c r="O181" i="10"/>
  <c r="P181" i="10"/>
  <c r="E182" i="10"/>
  <c r="F182" i="10"/>
  <c r="G182" i="10"/>
  <c r="H182" i="10"/>
  <c r="I182" i="10"/>
  <c r="J182" i="10"/>
  <c r="K182" i="10"/>
  <c r="L182" i="10"/>
  <c r="M182" i="10"/>
  <c r="N182" i="10"/>
  <c r="O182" i="10"/>
  <c r="P182" i="10"/>
  <c r="E183" i="10"/>
  <c r="F183" i="10"/>
  <c r="G183" i="10"/>
  <c r="H183" i="10"/>
  <c r="I183" i="10"/>
  <c r="J183" i="10"/>
  <c r="K183" i="10"/>
  <c r="L183" i="10"/>
  <c r="M183" i="10"/>
  <c r="N183" i="10"/>
  <c r="O183" i="10"/>
  <c r="P183" i="10"/>
  <c r="E184" i="10"/>
  <c r="F184" i="10"/>
  <c r="G184" i="10"/>
  <c r="H184" i="10"/>
  <c r="I184" i="10"/>
  <c r="J184" i="10"/>
  <c r="K184" i="10"/>
  <c r="L184" i="10"/>
  <c r="M184" i="10"/>
  <c r="N184" i="10"/>
  <c r="O184" i="10"/>
  <c r="P184" i="10"/>
  <c r="E185" i="10"/>
  <c r="F185" i="10"/>
  <c r="G185" i="10"/>
  <c r="H185" i="10"/>
  <c r="I185" i="10"/>
  <c r="J185" i="10"/>
  <c r="K185" i="10"/>
  <c r="L185" i="10"/>
  <c r="M185" i="10"/>
  <c r="N185" i="10"/>
  <c r="O185" i="10"/>
  <c r="P185" i="10"/>
  <c r="E186" i="10"/>
  <c r="F186" i="10"/>
  <c r="G186" i="10"/>
  <c r="H186" i="10"/>
  <c r="I186" i="10"/>
  <c r="J186" i="10"/>
  <c r="K186" i="10"/>
  <c r="L186" i="10"/>
  <c r="M186" i="10"/>
  <c r="N186" i="10"/>
  <c r="O186" i="10"/>
  <c r="P186" i="10"/>
  <c r="E187" i="10"/>
  <c r="F187" i="10"/>
  <c r="G187" i="10"/>
  <c r="H187" i="10"/>
  <c r="I187" i="10"/>
  <c r="J187" i="10"/>
  <c r="K187" i="10"/>
  <c r="L187" i="10"/>
  <c r="M187" i="10"/>
  <c r="N187" i="10"/>
  <c r="O187" i="10"/>
  <c r="P187" i="10"/>
  <c r="E188" i="10"/>
  <c r="F188" i="10"/>
  <c r="G188" i="10"/>
  <c r="H188" i="10"/>
  <c r="I188" i="10"/>
  <c r="J188" i="10"/>
  <c r="K188" i="10"/>
  <c r="L188" i="10"/>
  <c r="M188" i="10"/>
  <c r="N188" i="10"/>
  <c r="O188" i="10"/>
  <c r="P188" i="10"/>
  <c r="E189" i="10"/>
  <c r="F189" i="10"/>
  <c r="G189" i="10"/>
  <c r="H189" i="10"/>
  <c r="I189" i="10"/>
  <c r="J189" i="10"/>
  <c r="K189" i="10"/>
  <c r="L189" i="10"/>
  <c r="M189" i="10"/>
  <c r="N189" i="10"/>
  <c r="O189" i="10"/>
  <c r="P189" i="10"/>
  <c r="E190" i="10"/>
  <c r="F190" i="10"/>
  <c r="G190" i="10"/>
  <c r="H190" i="10"/>
  <c r="I190" i="10"/>
  <c r="J190" i="10"/>
  <c r="K190" i="10"/>
  <c r="L190" i="10"/>
  <c r="M190" i="10"/>
  <c r="N190" i="10"/>
  <c r="O190" i="10"/>
  <c r="P190" i="10"/>
  <c r="E191" i="10"/>
  <c r="F191" i="10"/>
  <c r="G191" i="10"/>
  <c r="H191" i="10"/>
  <c r="I191" i="10"/>
  <c r="J191" i="10"/>
  <c r="K191" i="10"/>
  <c r="L191" i="10"/>
  <c r="M191" i="10"/>
  <c r="N191" i="10"/>
  <c r="O191" i="10"/>
  <c r="P191" i="10"/>
  <c r="E192" i="10"/>
  <c r="F192" i="10"/>
  <c r="G192" i="10"/>
  <c r="H192" i="10"/>
  <c r="I192" i="10"/>
  <c r="J192" i="10"/>
  <c r="K192" i="10"/>
  <c r="L192" i="10"/>
  <c r="M192" i="10"/>
  <c r="N192" i="10"/>
  <c r="O192" i="10"/>
  <c r="P192" i="10"/>
  <c r="E193" i="10"/>
  <c r="F193" i="10"/>
  <c r="G193" i="10"/>
  <c r="H193" i="10"/>
  <c r="I193" i="10"/>
  <c r="J193" i="10"/>
  <c r="K193" i="10"/>
  <c r="L193" i="10"/>
  <c r="M193" i="10"/>
  <c r="N193" i="10"/>
  <c r="O193" i="10"/>
  <c r="P193" i="10"/>
  <c r="E194" i="10"/>
  <c r="F194" i="10"/>
  <c r="G194" i="10"/>
  <c r="H194" i="10"/>
  <c r="I194" i="10"/>
  <c r="J194" i="10"/>
  <c r="K194" i="10"/>
  <c r="L194" i="10"/>
  <c r="M194" i="10"/>
  <c r="N194" i="10"/>
  <c r="O194" i="10"/>
  <c r="P194" i="10"/>
  <c r="E195" i="10"/>
  <c r="F195" i="10"/>
  <c r="G195" i="10"/>
  <c r="H195" i="10"/>
  <c r="I195" i="10"/>
  <c r="J195" i="10"/>
  <c r="K195" i="10"/>
  <c r="L195" i="10"/>
  <c r="M195" i="10"/>
  <c r="N195" i="10"/>
  <c r="O195" i="10"/>
  <c r="P195" i="10"/>
  <c r="E196" i="10"/>
  <c r="F196" i="10"/>
  <c r="G196" i="10"/>
  <c r="H196" i="10"/>
  <c r="I196" i="10"/>
  <c r="J196" i="10"/>
  <c r="K196" i="10"/>
  <c r="L196" i="10"/>
  <c r="M196" i="10"/>
  <c r="N196" i="10"/>
  <c r="O196" i="10"/>
  <c r="P196" i="10"/>
  <c r="P2" i="10"/>
  <c r="O2" i="10"/>
  <c r="N2" i="10"/>
  <c r="M2" i="10"/>
  <c r="L2" i="10"/>
  <c r="K2" i="10"/>
  <c r="J2" i="10"/>
  <c r="I2" i="10"/>
  <c r="H2" i="10"/>
  <c r="G2" i="10"/>
  <c r="F2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2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3" i="10"/>
  <c r="B2" i="10"/>
  <c r="M1" i="8"/>
  <c r="L1" i="8"/>
  <c r="N1" i="8" s="1"/>
  <c r="I1819" i="8"/>
  <c r="H1819" i="8"/>
  <c r="I1783" i="8"/>
  <c r="H1783" i="8"/>
  <c r="I1342" i="8"/>
  <c r="H1342" i="8"/>
  <c r="I1241" i="8"/>
  <c r="H1241" i="8"/>
  <c r="I1124" i="8"/>
  <c r="H1124" i="8"/>
  <c r="I963" i="8"/>
  <c r="H963" i="8"/>
  <c r="I812" i="8"/>
  <c r="H812" i="8"/>
  <c r="I781" i="8"/>
  <c r="H781" i="8"/>
  <c r="I614" i="8"/>
  <c r="H614" i="8"/>
  <c r="H279" i="8" l="1"/>
  <c r="K1654" i="8"/>
  <c r="M1654" i="8" s="1"/>
  <c r="I242" i="8"/>
  <c r="I1718" i="8"/>
  <c r="I1747" i="8"/>
  <c r="I241" i="8"/>
  <c r="H1963" i="8"/>
  <c r="I1963" i="8"/>
  <c r="H1698" i="8"/>
  <c r="I1698" i="8"/>
  <c r="H1883" i="8"/>
  <c r="I1883" i="8"/>
  <c r="H1908" i="8"/>
  <c r="I1908" i="8"/>
  <c r="H1636" i="8"/>
  <c r="I1636" i="8"/>
  <c r="H1641" i="8"/>
  <c r="I1641" i="8"/>
  <c r="H1658" i="8"/>
  <c r="I1658" i="8"/>
  <c r="H1663" i="8"/>
  <c r="I1663" i="8"/>
  <c r="H1407" i="8"/>
  <c r="I1407" i="8"/>
  <c r="H1441" i="8"/>
  <c r="I1441" i="8"/>
  <c r="H1481" i="8"/>
  <c r="I1481" i="8"/>
  <c r="H1513" i="8"/>
  <c r="I1513" i="8"/>
  <c r="H492" i="8"/>
  <c r="I492" i="8"/>
  <c r="H569" i="8"/>
  <c r="I569" i="8"/>
  <c r="H751" i="8"/>
  <c r="I751" i="8"/>
  <c r="H897" i="8"/>
  <c r="I897" i="8"/>
  <c r="H938" i="8"/>
  <c r="I938" i="8"/>
  <c r="H1168" i="8"/>
  <c r="I1168" i="8"/>
  <c r="I293" i="8"/>
  <c r="H293" i="8"/>
  <c r="H862" i="8"/>
  <c r="I862" i="8"/>
  <c r="H2250" i="8"/>
  <c r="I2250" i="8"/>
  <c r="H861" i="8"/>
  <c r="I861" i="8"/>
  <c r="H1969" i="8"/>
  <c r="I1969" i="8"/>
  <c r="H1588" i="8"/>
  <c r="I1588" i="8"/>
  <c r="H1602" i="8"/>
  <c r="I1602" i="8"/>
  <c r="H1618" i="8"/>
  <c r="I1618" i="8"/>
  <c r="H1654" i="8"/>
  <c r="I1654" i="8"/>
  <c r="H1737" i="8"/>
  <c r="I1737" i="8"/>
  <c r="H1752" i="8"/>
  <c r="I1752" i="8"/>
  <c r="H1814" i="8"/>
  <c r="I1814" i="8"/>
  <c r="H1953" i="8"/>
  <c r="I1953" i="8"/>
  <c r="H1400" i="8"/>
  <c r="I1400" i="8"/>
  <c r="H1423" i="8"/>
  <c r="I1423" i="8"/>
  <c r="H1424" i="8"/>
  <c r="I1424" i="8"/>
  <c r="H1437" i="8"/>
  <c r="I1437" i="8"/>
  <c r="H1445" i="8"/>
  <c r="I1445" i="8"/>
  <c r="H1495" i="8"/>
  <c r="I1495" i="8"/>
  <c r="H1500" i="8"/>
  <c r="I1500" i="8"/>
  <c r="H1522" i="8"/>
  <c r="I1522" i="8"/>
  <c r="H1565" i="8"/>
  <c r="I1565" i="8"/>
  <c r="H1569" i="8"/>
  <c r="I1569" i="8"/>
  <c r="H1210" i="8"/>
  <c r="I1210" i="8"/>
  <c r="H1226" i="8"/>
  <c r="I1226" i="8"/>
  <c r="H1259" i="8"/>
  <c r="I1259" i="8"/>
  <c r="H1266" i="8"/>
  <c r="I1266" i="8"/>
  <c r="H1273" i="8"/>
  <c r="I1273" i="8"/>
  <c r="H1300" i="8"/>
  <c r="I1300" i="8"/>
  <c r="H1316" i="8"/>
  <c r="I1316" i="8"/>
  <c r="H1322" i="8"/>
  <c r="I1322" i="8"/>
  <c r="H1350" i="8"/>
  <c r="I1350" i="8"/>
  <c r="H1358" i="8"/>
  <c r="I1358" i="8"/>
  <c r="H1384" i="8"/>
  <c r="I1384" i="8"/>
  <c r="H967" i="8"/>
  <c r="I967" i="8"/>
  <c r="H986" i="8"/>
  <c r="I986" i="8"/>
  <c r="H1035" i="8"/>
  <c r="I1035" i="8"/>
  <c r="H1042" i="8"/>
  <c r="I1042" i="8"/>
  <c r="H1157" i="8"/>
  <c r="I1157" i="8"/>
  <c r="H1188" i="8"/>
  <c r="I1188" i="8"/>
  <c r="H1203" i="8"/>
  <c r="I1203" i="8"/>
  <c r="H796" i="8"/>
  <c r="I796" i="8"/>
  <c r="H932" i="8"/>
  <c r="I932" i="8"/>
  <c r="H942" i="8"/>
  <c r="I942" i="8"/>
  <c r="H947" i="8"/>
  <c r="I947" i="8"/>
  <c r="H956" i="8"/>
  <c r="I956" i="8"/>
  <c r="H437" i="8"/>
  <c r="I437" i="8"/>
  <c r="H446" i="8"/>
  <c r="I446" i="8"/>
  <c r="K446" i="8" s="1"/>
  <c r="M446" i="8" s="1"/>
  <c r="H548" i="8"/>
  <c r="I548" i="8"/>
  <c r="H566" i="8"/>
  <c r="I566" i="8"/>
  <c r="H580" i="8"/>
  <c r="I580" i="8"/>
  <c r="H592" i="8"/>
  <c r="I592" i="8"/>
  <c r="H599" i="8"/>
  <c r="I599" i="8"/>
  <c r="H657" i="8"/>
  <c r="I657" i="8"/>
  <c r="H689" i="8"/>
  <c r="I689" i="8"/>
  <c r="H715" i="8"/>
  <c r="I715" i="8"/>
  <c r="H720" i="8"/>
  <c r="I720" i="8"/>
  <c r="H756" i="8"/>
  <c r="I756" i="8"/>
  <c r="H789" i="8"/>
  <c r="I789" i="8"/>
  <c r="H795" i="8"/>
  <c r="I795" i="8"/>
  <c r="H375" i="8"/>
  <c r="I375" i="8"/>
  <c r="H400" i="8"/>
  <c r="I400" i="8"/>
  <c r="H406" i="8"/>
  <c r="I406" i="8"/>
  <c r="I311" i="8"/>
  <c r="H311" i="8"/>
  <c r="H1821" i="8"/>
  <c r="I1821" i="8"/>
  <c r="H1826" i="8"/>
  <c r="I1826" i="8"/>
  <c r="H1834" i="8"/>
  <c r="I1834" i="8"/>
  <c r="H1848" i="8"/>
  <c r="I1848" i="8"/>
  <c r="H1914" i="8"/>
  <c r="I1914" i="8"/>
  <c r="H1918" i="8"/>
  <c r="I1918" i="8"/>
  <c r="H1924" i="8"/>
  <c r="I1924" i="8"/>
  <c r="H1929" i="8"/>
  <c r="I1929" i="8"/>
  <c r="H1937" i="8"/>
  <c r="I1937" i="8"/>
  <c r="H1941" i="8"/>
  <c r="I1941" i="8"/>
  <c r="H1946" i="8"/>
  <c r="I1946" i="8"/>
  <c r="H1959" i="8"/>
  <c r="I1959" i="8"/>
  <c r="H1979" i="8"/>
  <c r="I1979" i="8"/>
  <c r="H1731" i="8"/>
  <c r="I1731" i="8"/>
  <c r="H1743" i="8"/>
  <c r="I1743" i="8"/>
  <c r="H1771" i="8"/>
  <c r="I1771" i="8"/>
  <c r="H1775" i="8"/>
  <c r="I1775" i="8"/>
  <c r="H1791" i="8"/>
  <c r="I1791" i="8"/>
  <c r="H1796" i="8"/>
  <c r="I1796" i="8"/>
  <c r="H1804" i="8"/>
  <c r="I1804" i="8"/>
  <c r="H1810" i="8"/>
  <c r="I1810" i="8"/>
  <c r="H1614" i="8"/>
  <c r="J1614" i="8" s="1"/>
  <c r="L1614" i="8" s="1"/>
  <c r="N1614" i="8" s="1"/>
  <c r="I1614" i="8"/>
  <c r="H1673" i="8"/>
  <c r="I1673" i="8"/>
  <c r="H1683" i="8"/>
  <c r="I1683" i="8"/>
  <c r="H1693" i="8"/>
  <c r="I1693" i="8"/>
  <c r="H1703" i="8"/>
  <c r="I1703" i="8"/>
  <c r="H1706" i="8"/>
  <c r="I1706" i="8"/>
  <c r="H1719" i="8"/>
  <c r="I1719" i="8"/>
  <c r="H1726" i="8"/>
  <c r="I1726" i="8"/>
  <c r="H1543" i="8"/>
  <c r="I1543" i="8"/>
  <c r="H1551" i="8"/>
  <c r="I1551" i="8"/>
  <c r="H1231" i="8"/>
  <c r="J1231" i="8" s="1"/>
  <c r="L1231" i="8" s="1"/>
  <c r="N1231" i="8" s="1"/>
  <c r="I1231" i="8"/>
  <c r="H1246" i="8"/>
  <c r="I1246" i="8"/>
  <c r="H1280" i="8"/>
  <c r="I1280" i="8"/>
  <c r="H1329" i="8"/>
  <c r="I1329" i="8"/>
  <c r="H1332" i="8"/>
  <c r="I1332" i="8"/>
  <c r="H1364" i="8"/>
  <c r="I1364" i="8"/>
  <c r="H1368" i="8"/>
  <c r="I1368" i="8"/>
  <c r="H1382" i="8"/>
  <c r="I1382" i="8"/>
  <c r="H1394" i="8"/>
  <c r="I1394" i="8"/>
  <c r="H1433" i="8"/>
  <c r="I1433" i="8"/>
  <c r="H1449" i="8"/>
  <c r="I1449" i="8"/>
  <c r="H1474" i="8"/>
  <c r="I1474" i="8"/>
  <c r="H1491" i="8"/>
  <c r="I1491" i="8"/>
  <c r="H1075" i="8"/>
  <c r="I1075" i="8"/>
  <c r="H1089" i="8"/>
  <c r="J1089" i="8" s="1"/>
  <c r="L1089" i="8" s="1"/>
  <c r="N1089" i="8" s="1"/>
  <c r="I1089" i="8"/>
  <c r="H1094" i="8"/>
  <c r="I1094" i="8"/>
  <c r="H1097" i="8"/>
  <c r="I1097" i="8"/>
  <c r="H1110" i="8"/>
  <c r="I1110" i="8"/>
  <c r="H1114" i="8"/>
  <c r="I1114" i="8"/>
  <c r="H1130" i="8"/>
  <c r="I1130" i="8"/>
  <c r="H1135" i="8"/>
  <c r="I1135" i="8"/>
  <c r="H1144" i="8"/>
  <c r="I1144" i="8"/>
  <c r="H1164" i="8"/>
  <c r="I1164" i="8"/>
  <c r="H1180" i="8"/>
  <c r="I1180" i="8"/>
  <c r="H1195" i="8"/>
  <c r="I1195" i="8"/>
  <c r="H1222" i="8"/>
  <c r="I1222" i="8"/>
  <c r="H905" i="8"/>
  <c r="I905" i="8"/>
  <c r="H950" i="8"/>
  <c r="I950" i="8"/>
  <c r="H960" i="8"/>
  <c r="I960" i="8"/>
  <c r="H981" i="8"/>
  <c r="I981" i="8"/>
  <c r="H993" i="8"/>
  <c r="I993" i="8"/>
  <c r="H1007" i="8"/>
  <c r="I1007" i="8"/>
  <c r="H1022" i="8"/>
  <c r="I1022" i="8"/>
  <c r="H1031" i="8"/>
  <c r="I1031" i="8"/>
  <c r="H1054" i="8"/>
  <c r="I1054" i="8"/>
  <c r="H1058" i="8"/>
  <c r="I1058" i="8"/>
  <c r="H1064" i="8"/>
  <c r="I1064" i="8"/>
  <c r="H784" i="8"/>
  <c r="I784" i="8"/>
  <c r="H805" i="8"/>
  <c r="I805" i="8"/>
  <c r="H813" i="8"/>
  <c r="I813" i="8"/>
  <c r="H819" i="8"/>
  <c r="I819" i="8"/>
  <c r="H835" i="8"/>
  <c r="I835" i="8"/>
  <c r="H840" i="8"/>
  <c r="I840" i="8"/>
  <c r="H850" i="8"/>
  <c r="I850" i="8"/>
  <c r="H864" i="8"/>
  <c r="I864" i="8"/>
  <c r="H867" i="8"/>
  <c r="I867" i="8"/>
  <c r="H884" i="8"/>
  <c r="I884" i="8"/>
  <c r="H889" i="8"/>
  <c r="I889" i="8"/>
  <c r="H902" i="8"/>
  <c r="I902" i="8"/>
  <c r="H297" i="8"/>
  <c r="I297" i="8"/>
  <c r="H306" i="8"/>
  <c r="I306" i="8"/>
  <c r="H553" i="8"/>
  <c r="I553" i="8"/>
  <c r="H559" i="8"/>
  <c r="I559" i="8"/>
  <c r="H627" i="8"/>
  <c r="I627" i="8"/>
  <c r="H646" i="8"/>
  <c r="I646" i="8"/>
  <c r="H651" i="8"/>
  <c r="I651" i="8"/>
  <c r="H661" i="8"/>
  <c r="I661" i="8"/>
  <c r="H673" i="8"/>
  <c r="I673" i="8"/>
  <c r="H706" i="8"/>
  <c r="I706" i="8"/>
  <c r="H745" i="8"/>
  <c r="I745" i="8"/>
  <c r="H761" i="8"/>
  <c r="I761" i="8"/>
  <c r="H775" i="8"/>
  <c r="I775" i="8"/>
  <c r="I288" i="8"/>
  <c r="H288" i="8"/>
  <c r="H917" i="8"/>
  <c r="I917" i="8"/>
  <c r="H918" i="8"/>
  <c r="I918" i="8"/>
  <c r="I916" i="8"/>
  <c r="H916" i="8"/>
  <c r="H1830" i="8"/>
  <c r="I1830" i="8"/>
  <c r="H1548" i="8"/>
  <c r="I1548" i="8"/>
  <c r="H1592" i="8"/>
  <c r="I1592" i="8"/>
  <c r="H1652" i="8"/>
  <c r="I1652" i="8"/>
  <c r="H1690" i="8"/>
  <c r="I1690" i="8"/>
  <c r="H1794" i="8"/>
  <c r="I1794" i="8"/>
  <c r="H1012" i="8"/>
  <c r="I1012" i="8"/>
  <c r="H1013" i="8"/>
  <c r="I1013" i="8"/>
  <c r="H1084" i="8"/>
  <c r="I1084" i="8"/>
  <c r="H1237" i="8"/>
  <c r="I1237" i="8"/>
  <c r="H1238" i="8"/>
  <c r="I1238" i="8"/>
  <c r="H1262" i="8"/>
  <c r="I1262" i="8"/>
  <c r="H1279" i="8"/>
  <c r="I1279" i="8"/>
  <c r="H1286" i="8"/>
  <c r="I1286" i="8"/>
  <c r="H1361" i="8"/>
  <c r="I1361" i="8"/>
  <c r="H1410" i="8"/>
  <c r="I1410" i="8"/>
  <c r="H1422" i="8"/>
  <c r="I1422" i="8"/>
  <c r="H410" i="8"/>
  <c r="I410" i="8"/>
  <c r="H585" i="8"/>
  <c r="I585" i="8"/>
  <c r="H650" i="8"/>
  <c r="I650" i="8"/>
  <c r="H677" i="8"/>
  <c r="I677" i="8"/>
  <c r="H742" i="8"/>
  <c r="I742" i="8"/>
  <c r="H743" i="8"/>
  <c r="I743" i="8"/>
  <c r="H778" i="8"/>
  <c r="I778" i="8"/>
  <c r="H865" i="8"/>
  <c r="I865" i="8"/>
  <c r="H976" i="8"/>
  <c r="I976" i="8"/>
  <c r="I283" i="8"/>
  <c r="H1964" i="8"/>
  <c r="I1964" i="8"/>
  <c r="H1965" i="8"/>
  <c r="I1965" i="8"/>
  <c r="K1965" i="8" s="1"/>
  <c r="M1965" i="8" s="1"/>
  <c r="H283" i="8"/>
  <c r="H1844" i="8"/>
  <c r="I1844" i="8"/>
  <c r="H1868" i="8"/>
  <c r="I1868" i="8"/>
  <c r="H1869" i="8"/>
  <c r="I1869" i="8"/>
  <c r="H1882" i="8"/>
  <c r="I1882" i="8"/>
  <c r="H1884" i="8"/>
  <c r="I1884" i="8"/>
  <c r="H1885" i="8"/>
  <c r="I1885" i="8"/>
  <c r="H269" i="8"/>
  <c r="I269" i="8"/>
  <c r="H270" i="8"/>
  <c r="I270" i="8"/>
  <c r="H1909" i="8"/>
  <c r="I1909" i="8"/>
  <c r="H1910" i="8"/>
  <c r="I1910" i="8"/>
  <c r="H1962" i="8"/>
  <c r="I1962" i="8"/>
  <c r="H2054" i="8"/>
  <c r="I2054" i="8"/>
  <c r="H2055" i="8"/>
  <c r="I2055" i="8"/>
  <c r="H2129" i="8"/>
  <c r="I2129" i="8"/>
  <c r="H2130" i="8"/>
  <c r="I2130" i="8"/>
  <c r="H2298" i="8"/>
  <c r="I2298" i="8"/>
  <c r="H1801" i="8"/>
  <c r="I1801" i="8"/>
  <c r="H81" i="8"/>
  <c r="I81" i="8"/>
  <c r="H82" i="8"/>
  <c r="I82" i="8"/>
  <c r="H1699" i="8"/>
  <c r="I1699" i="8"/>
  <c r="H1700" i="8"/>
  <c r="I1700" i="8"/>
  <c r="H1701" i="8"/>
  <c r="I1701" i="8"/>
  <c r="H1711" i="8"/>
  <c r="I1711" i="8"/>
  <c r="H1712" i="8"/>
  <c r="I1712" i="8"/>
  <c r="H1725" i="8"/>
  <c r="I1725" i="8"/>
  <c r="H1750" i="8"/>
  <c r="I1750" i="8"/>
  <c r="H1751" i="8"/>
  <c r="I1751" i="8"/>
  <c r="H1761" i="8"/>
  <c r="I1761" i="8"/>
  <c r="H2053" i="8"/>
  <c r="I2053" i="8"/>
  <c r="H1638" i="8"/>
  <c r="I1638" i="8"/>
  <c r="H1640" i="8"/>
  <c r="I1640" i="8"/>
  <c r="H1642" i="8"/>
  <c r="I1642" i="8"/>
  <c r="H1643" i="8"/>
  <c r="I1643" i="8"/>
  <c r="H1657" i="8"/>
  <c r="I1657" i="8"/>
  <c r="H1659" i="8"/>
  <c r="I1659" i="8"/>
  <c r="H1660" i="8"/>
  <c r="I1660" i="8"/>
  <c r="H1662" i="8"/>
  <c r="I1662" i="8"/>
  <c r="H1664" i="8"/>
  <c r="I1664" i="8"/>
  <c r="H1665" i="8"/>
  <c r="I1665" i="8"/>
  <c r="H1679" i="8"/>
  <c r="I1679" i="8"/>
  <c r="H1680" i="8"/>
  <c r="I1680" i="8"/>
  <c r="H1696" i="8"/>
  <c r="I1696" i="8"/>
  <c r="H80" i="8"/>
  <c r="I80" i="8"/>
  <c r="H2118" i="8"/>
  <c r="I2118" i="8"/>
  <c r="H1594" i="8"/>
  <c r="I1594" i="8"/>
  <c r="H1595" i="8"/>
  <c r="I1595" i="8"/>
  <c r="H1599" i="8"/>
  <c r="I1599" i="8"/>
  <c r="H2287" i="8"/>
  <c r="I2287" i="8"/>
  <c r="H1605" i="8"/>
  <c r="I1605" i="8"/>
  <c r="H1606" i="8"/>
  <c r="I1606" i="8"/>
  <c r="H1612" i="8"/>
  <c r="I1612" i="8"/>
  <c r="H1621" i="8"/>
  <c r="I1621" i="8"/>
  <c r="H1622" i="8"/>
  <c r="I1622" i="8"/>
  <c r="H1635" i="8"/>
  <c r="I1635" i="8"/>
  <c r="H1637" i="8"/>
  <c r="I1637" i="8"/>
  <c r="H2283" i="8"/>
  <c r="I2283" i="8"/>
  <c r="H1573" i="8"/>
  <c r="I1573" i="8"/>
  <c r="H1578" i="8"/>
  <c r="I1578" i="8"/>
  <c r="H1580" i="8"/>
  <c r="I1580" i="8"/>
  <c r="H2286" i="8"/>
  <c r="I2286" i="8"/>
  <c r="H2117" i="8"/>
  <c r="I2117" i="8"/>
  <c r="H1514" i="8"/>
  <c r="I1514" i="8"/>
  <c r="H1515" i="8"/>
  <c r="I1515" i="8"/>
  <c r="H1519" i="8"/>
  <c r="I1519" i="8"/>
  <c r="H1526" i="8"/>
  <c r="I1526" i="8"/>
  <c r="H1529" i="8"/>
  <c r="I1529" i="8"/>
  <c r="H1530" i="8"/>
  <c r="I1530" i="8"/>
  <c r="H1531" i="8"/>
  <c r="I1531" i="8"/>
  <c r="H1538" i="8"/>
  <c r="I1538" i="8"/>
  <c r="H1547" i="8"/>
  <c r="I1547" i="8"/>
  <c r="H2280" i="8"/>
  <c r="I2280" i="8"/>
  <c r="H1549" i="8"/>
  <c r="I1549" i="8"/>
  <c r="H1560" i="8"/>
  <c r="I1560" i="8"/>
  <c r="H78" i="8"/>
  <c r="I78" i="8"/>
  <c r="H79" i="8"/>
  <c r="I79" i="8"/>
  <c r="H1482" i="8"/>
  <c r="I1482" i="8"/>
  <c r="H1483" i="8"/>
  <c r="I1483" i="8"/>
  <c r="H1499" i="8"/>
  <c r="I1499" i="8"/>
  <c r="H1511" i="8"/>
  <c r="I1511" i="8"/>
  <c r="H225" i="8"/>
  <c r="I225" i="8"/>
  <c r="H226" i="8"/>
  <c r="I226" i="8"/>
  <c r="H1430" i="8"/>
  <c r="I1430" i="8"/>
  <c r="H1440" i="8"/>
  <c r="I1440" i="8"/>
  <c r="H1442" i="8"/>
  <c r="I1442" i="8"/>
  <c r="H1443" i="8"/>
  <c r="I1443" i="8"/>
  <c r="J1443" i="8" s="1"/>
  <c r="L1443" i="8" s="1"/>
  <c r="N1443" i="8" s="1"/>
  <c r="H1457" i="8"/>
  <c r="I1457" i="8"/>
  <c r="H1462" i="8"/>
  <c r="I1462" i="8"/>
  <c r="H1480" i="8"/>
  <c r="I1480" i="8"/>
  <c r="H77" i="8"/>
  <c r="I77" i="8"/>
  <c r="H1377" i="8"/>
  <c r="I1377" i="8"/>
  <c r="H1397" i="8"/>
  <c r="I1397" i="8"/>
  <c r="H1406" i="8"/>
  <c r="I1406" i="8"/>
  <c r="H1408" i="8"/>
  <c r="I1408" i="8"/>
  <c r="H1409" i="8"/>
  <c r="I1409" i="8"/>
  <c r="H1419" i="8"/>
  <c r="I1419" i="8"/>
  <c r="H1420" i="8"/>
  <c r="I1420" i="8"/>
  <c r="H1297" i="8"/>
  <c r="I1297" i="8"/>
  <c r="H1305" i="8"/>
  <c r="I1305" i="8"/>
  <c r="H1313" i="8"/>
  <c r="I1313" i="8"/>
  <c r="H1326" i="8"/>
  <c r="I1326" i="8"/>
  <c r="H1335" i="8"/>
  <c r="I1335" i="8"/>
  <c r="H1336" i="8"/>
  <c r="I1336" i="8"/>
  <c r="H1337" i="8"/>
  <c r="I1337" i="8"/>
  <c r="H1338" i="8"/>
  <c r="I1338" i="8"/>
  <c r="H1339" i="8"/>
  <c r="I1339" i="8"/>
  <c r="H1346" i="8"/>
  <c r="I1346" i="8"/>
  <c r="H1217" i="8"/>
  <c r="I1217" i="8"/>
  <c r="H1232" i="8"/>
  <c r="J1232" i="8" s="1"/>
  <c r="L1232" i="8" s="1"/>
  <c r="N1232" i="8" s="1"/>
  <c r="I1232" i="8"/>
  <c r="H1239" i="8"/>
  <c r="I1239" i="8"/>
  <c r="H1250" i="8"/>
  <c r="I1250" i="8"/>
  <c r="H1254" i="8"/>
  <c r="I1254" i="8"/>
  <c r="H1263" i="8"/>
  <c r="I1263" i="8"/>
  <c r="H1265" i="8"/>
  <c r="I1265" i="8"/>
  <c r="H1289" i="8"/>
  <c r="I1289" i="8"/>
  <c r="H1290" i="8"/>
  <c r="I1290" i="8"/>
  <c r="H1293" i="8"/>
  <c r="I1293" i="8"/>
  <c r="H1052" i="8"/>
  <c r="I1052" i="8"/>
  <c r="H1062" i="8"/>
  <c r="I1062" i="8"/>
  <c r="H1067" i="8"/>
  <c r="I1067" i="8"/>
  <c r="H1068" i="8"/>
  <c r="I1068" i="8"/>
  <c r="H2259" i="8"/>
  <c r="I2259" i="8"/>
  <c r="H1121" i="8"/>
  <c r="I1121" i="8"/>
  <c r="H1122" i="8"/>
  <c r="I1122" i="8"/>
  <c r="H1160" i="8"/>
  <c r="I1160" i="8"/>
  <c r="H1163" i="8"/>
  <c r="I1163" i="8"/>
  <c r="H181" i="8"/>
  <c r="I181" i="8"/>
  <c r="H182" i="8"/>
  <c r="I182" i="8"/>
  <c r="H1169" i="8"/>
  <c r="I1169" i="8"/>
  <c r="H1170" i="8"/>
  <c r="I1170" i="8"/>
  <c r="H1171" i="8"/>
  <c r="I1171" i="8"/>
  <c r="H1198" i="8"/>
  <c r="I1198" i="8"/>
  <c r="H1040" i="8"/>
  <c r="I1040" i="8"/>
  <c r="H989" i="8"/>
  <c r="I989" i="8"/>
  <c r="H2256" i="8"/>
  <c r="I2256" i="8"/>
  <c r="H1011" i="8"/>
  <c r="I1011" i="8"/>
  <c r="H1027" i="8"/>
  <c r="I1027" i="8"/>
  <c r="H896" i="8"/>
  <c r="I896" i="8"/>
  <c r="H898" i="8"/>
  <c r="I898" i="8"/>
  <c r="H899" i="8"/>
  <c r="I899" i="8"/>
  <c r="H915" i="8"/>
  <c r="I915" i="8"/>
  <c r="H937" i="8"/>
  <c r="I937" i="8"/>
  <c r="H939" i="8"/>
  <c r="I939" i="8"/>
  <c r="H940" i="8"/>
  <c r="I940" i="8"/>
  <c r="H882" i="8"/>
  <c r="I882" i="8"/>
  <c r="H2100" i="8"/>
  <c r="I2100" i="8"/>
  <c r="H752" i="8"/>
  <c r="I752" i="8"/>
  <c r="H753" i="8"/>
  <c r="I753" i="8"/>
  <c r="H780" i="8"/>
  <c r="I780" i="8"/>
  <c r="H827" i="8"/>
  <c r="I827" i="8"/>
  <c r="H832" i="8"/>
  <c r="I832" i="8"/>
  <c r="H641" i="8"/>
  <c r="I641" i="8"/>
  <c r="H642" i="8"/>
  <c r="I642" i="8"/>
  <c r="H643" i="8"/>
  <c r="I643" i="8"/>
  <c r="H644" i="8"/>
  <c r="I644" i="8"/>
  <c r="H141" i="8"/>
  <c r="I141" i="8"/>
  <c r="H142" i="8"/>
  <c r="I142" i="8"/>
  <c r="H654" i="8"/>
  <c r="I654" i="8"/>
  <c r="H667" i="8"/>
  <c r="I667" i="8"/>
  <c r="H685" i="8"/>
  <c r="I685" i="8"/>
  <c r="H694" i="8"/>
  <c r="I694" i="8"/>
  <c r="H726" i="8"/>
  <c r="I726" i="8"/>
  <c r="H737" i="8"/>
  <c r="I737" i="8"/>
  <c r="H2099" i="8"/>
  <c r="I2099" i="8"/>
  <c r="H607" i="8"/>
  <c r="I607" i="8"/>
  <c r="H608" i="8"/>
  <c r="I608" i="8"/>
  <c r="H610" i="8"/>
  <c r="I610" i="8"/>
  <c r="H618" i="8"/>
  <c r="I618" i="8"/>
  <c r="H619" i="8"/>
  <c r="I619" i="8"/>
  <c r="H2091" i="8"/>
  <c r="I2091" i="8"/>
  <c r="H2092" i="8"/>
  <c r="I2092" i="8"/>
  <c r="H620" i="8"/>
  <c r="I620" i="8"/>
  <c r="H621" i="8"/>
  <c r="I621" i="8"/>
  <c r="H634" i="8"/>
  <c r="I634" i="8"/>
  <c r="H638" i="8"/>
  <c r="I638" i="8"/>
  <c r="H640" i="8"/>
  <c r="I640" i="8"/>
  <c r="H2089" i="8"/>
  <c r="I2089" i="8"/>
  <c r="H2090" i="8"/>
  <c r="I2090" i="8"/>
  <c r="H570" i="8"/>
  <c r="I570" i="8"/>
  <c r="H571" i="8"/>
  <c r="I571" i="8"/>
  <c r="H564" i="8"/>
  <c r="I564" i="8"/>
  <c r="H504" i="8"/>
  <c r="I504" i="8"/>
  <c r="H516" i="8"/>
  <c r="I516" i="8"/>
  <c r="H519" i="8"/>
  <c r="I519" i="8"/>
  <c r="H521" i="8"/>
  <c r="I521" i="8"/>
  <c r="H2207" i="8"/>
  <c r="I2207" i="8"/>
  <c r="H2211" i="8"/>
  <c r="I2211" i="8"/>
  <c r="H2214" i="8"/>
  <c r="I2214" i="8"/>
  <c r="H2215" i="8"/>
  <c r="I2215" i="8"/>
  <c r="H2216" i="8"/>
  <c r="I2216" i="8"/>
  <c r="H528" i="8"/>
  <c r="I528" i="8"/>
  <c r="H532" i="8"/>
  <c r="I532" i="8"/>
  <c r="H2228" i="8"/>
  <c r="I2228" i="8"/>
  <c r="H2229" i="8"/>
  <c r="I2229" i="8"/>
  <c r="H493" i="8"/>
  <c r="I493" i="8"/>
  <c r="H494" i="8"/>
  <c r="I494" i="8"/>
  <c r="H2185" i="8"/>
  <c r="I2185" i="8"/>
  <c r="H463" i="8"/>
  <c r="I463" i="8"/>
  <c r="H464" i="8"/>
  <c r="I464" i="8"/>
  <c r="H2162" i="8"/>
  <c r="I2162" i="8"/>
  <c r="H2165" i="8"/>
  <c r="I2165" i="8"/>
  <c r="H469" i="8"/>
  <c r="I469" i="8"/>
  <c r="H2173" i="8"/>
  <c r="I2173" i="8"/>
  <c r="H489" i="8"/>
  <c r="I489" i="8"/>
  <c r="H2183" i="8"/>
  <c r="I2183" i="8"/>
  <c r="H491" i="8"/>
  <c r="I491" i="8"/>
  <c r="I2149" i="8"/>
  <c r="H2149" i="8"/>
  <c r="H434" i="8"/>
  <c r="I434" i="8"/>
  <c r="H442" i="8"/>
  <c r="I442" i="8"/>
  <c r="H449" i="8"/>
  <c r="I449" i="8"/>
  <c r="H453" i="8"/>
  <c r="I453" i="8"/>
  <c r="H403" i="8"/>
  <c r="I403" i="8"/>
  <c r="H409" i="8"/>
  <c r="I409" i="8"/>
  <c r="H413" i="8"/>
  <c r="I413" i="8"/>
  <c r="H414" i="8"/>
  <c r="I414" i="8"/>
  <c r="H422" i="8"/>
  <c r="I422" i="8"/>
  <c r="H284" i="8"/>
  <c r="I284" i="8"/>
  <c r="H292" i="8"/>
  <c r="I292" i="8"/>
  <c r="H294" i="8"/>
  <c r="I294" i="8"/>
  <c r="H295" i="8"/>
  <c r="I295" i="8"/>
  <c r="H305" i="8"/>
  <c r="I305" i="8"/>
  <c r="H324" i="8"/>
  <c r="I324" i="8"/>
  <c r="H331" i="8"/>
  <c r="I331" i="8"/>
  <c r="H349" i="8"/>
  <c r="I349" i="8"/>
  <c r="H355" i="8"/>
  <c r="I355" i="8"/>
  <c r="H367" i="8"/>
  <c r="I367" i="8"/>
  <c r="I2136" i="8"/>
  <c r="H278" i="8"/>
  <c r="I278" i="8"/>
  <c r="H1970" i="8"/>
  <c r="I1970" i="8"/>
  <c r="H1971" i="8"/>
  <c r="I1971" i="8"/>
  <c r="H1972" i="8"/>
  <c r="I1972" i="8"/>
  <c r="H1974" i="8"/>
  <c r="I1974" i="8"/>
  <c r="H1982" i="8"/>
  <c r="I1982" i="8"/>
  <c r="H2136" i="8"/>
  <c r="H1899" i="8"/>
  <c r="I1899" i="8"/>
  <c r="H1911" i="8"/>
  <c r="I1911" i="8"/>
  <c r="H1944" i="8"/>
  <c r="I1944" i="8"/>
  <c r="H1952" i="8"/>
  <c r="I1952" i="8"/>
  <c r="H1954" i="8"/>
  <c r="I1954" i="8"/>
  <c r="H1955" i="8"/>
  <c r="I1955" i="8"/>
  <c r="H1966" i="8"/>
  <c r="I1966" i="8"/>
  <c r="H1968" i="8"/>
  <c r="I1968" i="8"/>
  <c r="H277" i="8"/>
  <c r="I277" i="8"/>
  <c r="I1897" i="8"/>
  <c r="H1897" i="8"/>
  <c r="H1856" i="8"/>
  <c r="I1856" i="8"/>
  <c r="H1860" i="8"/>
  <c r="I1860" i="8"/>
  <c r="H1876" i="8"/>
  <c r="I1876" i="8"/>
  <c r="H1887" i="8"/>
  <c r="I1887" i="8"/>
  <c r="H1891" i="8"/>
  <c r="I1891" i="8"/>
  <c r="I1853" i="8"/>
  <c r="H1853" i="8"/>
  <c r="H1839" i="8"/>
  <c r="I1839" i="8"/>
  <c r="H1841" i="8"/>
  <c r="I1841" i="8"/>
  <c r="H1851" i="8"/>
  <c r="I1851" i="8"/>
  <c r="H2056" i="8"/>
  <c r="I2056" i="8"/>
  <c r="H2057" i="8"/>
  <c r="I2057" i="8"/>
  <c r="H2058" i="8"/>
  <c r="I2058" i="8"/>
  <c r="H1815" i="8"/>
  <c r="I1815" i="8"/>
  <c r="H1816" i="8"/>
  <c r="I1816" i="8"/>
  <c r="H1831" i="8"/>
  <c r="I1831" i="8"/>
  <c r="H1757" i="8"/>
  <c r="I1757" i="8"/>
  <c r="H1758" i="8"/>
  <c r="I1758" i="8"/>
  <c r="H1759" i="8"/>
  <c r="I1759" i="8"/>
  <c r="H1763" i="8"/>
  <c r="I1763" i="8"/>
  <c r="H1764" i="8"/>
  <c r="I1764" i="8"/>
  <c r="H1766" i="8"/>
  <c r="I1766" i="8"/>
  <c r="H1767" i="8"/>
  <c r="I1767" i="8"/>
  <c r="H1769" i="8"/>
  <c r="I1769" i="8"/>
  <c r="H1785" i="8"/>
  <c r="I1785" i="8"/>
  <c r="H1786" i="8"/>
  <c r="I1786" i="8"/>
  <c r="H1799" i="8"/>
  <c r="I1799" i="8"/>
  <c r="H1800" i="8"/>
  <c r="I1800" i="8"/>
  <c r="H1738" i="8"/>
  <c r="I1738" i="8"/>
  <c r="H251" i="8"/>
  <c r="I251" i="8"/>
  <c r="H252" i="8"/>
  <c r="I252" i="8"/>
  <c r="H1739" i="8"/>
  <c r="I1739" i="8"/>
  <c r="H1740" i="8"/>
  <c r="I1740" i="8"/>
  <c r="H253" i="8"/>
  <c r="I253" i="8"/>
  <c r="H254" i="8"/>
  <c r="I254" i="8"/>
  <c r="H1741" i="8"/>
  <c r="I1741" i="8"/>
  <c r="H1746" i="8"/>
  <c r="I1746" i="8"/>
  <c r="H255" i="8"/>
  <c r="I255" i="8"/>
  <c r="H256" i="8"/>
  <c r="I256" i="8"/>
  <c r="H1753" i="8"/>
  <c r="I1753" i="8"/>
  <c r="H1754" i="8"/>
  <c r="I1754" i="8"/>
  <c r="H2121" i="8"/>
  <c r="I2121" i="8"/>
  <c r="H2122" i="8"/>
  <c r="I2122" i="8"/>
  <c r="H1676" i="8"/>
  <c r="I1676" i="8"/>
  <c r="H1677" i="8"/>
  <c r="I1677" i="8"/>
  <c r="H1681" i="8"/>
  <c r="I1681" i="8"/>
  <c r="H1691" i="8"/>
  <c r="I1691" i="8"/>
  <c r="H1697" i="8"/>
  <c r="I1697" i="8"/>
  <c r="H2290" i="8"/>
  <c r="I2290" i="8"/>
  <c r="H1715" i="8"/>
  <c r="I1715" i="8"/>
  <c r="H1724" i="8"/>
  <c r="I1724" i="8"/>
  <c r="H1729" i="8"/>
  <c r="I1729" i="8"/>
  <c r="H1730" i="8"/>
  <c r="I1730" i="8"/>
  <c r="H83" i="8"/>
  <c r="I83" i="8"/>
  <c r="H84" i="8"/>
  <c r="I84" i="8"/>
  <c r="H85" i="8"/>
  <c r="I85" i="8"/>
  <c r="H1608" i="8"/>
  <c r="I1608" i="8"/>
  <c r="H1617" i="8"/>
  <c r="I1617" i="8"/>
  <c r="H1619" i="8"/>
  <c r="I1619" i="8"/>
  <c r="H1620" i="8"/>
  <c r="I1620" i="8"/>
  <c r="H2289" i="8"/>
  <c r="I2289" i="8"/>
  <c r="H235" i="8"/>
  <c r="I235" i="8"/>
  <c r="H236" i="8"/>
  <c r="I236" i="8"/>
  <c r="H1623" i="8"/>
  <c r="I1623" i="8"/>
  <c r="H1625" i="8"/>
  <c r="I1625" i="8"/>
  <c r="H1628" i="8"/>
  <c r="I1628" i="8"/>
  <c r="H1629" i="8"/>
  <c r="I1629" i="8"/>
  <c r="H1634" i="8"/>
  <c r="I1634" i="8"/>
  <c r="H1646" i="8"/>
  <c r="I1646" i="8"/>
  <c r="H1647" i="8"/>
  <c r="I1647" i="8"/>
  <c r="H1649" i="8"/>
  <c r="I1649" i="8"/>
  <c r="H1651" i="8"/>
  <c r="I1651" i="8"/>
  <c r="H1653" i="8"/>
  <c r="I1653" i="8"/>
  <c r="H1655" i="8"/>
  <c r="I1655" i="8"/>
  <c r="H1656" i="8"/>
  <c r="I1656" i="8"/>
  <c r="H1666" i="8"/>
  <c r="I1666" i="8"/>
  <c r="H1671" i="8"/>
  <c r="I1671" i="8"/>
  <c r="H230" i="8"/>
  <c r="I230" i="8"/>
  <c r="H1566" i="8"/>
  <c r="I1566" i="8"/>
  <c r="H1567" i="8"/>
  <c r="I1567" i="8"/>
  <c r="H1568" i="8"/>
  <c r="I1568" i="8"/>
  <c r="H231" i="8"/>
  <c r="I231" i="8"/>
  <c r="H232" i="8"/>
  <c r="I232" i="8"/>
  <c r="H1570" i="8"/>
  <c r="I1570" i="8"/>
  <c r="H1571" i="8"/>
  <c r="I1571" i="8"/>
  <c r="H1572" i="8"/>
  <c r="I1572" i="8"/>
  <c r="H1576" i="8"/>
  <c r="I1576" i="8"/>
  <c r="H1577" i="8"/>
  <c r="I1577" i="8"/>
  <c r="H1584" i="8"/>
  <c r="I1584" i="8"/>
  <c r="H1586" i="8"/>
  <c r="I1586" i="8"/>
  <c r="H1587" i="8"/>
  <c r="I1587" i="8"/>
  <c r="H1589" i="8"/>
  <c r="I1589" i="8"/>
  <c r="H1590" i="8"/>
  <c r="I1590" i="8"/>
  <c r="H1593" i="8"/>
  <c r="I1593" i="8"/>
  <c r="H1596" i="8"/>
  <c r="I1596" i="8"/>
  <c r="H1601" i="8"/>
  <c r="I1601" i="8"/>
  <c r="H1603" i="8"/>
  <c r="I1603" i="8"/>
  <c r="H1604" i="8"/>
  <c r="I1604" i="8"/>
  <c r="H1607" i="8"/>
  <c r="I1607" i="8"/>
  <c r="H1503" i="8"/>
  <c r="I1503" i="8"/>
  <c r="H2275" i="8"/>
  <c r="I2275" i="8"/>
  <c r="H1520" i="8"/>
  <c r="I1520" i="8"/>
  <c r="H1521" i="8"/>
  <c r="I1521" i="8"/>
  <c r="H1523" i="8"/>
  <c r="I1523" i="8"/>
  <c r="H1524" i="8"/>
  <c r="I1524" i="8"/>
  <c r="H1527" i="8"/>
  <c r="I1527" i="8"/>
  <c r="H1528" i="8"/>
  <c r="I1528" i="8"/>
  <c r="H1532" i="8"/>
  <c r="I1532" i="8"/>
  <c r="H1550" i="8"/>
  <c r="I1550" i="8"/>
  <c r="H1555" i="8"/>
  <c r="I1555" i="8"/>
  <c r="H1559" i="8"/>
  <c r="I1559" i="8"/>
  <c r="H1561" i="8"/>
  <c r="I1561" i="8"/>
  <c r="H1564" i="8"/>
  <c r="I1564" i="8"/>
  <c r="H2284" i="8"/>
  <c r="I2284" i="8"/>
  <c r="H229" i="8"/>
  <c r="I229" i="8"/>
  <c r="H1459" i="8"/>
  <c r="I1459" i="8"/>
  <c r="H1479" i="8"/>
  <c r="I1479" i="8"/>
  <c r="H1484" i="8"/>
  <c r="I1484" i="8"/>
  <c r="H1494" i="8"/>
  <c r="I1494" i="8"/>
  <c r="H1496" i="8"/>
  <c r="I1496" i="8"/>
  <c r="H1497" i="8"/>
  <c r="I1497" i="8"/>
  <c r="H1498" i="8"/>
  <c r="I1498" i="8"/>
  <c r="H223" i="8"/>
  <c r="I223" i="8"/>
  <c r="H224" i="8"/>
  <c r="I224" i="8"/>
  <c r="H1501" i="8"/>
  <c r="I1501" i="8"/>
  <c r="H1502" i="8"/>
  <c r="I1502" i="8"/>
  <c r="H216" i="8"/>
  <c r="I216" i="8"/>
  <c r="H1438" i="8"/>
  <c r="I1438" i="8"/>
  <c r="H1439" i="8"/>
  <c r="I1439" i="8"/>
  <c r="H217" i="8"/>
  <c r="I217" i="8"/>
  <c r="H218" i="8"/>
  <c r="I218" i="8"/>
  <c r="H1446" i="8"/>
  <c r="I1446" i="8"/>
  <c r="H1447" i="8"/>
  <c r="I1447" i="8"/>
  <c r="H1455" i="8"/>
  <c r="I1455" i="8"/>
  <c r="H1458" i="8"/>
  <c r="I1458" i="8"/>
  <c r="H215" i="8"/>
  <c r="I215" i="8"/>
  <c r="H214" i="8"/>
  <c r="I214" i="8"/>
  <c r="H1429" i="8"/>
  <c r="I1429" i="8"/>
  <c r="H1402" i="8"/>
  <c r="I1402" i="8"/>
  <c r="H1403" i="8"/>
  <c r="I1403" i="8"/>
  <c r="H1404" i="8"/>
  <c r="I1404" i="8"/>
  <c r="H1405" i="8"/>
  <c r="I1405" i="8"/>
  <c r="H1411" i="8"/>
  <c r="I1411" i="8"/>
  <c r="H1412" i="8"/>
  <c r="I1412" i="8"/>
  <c r="H1417" i="8"/>
  <c r="I1417" i="8"/>
  <c r="H1418" i="8"/>
  <c r="I1418" i="8"/>
  <c r="H209" i="8"/>
  <c r="I209" i="8"/>
  <c r="H210" i="8"/>
  <c r="I210" i="8"/>
  <c r="H1421" i="8"/>
  <c r="I1421" i="8"/>
  <c r="H74" i="8"/>
  <c r="I74" i="8"/>
  <c r="H75" i="8"/>
  <c r="I75" i="8"/>
  <c r="H76" i="8"/>
  <c r="I76" i="8"/>
  <c r="H1425" i="8"/>
  <c r="I1425" i="8"/>
  <c r="H1426" i="8"/>
  <c r="I1426" i="8"/>
  <c r="H1427" i="8"/>
  <c r="I1427" i="8"/>
  <c r="H211" i="8"/>
  <c r="I211" i="8"/>
  <c r="H212" i="8"/>
  <c r="I212" i="8"/>
  <c r="H1428" i="8"/>
  <c r="I1428" i="8"/>
  <c r="H213" i="8"/>
  <c r="I213" i="8"/>
  <c r="H1360" i="8"/>
  <c r="I1360" i="8"/>
  <c r="H1362" i="8"/>
  <c r="I1362" i="8"/>
  <c r="H1367" i="8"/>
  <c r="I1367" i="8"/>
  <c r="H1376" i="8"/>
  <c r="I1376" i="8"/>
  <c r="H1379" i="8"/>
  <c r="I1379" i="8"/>
  <c r="H1383" i="8"/>
  <c r="I1383" i="8"/>
  <c r="H1385" i="8"/>
  <c r="I1385" i="8"/>
  <c r="H1386" i="8"/>
  <c r="I1386" i="8"/>
  <c r="H1399" i="8"/>
  <c r="I1399" i="8"/>
  <c r="H2115" i="8"/>
  <c r="I2115" i="8"/>
  <c r="H2116" i="8"/>
  <c r="I2116" i="8"/>
  <c r="H1401" i="8"/>
  <c r="I1401" i="8"/>
  <c r="H1312" i="8"/>
  <c r="I1312" i="8"/>
  <c r="H1314" i="8"/>
  <c r="I1314" i="8"/>
  <c r="H197" i="8"/>
  <c r="I197" i="8"/>
  <c r="H198" i="8"/>
  <c r="I198" i="8"/>
  <c r="H1317" i="8"/>
  <c r="I1317" i="8"/>
  <c r="H1318" i="8"/>
  <c r="I1318" i="8"/>
  <c r="H1321" i="8"/>
  <c r="I1321" i="8"/>
  <c r="H1323" i="8"/>
  <c r="I1323" i="8"/>
  <c r="H1324" i="8"/>
  <c r="I1324" i="8"/>
  <c r="H1325" i="8"/>
  <c r="I1325" i="8"/>
  <c r="H1327" i="8"/>
  <c r="I1327" i="8"/>
  <c r="H1341" i="8"/>
  <c r="I1341" i="8"/>
  <c r="H1344" i="8"/>
  <c r="I1344" i="8"/>
  <c r="H2271" i="8"/>
  <c r="I2271" i="8"/>
  <c r="H1351" i="8"/>
  <c r="I1351" i="8"/>
  <c r="H1352" i="8"/>
  <c r="I1352" i="8"/>
  <c r="H1354" i="8"/>
  <c r="I1354" i="8"/>
  <c r="H1356" i="8"/>
  <c r="I1356" i="8"/>
  <c r="H1357" i="8"/>
  <c r="I1357" i="8"/>
  <c r="H1359" i="8"/>
  <c r="I1359" i="8"/>
  <c r="H1274" i="8"/>
  <c r="I1274" i="8"/>
  <c r="H1275" i="8"/>
  <c r="I1275" i="8"/>
  <c r="H1276" i="8"/>
  <c r="I1276" i="8"/>
  <c r="H1277" i="8"/>
  <c r="I1277" i="8"/>
  <c r="H195" i="8"/>
  <c r="I195" i="8"/>
  <c r="H196" i="8"/>
  <c r="I196" i="8"/>
  <c r="H1292" i="8"/>
  <c r="I1292" i="8"/>
  <c r="H1294" i="8"/>
  <c r="I1294" i="8"/>
  <c r="H1296" i="8"/>
  <c r="I1296" i="8"/>
  <c r="H1298" i="8"/>
  <c r="I1298" i="8"/>
  <c r="H1299" i="8"/>
  <c r="I1299" i="8"/>
  <c r="H1301" i="8"/>
  <c r="I1301" i="8"/>
  <c r="H1302" i="8"/>
  <c r="I1302" i="8"/>
  <c r="H1304" i="8"/>
  <c r="I1304" i="8"/>
  <c r="H1309" i="8"/>
  <c r="I1309" i="8"/>
  <c r="H191" i="8"/>
  <c r="I191" i="8"/>
  <c r="H192" i="8"/>
  <c r="I192" i="8"/>
  <c r="H2266" i="8"/>
  <c r="I2266" i="8"/>
  <c r="H1264" i="8"/>
  <c r="I1264" i="8"/>
  <c r="H1267" i="8"/>
  <c r="I1267" i="8"/>
  <c r="H1268" i="8"/>
  <c r="I1268" i="8"/>
  <c r="H1269" i="8"/>
  <c r="I1269" i="8"/>
  <c r="H1270" i="8"/>
  <c r="I1270" i="8"/>
  <c r="H193" i="8"/>
  <c r="I193" i="8"/>
  <c r="H194" i="8"/>
  <c r="I194" i="8"/>
  <c r="H1228" i="8"/>
  <c r="I1228" i="8"/>
  <c r="H1229" i="8"/>
  <c r="I1229" i="8"/>
  <c r="H1235" i="8"/>
  <c r="I1235" i="8"/>
  <c r="H1242" i="8"/>
  <c r="I1242" i="8"/>
  <c r="H1251" i="8"/>
  <c r="I1251" i="8"/>
  <c r="H68" i="8"/>
  <c r="I68" i="8"/>
  <c r="H69" i="8"/>
  <c r="I69" i="8"/>
  <c r="K69" i="8" s="1"/>
  <c r="M69" i="8" s="1"/>
  <c r="H70" i="8"/>
  <c r="I70" i="8"/>
  <c r="H1260" i="8"/>
  <c r="I1260" i="8"/>
  <c r="H1261" i="8"/>
  <c r="I1261" i="8"/>
  <c r="H2111" i="8"/>
  <c r="I2111" i="8"/>
  <c r="K2111" i="8" s="1"/>
  <c r="M2111" i="8" s="1"/>
  <c r="H2112" i="8"/>
  <c r="I2112" i="8"/>
  <c r="H1208" i="8"/>
  <c r="I1208" i="8"/>
  <c r="H1209" i="8"/>
  <c r="I1209" i="8"/>
  <c r="H1211" i="8"/>
  <c r="I1211" i="8"/>
  <c r="K1211" i="8" s="1"/>
  <c r="M1211" i="8" s="1"/>
  <c r="H1212" i="8"/>
  <c r="I1212" i="8"/>
  <c r="H1213" i="8"/>
  <c r="I1213" i="8"/>
  <c r="H1214" i="8"/>
  <c r="I1214" i="8"/>
  <c r="H1215" i="8"/>
  <c r="I1215" i="8"/>
  <c r="K1215" i="8" s="1"/>
  <c r="M1215" i="8" s="1"/>
  <c r="H1219" i="8"/>
  <c r="I1219" i="8"/>
  <c r="H1220" i="8"/>
  <c r="I1220" i="8"/>
  <c r="H1225" i="8"/>
  <c r="I1225" i="8"/>
  <c r="H1227" i="8"/>
  <c r="I1227" i="8"/>
  <c r="K1227" i="8" s="1"/>
  <c r="M1227" i="8" s="1"/>
  <c r="H1189" i="8"/>
  <c r="I1189" i="8"/>
  <c r="H1192" i="8"/>
  <c r="I1192" i="8"/>
  <c r="H1199" i="8"/>
  <c r="I1199" i="8"/>
  <c r="H189" i="8"/>
  <c r="I189" i="8"/>
  <c r="K189" i="8" s="1"/>
  <c r="M189" i="8" s="1"/>
  <c r="H190" i="8"/>
  <c r="I190" i="8"/>
  <c r="H1202" i="8"/>
  <c r="I1202" i="8"/>
  <c r="H1204" i="8"/>
  <c r="I1204" i="8"/>
  <c r="H1205" i="8"/>
  <c r="I1205" i="8"/>
  <c r="K1205" i="8" s="1"/>
  <c r="M1205" i="8" s="1"/>
  <c r="H1173" i="8"/>
  <c r="I1173" i="8"/>
  <c r="H1176" i="8"/>
  <c r="I1176" i="8"/>
  <c r="H1183" i="8"/>
  <c r="I1183" i="8"/>
  <c r="H1184" i="8"/>
  <c r="I1184" i="8"/>
  <c r="K1184" i="8" s="1"/>
  <c r="M1184" i="8" s="1"/>
  <c r="H185" i="8"/>
  <c r="I185" i="8"/>
  <c r="H186" i="8"/>
  <c r="I186" i="8"/>
  <c r="H1133" i="8"/>
  <c r="I1133" i="8"/>
  <c r="H1138" i="8"/>
  <c r="I1138" i="8"/>
  <c r="K1138" i="8" s="1"/>
  <c r="M1138" i="8" s="1"/>
  <c r="H1148" i="8"/>
  <c r="I1148" i="8"/>
  <c r="H1149" i="8"/>
  <c r="I1149" i="8"/>
  <c r="H1150" i="8"/>
  <c r="I1150" i="8"/>
  <c r="H1152" i="8"/>
  <c r="I1152" i="8"/>
  <c r="K1152" i="8" s="1"/>
  <c r="M1152" i="8" s="1"/>
  <c r="H1156" i="8"/>
  <c r="I1156" i="8"/>
  <c r="H1158" i="8"/>
  <c r="I1158" i="8"/>
  <c r="H1159" i="8"/>
  <c r="I1159" i="8"/>
  <c r="H1162" i="8"/>
  <c r="I1162" i="8"/>
  <c r="K1162" i="8" s="1"/>
  <c r="M1162" i="8" s="1"/>
  <c r="H1086" i="8"/>
  <c r="I1086" i="8"/>
  <c r="H1087" i="8"/>
  <c r="I1087" i="8"/>
  <c r="H1106" i="8"/>
  <c r="I1106" i="8"/>
  <c r="H1107" i="8"/>
  <c r="I1107" i="8"/>
  <c r="K1107" i="8" s="1"/>
  <c r="M1107" i="8" s="1"/>
  <c r="H1117" i="8"/>
  <c r="I1117" i="8"/>
  <c r="H1128" i="8"/>
  <c r="I1128" i="8"/>
  <c r="H1057" i="8"/>
  <c r="I1057" i="8"/>
  <c r="H1070" i="8"/>
  <c r="I1070" i="8"/>
  <c r="K1070" i="8" s="1"/>
  <c r="M1070" i="8" s="1"/>
  <c r="H1071" i="8"/>
  <c r="I1071" i="8"/>
  <c r="H1073" i="8"/>
  <c r="I1073" i="8"/>
  <c r="H1079" i="8"/>
  <c r="I1079" i="8"/>
  <c r="H1083" i="8"/>
  <c r="I1083" i="8"/>
  <c r="K1083" i="8" s="1"/>
  <c r="M1083" i="8" s="1"/>
  <c r="H2260" i="8"/>
  <c r="I2260" i="8"/>
  <c r="H1085" i="8"/>
  <c r="I1085" i="8"/>
  <c r="H1030" i="8"/>
  <c r="I1030" i="8"/>
  <c r="H1034" i="8"/>
  <c r="I1034" i="8"/>
  <c r="K1034" i="8" s="1"/>
  <c r="M1034" i="8" s="1"/>
  <c r="H1036" i="8"/>
  <c r="I1036" i="8"/>
  <c r="H1037" i="8"/>
  <c r="I1037" i="8"/>
  <c r="H1038" i="8"/>
  <c r="I1038" i="8"/>
  <c r="H1039" i="8"/>
  <c r="I1039" i="8"/>
  <c r="K1039" i="8" s="1"/>
  <c r="M1039" i="8" s="1"/>
  <c r="H1041" i="8"/>
  <c r="I1041" i="8"/>
  <c r="H1043" i="8"/>
  <c r="I1043" i="8"/>
  <c r="H1044" i="8"/>
  <c r="I1044" i="8"/>
  <c r="H1045" i="8"/>
  <c r="I1045" i="8"/>
  <c r="K1045" i="8" s="1"/>
  <c r="M1045" i="8" s="1"/>
  <c r="H1048" i="8"/>
  <c r="I1048" i="8"/>
  <c r="H998" i="8"/>
  <c r="I998" i="8"/>
  <c r="H1000" i="8"/>
  <c r="I1000" i="8"/>
  <c r="H1002" i="8"/>
  <c r="I1002" i="8"/>
  <c r="K1002" i="8" s="1"/>
  <c r="M1002" i="8" s="1"/>
  <c r="H1005" i="8"/>
  <c r="I1005" i="8"/>
  <c r="H1006" i="8"/>
  <c r="I1006" i="8"/>
  <c r="H1015" i="8"/>
  <c r="I1015" i="8"/>
  <c r="H1020" i="8"/>
  <c r="I1020" i="8"/>
  <c r="K1020" i="8" s="1"/>
  <c r="M1020" i="8" s="1"/>
  <c r="H1028" i="8"/>
  <c r="I1028" i="8"/>
  <c r="H1029" i="8"/>
  <c r="I1029" i="8"/>
  <c r="H968" i="8"/>
  <c r="I968" i="8"/>
  <c r="H969" i="8"/>
  <c r="I969" i="8"/>
  <c r="K969" i="8" s="1"/>
  <c r="M969" i="8" s="1"/>
  <c r="H975" i="8"/>
  <c r="I975" i="8"/>
  <c r="H977" i="8"/>
  <c r="I977" i="8"/>
  <c r="H985" i="8"/>
  <c r="I985" i="8"/>
  <c r="H987" i="8"/>
  <c r="I987" i="8"/>
  <c r="K987" i="8" s="1"/>
  <c r="M987" i="8" s="1"/>
  <c r="H988" i="8"/>
  <c r="I988" i="8"/>
  <c r="H990" i="8"/>
  <c r="I990" i="8"/>
  <c r="H957" i="8"/>
  <c r="I957" i="8"/>
  <c r="H958" i="8"/>
  <c r="I958" i="8"/>
  <c r="K958" i="8" s="1"/>
  <c r="M958" i="8" s="1"/>
  <c r="H964" i="8"/>
  <c r="I964" i="8"/>
  <c r="H966" i="8"/>
  <c r="I966" i="8"/>
  <c r="H954" i="8"/>
  <c r="I954" i="8"/>
  <c r="H2103" i="8"/>
  <c r="I2103" i="8"/>
  <c r="K2103" i="8" s="1"/>
  <c r="M2103" i="8" s="1"/>
  <c r="H2104" i="8"/>
  <c r="I2104" i="8"/>
  <c r="H955" i="8"/>
  <c r="I955" i="8"/>
  <c r="H927" i="8"/>
  <c r="I927" i="8"/>
  <c r="H928" i="8"/>
  <c r="I928" i="8"/>
  <c r="K928" i="8" s="1"/>
  <c r="M928" i="8" s="1"/>
  <c r="H929" i="8"/>
  <c r="I929" i="8"/>
  <c r="H930" i="8"/>
  <c r="I930" i="8"/>
  <c r="H931" i="8"/>
  <c r="I931" i="8"/>
  <c r="H933" i="8"/>
  <c r="I933" i="8"/>
  <c r="K933" i="8" s="1"/>
  <c r="M933" i="8" s="1"/>
  <c r="H934" i="8"/>
  <c r="I934" i="8"/>
  <c r="H935" i="8"/>
  <c r="I935" i="8"/>
  <c r="H941" i="8"/>
  <c r="I941" i="8"/>
  <c r="H943" i="8"/>
  <c r="I943" i="8"/>
  <c r="K943" i="8" s="1"/>
  <c r="M943" i="8" s="1"/>
  <c r="H944" i="8"/>
  <c r="I944" i="8"/>
  <c r="H946" i="8"/>
  <c r="I946" i="8"/>
  <c r="H948" i="8"/>
  <c r="I948" i="8"/>
  <c r="H949" i="8"/>
  <c r="I949" i="8"/>
  <c r="K949" i="8" s="1"/>
  <c r="M949" i="8" s="1"/>
  <c r="H953" i="8"/>
  <c r="I953" i="8"/>
  <c r="H165" i="8"/>
  <c r="I165" i="8"/>
  <c r="H166" i="8"/>
  <c r="I166" i="8"/>
  <c r="H923" i="8"/>
  <c r="I923" i="8"/>
  <c r="K923" i="8" s="1"/>
  <c r="M923" i="8" s="1"/>
  <c r="H894" i="8"/>
  <c r="I894" i="8"/>
  <c r="H895" i="8"/>
  <c r="I895" i="8"/>
  <c r="H900" i="8"/>
  <c r="I900" i="8"/>
  <c r="H908" i="8"/>
  <c r="I908" i="8"/>
  <c r="K908" i="8" s="1"/>
  <c r="M908" i="8" s="1"/>
  <c r="H914" i="8"/>
  <c r="I914" i="8"/>
  <c r="H919" i="8"/>
  <c r="I919" i="8"/>
  <c r="H871" i="8"/>
  <c r="I871" i="8"/>
  <c r="H874" i="8"/>
  <c r="I874" i="8"/>
  <c r="K874" i="8" s="1"/>
  <c r="M874" i="8" s="1"/>
  <c r="H877" i="8"/>
  <c r="I877" i="8"/>
  <c r="H880" i="8"/>
  <c r="I880" i="8"/>
  <c r="H881" i="8"/>
  <c r="I881" i="8"/>
  <c r="H860" i="8"/>
  <c r="I860" i="8"/>
  <c r="K860" i="8" s="1"/>
  <c r="M860" i="8" s="1"/>
  <c r="H843" i="8"/>
  <c r="I843" i="8"/>
  <c r="H825" i="8"/>
  <c r="I825" i="8"/>
  <c r="H794" i="8"/>
  <c r="I794" i="8"/>
  <c r="H797" i="8"/>
  <c r="I797" i="8"/>
  <c r="K797" i="8" s="1"/>
  <c r="M797" i="8" s="1"/>
  <c r="H798" i="8"/>
  <c r="I798" i="8"/>
  <c r="H799" i="8"/>
  <c r="I799" i="8"/>
  <c r="H800" i="8"/>
  <c r="I800" i="8"/>
  <c r="H802" i="8"/>
  <c r="I802" i="8"/>
  <c r="K802" i="8" s="1"/>
  <c r="M802" i="8" s="1"/>
  <c r="H811" i="8"/>
  <c r="I811" i="8"/>
  <c r="H773" i="8"/>
  <c r="I773" i="8"/>
  <c r="H782" i="8"/>
  <c r="I782" i="8"/>
  <c r="H788" i="8"/>
  <c r="I788" i="8"/>
  <c r="K788" i="8" s="1"/>
  <c r="M788" i="8" s="1"/>
  <c r="H790" i="8"/>
  <c r="I790" i="8"/>
  <c r="H791" i="8"/>
  <c r="I791" i="8"/>
  <c r="H755" i="8"/>
  <c r="I755" i="8"/>
  <c r="H757" i="8"/>
  <c r="I757" i="8"/>
  <c r="K757" i="8" s="1"/>
  <c r="M757" i="8" s="1"/>
  <c r="H758" i="8"/>
  <c r="I758" i="8"/>
  <c r="H760" i="8"/>
  <c r="I760" i="8"/>
  <c r="H769" i="8"/>
  <c r="I769" i="8"/>
  <c r="H749" i="8"/>
  <c r="I749" i="8"/>
  <c r="K749" i="8" s="1"/>
  <c r="M749" i="8" s="1"/>
  <c r="H754" i="8"/>
  <c r="I754" i="8"/>
  <c r="H741" i="8"/>
  <c r="I741" i="8"/>
  <c r="H27" i="8"/>
  <c r="I27" i="8"/>
  <c r="H28" i="8"/>
  <c r="I28" i="8"/>
  <c r="K28" i="8" s="1"/>
  <c r="M28" i="8" s="1"/>
  <c r="H29" i="8"/>
  <c r="I29" i="8"/>
  <c r="H30" i="8"/>
  <c r="I30" i="8"/>
  <c r="H2018" i="8"/>
  <c r="I2018" i="8"/>
  <c r="H2019" i="8"/>
  <c r="I2019" i="8"/>
  <c r="K2019" i="8" s="1"/>
  <c r="M2019" i="8" s="1"/>
  <c r="H2020" i="8"/>
  <c r="I2020" i="8"/>
  <c r="H2021" i="8"/>
  <c r="I2021" i="8"/>
  <c r="H740" i="8"/>
  <c r="I740" i="8"/>
  <c r="H731" i="8"/>
  <c r="I731" i="8"/>
  <c r="K731" i="8" s="1"/>
  <c r="M731" i="8" s="1"/>
  <c r="H732" i="8"/>
  <c r="I732" i="8"/>
  <c r="H733" i="8"/>
  <c r="I733" i="8"/>
  <c r="H734" i="8"/>
  <c r="I734" i="8"/>
  <c r="H2017" i="8"/>
  <c r="I2017" i="8"/>
  <c r="K2017" i="8" s="1"/>
  <c r="M2017" i="8" s="1"/>
  <c r="H722" i="8"/>
  <c r="I722" i="8"/>
  <c r="H724" i="8"/>
  <c r="I724" i="8"/>
  <c r="H725" i="8"/>
  <c r="I725" i="8"/>
  <c r="H727" i="8"/>
  <c r="I727" i="8"/>
  <c r="K727" i="8" s="1"/>
  <c r="M727" i="8" s="1"/>
  <c r="H728" i="8"/>
  <c r="I728" i="8"/>
  <c r="H729" i="8"/>
  <c r="I729" i="8"/>
  <c r="H145" i="8"/>
  <c r="I145" i="8"/>
  <c r="H146" i="8"/>
  <c r="I146" i="8"/>
  <c r="K146" i="8" s="1"/>
  <c r="M146" i="8" s="1"/>
  <c r="H730" i="8"/>
  <c r="I730" i="8"/>
  <c r="H714" i="8"/>
  <c r="I714" i="8"/>
  <c r="H716" i="8"/>
  <c r="I716" i="8"/>
  <c r="H717" i="8"/>
  <c r="I717" i="8"/>
  <c r="K717" i="8" s="1"/>
  <c r="M717" i="8" s="1"/>
  <c r="H718" i="8"/>
  <c r="I718" i="8"/>
  <c r="H719" i="8"/>
  <c r="I719" i="8"/>
  <c r="H721" i="8"/>
  <c r="I721" i="8"/>
  <c r="H698" i="8"/>
  <c r="I698" i="8"/>
  <c r="K698" i="8" s="1"/>
  <c r="M698" i="8" s="1"/>
  <c r="H699" i="8"/>
  <c r="I699" i="8"/>
  <c r="H52" i="8"/>
  <c r="I52" i="8"/>
  <c r="H703" i="8"/>
  <c r="I703" i="8"/>
  <c r="H704" i="8"/>
  <c r="I704" i="8"/>
  <c r="K704" i="8" s="1"/>
  <c r="M704" i="8" s="1"/>
  <c r="H711" i="8"/>
  <c r="I711" i="8"/>
  <c r="H691" i="8"/>
  <c r="I691" i="8"/>
  <c r="H692" i="8"/>
  <c r="I692" i="8"/>
  <c r="H693" i="8"/>
  <c r="I693" i="8"/>
  <c r="K693" i="8" s="1"/>
  <c r="M693" i="8" s="1"/>
  <c r="H17" i="8"/>
  <c r="I17" i="8"/>
  <c r="H18" i="8"/>
  <c r="I18" i="8"/>
  <c r="H19" i="8"/>
  <c r="I19" i="8"/>
  <c r="H20" i="8"/>
  <c r="I20" i="8"/>
  <c r="K20" i="8" s="1"/>
  <c r="M20" i="8" s="1"/>
  <c r="H21" i="8"/>
  <c r="I21" i="8"/>
  <c r="H22" i="8"/>
  <c r="I22" i="8"/>
  <c r="H697" i="8"/>
  <c r="I697" i="8"/>
  <c r="H679" i="8"/>
  <c r="I679" i="8"/>
  <c r="K679" i="8" s="1"/>
  <c r="M679" i="8" s="1"/>
  <c r="H686" i="8"/>
  <c r="I686" i="8"/>
  <c r="H687" i="8"/>
  <c r="I687" i="8"/>
  <c r="H688" i="8"/>
  <c r="I688" i="8"/>
  <c r="H2011" i="8"/>
  <c r="I2011" i="8"/>
  <c r="K2011" i="8" s="1"/>
  <c r="M2011" i="8" s="1"/>
  <c r="H2012" i="8"/>
  <c r="I2012" i="8"/>
  <c r="H2013" i="8"/>
  <c r="I2013" i="8"/>
  <c r="H2014" i="8"/>
  <c r="I2014" i="8"/>
  <c r="H2015" i="8"/>
  <c r="I2015" i="8"/>
  <c r="K2015" i="8" s="1"/>
  <c r="M2015" i="8" s="1"/>
  <c r="H2016" i="8"/>
  <c r="I2016" i="8"/>
  <c r="H690" i="8"/>
  <c r="I690" i="8"/>
  <c r="H659" i="8"/>
  <c r="I659" i="8"/>
  <c r="H660" i="8"/>
  <c r="I660" i="8"/>
  <c r="K660" i="8" s="1"/>
  <c r="M660" i="8" s="1"/>
  <c r="H669" i="8"/>
  <c r="I669" i="8"/>
  <c r="H676" i="8"/>
  <c r="I676" i="8"/>
  <c r="H2243" i="8"/>
  <c r="I2243" i="8"/>
  <c r="H633" i="8"/>
  <c r="I633" i="8"/>
  <c r="K633" i="8" s="1"/>
  <c r="M633" i="8" s="1"/>
  <c r="H635" i="8"/>
  <c r="I635" i="8"/>
  <c r="H639" i="8"/>
  <c r="I639" i="8"/>
  <c r="H655" i="8"/>
  <c r="I655" i="8"/>
  <c r="H656" i="8"/>
  <c r="I656" i="8"/>
  <c r="K656" i="8" s="1"/>
  <c r="M656" i="8" s="1"/>
  <c r="H658" i="8"/>
  <c r="I658" i="8"/>
  <c r="H601" i="8"/>
  <c r="I601" i="8"/>
  <c r="H606" i="8"/>
  <c r="I606" i="8"/>
  <c r="H609" i="8"/>
  <c r="I609" i="8"/>
  <c r="K609" i="8" s="1"/>
  <c r="M609" i="8" s="1"/>
  <c r="H611" i="8"/>
  <c r="I611" i="8"/>
  <c r="H612" i="8"/>
  <c r="I612" i="8"/>
  <c r="H2240" i="8"/>
  <c r="I2240" i="8"/>
  <c r="H2241" i="8"/>
  <c r="I2241" i="8"/>
  <c r="K2241" i="8" s="1"/>
  <c r="M2241" i="8" s="1"/>
  <c r="H622" i="8"/>
  <c r="I622" i="8"/>
  <c r="H626" i="8"/>
  <c r="I626" i="8"/>
  <c r="H631" i="8"/>
  <c r="I631" i="8"/>
  <c r="H136" i="8"/>
  <c r="I136" i="8"/>
  <c r="K136" i="8" s="1"/>
  <c r="M136" i="8" s="1"/>
  <c r="H593" i="8"/>
  <c r="I593" i="8"/>
  <c r="H594" i="8"/>
  <c r="I594" i="8"/>
  <c r="H595" i="8"/>
  <c r="I595" i="8"/>
  <c r="H598" i="8"/>
  <c r="I598" i="8"/>
  <c r="K598" i="8" s="1"/>
  <c r="M598" i="8" s="1"/>
  <c r="H600" i="8"/>
  <c r="I600" i="8"/>
  <c r="H568" i="8"/>
  <c r="I568" i="8"/>
  <c r="H572" i="8"/>
  <c r="I572" i="8"/>
  <c r="H575" i="8"/>
  <c r="I575" i="8"/>
  <c r="K575" i="8" s="1"/>
  <c r="M575" i="8" s="1"/>
  <c r="H578" i="8"/>
  <c r="I578" i="8"/>
  <c r="H579" i="8"/>
  <c r="I579" i="8"/>
  <c r="H581" i="8"/>
  <c r="I581" i="8"/>
  <c r="H582" i="8"/>
  <c r="I582" i="8"/>
  <c r="K582" i="8" s="1"/>
  <c r="M582" i="8" s="1"/>
  <c r="H2239" i="8"/>
  <c r="I2239" i="8"/>
  <c r="H584" i="8"/>
  <c r="I584" i="8"/>
  <c r="H135" i="8"/>
  <c r="I135" i="8"/>
  <c r="H565" i="8"/>
  <c r="I565" i="8"/>
  <c r="K565" i="8" s="1"/>
  <c r="M565" i="8" s="1"/>
  <c r="H567" i="8"/>
  <c r="I567" i="8"/>
  <c r="H550" i="8"/>
  <c r="I550" i="8"/>
  <c r="H556" i="8"/>
  <c r="I556" i="8"/>
  <c r="H549" i="8"/>
  <c r="I549" i="8"/>
  <c r="K549" i="8" s="1"/>
  <c r="M549" i="8" s="1"/>
  <c r="I547" i="8"/>
  <c r="H547" i="8"/>
  <c r="H517" i="8"/>
  <c r="I517" i="8"/>
  <c r="H2204" i="8"/>
  <c r="I2204" i="8"/>
  <c r="H520" i="8"/>
  <c r="I520" i="8"/>
  <c r="K520" i="8" s="1"/>
  <c r="M520" i="8" s="1"/>
  <c r="H524" i="8"/>
  <c r="I524" i="8"/>
  <c r="H525" i="8"/>
  <c r="I525" i="8"/>
  <c r="H2212" i="8"/>
  <c r="I2212" i="8"/>
  <c r="H526" i="8"/>
  <c r="I526" i="8"/>
  <c r="K526" i="8" s="1"/>
  <c r="M526" i="8" s="1"/>
  <c r="H527" i="8"/>
  <c r="I527" i="8"/>
  <c r="H2218" i="8"/>
  <c r="I2218" i="8"/>
  <c r="H2219" i="8"/>
  <c r="I2219" i="8"/>
  <c r="H531" i="8"/>
  <c r="I531" i="8"/>
  <c r="K531" i="8" s="1"/>
  <c r="M531" i="8" s="1"/>
  <c r="H2221" i="8"/>
  <c r="I2221" i="8"/>
  <c r="H535" i="8"/>
  <c r="I535" i="8"/>
  <c r="H2230" i="8"/>
  <c r="I2230" i="8"/>
  <c r="I419" i="8"/>
  <c r="H419" i="8"/>
  <c r="J419" i="8" s="1"/>
  <c r="L419" i="8" s="1"/>
  <c r="N419" i="8" s="1"/>
  <c r="I411" i="8"/>
  <c r="H411" i="8"/>
  <c r="I396" i="8"/>
  <c r="H396" i="8"/>
  <c r="I389" i="8"/>
  <c r="H389" i="8"/>
  <c r="I379" i="8"/>
  <c r="H379" i="8"/>
  <c r="J379" i="8" s="1"/>
  <c r="L379" i="8" s="1"/>
  <c r="N379" i="8" s="1"/>
  <c r="I364" i="8"/>
  <c r="H364" i="8"/>
  <c r="I342" i="8"/>
  <c r="H342" i="8"/>
  <c r="I337" i="8"/>
  <c r="H337" i="8"/>
  <c r="I328" i="8"/>
  <c r="H328" i="8"/>
  <c r="J328" i="8" s="1"/>
  <c r="L328" i="8" s="1"/>
  <c r="N328" i="8" s="1"/>
  <c r="I317" i="8"/>
  <c r="H317" i="8"/>
  <c r="H126" i="8"/>
  <c r="I126" i="8"/>
  <c r="H507" i="8"/>
  <c r="I507" i="8"/>
  <c r="H509" i="8"/>
  <c r="I509" i="8"/>
  <c r="K509" i="8" s="1"/>
  <c r="M509" i="8" s="1"/>
  <c r="H2199" i="8"/>
  <c r="I2199" i="8"/>
  <c r="H510" i="8"/>
  <c r="I510" i="8"/>
  <c r="H127" i="8"/>
  <c r="I127" i="8"/>
  <c r="H128" i="8"/>
  <c r="I128" i="8"/>
  <c r="K128" i="8" s="1"/>
  <c r="M128" i="8" s="1"/>
  <c r="H2200" i="8"/>
  <c r="I2200" i="8"/>
  <c r="H129" i="8"/>
  <c r="I129" i="8"/>
  <c r="H130" i="8"/>
  <c r="I130" i="8"/>
  <c r="H2186" i="8"/>
  <c r="I2186" i="8"/>
  <c r="K2186" i="8" s="1"/>
  <c r="M2186" i="8" s="1"/>
  <c r="H499" i="8"/>
  <c r="I499" i="8"/>
  <c r="H2073" i="8"/>
  <c r="I2073" i="8"/>
  <c r="H2074" i="8"/>
  <c r="I2074" i="8"/>
  <c r="H502" i="8"/>
  <c r="I502" i="8"/>
  <c r="K502" i="8" s="1"/>
  <c r="M502" i="8" s="1"/>
  <c r="H2194" i="8"/>
  <c r="I2194" i="8"/>
  <c r="H125" i="8"/>
  <c r="I125" i="8"/>
  <c r="H473" i="8"/>
  <c r="I473" i="8"/>
  <c r="H476" i="8"/>
  <c r="I476" i="8"/>
  <c r="K476" i="8" s="1"/>
  <c r="M476" i="8" s="1"/>
  <c r="H117" i="8"/>
  <c r="I117" i="8"/>
  <c r="H118" i="8"/>
  <c r="I118" i="8"/>
  <c r="H479" i="8"/>
  <c r="I479" i="8"/>
  <c r="H481" i="8"/>
  <c r="I481" i="8"/>
  <c r="K481" i="8" s="1"/>
  <c r="M481" i="8" s="1"/>
  <c r="H482" i="8"/>
  <c r="I482" i="8"/>
  <c r="H483" i="8"/>
  <c r="I483" i="8"/>
  <c r="H2179" i="8"/>
  <c r="I2179" i="8"/>
  <c r="H2152" i="8"/>
  <c r="I2152" i="8"/>
  <c r="K2152" i="8" s="1"/>
  <c r="M2152" i="8" s="1"/>
  <c r="H457" i="8"/>
  <c r="I457" i="8"/>
  <c r="H2153" i="8"/>
  <c r="I2153" i="8"/>
  <c r="H2157" i="8"/>
  <c r="I2157" i="8"/>
  <c r="H47" i="8"/>
  <c r="I47" i="8"/>
  <c r="K47" i="8" s="1"/>
  <c r="M47" i="8" s="1"/>
  <c r="H48" i="8"/>
  <c r="I48" i="8"/>
  <c r="H2163" i="8"/>
  <c r="I2163" i="8"/>
  <c r="H2164" i="8"/>
  <c r="I2164" i="8"/>
  <c r="H2166" i="8"/>
  <c r="I2166" i="8"/>
  <c r="K2166" i="8" s="1"/>
  <c r="M2166" i="8" s="1"/>
  <c r="H2169" i="8"/>
  <c r="I2169" i="8"/>
  <c r="H2063" i="8"/>
  <c r="I2063" i="8"/>
  <c r="H2064" i="8"/>
  <c r="I2064" i="8"/>
  <c r="H2172" i="8"/>
  <c r="I2172" i="8"/>
  <c r="K2172" i="8" s="1"/>
  <c r="M2172" i="8" s="1"/>
  <c r="I2150" i="8"/>
  <c r="H2150" i="8"/>
  <c r="H424" i="8"/>
  <c r="I424" i="8"/>
  <c r="H429" i="8"/>
  <c r="I429" i="8"/>
  <c r="H430" i="8"/>
  <c r="I430" i="8"/>
  <c r="K430" i="8" s="1"/>
  <c r="M430" i="8" s="1"/>
  <c r="H432" i="8"/>
  <c r="I432" i="8"/>
  <c r="H435" i="8"/>
  <c r="I435" i="8"/>
  <c r="H436" i="8"/>
  <c r="I436" i="8"/>
  <c r="H438" i="8"/>
  <c r="I438" i="8"/>
  <c r="K438" i="8" s="1"/>
  <c r="M438" i="8" s="1"/>
  <c r="H439" i="8"/>
  <c r="I439" i="8"/>
  <c r="H441" i="8"/>
  <c r="I441" i="8"/>
  <c r="H443" i="8"/>
  <c r="I443" i="8"/>
  <c r="H445" i="8"/>
  <c r="I445" i="8"/>
  <c r="K445" i="8" s="1"/>
  <c r="M445" i="8" s="1"/>
  <c r="H447" i="8"/>
  <c r="I447" i="8"/>
  <c r="H448" i="8"/>
  <c r="I448" i="8"/>
  <c r="H455" i="8"/>
  <c r="I455" i="8"/>
  <c r="H456" i="8"/>
  <c r="I456" i="8"/>
  <c r="K456" i="8" s="1"/>
  <c r="M456" i="8" s="1"/>
  <c r="H417" i="8"/>
  <c r="I417" i="8"/>
  <c r="H423" i="8"/>
  <c r="I423" i="8"/>
  <c r="H401" i="8"/>
  <c r="I401" i="8"/>
  <c r="H402" i="8"/>
  <c r="I402" i="8"/>
  <c r="K402" i="8" s="1"/>
  <c r="M402" i="8" s="1"/>
  <c r="H404" i="8"/>
  <c r="I404" i="8"/>
  <c r="H405" i="8"/>
  <c r="I405" i="8"/>
  <c r="H107" i="8"/>
  <c r="I107" i="8"/>
  <c r="H108" i="8"/>
  <c r="I108" i="8"/>
  <c r="K108" i="8" s="1"/>
  <c r="M108" i="8" s="1"/>
  <c r="H407" i="8"/>
  <c r="I407" i="8"/>
  <c r="H408" i="8"/>
  <c r="I408" i="8"/>
  <c r="H2145" i="8"/>
  <c r="I2145" i="8"/>
  <c r="H415" i="8"/>
  <c r="I415" i="8"/>
  <c r="K415" i="8" s="1"/>
  <c r="M415" i="8" s="1"/>
  <c r="H393" i="8"/>
  <c r="I393" i="8"/>
  <c r="H394" i="8"/>
  <c r="I394" i="8"/>
  <c r="H395" i="8"/>
  <c r="I395" i="8"/>
  <c r="H399" i="8"/>
  <c r="I399" i="8"/>
  <c r="K399" i="8" s="1"/>
  <c r="M399" i="8" s="1"/>
  <c r="H391" i="8"/>
  <c r="I391" i="8"/>
  <c r="H102" i="8"/>
  <c r="I102" i="8"/>
  <c r="H376" i="8"/>
  <c r="I376" i="8"/>
  <c r="H377" i="8"/>
  <c r="I377" i="8"/>
  <c r="K377" i="8" s="1"/>
  <c r="M377" i="8" s="1"/>
  <c r="H378" i="8"/>
  <c r="I378" i="8"/>
  <c r="H382" i="8"/>
  <c r="I382" i="8"/>
  <c r="H347" i="8"/>
  <c r="I347" i="8"/>
  <c r="H2141" i="8"/>
  <c r="I2141" i="8"/>
  <c r="K2141" i="8" s="1"/>
  <c r="M2141" i="8" s="1"/>
  <c r="H352" i="8"/>
  <c r="I352" i="8"/>
  <c r="H353" i="8"/>
  <c r="I353" i="8"/>
  <c r="H354" i="8"/>
  <c r="I354" i="8"/>
  <c r="H359" i="8"/>
  <c r="I359" i="8"/>
  <c r="K359" i="8" s="1"/>
  <c r="M359" i="8" s="1"/>
  <c r="H101" i="8"/>
  <c r="I101" i="8"/>
  <c r="H345" i="8"/>
  <c r="I345" i="8"/>
  <c r="H335" i="8"/>
  <c r="I335" i="8"/>
  <c r="H334" i="8"/>
  <c r="I334" i="8"/>
  <c r="K334" i="8" s="1"/>
  <c r="M334" i="8" s="1"/>
  <c r="H327" i="8"/>
  <c r="I327" i="8"/>
  <c r="H323" i="8"/>
  <c r="I323" i="8"/>
  <c r="H91" i="8"/>
  <c r="I91" i="8"/>
  <c r="H92" i="8"/>
  <c r="I92" i="8"/>
  <c r="K92" i="8" s="1"/>
  <c r="M92" i="8" s="1"/>
  <c r="H312" i="8"/>
  <c r="I312" i="8"/>
  <c r="H313" i="8"/>
  <c r="I313" i="8"/>
  <c r="H316" i="8"/>
  <c r="I316" i="8"/>
  <c r="H2139" i="8"/>
  <c r="I2139" i="8"/>
  <c r="K2139" i="8" s="1"/>
  <c r="M2139" i="8" s="1"/>
  <c r="H308" i="8"/>
  <c r="I308" i="8"/>
  <c r="H302" i="8"/>
  <c r="I302" i="8"/>
  <c r="H303" i="8"/>
  <c r="I303" i="8"/>
  <c r="H301" i="8"/>
  <c r="I301" i="8"/>
  <c r="K301" i="8" s="1"/>
  <c r="M301" i="8" s="1"/>
  <c r="H2137" i="8"/>
  <c r="I2137" i="8"/>
  <c r="I281" i="8"/>
  <c r="I280" i="8"/>
  <c r="H280" i="8"/>
  <c r="J280" i="8" s="1"/>
  <c r="L280" i="8" s="1"/>
  <c r="N280" i="8" s="1"/>
  <c r="H281" i="8"/>
  <c r="I1716" i="8"/>
  <c r="H1716" i="8"/>
  <c r="J1716" i="8" s="1"/>
  <c r="L1716" i="8" s="1"/>
  <c r="N1716" i="8" s="1"/>
  <c r="H2081" i="8"/>
  <c r="I2081" i="8"/>
  <c r="H2082" i="8"/>
  <c r="I2082" i="8"/>
  <c r="H2222" i="8"/>
  <c r="I2222" i="8"/>
  <c r="I2198" i="8"/>
  <c r="H2198" i="8"/>
  <c r="J2198" i="8" s="1"/>
  <c r="L2198" i="8" s="1"/>
  <c r="N2198" i="8" s="1"/>
  <c r="H241" i="8"/>
  <c r="H242" i="8"/>
  <c r="J242" i="8" s="1"/>
  <c r="L242" i="8" s="1"/>
  <c r="N242" i="8" s="1"/>
  <c r="H1718" i="8"/>
  <c r="H1747" i="8"/>
  <c r="H315" i="8"/>
  <c r="I315" i="8"/>
  <c r="H321" i="8"/>
  <c r="I321" i="8"/>
  <c r="K321" i="8" s="1"/>
  <c r="M321" i="8" s="1"/>
  <c r="H332" i="8"/>
  <c r="I332" i="8"/>
  <c r="H362" i="8"/>
  <c r="I362" i="8"/>
  <c r="H368" i="8"/>
  <c r="I368" i="8"/>
  <c r="H369" i="8"/>
  <c r="I369" i="8"/>
  <c r="K369" i="8" s="1"/>
  <c r="M369" i="8" s="1"/>
  <c r="H371" i="8"/>
  <c r="I371" i="8"/>
  <c r="H450" i="8"/>
  <c r="I450" i="8"/>
  <c r="H576" i="8"/>
  <c r="I576" i="8"/>
  <c r="H586" i="8"/>
  <c r="I586" i="8"/>
  <c r="K586" i="8" s="1"/>
  <c r="M586" i="8" s="1"/>
  <c r="H590" i="8"/>
  <c r="I590" i="8"/>
  <c r="H597" i="8"/>
  <c r="I597" i="8"/>
  <c r="H602" i="8"/>
  <c r="I602" i="8"/>
  <c r="H605" i="8"/>
  <c r="I605" i="8"/>
  <c r="K605" i="8" s="1"/>
  <c r="M605" i="8" s="1"/>
  <c r="H137" i="8"/>
  <c r="I137" i="8"/>
  <c r="H138" i="8"/>
  <c r="I138" i="8"/>
  <c r="H615" i="8"/>
  <c r="I615" i="8"/>
  <c r="H616" i="8"/>
  <c r="I616" i="8"/>
  <c r="K616" i="8" s="1"/>
  <c r="M616" i="8" s="1"/>
  <c r="H666" i="8"/>
  <c r="I666" i="8"/>
  <c r="H695" i="8"/>
  <c r="I695" i="8"/>
  <c r="H700" i="8"/>
  <c r="I700" i="8"/>
  <c r="H772" i="8"/>
  <c r="I772" i="8"/>
  <c r="K772" i="8" s="1"/>
  <c r="M772" i="8" s="1"/>
  <c r="H779" i="8"/>
  <c r="I779" i="8"/>
  <c r="H783" i="8"/>
  <c r="I783" i="8"/>
  <c r="H792" i="8"/>
  <c r="I792" i="8"/>
  <c r="H153" i="8"/>
  <c r="I153" i="8"/>
  <c r="K153" i="8" s="1"/>
  <c r="M153" i="8" s="1"/>
  <c r="H154" i="8"/>
  <c r="I154" i="8"/>
  <c r="H816" i="8"/>
  <c r="I816" i="8"/>
  <c r="H817" i="8"/>
  <c r="I817" i="8"/>
  <c r="H157" i="8"/>
  <c r="I157" i="8"/>
  <c r="K157" i="8" s="1"/>
  <c r="M157" i="8" s="1"/>
  <c r="H158" i="8"/>
  <c r="I158" i="8"/>
  <c r="H936" i="8"/>
  <c r="I936" i="8"/>
  <c r="H62" i="8"/>
  <c r="I62" i="8"/>
  <c r="H63" i="8"/>
  <c r="I63" i="8"/>
  <c r="K63" i="8" s="1"/>
  <c r="M63" i="8" s="1"/>
  <c r="H64" i="8"/>
  <c r="I64" i="8"/>
  <c r="H965" i="8"/>
  <c r="I965" i="8"/>
  <c r="H971" i="8"/>
  <c r="I971" i="8"/>
  <c r="H973" i="8"/>
  <c r="I973" i="8"/>
  <c r="K973" i="8" s="1"/>
  <c r="M973" i="8" s="1"/>
  <c r="H999" i="8"/>
  <c r="I999" i="8"/>
  <c r="H1003" i="8"/>
  <c r="I1003" i="8"/>
  <c r="H1019" i="8"/>
  <c r="I1019" i="8"/>
  <c r="H1081" i="8"/>
  <c r="I1081" i="8"/>
  <c r="K1081" i="8" s="1"/>
  <c r="M1081" i="8" s="1"/>
  <c r="H1104" i="8"/>
  <c r="I1104" i="8"/>
  <c r="H1120" i="8"/>
  <c r="I1120" i="8"/>
  <c r="H175" i="8"/>
  <c r="I175" i="8"/>
  <c r="H176" i="8"/>
  <c r="I176" i="8"/>
  <c r="K176" i="8" s="1"/>
  <c r="M176" i="8" s="1"/>
  <c r="H1125" i="8"/>
  <c r="I1125" i="8"/>
  <c r="H1126" i="8"/>
  <c r="I1126" i="8"/>
  <c r="H1141" i="8"/>
  <c r="I1141" i="8"/>
  <c r="H1154" i="8"/>
  <c r="I1154" i="8"/>
  <c r="K1154" i="8" s="1"/>
  <c r="M1154" i="8" s="1"/>
  <c r="H1206" i="8"/>
  <c r="I1206" i="8"/>
  <c r="H1240" i="8"/>
  <c r="I1240" i="8"/>
  <c r="H1243" i="8"/>
  <c r="I1243" i="8"/>
  <c r="H1248" i="8"/>
  <c r="I1248" i="8"/>
  <c r="K1248" i="8" s="1"/>
  <c r="M1248" i="8" s="1"/>
  <c r="H1253" i="8"/>
  <c r="I1253" i="8"/>
  <c r="H1288" i="8"/>
  <c r="I1288" i="8"/>
  <c r="H203" i="8"/>
  <c r="I203" i="8"/>
  <c r="H204" i="8"/>
  <c r="I204" i="8"/>
  <c r="K204" i="8" s="1"/>
  <c r="M204" i="8" s="1"/>
  <c r="H1343" i="8"/>
  <c r="I1343" i="8"/>
  <c r="H1345" i="8"/>
  <c r="I1345" i="8"/>
  <c r="H2270" i="8"/>
  <c r="I2270" i="8"/>
  <c r="H1355" i="8"/>
  <c r="I1355" i="8"/>
  <c r="K1355" i="8" s="1"/>
  <c r="M1355" i="8" s="1"/>
  <c r="H1465" i="8"/>
  <c r="I1465" i="8"/>
  <c r="H2279" i="8"/>
  <c r="I2279" i="8"/>
  <c r="H1546" i="8"/>
  <c r="I1546" i="8"/>
  <c r="H1574" i="8"/>
  <c r="I1574" i="8"/>
  <c r="K1574" i="8" s="1"/>
  <c r="M1574" i="8" s="1"/>
  <c r="H1633" i="8"/>
  <c r="I1633" i="8"/>
  <c r="H2125" i="8"/>
  <c r="I2125" i="8"/>
  <c r="H2126" i="8"/>
  <c r="I2126" i="8"/>
  <c r="H1782" i="8"/>
  <c r="I1782" i="8"/>
  <c r="K1782" i="8" s="1"/>
  <c r="M1782" i="8" s="1"/>
  <c r="H1784" i="8"/>
  <c r="I1784" i="8"/>
  <c r="H1787" i="8"/>
  <c r="I1787" i="8"/>
  <c r="H1808" i="8"/>
  <c r="I1808" i="8"/>
  <c r="H1818" i="8"/>
  <c r="I1818" i="8"/>
  <c r="K1818" i="8" s="1"/>
  <c r="M1818" i="8" s="1"/>
  <c r="H1824" i="8"/>
  <c r="I1824" i="8"/>
  <c r="H1833" i="8"/>
  <c r="I1833" i="8"/>
  <c r="I1913" i="8"/>
  <c r="H1913" i="8"/>
  <c r="H2135" i="8"/>
  <c r="I2135" i="8"/>
  <c r="K2135" i="8" s="1"/>
  <c r="M2135" i="8" s="1"/>
  <c r="H282" i="8"/>
  <c r="I282" i="8"/>
  <c r="H285" i="8"/>
  <c r="I285" i="8"/>
  <c r="H286" i="8"/>
  <c r="I286" i="8"/>
  <c r="H287" i="8"/>
  <c r="I287" i="8"/>
  <c r="K287" i="8" s="1"/>
  <c r="M287" i="8" s="1"/>
  <c r="H289" i="8"/>
  <c r="I289" i="8"/>
  <c r="H290" i="8"/>
  <c r="I290" i="8"/>
  <c r="H291" i="8"/>
  <c r="I291" i="8"/>
  <c r="H296" i="8"/>
  <c r="I296" i="8"/>
  <c r="K296" i="8" s="1"/>
  <c r="M296" i="8" s="1"/>
  <c r="H298" i="8"/>
  <c r="I298" i="8"/>
  <c r="H299" i="8"/>
  <c r="I299" i="8"/>
  <c r="H300" i="8"/>
  <c r="I300" i="8"/>
  <c r="H2138" i="8"/>
  <c r="I2138" i="8"/>
  <c r="K2138" i="8" s="1"/>
  <c r="M2138" i="8" s="1"/>
  <c r="H304" i="8"/>
  <c r="I304" i="8"/>
  <c r="H89" i="8"/>
  <c r="I89" i="8"/>
  <c r="H90" i="8"/>
  <c r="I90" i="8"/>
  <c r="H307" i="8"/>
  <c r="I307" i="8"/>
  <c r="K307" i="8" s="1"/>
  <c r="M307" i="8" s="1"/>
  <c r="H309" i="8"/>
  <c r="I309" i="8"/>
  <c r="H310" i="8"/>
  <c r="I310" i="8"/>
  <c r="H93" i="8"/>
  <c r="I93" i="8"/>
  <c r="H94" i="8"/>
  <c r="I94" i="8"/>
  <c r="K94" i="8" s="1"/>
  <c r="M94" i="8" s="1"/>
  <c r="H314" i="8"/>
  <c r="I314" i="8"/>
  <c r="H95" i="8"/>
  <c r="I95" i="8"/>
  <c r="H96" i="8"/>
  <c r="I96" i="8"/>
  <c r="H318" i="8"/>
  <c r="I318" i="8"/>
  <c r="K318" i="8" s="1"/>
  <c r="M318" i="8" s="1"/>
  <c r="H319" i="8"/>
  <c r="I319" i="8"/>
  <c r="H320" i="8"/>
  <c r="I320" i="8"/>
  <c r="H322" i="8"/>
  <c r="I322" i="8"/>
  <c r="H325" i="8"/>
  <c r="I325" i="8"/>
  <c r="K325" i="8" s="1"/>
  <c r="M325" i="8" s="1"/>
  <c r="H326" i="8"/>
  <c r="I326" i="8"/>
  <c r="H329" i="8"/>
  <c r="I329" i="8"/>
  <c r="H330" i="8"/>
  <c r="I330" i="8"/>
  <c r="H2140" i="8"/>
  <c r="I2140" i="8"/>
  <c r="K2140" i="8" s="1"/>
  <c r="M2140" i="8" s="1"/>
  <c r="H333" i="8"/>
  <c r="I333" i="8"/>
  <c r="H336" i="8"/>
  <c r="I336" i="8"/>
  <c r="H338" i="8"/>
  <c r="I338" i="8"/>
  <c r="H339" i="8"/>
  <c r="I339" i="8"/>
  <c r="K339" i="8" s="1"/>
  <c r="M339" i="8" s="1"/>
  <c r="H340" i="8"/>
  <c r="I340" i="8"/>
  <c r="H341" i="8"/>
  <c r="I341" i="8"/>
  <c r="H97" i="8"/>
  <c r="I97" i="8"/>
  <c r="H98" i="8"/>
  <c r="I98" i="8"/>
  <c r="K98" i="8" s="1"/>
  <c r="M98" i="8" s="1"/>
  <c r="H343" i="8"/>
  <c r="I343" i="8"/>
  <c r="H344" i="8"/>
  <c r="I344" i="8"/>
  <c r="H346" i="8"/>
  <c r="I346" i="8"/>
  <c r="H99" i="8"/>
  <c r="I99" i="8"/>
  <c r="K99" i="8" s="1"/>
  <c r="M99" i="8" s="1"/>
  <c r="H100" i="8"/>
  <c r="I100" i="8"/>
  <c r="H348" i="8"/>
  <c r="I348" i="8"/>
  <c r="H350" i="8"/>
  <c r="I350" i="8"/>
  <c r="H351" i="8"/>
  <c r="I351" i="8"/>
  <c r="K351" i="8" s="1"/>
  <c r="M351" i="8" s="1"/>
  <c r="H356" i="8"/>
  <c r="I356" i="8"/>
  <c r="H357" i="8"/>
  <c r="I357" i="8"/>
  <c r="H358" i="8"/>
  <c r="I358" i="8"/>
  <c r="H360" i="8"/>
  <c r="I360" i="8"/>
  <c r="K360" i="8" s="1"/>
  <c r="M360" i="8" s="1"/>
  <c r="H361" i="8"/>
  <c r="I361" i="8"/>
  <c r="H2142" i="8"/>
  <c r="I2142" i="8"/>
  <c r="H363" i="8"/>
  <c r="I363" i="8"/>
  <c r="H365" i="8"/>
  <c r="I365" i="8"/>
  <c r="K365" i="8" s="1"/>
  <c r="M365" i="8" s="1"/>
  <c r="H366" i="8"/>
  <c r="I366" i="8"/>
  <c r="H370" i="8"/>
  <c r="I370" i="8"/>
  <c r="H372" i="8"/>
  <c r="I372" i="8"/>
  <c r="H373" i="8"/>
  <c r="I373" i="8"/>
  <c r="K373" i="8" s="1"/>
  <c r="M373" i="8" s="1"/>
  <c r="H374" i="8"/>
  <c r="I374" i="8"/>
  <c r="H2143" i="8"/>
  <c r="I2143" i="8"/>
  <c r="H380" i="8"/>
  <c r="I380" i="8"/>
  <c r="H381" i="8"/>
  <c r="I381" i="8"/>
  <c r="K381" i="8" s="1"/>
  <c r="M381" i="8" s="1"/>
  <c r="H103" i="8"/>
  <c r="I103" i="8"/>
  <c r="H104" i="8"/>
  <c r="I104" i="8"/>
  <c r="H383" i="8"/>
  <c r="I383" i="8"/>
  <c r="H2144" i="8"/>
  <c r="I2144" i="8"/>
  <c r="K2144" i="8" s="1"/>
  <c r="M2144" i="8" s="1"/>
  <c r="H384" i="8"/>
  <c r="I384" i="8"/>
  <c r="H385" i="8"/>
  <c r="I385" i="8"/>
  <c r="H386" i="8"/>
  <c r="I386" i="8"/>
  <c r="H387" i="8"/>
  <c r="I387" i="8"/>
  <c r="K387" i="8" s="1"/>
  <c r="M387" i="8" s="1"/>
  <c r="H388" i="8"/>
  <c r="I388" i="8"/>
  <c r="H390" i="8"/>
  <c r="I390" i="8"/>
  <c r="H392" i="8"/>
  <c r="I392" i="8"/>
  <c r="H105" i="8"/>
  <c r="I105" i="8"/>
  <c r="K105" i="8" s="1"/>
  <c r="M105" i="8" s="1"/>
  <c r="H106" i="8"/>
  <c r="I106" i="8"/>
  <c r="H397" i="8"/>
  <c r="I397" i="8"/>
  <c r="H398" i="8"/>
  <c r="I398" i="8"/>
  <c r="H109" i="8"/>
  <c r="I109" i="8"/>
  <c r="K109" i="8" s="1"/>
  <c r="M109" i="8" s="1"/>
  <c r="H110" i="8"/>
  <c r="I110" i="8"/>
  <c r="H412" i="8"/>
  <c r="I412" i="8"/>
  <c r="H416" i="8"/>
  <c r="I416" i="8"/>
  <c r="H418" i="8"/>
  <c r="I418" i="8"/>
  <c r="K418" i="8" s="1"/>
  <c r="M418" i="8" s="1"/>
  <c r="H420" i="8"/>
  <c r="I420" i="8"/>
  <c r="H421" i="8"/>
  <c r="I421" i="8"/>
  <c r="H2146" i="8"/>
  <c r="I2146" i="8"/>
  <c r="H111" i="8"/>
  <c r="I111" i="8"/>
  <c r="K111" i="8" s="1"/>
  <c r="M111" i="8" s="1"/>
  <c r="H112" i="8"/>
  <c r="I112" i="8"/>
  <c r="H425" i="8"/>
  <c r="I425" i="8"/>
  <c r="H426" i="8"/>
  <c r="I426" i="8"/>
  <c r="H427" i="8"/>
  <c r="I427" i="8"/>
  <c r="K427" i="8" s="1"/>
  <c r="M427" i="8" s="1"/>
  <c r="H428" i="8"/>
  <c r="I428" i="8"/>
  <c r="H431" i="8"/>
  <c r="I431" i="8"/>
  <c r="H433" i="8"/>
  <c r="I433" i="8"/>
  <c r="H440" i="8"/>
  <c r="I440" i="8"/>
  <c r="K440" i="8" s="1"/>
  <c r="M440" i="8" s="1"/>
  <c r="H113" i="8"/>
  <c r="I113" i="8"/>
  <c r="H114" i="8"/>
  <c r="I114" i="8"/>
  <c r="H444" i="8"/>
  <c r="I444" i="8"/>
  <c r="H451" i="8"/>
  <c r="I451" i="8"/>
  <c r="K451" i="8" s="1"/>
  <c r="M451" i="8" s="1"/>
  <c r="H2147" i="8"/>
  <c r="I2147" i="8"/>
  <c r="H452" i="8"/>
  <c r="I452" i="8"/>
  <c r="H454" i="8"/>
  <c r="I454" i="8"/>
  <c r="H2059" i="8"/>
  <c r="I2059" i="8"/>
  <c r="K2059" i="8" s="1"/>
  <c r="M2059" i="8" s="1"/>
  <c r="H2060" i="8"/>
  <c r="I2060" i="8"/>
  <c r="H2148" i="8"/>
  <c r="I2148" i="8"/>
  <c r="H2151" i="8"/>
  <c r="I2151" i="8"/>
  <c r="H2061" i="8"/>
  <c r="I2061" i="8"/>
  <c r="K2061" i="8" s="1"/>
  <c r="M2061" i="8" s="1"/>
  <c r="H2062" i="8"/>
  <c r="I2062" i="8"/>
  <c r="H458" i="8"/>
  <c r="I458" i="8"/>
  <c r="H459" i="8"/>
  <c r="I459" i="8"/>
  <c r="H460" i="8"/>
  <c r="I460" i="8"/>
  <c r="K460" i="8" s="1"/>
  <c r="M460" i="8" s="1"/>
  <c r="H461" i="8"/>
  <c r="I461" i="8"/>
  <c r="H2154" i="8"/>
  <c r="I2154" i="8"/>
  <c r="H462" i="8"/>
  <c r="I462" i="8"/>
  <c r="H2155" i="8"/>
  <c r="I2155" i="8"/>
  <c r="K2155" i="8" s="1"/>
  <c r="M2155" i="8" s="1"/>
  <c r="H2156" i="8"/>
  <c r="I2156" i="8"/>
  <c r="H115" i="8"/>
  <c r="I115" i="8"/>
  <c r="H116" i="8"/>
  <c r="I116" i="8"/>
  <c r="H2158" i="8"/>
  <c r="I2158" i="8"/>
  <c r="K2158" i="8" s="1"/>
  <c r="M2158" i="8" s="1"/>
  <c r="H465" i="8"/>
  <c r="I465" i="8"/>
  <c r="H466" i="8"/>
  <c r="I466" i="8"/>
  <c r="H2159" i="8"/>
  <c r="I2159" i="8"/>
  <c r="H2160" i="8"/>
  <c r="I2160" i="8"/>
  <c r="K2160" i="8" s="1"/>
  <c r="M2160" i="8" s="1"/>
  <c r="H2161" i="8"/>
  <c r="I2161" i="8"/>
  <c r="H467" i="8"/>
  <c r="I467" i="8"/>
  <c r="H468" i="8"/>
  <c r="I468" i="8"/>
  <c r="H2167" i="8"/>
  <c r="I2167" i="8"/>
  <c r="K2167" i="8" s="1"/>
  <c r="M2167" i="8" s="1"/>
  <c r="H470" i="8"/>
  <c r="I470" i="8"/>
  <c r="H2168" i="8"/>
  <c r="I2168" i="8"/>
  <c r="H471" i="8"/>
  <c r="I471" i="8"/>
  <c r="H2065" i="8"/>
  <c r="I2065" i="8"/>
  <c r="K2065" i="8" s="1"/>
  <c r="M2065" i="8" s="1"/>
  <c r="H2066" i="8"/>
  <c r="I2066" i="8"/>
  <c r="H2170" i="8"/>
  <c r="I2170" i="8"/>
  <c r="H2171" i="8"/>
  <c r="I2171" i="8"/>
  <c r="H472" i="8"/>
  <c r="I472" i="8"/>
  <c r="K472" i="8" s="1"/>
  <c r="M472" i="8" s="1"/>
  <c r="H474" i="8"/>
  <c r="I474" i="8"/>
  <c r="H475" i="8"/>
  <c r="I475" i="8"/>
  <c r="H477" i="8"/>
  <c r="I477" i="8"/>
  <c r="H478" i="8"/>
  <c r="I478" i="8"/>
  <c r="K478" i="8" s="1"/>
  <c r="M478" i="8" s="1"/>
  <c r="H2174" i="8"/>
  <c r="I2174" i="8"/>
  <c r="H2175" i="8"/>
  <c r="I2175" i="8"/>
  <c r="H480" i="8"/>
  <c r="I480" i="8"/>
  <c r="H2176" i="8"/>
  <c r="I2176" i="8"/>
  <c r="K2176" i="8" s="1"/>
  <c r="M2176" i="8" s="1"/>
  <c r="H2177" i="8"/>
  <c r="I2177" i="8"/>
  <c r="H23" i="8"/>
  <c r="I23" i="8"/>
  <c r="H24" i="8"/>
  <c r="I24" i="8"/>
  <c r="H25" i="8"/>
  <c r="I25" i="8"/>
  <c r="K25" i="8" s="1"/>
  <c r="M25" i="8" s="1"/>
  <c r="H26" i="8"/>
  <c r="I26" i="8"/>
  <c r="H2178" i="8"/>
  <c r="I2178" i="8"/>
  <c r="H119" i="8"/>
  <c r="I119" i="8"/>
  <c r="H120" i="8"/>
  <c r="I120" i="8"/>
  <c r="K120" i="8" s="1"/>
  <c r="M120" i="8" s="1"/>
  <c r="H484" i="8"/>
  <c r="I484" i="8"/>
  <c r="H485" i="8"/>
  <c r="I485" i="8"/>
  <c r="H486" i="8"/>
  <c r="I486" i="8"/>
  <c r="H487" i="8"/>
  <c r="I487" i="8"/>
  <c r="K487" i="8" s="1"/>
  <c r="M487" i="8" s="1"/>
  <c r="H488" i="8"/>
  <c r="I488" i="8"/>
  <c r="H2180" i="8"/>
  <c r="I2180" i="8"/>
  <c r="H2181" i="8"/>
  <c r="I2181" i="8"/>
  <c r="H2182" i="8"/>
  <c r="I2182" i="8"/>
  <c r="K2182" i="8" s="1"/>
  <c r="M2182" i="8" s="1"/>
  <c r="H2067" i="8"/>
  <c r="I2067" i="8"/>
  <c r="H2068" i="8"/>
  <c r="I2068" i="8"/>
  <c r="H121" i="8"/>
  <c r="I121" i="8"/>
  <c r="H122" i="8"/>
  <c r="I122" i="8"/>
  <c r="K122" i="8" s="1"/>
  <c r="M122" i="8" s="1"/>
  <c r="H2069" i="8"/>
  <c r="I2069" i="8"/>
  <c r="H2070" i="8"/>
  <c r="I2070" i="8"/>
  <c r="H490" i="8"/>
  <c r="I490" i="8"/>
  <c r="H2184" i="8"/>
  <c r="I2184" i="8"/>
  <c r="K2184" i="8" s="1"/>
  <c r="M2184" i="8" s="1"/>
  <c r="H495" i="8"/>
  <c r="I495" i="8"/>
  <c r="H496" i="8"/>
  <c r="I496" i="8"/>
  <c r="H2187" i="8"/>
  <c r="I2187" i="8"/>
  <c r="H2188" i="8"/>
  <c r="I2188" i="8"/>
  <c r="K2188" i="8" s="1"/>
  <c r="M2188" i="8" s="1"/>
  <c r="H2189" i="8"/>
  <c r="I2189" i="8"/>
  <c r="H497" i="8"/>
  <c r="I497" i="8"/>
  <c r="H2190" i="8"/>
  <c r="I2190" i="8"/>
  <c r="H498" i="8"/>
  <c r="I498" i="8"/>
  <c r="K498" i="8" s="1"/>
  <c r="M498" i="8" s="1"/>
  <c r="H123" i="8"/>
  <c r="I123" i="8"/>
  <c r="H124" i="8"/>
  <c r="I124" i="8"/>
  <c r="H500" i="8"/>
  <c r="I500" i="8"/>
  <c r="H501" i="8"/>
  <c r="I501" i="8"/>
  <c r="K501" i="8" s="1"/>
  <c r="M501" i="8" s="1"/>
  <c r="H2191" i="8"/>
  <c r="I2191" i="8"/>
  <c r="H2071" i="8"/>
  <c r="I2071" i="8"/>
  <c r="H2072" i="8"/>
  <c r="I2072" i="8"/>
  <c r="H2192" i="8"/>
  <c r="I2192" i="8"/>
  <c r="K2192" i="8" s="1"/>
  <c r="M2192" i="8" s="1"/>
  <c r="H503" i="8"/>
  <c r="I503" i="8"/>
  <c r="H2193" i="8"/>
  <c r="I2193" i="8"/>
  <c r="H2195" i="8"/>
  <c r="I2195" i="8"/>
  <c r="H505" i="8"/>
  <c r="I505" i="8"/>
  <c r="K505" i="8" s="1"/>
  <c r="M505" i="8" s="1"/>
  <c r="H2196" i="8"/>
  <c r="I2196" i="8"/>
  <c r="H506" i="8"/>
  <c r="I506" i="8"/>
  <c r="H2197" i="8"/>
  <c r="I2197" i="8"/>
  <c r="H2075" i="8"/>
  <c r="I2075" i="8"/>
  <c r="K2075" i="8" s="1"/>
  <c r="M2075" i="8" s="1"/>
  <c r="H2076" i="8"/>
  <c r="I2076" i="8"/>
  <c r="H508" i="8"/>
  <c r="I508" i="8"/>
  <c r="H2077" i="8"/>
  <c r="I2077" i="8"/>
  <c r="H2078" i="8"/>
  <c r="I2078" i="8"/>
  <c r="K2078" i="8" s="1"/>
  <c r="M2078" i="8" s="1"/>
  <c r="H511" i="8"/>
  <c r="I511" i="8"/>
  <c r="H2201" i="8"/>
  <c r="I2201" i="8"/>
  <c r="H512" i="8"/>
  <c r="I512" i="8"/>
  <c r="H2202" i="8"/>
  <c r="I2202" i="8"/>
  <c r="K2202" i="8" s="1"/>
  <c r="M2202" i="8" s="1"/>
  <c r="H513" i="8"/>
  <c r="I513" i="8"/>
  <c r="H514" i="8"/>
  <c r="I514" i="8"/>
  <c r="H515" i="8"/>
  <c r="I515" i="8"/>
  <c r="H518" i="8"/>
  <c r="I518" i="8"/>
  <c r="K518" i="8" s="1"/>
  <c r="M518" i="8" s="1"/>
  <c r="H2203" i="8"/>
  <c r="I2203" i="8"/>
  <c r="H2079" i="8"/>
  <c r="I2079" i="8"/>
  <c r="H2080" i="8"/>
  <c r="I2080" i="8"/>
  <c r="H2205" i="8"/>
  <c r="I2205" i="8"/>
  <c r="K2205" i="8" s="1"/>
  <c r="M2205" i="8" s="1"/>
  <c r="H131" i="8"/>
  <c r="I131" i="8"/>
  <c r="H132" i="8"/>
  <c r="I132" i="8"/>
  <c r="H49" i="8"/>
  <c r="I49" i="8"/>
  <c r="H50" i="8"/>
  <c r="I50" i="8"/>
  <c r="K50" i="8" s="1"/>
  <c r="M50" i="8" s="1"/>
  <c r="H51" i="8"/>
  <c r="I51" i="8"/>
  <c r="H2206" i="8"/>
  <c r="I2206" i="8"/>
  <c r="H522" i="8"/>
  <c r="I522" i="8"/>
  <c r="H523" i="8"/>
  <c r="I523" i="8"/>
  <c r="K523" i="8" s="1"/>
  <c r="M523" i="8" s="1"/>
  <c r="H2208" i="8"/>
  <c r="I2208" i="8"/>
  <c r="H2209" i="8"/>
  <c r="I2209" i="8"/>
  <c r="H2210" i="8"/>
  <c r="I2210" i="8"/>
  <c r="H2213" i="8"/>
  <c r="I2213" i="8"/>
  <c r="K2213" i="8" s="1"/>
  <c r="M2213" i="8" s="1"/>
  <c r="H2217" i="8"/>
  <c r="I2217" i="8"/>
  <c r="H2083" i="8"/>
  <c r="I2083" i="8"/>
  <c r="H2084" i="8"/>
  <c r="I2084" i="8"/>
  <c r="H529" i="8"/>
  <c r="I529" i="8"/>
  <c r="K529" i="8" s="1"/>
  <c r="M529" i="8" s="1"/>
  <c r="H2220" i="8"/>
  <c r="I2220" i="8"/>
  <c r="H530" i="8"/>
  <c r="I530" i="8"/>
  <c r="H533" i="8"/>
  <c r="I533" i="8"/>
  <c r="H534" i="8"/>
  <c r="I534" i="8"/>
  <c r="K534" i="8" s="1"/>
  <c r="M534" i="8" s="1"/>
  <c r="H536" i="8"/>
  <c r="I536" i="8"/>
  <c r="H2223" i="8"/>
  <c r="I2223" i="8"/>
  <c r="H1995" i="8"/>
  <c r="I1995" i="8"/>
  <c r="H1996" i="8"/>
  <c r="I1996" i="8"/>
  <c r="K1996" i="8" s="1"/>
  <c r="M1996" i="8" s="1"/>
  <c r="H1997" i="8"/>
  <c r="I1997" i="8"/>
  <c r="H1998" i="8"/>
  <c r="I1998" i="8"/>
  <c r="H1999" i="8"/>
  <c r="I1999" i="8"/>
  <c r="H2000" i="8"/>
  <c r="I2000" i="8"/>
  <c r="K2000" i="8" s="1"/>
  <c r="M2000" i="8" s="1"/>
  <c r="H2001" i="8"/>
  <c r="I2001" i="8"/>
  <c r="H2002" i="8"/>
  <c r="I2002" i="8"/>
  <c r="H2224" i="8"/>
  <c r="I2224" i="8"/>
  <c r="H2225" i="8"/>
  <c r="I2225" i="8"/>
  <c r="K2225" i="8" s="1"/>
  <c r="M2225" i="8" s="1"/>
  <c r="H2226" i="8"/>
  <c r="I2226" i="8"/>
  <c r="H2227" i="8"/>
  <c r="I2227" i="8"/>
  <c r="H2085" i="8"/>
  <c r="I2085" i="8"/>
  <c r="H2086" i="8"/>
  <c r="I2086" i="8"/>
  <c r="K2086" i="8" s="1"/>
  <c r="M2086" i="8" s="1"/>
  <c r="H537" i="8"/>
  <c r="I537" i="8"/>
  <c r="H538" i="8"/>
  <c r="I538" i="8"/>
  <c r="H539" i="8"/>
  <c r="I539" i="8"/>
  <c r="H2231" i="8"/>
  <c r="I2231" i="8"/>
  <c r="K2231" i="8" s="1"/>
  <c r="M2231" i="8" s="1"/>
  <c r="H2232" i="8"/>
  <c r="I2232" i="8"/>
  <c r="H2233" i="8"/>
  <c r="I2233" i="8"/>
  <c r="H540" i="8"/>
  <c r="I540" i="8"/>
  <c r="H2234" i="8"/>
  <c r="I2234" i="8"/>
  <c r="K2234" i="8" s="1"/>
  <c r="M2234" i="8" s="1"/>
  <c r="H541" i="8"/>
  <c r="I541" i="8"/>
  <c r="H2235" i="8"/>
  <c r="I2235" i="8"/>
  <c r="H542" i="8"/>
  <c r="I542" i="8"/>
  <c r="H133" i="8"/>
  <c r="I133" i="8"/>
  <c r="K133" i="8" s="1"/>
  <c r="M133" i="8" s="1"/>
  <c r="H134" i="8"/>
  <c r="I134" i="8"/>
  <c r="H2236" i="8"/>
  <c r="I2236" i="8"/>
  <c r="H543" i="8"/>
  <c r="I543" i="8"/>
  <c r="H544" i="8"/>
  <c r="I544" i="8"/>
  <c r="K544" i="8" s="1"/>
  <c r="M544" i="8" s="1"/>
  <c r="H2237" i="8"/>
  <c r="I2237" i="8"/>
  <c r="H2238" i="8"/>
  <c r="I2238" i="8"/>
  <c r="H545" i="8"/>
  <c r="I545" i="8"/>
  <c r="H546" i="8"/>
  <c r="I546" i="8"/>
  <c r="K546" i="8" s="1"/>
  <c r="M546" i="8" s="1"/>
  <c r="H551" i="8"/>
  <c r="I551" i="8"/>
  <c r="H552" i="8"/>
  <c r="I552" i="8"/>
  <c r="H554" i="8"/>
  <c r="I554" i="8"/>
  <c r="H555" i="8"/>
  <c r="I555" i="8"/>
  <c r="K555" i="8" s="1"/>
  <c r="M555" i="8" s="1"/>
  <c r="H2087" i="8"/>
  <c r="I2087" i="8"/>
  <c r="H2088" i="8"/>
  <c r="I2088" i="8"/>
  <c r="H557" i="8"/>
  <c r="I557" i="8"/>
  <c r="H558" i="8"/>
  <c r="I558" i="8"/>
  <c r="K558" i="8" s="1"/>
  <c r="M558" i="8" s="1"/>
  <c r="H560" i="8"/>
  <c r="I560" i="8"/>
  <c r="H561" i="8"/>
  <c r="I561" i="8"/>
  <c r="H562" i="8"/>
  <c r="I562" i="8"/>
  <c r="H563" i="8"/>
  <c r="I563" i="8"/>
  <c r="K563" i="8" s="1"/>
  <c r="M563" i="8" s="1"/>
  <c r="H573" i="8"/>
  <c r="I573" i="8"/>
  <c r="H574" i="8"/>
  <c r="I574" i="8"/>
  <c r="H577" i="8"/>
  <c r="I577" i="8"/>
  <c r="H583" i="8"/>
  <c r="I583" i="8"/>
  <c r="K583" i="8" s="1"/>
  <c r="M583" i="8" s="1"/>
  <c r="H587" i="8"/>
  <c r="I587" i="8"/>
  <c r="H588" i="8"/>
  <c r="I588" i="8"/>
  <c r="H589" i="8"/>
  <c r="I589" i="8"/>
  <c r="H591" i="8"/>
  <c r="I591" i="8"/>
  <c r="K591" i="8" s="1"/>
  <c r="M591" i="8" s="1"/>
  <c r="H596" i="8"/>
  <c r="I596" i="8"/>
  <c r="H603" i="8"/>
  <c r="I603" i="8"/>
  <c r="H604" i="8"/>
  <c r="I604" i="8"/>
  <c r="H613" i="8"/>
  <c r="I613" i="8"/>
  <c r="K613" i="8" s="1"/>
  <c r="M613" i="8" s="1"/>
  <c r="H617" i="8"/>
  <c r="I617" i="8"/>
  <c r="H623" i="8"/>
  <c r="I623" i="8"/>
  <c r="H624" i="8"/>
  <c r="I624" i="8"/>
  <c r="H625" i="8"/>
  <c r="I625" i="8"/>
  <c r="H139" i="8"/>
  <c r="I139" i="8"/>
  <c r="H140" i="8"/>
  <c r="I140" i="8"/>
  <c r="H628" i="8"/>
  <c r="I628" i="8"/>
  <c r="H629" i="8"/>
  <c r="I629" i="8"/>
  <c r="H630" i="8"/>
  <c r="I630" i="8"/>
  <c r="H632" i="8"/>
  <c r="I632" i="8"/>
  <c r="H636" i="8"/>
  <c r="I636" i="8"/>
  <c r="H637" i="8"/>
  <c r="I637" i="8"/>
  <c r="H2242" i="8"/>
  <c r="I2242" i="8"/>
  <c r="H645" i="8"/>
  <c r="I645" i="8"/>
  <c r="H647" i="8"/>
  <c r="I647" i="8"/>
  <c r="H648" i="8"/>
  <c r="I648" i="8"/>
  <c r="H649" i="8"/>
  <c r="I649" i="8"/>
  <c r="H652" i="8"/>
  <c r="I652" i="8"/>
  <c r="H653" i="8"/>
  <c r="I653" i="8"/>
  <c r="H2093" i="8"/>
  <c r="I2093" i="8"/>
  <c r="H2094" i="8"/>
  <c r="I2094" i="8"/>
  <c r="H662" i="8"/>
  <c r="I662" i="8"/>
  <c r="H663" i="8"/>
  <c r="I663" i="8"/>
  <c r="H664" i="8"/>
  <c r="I664" i="8"/>
  <c r="H665" i="8"/>
  <c r="I665" i="8"/>
  <c r="H668" i="8"/>
  <c r="I668" i="8"/>
  <c r="H670" i="8"/>
  <c r="I670" i="8"/>
  <c r="H671" i="8"/>
  <c r="I671" i="8"/>
  <c r="H672" i="8"/>
  <c r="I672" i="8"/>
  <c r="H674" i="8"/>
  <c r="I674" i="8"/>
  <c r="H675" i="8"/>
  <c r="I675" i="8"/>
  <c r="H678" i="8"/>
  <c r="I678" i="8"/>
  <c r="H680" i="8"/>
  <c r="I680" i="8"/>
  <c r="H681" i="8"/>
  <c r="I681" i="8"/>
  <c r="H682" i="8"/>
  <c r="I682" i="8"/>
  <c r="H683" i="8"/>
  <c r="I683" i="8"/>
  <c r="H684" i="8"/>
  <c r="I684" i="8"/>
  <c r="H696" i="8"/>
  <c r="I696" i="8"/>
  <c r="H701" i="8"/>
  <c r="I701" i="8"/>
  <c r="H702" i="8"/>
  <c r="I702" i="8"/>
  <c r="H2244" i="8"/>
  <c r="I2244" i="8"/>
  <c r="H143" i="8"/>
  <c r="I143" i="8"/>
  <c r="H144" i="8"/>
  <c r="I144" i="8"/>
  <c r="H705" i="8"/>
  <c r="I705" i="8"/>
  <c r="H707" i="8"/>
  <c r="I707" i="8"/>
  <c r="H708" i="8"/>
  <c r="I708" i="8"/>
  <c r="H709" i="8"/>
  <c r="I709" i="8"/>
  <c r="H710" i="8"/>
  <c r="I710" i="8"/>
  <c r="H712" i="8"/>
  <c r="I712" i="8"/>
  <c r="H713" i="8"/>
  <c r="I713" i="8"/>
  <c r="H723" i="8"/>
  <c r="I723" i="8"/>
  <c r="H2095" i="8"/>
  <c r="I2095" i="8"/>
  <c r="H2096" i="8"/>
  <c r="I2096" i="8"/>
  <c r="H2097" i="8"/>
  <c r="I2097" i="8"/>
  <c r="H2098" i="8"/>
  <c r="I2098" i="8"/>
  <c r="H735" i="8"/>
  <c r="I735" i="8"/>
  <c r="H736" i="8"/>
  <c r="I736" i="8"/>
  <c r="H738" i="8"/>
  <c r="I738" i="8"/>
  <c r="H739" i="8"/>
  <c r="I739" i="8"/>
  <c r="H744" i="8"/>
  <c r="I744" i="8"/>
  <c r="H746" i="8"/>
  <c r="I746" i="8"/>
  <c r="H747" i="8"/>
  <c r="I747" i="8"/>
  <c r="H748" i="8"/>
  <c r="I748" i="8"/>
  <c r="H750" i="8"/>
  <c r="I750" i="8"/>
  <c r="H759" i="8"/>
  <c r="I759" i="8"/>
  <c r="H147" i="8"/>
  <c r="I147" i="8"/>
  <c r="H148" i="8"/>
  <c r="I148" i="8"/>
  <c r="H762" i="8"/>
  <c r="I762" i="8"/>
  <c r="H763" i="8"/>
  <c r="I763" i="8"/>
  <c r="H53" i="8"/>
  <c r="I53" i="8"/>
  <c r="H54" i="8"/>
  <c r="I54" i="8"/>
  <c r="H55" i="8"/>
  <c r="I55" i="8"/>
  <c r="H764" i="8"/>
  <c r="I764" i="8"/>
  <c r="H765" i="8"/>
  <c r="I765" i="8"/>
  <c r="H149" i="8"/>
  <c r="I149" i="8"/>
  <c r="H150" i="8"/>
  <c r="I150" i="8"/>
  <c r="H766" i="8"/>
  <c r="I766" i="8"/>
  <c r="H767" i="8"/>
  <c r="I767" i="8"/>
  <c r="H768" i="8"/>
  <c r="I768" i="8"/>
  <c r="H770" i="8"/>
  <c r="I770" i="8"/>
  <c r="H771" i="8"/>
  <c r="I771" i="8"/>
  <c r="H774" i="8"/>
  <c r="I774" i="8"/>
  <c r="H776" i="8"/>
  <c r="I776" i="8"/>
  <c r="H777" i="8"/>
  <c r="I777" i="8"/>
  <c r="H151" i="8"/>
  <c r="I151" i="8"/>
  <c r="H152" i="8"/>
  <c r="I152" i="8"/>
  <c r="K152" i="8" s="1"/>
  <c r="M152" i="8" s="1"/>
  <c r="H785" i="8"/>
  <c r="I785" i="8"/>
  <c r="H786" i="8"/>
  <c r="I786" i="8"/>
  <c r="H787" i="8"/>
  <c r="I787" i="8"/>
  <c r="H793" i="8"/>
  <c r="I793" i="8"/>
  <c r="K793" i="8" s="1"/>
  <c r="M793" i="8" s="1"/>
  <c r="H801" i="8"/>
  <c r="I801" i="8"/>
  <c r="H803" i="8"/>
  <c r="I803" i="8"/>
  <c r="H804" i="8"/>
  <c r="I804" i="8"/>
  <c r="H2101" i="8"/>
  <c r="I2101" i="8"/>
  <c r="K2101" i="8" s="1"/>
  <c r="M2101" i="8" s="1"/>
  <c r="H2102" i="8"/>
  <c r="I2102" i="8"/>
  <c r="H806" i="8"/>
  <c r="I806" i="8"/>
  <c r="H807" i="8"/>
  <c r="I807" i="8"/>
  <c r="H808" i="8"/>
  <c r="I808" i="8"/>
  <c r="K808" i="8" s="1"/>
  <c r="M808" i="8" s="1"/>
  <c r="H809" i="8"/>
  <c r="I809" i="8"/>
  <c r="H810" i="8"/>
  <c r="I810" i="8"/>
  <c r="J812" i="8"/>
  <c r="L812" i="8" s="1"/>
  <c r="N812" i="8" s="1"/>
  <c r="H155" i="8"/>
  <c r="I155" i="8"/>
  <c r="H156" i="8"/>
  <c r="I156" i="8"/>
  <c r="H814" i="8"/>
  <c r="I814" i="8"/>
  <c r="H815" i="8"/>
  <c r="I815" i="8"/>
  <c r="H818" i="8"/>
  <c r="I818" i="8"/>
  <c r="H2035" i="8"/>
  <c r="I2035" i="8"/>
  <c r="H2036" i="8"/>
  <c r="I2036" i="8"/>
  <c r="H2037" i="8"/>
  <c r="I2037" i="8"/>
  <c r="H820" i="8"/>
  <c r="I820" i="8"/>
  <c r="H821" i="8"/>
  <c r="I821" i="8"/>
  <c r="H822" i="8"/>
  <c r="I822" i="8"/>
  <c r="H823" i="8"/>
  <c r="I823" i="8"/>
  <c r="H824" i="8"/>
  <c r="I824" i="8"/>
  <c r="H826" i="8"/>
  <c r="I826" i="8"/>
  <c r="H159" i="8"/>
  <c r="I159" i="8"/>
  <c r="H160" i="8"/>
  <c r="I160" i="8"/>
  <c r="H828" i="8"/>
  <c r="I828" i="8"/>
  <c r="H829" i="8"/>
  <c r="I829" i="8"/>
  <c r="H830" i="8"/>
  <c r="I830" i="8"/>
  <c r="H831" i="8"/>
  <c r="I831" i="8"/>
  <c r="H833" i="8"/>
  <c r="I833" i="8"/>
  <c r="H834" i="8"/>
  <c r="I834" i="8"/>
  <c r="H836" i="8"/>
  <c r="I836" i="8"/>
  <c r="H837" i="8"/>
  <c r="I837" i="8"/>
  <c r="H838" i="8"/>
  <c r="I838" i="8"/>
  <c r="H839" i="8"/>
  <c r="I839" i="8"/>
  <c r="H2022" i="8"/>
  <c r="I2022" i="8"/>
  <c r="H2023" i="8"/>
  <c r="I2023" i="8"/>
  <c r="H2024" i="8"/>
  <c r="I2024" i="8"/>
  <c r="H2025" i="8"/>
  <c r="I2025" i="8"/>
  <c r="H2026" i="8"/>
  <c r="I2026" i="8"/>
  <c r="H2245" i="8"/>
  <c r="I2245" i="8"/>
  <c r="H841" i="8"/>
  <c r="I841" i="8"/>
  <c r="H842" i="8"/>
  <c r="I842" i="8"/>
  <c r="H31" i="8"/>
  <c r="I31" i="8"/>
  <c r="H32" i="8"/>
  <c r="I32" i="8"/>
  <c r="H33" i="8"/>
  <c r="I33" i="8"/>
  <c r="H34" i="8"/>
  <c r="I34" i="8"/>
  <c r="H844" i="8"/>
  <c r="I844" i="8"/>
  <c r="H845" i="8"/>
  <c r="I845" i="8"/>
  <c r="H846" i="8"/>
  <c r="I846" i="8"/>
  <c r="H1986" i="8"/>
  <c r="I1986" i="8"/>
  <c r="H1987" i="8"/>
  <c r="I1987" i="8"/>
  <c r="H1988" i="8"/>
  <c r="I1988" i="8"/>
  <c r="H1989" i="8"/>
  <c r="I1989" i="8"/>
  <c r="H1990" i="8"/>
  <c r="I1990" i="8"/>
  <c r="H1991" i="8"/>
  <c r="I1991" i="8"/>
  <c r="H1992" i="8"/>
  <c r="I1992" i="8"/>
  <c r="H1993" i="8"/>
  <c r="I1993" i="8"/>
  <c r="H1994" i="8"/>
  <c r="I1994" i="8"/>
  <c r="H847" i="8"/>
  <c r="I847" i="8"/>
  <c r="H848" i="8"/>
  <c r="I848" i="8"/>
  <c r="H849" i="8"/>
  <c r="I849" i="8"/>
  <c r="H2246" i="8"/>
  <c r="I2246" i="8"/>
  <c r="H56" i="8"/>
  <c r="I56" i="8"/>
  <c r="H57" i="8"/>
  <c r="I57" i="8"/>
  <c r="H58" i="8"/>
  <c r="I58" i="8"/>
  <c r="H851" i="8"/>
  <c r="I851" i="8"/>
  <c r="H2247" i="8"/>
  <c r="I2247" i="8"/>
  <c r="H852" i="8"/>
  <c r="I852" i="8"/>
  <c r="H2248" i="8"/>
  <c r="I2248" i="8"/>
  <c r="H853" i="8"/>
  <c r="I853" i="8"/>
  <c r="H854" i="8"/>
  <c r="I854" i="8"/>
  <c r="H59" i="8"/>
  <c r="I59" i="8"/>
  <c r="H60" i="8"/>
  <c r="I60" i="8"/>
  <c r="H61" i="8"/>
  <c r="I61" i="8"/>
  <c r="H855" i="8"/>
  <c r="I855" i="8"/>
  <c r="H856" i="8"/>
  <c r="I856" i="8"/>
  <c r="H857" i="8"/>
  <c r="I857" i="8"/>
  <c r="H2249" i="8"/>
  <c r="I2249" i="8"/>
  <c r="H858" i="8"/>
  <c r="I858" i="8"/>
  <c r="H859" i="8"/>
  <c r="I859" i="8"/>
  <c r="H161" i="8"/>
  <c r="I161" i="8"/>
  <c r="H162" i="8"/>
  <c r="I162" i="8"/>
  <c r="H863" i="8"/>
  <c r="I863" i="8"/>
  <c r="H1" i="8"/>
  <c r="I1" i="8"/>
  <c r="H2" i="8"/>
  <c r="J2" i="8" s="1"/>
  <c r="L2" i="8" s="1"/>
  <c r="N2" i="8" s="1"/>
  <c r="I2" i="8"/>
  <c r="H3" i="8"/>
  <c r="I3" i="8"/>
  <c r="H4" i="8"/>
  <c r="I4" i="8"/>
  <c r="H5" i="8"/>
  <c r="I5" i="8"/>
  <c r="H6" i="8"/>
  <c r="I6" i="8"/>
  <c r="H7" i="8"/>
  <c r="I7" i="8"/>
  <c r="H8" i="8"/>
  <c r="I8" i="8"/>
  <c r="H9" i="8"/>
  <c r="I9" i="8"/>
  <c r="H866" i="8"/>
  <c r="I866" i="8"/>
  <c r="H868" i="8"/>
  <c r="I868" i="8"/>
  <c r="H869" i="8"/>
  <c r="I869" i="8"/>
  <c r="H870" i="8"/>
  <c r="I870" i="8"/>
  <c r="H872" i="8"/>
  <c r="I872" i="8"/>
  <c r="H873" i="8"/>
  <c r="I873" i="8"/>
  <c r="H875" i="8"/>
  <c r="I875" i="8"/>
  <c r="H876" i="8"/>
  <c r="I876" i="8"/>
  <c r="H2251" i="8"/>
  <c r="I2251" i="8"/>
  <c r="H878" i="8"/>
  <c r="I878" i="8"/>
  <c r="H879" i="8"/>
  <c r="I879" i="8"/>
  <c r="H883" i="8"/>
  <c r="I883" i="8"/>
  <c r="H885" i="8"/>
  <c r="I885" i="8"/>
  <c r="H886" i="8"/>
  <c r="I886" i="8"/>
  <c r="H887" i="8"/>
  <c r="I887" i="8"/>
  <c r="H888" i="8"/>
  <c r="I888" i="8"/>
  <c r="H890" i="8"/>
  <c r="I890" i="8"/>
  <c r="H891" i="8"/>
  <c r="I891" i="8"/>
  <c r="H892" i="8"/>
  <c r="I892" i="8"/>
  <c r="H893" i="8"/>
  <c r="I893" i="8"/>
  <c r="H901" i="8"/>
  <c r="I901" i="8"/>
  <c r="H903" i="8"/>
  <c r="I903" i="8"/>
  <c r="H904" i="8"/>
  <c r="I904" i="8"/>
  <c r="H163" i="8"/>
  <c r="I163" i="8"/>
  <c r="H164" i="8"/>
  <c r="I164" i="8"/>
  <c r="H906" i="8"/>
  <c r="I906" i="8"/>
  <c r="H907" i="8"/>
  <c r="I907" i="8"/>
  <c r="H909" i="8"/>
  <c r="I909" i="8"/>
  <c r="H910" i="8"/>
  <c r="I910" i="8"/>
  <c r="H911" i="8"/>
  <c r="I911" i="8"/>
  <c r="H912" i="8"/>
  <c r="I912" i="8"/>
  <c r="H913" i="8"/>
  <c r="I913" i="8"/>
  <c r="H920" i="8"/>
  <c r="I920" i="8"/>
  <c r="H921" i="8"/>
  <c r="I921" i="8"/>
  <c r="H922" i="8"/>
  <c r="I922" i="8"/>
  <c r="H924" i="8"/>
  <c r="I924" i="8"/>
  <c r="H925" i="8"/>
  <c r="I925" i="8"/>
  <c r="H926" i="8"/>
  <c r="I926" i="8"/>
  <c r="H945" i="8"/>
  <c r="I945" i="8"/>
  <c r="H951" i="8"/>
  <c r="I951" i="8"/>
  <c r="H952" i="8"/>
  <c r="I952" i="8"/>
  <c r="H959" i="8"/>
  <c r="I959" i="8"/>
  <c r="H961" i="8"/>
  <c r="I961" i="8"/>
  <c r="H962" i="8"/>
  <c r="I962" i="8"/>
  <c r="H970" i="8"/>
  <c r="I970" i="8"/>
  <c r="H972" i="8"/>
  <c r="I972" i="8"/>
  <c r="H2252" i="8"/>
  <c r="I2252" i="8"/>
  <c r="H974" i="8"/>
  <c r="I974" i="8"/>
  <c r="H2253" i="8"/>
  <c r="I2253" i="8"/>
  <c r="H167" i="8"/>
  <c r="I167" i="8"/>
  <c r="H168" i="8"/>
  <c r="I168" i="8"/>
  <c r="H978" i="8"/>
  <c r="I978" i="8"/>
  <c r="H979" i="8"/>
  <c r="I979" i="8"/>
  <c r="H980" i="8"/>
  <c r="I980" i="8"/>
  <c r="H2254" i="8"/>
  <c r="I2254" i="8"/>
  <c r="H982" i="8"/>
  <c r="I982" i="8"/>
  <c r="H983" i="8"/>
  <c r="I983" i="8"/>
  <c r="H984" i="8"/>
  <c r="I984" i="8"/>
  <c r="H991" i="8"/>
  <c r="I991" i="8"/>
  <c r="H992" i="8"/>
  <c r="I992" i="8"/>
  <c r="H994" i="8"/>
  <c r="I994" i="8"/>
  <c r="H995" i="8"/>
  <c r="I995" i="8"/>
  <c r="H2105" i="8"/>
  <c r="I2105" i="8"/>
  <c r="H2106" i="8"/>
  <c r="I2106" i="8"/>
  <c r="H2255" i="8"/>
  <c r="I2255" i="8"/>
  <c r="H996" i="8"/>
  <c r="I996" i="8"/>
  <c r="H997" i="8"/>
  <c r="I997" i="8"/>
  <c r="H1001" i="8"/>
  <c r="I1001" i="8"/>
  <c r="H1004" i="8"/>
  <c r="I1004" i="8"/>
  <c r="H2257" i="8"/>
  <c r="I2257" i="8"/>
  <c r="H1008" i="8"/>
  <c r="I1008" i="8"/>
  <c r="H1009" i="8"/>
  <c r="I1009" i="8"/>
  <c r="H1010" i="8"/>
  <c r="I1010" i="8"/>
  <c r="H1014" i="8"/>
  <c r="I1014" i="8"/>
  <c r="H1016" i="8"/>
  <c r="I1016" i="8"/>
  <c r="H1017" i="8"/>
  <c r="I1017" i="8"/>
  <c r="H1018" i="8"/>
  <c r="I1018" i="8"/>
  <c r="H1021" i="8"/>
  <c r="I1021" i="8"/>
  <c r="H1023" i="8"/>
  <c r="I1023" i="8"/>
  <c r="H1024" i="8"/>
  <c r="I1024" i="8"/>
  <c r="H1025" i="8"/>
  <c r="I1025" i="8"/>
  <c r="H2107" i="8"/>
  <c r="I2107" i="8"/>
  <c r="H2108" i="8"/>
  <c r="I2108" i="8"/>
  <c r="H2258" i="8"/>
  <c r="I2258" i="8"/>
  <c r="H1026" i="8"/>
  <c r="I1026" i="8"/>
  <c r="H169" i="8"/>
  <c r="I169" i="8"/>
  <c r="H170" i="8"/>
  <c r="I170" i="8"/>
  <c r="H1032" i="8"/>
  <c r="I1032" i="8"/>
  <c r="H1033" i="8"/>
  <c r="I1033" i="8"/>
  <c r="H1046" i="8"/>
  <c r="I1046" i="8"/>
  <c r="H1047" i="8"/>
  <c r="I1047" i="8"/>
  <c r="H1049" i="8"/>
  <c r="I1049" i="8"/>
  <c r="H1050" i="8"/>
  <c r="I1050" i="8"/>
  <c r="H1051" i="8"/>
  <c r="I1051" i="8"/>
  <c r="H1053" i="8"/>
  <c r="I1053" i="8"/>
  <c r="H1055" i="8"/>
  <c r="I1055" i="8"/>
  <c r="H1056" i="8"/>
  <c r="I1056" i="8"/>
  <c r="H171" i="8"/>
  <c r="I171" i="8"/>
  <c r="H172" i="8"/>
  <c r="I172" i="8"/>
  <c r="H1059" i="8"/>
  <c r="I1059" i="8"/>
  <c r="H1060" i="8"/>
  <c r="I1060" i="8"/>
  <c r="H1061" i="8"/>
  <c r="I1061" i="8"/>
  <c r="H1063" i="8"/>
  <c r="I1063" i="8"/>
  <c r="H1065" i="8"/>
  <c r="I1065" i="8"/>
  <c r="H1066" i="8"/>
  <c r="I1066" i="8"/>
  <c r="H35" i="8"/>
  <c r="I35" i="8"/>
  <c r="H36" i="8"/>
  <c r="I36" i="8"/>
  <c r="H37" i="8"/>
  <c r="I37" i="8"/>
  <c r="H38" i="8"/>
  <c r="I38" i="8"/>
  <c r="H1069" i="8"/>
  <c r="I1069" i="8"/>
  <c r="H1072" i="8"/>
  <c r="I1072" i="8"/>
  <c r="H1074" i="8"/>
  <c r="I1074" i="8"/>
  <c r="H1076" i="8"/>
  <c r="I1076" i="8"/>
  <c r="H1077" i="8"/>
  <c r="I1077" i="8"/>
  <c r="H1078" i="8"/>
  <c r="I1078" i="8"/>
  <c r="H1080" i="8"/>
  <c r="I1080" i="8"/>
  <c r="H1082" i="8"/>
  <c r="I1082" i="8"/>
  <c r="H1088" i="8"/>
  <c r="I1088" i="8"/>
  <c r="H2261" i="8"/>
  <c r="I2261" i="8"/>
  <c r="H2262" i="8"/>
  <c r="I2262" i="8"/>
  <c r="H2263" i="8"/>
  <c r="I2263" i="8"/>
  <c r="H1090" i="8"/>
  <c r="I1090" i="8"/>
  <c r="H1091" i="8"/>
  <c r="I1091" i="8"/>
  <c r="H1092" i="8"/>
  <c r="I1092" i="8"/>
  <c r="H1093" i="8"/>
  <c r="I1093" i="8"/>
  <c r="H173" i="8"/>
  <c r="I173" i="8"/>
  <c r="H174" i="8"/>
  <c r="I174" i="8"/>
  <c r="H1095" i="8"/>
  <c r="I1095" i="8"/>
  <c r="H1096" i="8"/>
  <c r="I1096" i="8"/>
  <c r="H65" i="8"/>
  <c r="I65" i="8"/>
  <c r="H66" i="8"/>
  <c r="I66" i="8"/>
  <c r="H67" i="8"/>
  <c r="I67" i="8"/>
  <c r="H1098" i="8"/>
  <c r="I1098" i="8"/>
  <c r="H1099" i="8"/>
  <c r="I1099" i="8"/>
  <c r="H1100" i="8"/>
  <c r="I1100" i="8"/>
  <c r="H1101" i="8"/>
  <c r="I1101" i="8"/>
  <c r="H1102" i="8"/>
  <c r="I1102" i="8"/>
  <c r="H1103" i="8"/>
  <c r="I1103" i="8"/>
  <c r="H1105" i="8"/>
  <c r="I1105" i="8"/>
  <c r="H1108" i="8"/>
  <c r="I1108" i="8"/>
  <c r="H1109" i="8"/>
  <c r="I1109" i="8"/>
  <c r="H1111" i="8"/>
  <c r="I1111" i="8"/>
  <c r="H1112" i="8"/>
  <c r="I1112" i="8"/>
  <c r="H1113" i="8"/>
  <c r="I1113" i="8"/>
  <c r="H1115" i="8"/>
  <c r="I1115" i="8"/>
  <c r="H1116" i="8"/>
  <c r="I1116" i="8"/>
  <c r="H1118" i="8"/>
  <c r="I1118" i="8"/>
  <c r="H1119" i="8"/>
  <c r="I1119" i="8"/>
  <c r="H2264" i="8"/>
  <c r="I2264" i="8"/>
  <c r="H1123" i="8"/>
  <c r="I1123" i="8"/>
  <c r="H1127" i="8"/>
  <c r="I1127" i="8"/>
  <c r="H1129" i="8"/>
  <c r="I1129" i="8"/>
  <c r="H1131" i="8"/>
  <c r="J1131" i="8" s="1"/>
  <c r="L1131" i="8" s="1"/>
  <c r="N1131" i="8" s="1"/>
  <c r="I1131" i="8"/>
  <c r="H1132" i="8"/>
  <c r="I1132" i="8"/>
  <c r="H1134" i="8"/>
  <c r="I1134" i="8"/>
  <c r="H1136" i="8"/>
  <c r="I1136" i="8"/>
  <c r="H1137" i="8"/>
  <c r="J1137" i="8" s="1"/>
  <c r="L1137" i="8" s="1"/>
  <c r="N1137" i="8" s="1"/>
  <c r="I1137" i="8"/>
  <c r="H1139" i="8"/>
  <c r="I1139" i="8"/>
  <c r="H1140" i="8"/>
  <c r="I1140" i="8"/>
  <c r="H1142" i="8"/>
  <c r="I1142" i="8"/>
  <c r="H1143" i="8"/>
  <c r="J1143" i="8" s="1"/>
  <c r="L1143" i="8" s="1"/>
  <c r="N1143" i="8" s="1"/>
  <c r="I1143" i="8"/>
  <c r="H1145" i="8"/>
  <c r="I1145" i="8"/>
  <c r="H1146" i="8"/>
  <c r="I1146" i="8"/>
  <c r="H1147" i="8"/>
  <c r="I1147" i="8"/>
  <c r="H1151" i="8"/>
  <c r="J1151" i="8" s="1"/>
  <c r="L1151" i="8" s="1"/>
  <c r="N1151" i="8" s="1"/>
  <c r="I1151" i="8"/>
  <c r="H1153" i="8"/>
  <c r="I1153" i="8"/>
  <c r="H1155" i="8"/>
  <c r="I1155" i="8"/>
  <c r="H1161" i="8"/>
  <c r="I1161" i="8"/>
  <c r="H177" i="8"/>
  <c r="J177" i="8" s="1"/>
  <c r="L177" i="8" s="1"/>
  <c r="N177" i="8" s="1"/>
  <c r="I177" i="8"/>
  <c r="H178" i="8"/>
  <c r="I178" i="8"/>
  <c r="H1165" i="8"/>
  <c r="I1165" i="8"/>
  <c r="H1166" i="8"/>
  <c r="I1166" i="8"/>
  <c r="H1167" i="8"/>
  <c r="J1167" i="8" s="1"/>
  <c r="L1167" i="8" s="1"/>
  <c r="N1167" i="8" s="1"/>
  <c r="I1167" i="8"/>
  <c r="H179" i="8"/>
  <c r="I179" i="8"/>
  <c r="H180" i="8"/>
  <c r="I180" i="8"/>
  <c r="H1172" i="8"/>
  <c r="I1172" i="8"/>
  <c r="H1174" i="8"/>
  <c r="J1174" i="8" s="1"/>
  <c r="L1174" i="8" s="1"/>
  <c r="N1174" i="8" s="1"/>
  <c r="I1174" i="8"/>
  <c r="H1175" i="8"/>
  <c r="I1175" i="8"/>
  <c r="H1177" i="8"/>
  <c r="I1177" i="8"/>
  <c r="H1178" i="8"/>
  <c r="I1178" i="8"/>
  <c r="H1179" i="8"/>
  <c r="J1179" i="8" s="1"/>
  <c r="L1179" i="8" s="1"/>
  <c r="N1179" i="8" s="1"/>
  <c r="I1179" i="8"/>
  <c r="H1181" i="8"/>
  <c r="I1181" i="8"/>
  <c r="H1182" i="8"/>
  <c r="I1182" i="8"/>
  <c r="H1185" i="8"/>
  <c r="I1185" i="8"/>
  <c r="H2038" i="8"/>
  <c r="J2038" i="8" s="1"/>
  <c r="L2038" i="8" s="1"/>
  <c r="N2038" i="8" s="1"/>
  <c r="I2038" i="8"/>
  <c r="H2039" i="8"/>
  <c r="I2039" i="8"/>
  <c r="H2040" i="8"/>
  <c r="I2040" i="8"/>
  <c r="H1186" i="8"/>
  <c r="I1186" i="8"/>
  <c r="H1187" i="8"/>
  <c r="J1187" i="8" s="1"/>
  <c r="L1187" i="8" s="1"/>
  <c r="N1187" i="8" s="1"/>
  <c r="I1187" i="8"/>
  <c r="H2003" i="8"/>
  <c r="I2003" i="8"/>
  <c r="H2004" i="8"/>
  <c r="I2004" i="8"/>
  <c r="H2005" i="8"/>
  <c r="I2005" i="8"/>
  <c r="H2006" i="8"/>
  <c r="J2006" i="8" s="1"/>
  <c r="L2006" i="8" s="1"/>
  <c r="N2006" i="8" s="1"/>
  <c r="I2006" i="8"/>
  <c r="H2007" i="8"/>
  <c r="I2007" i="8"/>
  <c r="H2008" i="8"/>
  <c r="I2008" i="8"/>
  <c r="H2009" i="8"/>
  <c r="I2009" i="8"/>
  <c r="H2010" i="8"/>
  <c r="J2010" i="8" s="1"/>
  <c r="L2010" i="8" s="1"/>
  <c r="N2010" i="8" s="1"/>
  <c r="I2010" i="8"/>
  <c r="H183" i="8"/>
  <c r="I183" i="8"/>
  <c r="H184" i="8"/>
  <c r="I184" i="8"/>
  <c r="H1190" i="8"/>
  <c r="I1190" i="8"/>
  <c r="H1191" i="8"/>
  <c r="J1191" i="8" s="1"/>
  <c r="L1191" i="8" s="1"/>
  <c r="N1191" i="8" s="1"/>
  <c r="I1191" i="8"/>
  <c r="H10" i="8"/>
  <c r="I10" i="8"/>
  <c r="H11" i="8"/>
  <c r="I11" i="8"/>
  <c r="H12" i="8"/>
  <c r="I12" i="8"/>
  <c r="H13" i="8"/>
  <c r="J13" i="8" s="1"/>
  <c r="L13" i="8" s="1"/>
  <c r="N13" i="8" s="1"/>
  <c r="I13" i="8"/>
  <c r="H14" i="8"/>
  <c r="I14" i="8"/>
  <c r="H15" i="8"/>
  <c r="I15" i="8"/>
  <c r="H16" i="8"/>
  <c r="I16" i="8"/>
  <c r="H1193" i="8"/>
  <c r="J1193" i="8" s="1"/>
  <c r="L1193" i="8" s="1"/>
  <c r="N1193" i="8" s="1"/>
  <c r="I1193" i="8"/>
  <c r="H1194" i="8"/>
  <c r="I1194" i="8"/>
  <c r="H187" i="8"/>
  <c r="I187" i="8"/>
  <c r="H188" i="8"/>
  <c r="I188" i="8"/>
  <c r="H1196" i="8"/>
  <c r="J1196" i="8" s="1"/>
  <c r="L1196" i="8" s="1"/>
  <c r="N1196" i="8" s="1"/>
  <c r="I1196" i="8"/>
  <c r="H1197" i="8"/>
  <c r="I1197" i="8"/>
  <c r="H2109" i="8"/>
  <c r="I2109" i="8"/>
  <c r="H2110" i="8"/>
  <c r="I2110" i="8"/>
  <c r="H1200" i="8"/>
  <c r="J1200" i="8" s="1"/>
  <c r="L1200" i="8" s="1"/>
  <c r="N1200" i="8" s="1"/>
  <c r="I1200" i="8"/>
  <c r="H1201" i="8"/>
  <c r="I1201" i="8"/>
  <c r="H1207" i="8"/>
  <c r="I1207" i="8"/>
  <c r="H1216" i="8"/>
  <c r="I1216" i="8"/>
  <c r="H1218" i="8"/>
  <c r="J1218" i="8" s="1"/>
  <c r="L1218" i="8" s="1"/>
  <c r="N1218" i="8" s="1"/>
  <c r="I1218" i="8"/>
  <c r="H1221" i="8"/>
  <c r="I1221" i="8"/>
  <c r="H1223" i="8"/>
  <c r="I1223" i="8"/>
  <c r="H1224" i="8"/>
  <c r="I1224" i="8"/>
  <c r="H1230" i="8"/>
  <c r="J1230" i="8" s="1"/>
  <c r="L1230" i="8" s="1"/>
  <c r="N1230" i="8" s="1"/>
  <c r="I1230" i="8"/>
  <c r="H1233" i="8"/>
  <c r="I1233" i="8"/>
  <c r="H1234" i="8"/>
  <c r="I1234" i="8"/>
  <c r="H1236" i="8"/>
  <c r="I1236" i="8"/>
  <c r="J1241" i="8"/>
  <c r="L1241" i="8" s="1"/>
  <c r="N1241" i="8" s="1"/>
  <c r="H1244" i="8"/>
  <c r="I1244" i="8"/>
  <c r="H1245" i="8"/>
  <c r="I1245" i="8"/>
  <c r="H1247" i="8"/>
  <c r="I1247" i="8"/>
  <c r="H1249" i="8"/>
  <c r="I1249" i="8"/>
  <c r="H2265" i="8"/>
  <c r="I2265" i="8"/>
  <c r="H1252" i="8"/>
  <c r="I1252" i="8"/>
  <c r="H1255" i="8"/>
  <c r="I1255" i="8"/>
  <c r="H1256" i="8"/>
  <c r="I1256" i="8"/>
  <c r="H1257" i="8"/>
  <c r="I1257" i="8"/>
  <c r="H1258" i="8"/>
  <c r="I1258" i="8"/>
  <c r="H1271" i="8"/>
  <c r="I1271" i="8"/>
  <c r="H1272" i="8"/>
  <c r="I1272" i="8"/>
  <c r="H1278" i="8"/>
  <c r="I1278" i="8"/>
  <c r="H2113" i="8"/>
  <c r="I2113" i="8"/>
  <c r="H2114" i="8"/>
  <c r="I2114" i="8"/>
  <c r="H1281" i="8"/>
  <c r="I1281" i="8"/>
  <c r="H1282" i="8"/>
  <c r="I1282" i="8"/>
  <c r="H1283" i="8"/>
  <c r="I1283" i="8"/>
  <c r="H1284" i="8"/>
  <c r="I1284" i="8"/>
  <c r="H1285" i="8"/>
  <c r="I1285" i="8"/>
  <c r="H1287" i="8"/>
  <c r="I1287" i="8"/>
  <c r="H1291" i="8"/>
  <c r="I1291" i="8"/>
  <c r="H2267" i="8"/>
  <c r="I2267" i="8"/>
  <c r="H1295" i="8"/>
  <c r="I1295" i="8"/>
  <c r="H1303" i="8"/>
  <c r="I1303" i="8"/>
  <c r="H1306" i="8"/>
  <c r="I1306" i="8"/>
  <c r="H1307" i="8"/>
  <c r="I1307" i="8"/>
  <c r="H1308" i="8"/>
  <c r="I1308" i="8"/>
  <c r="H2268" i="8"/>
  <c r="I2268" i="8"/>
  <c r="H71" i="8"/>
  <c r="I71" i="8"/>
  <c r="H72" i="8"/>
  <c r="I72" i="8"/>
  <c r="H73" i="8"/>
  <c r="I73" i="8"/>
  <c r="H1310" i="8"/>
  <c r="I1310" i="8"/>
  <c r="H1311" i="8"/>
  <c r="I1311" i="8"/>
  <c r="H1315" i="8"/>
  <c r="I1315" i="8"/>
  <c r="H1319" i="8"/>
  <c r="I1319" i="8"/>
  <c r="H1320" i="8"/>
  <c r="I1320" i="8"/>
  <c r="H1328" i="8"/>
  <c r="I1328" i="8"/>
  <c r="H39" i="8"/>
  <c r="I39" i="8"/>
  <c r="H40" i="8"/>
  <c r="I40" i="8"/>
  <c r="H41" i="8"/>
  <c r="I41" i="8"/>
  <c r="H42" i="8"/>
  <c r="I42" i="8"/>
  <c r="H1330" i="8"/>
  <c r="I1330" i="8"/>
  <c r="H199" i="8"/>
  <c r="I199" i="8"/>
  <c r="H200" i="8"/>
  <c r="I200" i="8"/>
  <c r="H2269" i="8"/>
  <c r="I2269" i="8"/>
  <c r="H1331" i="8"/>
  <c r="I1331" i="8"/>
  <c r="H2041" i="8"/>
  <c r="I2041" i="8"/>
  <c r="H2042" i="8"/>
  <c r="I2042" i="8"/>
  <c r="H2043" i="8"/>
  <c r="I2043" i="8"/>
  <c r="H1333" i="8"/>
  <c r="I1333" i="8"/>
  <c r="H201" i="8"/>
  <c r="I201" i="8"/>
  <c r="H202" i="8"/>
  <c r="I202" i="8"/>
  <c r="H1334" i="8"/>
  <c r="I1334" i="8"/>
  <c r="H1340" i="8"/>
  <c r="I1340" i="8"/>
  <c r="J1342" i="8"/>
  <c r="L1342" i="8" s="1"/>
  <c r="N1342" i="8" s="1"/>
  <c r="H1347" i="8"/>
  <c r="I1347" i="8"/>
  <c r="H1348" i="8"/>
  <c r="I1348" i="8"/>
  <c r="H1349" i="8"/>
  <c r="I1349" i="8"/>
  <c r="H1353" i="8"/>
  <c r="I1353" i="8"/>
  <c r="H1363" i="8"/>
  <c r="I1363" i="8"/>
  <c r="H1365" i="8"/>
  <c r="I1365" i="8"/>
  <c r="H1366" i="8"/>
  <c r="I1366" i="8"/>
  <c r="H205" i="8"/>
  <c r="I205" i="8"/>
  <c r="H206" i="8"/>
  <c r="I206" i="8"/>
  <c r="H1369" i="8"/>
  <c r="I1369" i="8"/>
  <c r="H1370" i="8"/>
  <c r="I1370" i="8"/>
  <c r="H207" i="8"/>
  <c r="I207" i="8"/>
  <c r="H208" i="8"/>
  <c r="I208" i="8"/>
  <c r="H1371" i="8"/>
  <c r="I1371" i="8"/>
  <c r="H1372" i="8"/>
  <c r="I1372" i="8"/>
  <c r="H1373" i="8"/>
  <c r="I1373" i="8"/>
  <c r="H1374" i="8"/>
  <c r="I1374" i="8"/>
  <c r="H1375" i="8"/>
  <c r="I1375" i="8"/>
  <c r="H1378" i="8"/>
  <c r="I1378" i="8"/>
  <c r="H1380" i="8"/>
  <c r="I1380" i="8"/>
  <c r="H1381" i="8"/>
  <c r="I1381" i="8"/>
  <c r="H1387" i="8"/>
  <c r="I1387" i="8"/>
  <c r="H1388" i="8"/>
  <c r="I1388" i="8"/>
  <c r="H1389" i="8"/>
  <c r="I1389" i="8"/>
  <c r="H1390" i="8"/>
  <c r="I1390" i="8"/>
  <c r="H1391" i="8"/>
  <c r="I1391" i="8"/>
  <c r="H1392" i="8"/>
  <c r="I1392" i="8"/>
  <c r="H1393" i="8"/>
  <c r="I1393" i="8"/>
  <c r="H1395" i="8"/>
  <c r="I1395" i="8"/>
  <c r="H1396" i="8"/>
  <c r="I1396" i="8"/>
  <c r="H1398" i="8"/>
  <c r="I1398" i="8"/>
  <c r="H2272" i="8"/>
  <c r="I2272" i="8"/>
  <c r="H1413" i="8"/>
  <c r="I1413" i="8"/>
  <c r="H1414" i="8"/>
  <c r="I1414" i="8"/>
  <c r="H1415" i="8"/>
  <c r="I1415" i="8"/>
  <c r="H1416" i="8"/>
  <c r="I1416" i="8"/>
  <c r="H2044" i="8"/>
  <c r="I2044" i="8"/>
  <c r="H2045" i="8"/>
  <c r="I2045" i="8"/>
  <c r="H2046" i="8"/>
  <c r="I2046" i="8"/>
  <c r="H1431" i="8"/>
  <c r="I1431" i="8"/>
  <c r="H1432" i="8"/>
  <c r="I1432" i="8"/>
  <c r="H1434" i="8"/>
  <c r="I1434" i="8"/>
  <c r="H1435" i="8"/>
  <c r="I1435" i="8"/>
  <c r="H1436" i="8"/>
  <c r="I1436" i="8"/>
  <c r="H1444" i="8"/>
  <c r="I1444" i="8"/>
  <c r="H1448" i="8"/>
  <c r="I1448" i="8"/>
  <c r="H219" i="8"/>
  <c r="I219" i="8"/>
  <c r="H220" i="8"/>
  <c r="I220" i="8"/>
  <c r="H1450" i="8"/>
  <c r="I1450" i="8"/>
  <c r="H1451" i="8"/>
  <c r="I1451" i="8"/>
  <c r="H1452" i="8"/>
  <c r="I1452" i="8"/>
  <c r="H1453" i="8"/>
  <c r="I1453" i="8"/>
  <c r="H1454" i="8"/>
  <c r="I1454" i="8"/>
  <c r="H1456" i="8"/>
  <c r="I1456" i="8"/>
  <c r="H1460" i="8"/>
  <c r="I1460" i="8"/>
  <c r="H1461" i="8"/>
  <c r="I1461" i="8"/>
  <c r="H1463" i="8"/>
  <c r="I1463" i="8"/>
  <c r="H1464" i="8"/>
  <c r="I1464" i="8"/>
  <c r="H1466" i="8"/>
  <c r="I1466" i="8"/>
  <c r="H1467" i="8"/>
  <c r="I1467" i="8"/>
  <c r="H1468" i="8"/>
  <c r="I1468" i="8"/>
  <c r="H1469" i="8"/>
  <c r="I1469" i="8"/>
  <c r="H1470" i="8"/>
  <c r="I1470" i="8"/>
  <c r="H1471" i="8"/>
  <c r="I1471" i="8"/>
  <c r="H1472" i="8"/>
  <c r="I1472" i="8"/>
  <c r="H1473" i="8"/>
  <c r="I1473" i="8"/>
  <c r="H1475" i="8"/>
  <c r="I1475" i="8"/>
  <c r="H1476" i="8"/>
  <c r="I1476" i="8"/>
  <c r="H1477" i="8"/>
  <c r="I1477" i="8"/>
  <c r="H1478" i="8"/>
  <c r="I1478" i="8"/>
  <c r="H1485" i="8"/>
  <c r="I1485" i="8"/>
  <c r="H1486" i="8"/>
  <c r="I1486" i="8"/>
  <c r="H1487" i="8"/>
  <c r="I1487" i="8"/>
  <c r="H2273" i="8"/>
  <c r="I2273" i="8"/>
  <c r="H221" i="8"/>
  <c r="I221" i="8"/>
  <c r="H222" i="8"/>
  <c r="I222" i="8"/>
  <c r="H2047" i="8"/>
  <c r="I2047" i="8"/>
  <c r="H2048" i="8"/>
  <c r="I2048" i="8"/>
  <c r="H2049" i="8"/>
  <c r="I2049" i="8"/>
  <c r="H2274" i="8"/>
  <c r="I2274" i="8"/>
  <c r="H1488" i="8"/>
  <c r="I1488" i="8"/>
  <c r="H1489" i="8"/>
  <c r="I1489" i="8"/>
  <c r="H1490" i="8"/>
  <c r="I1490" i="8"/>
  <c r="H1492" i="8"/>
  <c r="I1492" i="8"/>
  <c r="H1493" i="8"/>
  <c r="I1493" i="8"/>
  <c r="H1504" i="8"/>
  <c r="I1504" i="8"/>
  <c r="H2276" i="8"/>
  <c r="I2276" i="8"/>
  <c r="H1505" i="8"/>
  <c r="I1505" i="8"/>
  <c r="H1506" i="8"/>
  <c r="I1506" i="8"/>
  <c r="H1507" i="8"/>
  <c r="I1507" i="8"/>
  <c r="H1508" i="8"/>
  <c r="I1508" i="8"/>
  <c r="H1509" i="8"/>
  <c r="I1509" i="8"/>
  <c r="H1510" i="8"/>
  <c r="I1510" i="8"/>
  <c r="H1512" i="8"/>
  <c r="I1512" i="8"/>
  <c r="H1516" i="8"/>
  <c r="I1516" i="8"/>
  <c r="H1517" i="8"/>
  <c r="I1517" i="8"/>
  <c r="H1518" i="8"/>
  <c r="I1518" i="8"/>
  <c r="H2277" i="8"/>
  <c r="I2277" i="8"/>
  <c r="H1525" i="8"/>
  <c r="I1525" i="8"/>
  <c r="H2278" i="8"/>
  <c r="I2278" i="8"/>
  <c r="H1533" i="8"/>
  <c r="I1533" i="8"/>
  <c r="H1534" i="8"/>
  <c r="I1534" i="8"/>
  <c r="H1535" i="8"/>
  <c r="I1535" i="8"/>
  <c r="H1536" i="8"/>
  <c r="I1536" i="8"/>
  <c r="H1537" i="8"/>
  <c r="I1537" i="8"/>
  <c r="H1539" i="8"/>
  <c r="I1539" i="8"/>
  <c r="H1540" i="8"/>
  <c r="I1540" i="8"/>
  <c r="H1541" i="8"/>
  <c r="I1541" i="8"/>
  <c r="H1542" i="8"/>
  <c r="I1542" i="8"/>
  <c r="H1544" i="8"/>
  <c r="I1544" i="8"/>
  <c r="H1545" i="8"/>
  <c r="I1545" i="8"/>
  <c r="H2050" i="8"/>
  <c r="I2050" i="8"/>
  <c r="H2051" i="8"/>
  <c r="I2051" i="8"/>
  <c r="H2052" i="8"/>
  <c r="I2052" i="8"/>
  <c r="H1552" i="8"/>
  <c r="I1552" i="8"/>
  <c r="H227" i="8"/>
  <c r="I227" i="8"/>
  <c r="H228" i="8"/>
  <c r="I228" i="8"/>
  <c r="H1553" i="8"/>
  <c r="I1553" i="8"/>
  <c r="H1554" i="8"/>
  <c r="I1554" i="8"/>
  <c r="H1556" i="8"/>
  <c r="I1556" i="8"/>
  <c r="H1557" i="8"/>
  <c r="I1557" i="8"/>
  <c r="H1558" i="8"/>
  <c r="I1558" i="8"/>
  <c r="H2281" i="8"/>
  <c r="I2281" i="8"/>
  <c r="H2282" i="8"/>
  <c r="I2282" i="8"/>
  <c r="H1562" i="8"/>
  <c r="I1562" i="8"/>
  <c r="H1563" i="8"/>
  <c r="I1563" i="8"/>
  <c r="H1575" i="8"/>
  <c r="I1575" i="8"/>
  <c r="H1579" i="8"/>
  <c r="I1579" i="8"/>
  <c r="H2285" i="8"/>
  <c r="I2285" i="8"/>
  <c r="H1581" i="8"/>
  <c r="I1581" i="8"/>
  <c r="H1582" i="8"/>
  <c r="I1582" i="8"/>
  <c r="H1583" i="8"/>
  <c r="I1583" i="8"/>
  <c r="H1585" i="8"/>
  <c r="I1585" i="8"/>
  <c r="H1591" i="8"/>
  <c r="I1591" i="8"/>
  <c r="H1597" i="8"/>
  <c r="I1597" i="8"/>
  <c r="H1598" i="8"/>
  <c r="I1598" i="8"/>
  <c r="H1600" i="8"/>
  <c r="I1600" i="8"/>
  <c r="H1609" i="8"/>
  <c r="I1609" i="8"/>
  <c r="H1610" i="8"/>
  <c r="I1610" i="8"/>
  <c r="H1611" i="8"/>
  <c r="I1611" i="8"/>
  <c r="H1613" i="8"/>
  <c r="I1613" i="8"/>
  <c r="H1615" i="8"/>
  <c r="I1615" i="8"/>
  <c r="H1616" i="8"/>
  <c r="I1616" i="8"/>
  <c r="H2288" i="8"/>
  <c r="I2288" i="8"/>
  <c r="H233" i="8"/>
  <c r="I233" i="8"/>
  <c r="H234" i="8"/>
  <c r="I234" i="8"/>
  <c r="H2119" i="8"/>
  <c r="I2119" i="8"/>
  <c r="H2120" i="8"/>
  <c r="I2120" i="8"/>
  <c r="H1624" i="8"/>
  <c r="I1624" i="8"/>
  <c r="H1626" i="8"/>
  <c r="I1626" i="8"/>
  <c r="H1627" i="8"/>
  <c r="I1627" i="8"/>
  <c r="H1630" i="8"/>
  <c r="I1630" i="8"/>
  <c r="H1631" i="8"/>
  <c r="I1631" i="8"/>
  <c r="H1632" i="8"/>
  <c r="I1632" i="8"/>
  <c r="H1639" i="8"/>
  <c r="I1639" i="8"/>
  <c r="H1644" i="8"/>
  <c r="I1644" i="8"/>
  <c r="H1645" i="8"/>
  <c r="I1645" i="8"/>
  <c r="H1648" i="8"/>
  <c r="I1648" i="8"/>
  <c r="H1650" i="8"/>
  <c r="I1650" i="8"/>
  <c r="H1661" i="8"/>
  <c r="I1661" i="8"/>
  <c r="H1667" i="8"/>
  <c r="I1667" i="8"/>
  <c r="H1668" i="8"/>
  <c r="I1668" i="8"/>
  <c r="H1669" i="8"/>
  <c r="I1669" i="8"/>
  <c r="H1670" i="8"/>
  <c r="I1670" i="8"/>
  <c r="H1672" i="8"/>
  <c r="I1672" i="8"/>
  <c r="H2123" i="8"/>
  <c r="I2123" i="8"/>
  <c r="H2124" i="8"/>
  <c r="I2124" i="8"/>
  <c r="H237" i="8"/>
  <c r="I237" i="8"/>
  <c r="H238" i="8"/>
  <c r="I238" i="8"/>
  <c r="H1674" i="8"/>
  <c r="I1674" i="8"/>
  <c r="H1675" i="8"/>
  <c r="I1675" i="8"/>
  <c r="H1678" i="8"/>
  <c r="I1678" i="8"/>
  <c r="H1682" i="8"/>
  <c r="I1682" i="8"/>
  <c r="H1684" i="8"/>
  <c r="I1684" i="8"/>
  <c r="H1685" i="8"/>
  <c r="I1685" i="8"/>
  <c r="H1686" i="8"/>
  <c r="I1686" i="8"/>
  <c r="H1687" i="8"/>
  <c r="I1687" i="8"/>
  <c r="H1688" i="8"/>
  <c r="I1688" i="8"/>
  <c r="H1689" i="8"/>
  <c r="I1689" i="8"/>
  <c r="H1692" i="8"/>
  <c r="I1692" i="8"/>
  <c r="H1694" i="8"/>
  <c r="I1694" i="8"/>
  <c r="H1695" i="8"/>
  <c r="I1695" i="8"/>
  <c r="H1702" i="8"/>
  <c r="I1702" i="8"/>
  <c r="H1704" i="8"/>
  <c r="I1704" i="8"/>
  <c r="H1705" i="8"/>
  <c r="I1705" i="8"/>
  <c r="H239" i="8"/>
  <c r="I239" i="8"/>
  <c r="H240" i="8"/>
  <c r="I240" i="8"/>
  <c r="H1707" i="8"/>
  <c r="I1707" i="8"/>
  <c r="H1708" i="8"/>
  <c r="I1708" i="8"/>
  <c r="H1709" i="8"/>
  <c r="I1709" i="8"/>
  <c r="H1710" i="8"/>
  <c r="I1710" i="8"/>
  <c r="H1713" i="8"/>
  <c r="I1713" i="8"/>
  <c r="H1714" i="8"/>
  <c r="I1714" i="8"/>
  <c r="H1717" i="8"/>
  <c r="I1717" i="8"/>
  <c r="H243" i="8"/>
  <c r="I243" i="8"/>
  <c r="H244" i="8"/>
  <c r="I244" i="8"/>
  <c r="H1720" i="8"/>
  <c r="I1720" i="8"/>
  <c r="H1721" i="8"/>
  <c r="I1721" i="8"/>
  <c r="H1722" i="8"/>
  <c r="I1722" i="8"/>
  <c r="H1723" i="8"/>
  <c r="I1723" i="8"/>
  <c r="H2291" i="8"/>
  <c r="I2291" i="8"/>
  <c r="H1727" i="8"/>
  <c r="I1727" i="8"/>
  <c r="H1728" i="8"/>
  <c r="I1728" i="8"/>
  <c r="H245" i="8"/>
  <c r="I245" i="8"/>
  <c r="H246" i="8"/>
  <c r="I246" i="8"/>
  <c r="H1732" i="8"/>
  <c r="I1732" i="8"/>
  <c r="H247" i="8"/>
  <c r="I247" i="8"/>
  <c r="H248" i="8"/>
  <c r="I248" i="8"/>
  <c r="H249" i="8"/>
  <c r="I249" i="8"/>
  <c r="H250" i="8"/>
  <c r="I250" i="8"/>
  <c r="H1733" i="8"/>
  <c r="I1733" i="8"/>
  <c r="H1734" i="8"/>
  <c r="I1734" i="8"/>
  <c r="H1735" i="8"/>
  <c r="I1735" i="8"/>
  <c r="H2292" i="8"/>
  <c r="I2292" i="8"/>
  <c r="H1736" i="8"/>
  <c r="I1736" i="8"/>
  <c r="H2127" i="8"/>
  <c r="I2127" i="8"/>
  <c r="H2128" i="8"/>
  <c r="I2128" i="8"/>
  <c r="H1742" i="8"/>
  <c r="I1742" i="8"/>
  <c r="H1744" i="8"/>
  <c r="I1744" i="8"/>
  <c r="H1745" i="8"/>
  <c r="I1745" i="8"/>
  <c r="H1748" i="8"/>
  <c r="I1748" i="8"/>
  <c r="H1749" i="8"/>
  <c r="I1749" i="8"/>
  <c r="H1755" i="8"/>
  <c r="I1755" i="8"/>
  <c r="H1756" i="8"/>
  <c r="I1756" i="8"/>
  <c r="H2293" i="8"/>
  <c r="I2293" i="8"/>
  <c r="H1760" i="8"/>
  <c r="I1760" i="8"/>
  <c r="H1762" i="8"/>
  <c r="I1762" i="8"/>
  <c r="H1765" i="8"/>
  <c r="I1765" i="8"/>
  <c r="H2294" i="8"/>
  <c r="I2294" i="8"/>
  <c r="H1768" i="8"/>
  <c r="I1768" i="8"/>
  <c r="H2295" i="8"/>
  <c r="I2295" i="8"/>
  <c r="H2296" i="8"/>
  <c r="I2296" i="8"/>
  <c r="H1770" i="8"/>
  <c r="I1770" i="8"/>
  <c r="H257" i="8"/>
  <c r="I257" i="8"/>
  <c r="H258" i="8"/>
  <c r="I258" i="8"/>
  <c r="H1772" i="8"/>
  <c r="I1772" i="8"/>
  <c r="H259" i="8"/>
  <c r="I259" i="8"/>
  <c r="H260" i="8"/>
  <c r="I260" i="8"/>
  <c r="H1773" i="8"/>
  <c r="I1773" i="8"/>
  <c r="H1774" i="8"/>
  <c r="I1774" i="8"/>
  <c r="H1776" i="8"/>
  <c r="I1776" i="8"/>
  <c r="H1777" i="8"/>
  <c r="I1777" i="8"/>
  <c r="H2297" i="8"/>
  <c r="I2297" i="8"/>
  <c r="H1778" i="8"/>
  <c r="I1778" i="8"/>
  <c r="H1779" i="8"/>
  <c r="I1779" i="8"/>
  <c r="H1780" i="8"/>
  <c r="I1780" i="8"/>
  <c r="H1781" i="8"/>
  <c r="I1781" i="8"/>
  <c r="J1783" i="8"/>
  <c r="L1783" i="8" s="1"/>
  <c r="N1783" i="8" s="1"/>
  <c r="H1788" i="8"/>
  <c r="I1788" i="8"/>
  <c r="K1788" i="8" s="1"/>
  <c r="M1788" i="8" s="1"/>
  <c r="H1789" i="8"/>
  <c r="I1789" i="8"/>
  <c r="H1790" i="8"/>
  <c r="I1790" i="8"/>
  <c r="H1792" i="8"/>
  <c r="I1792" i="8"/>
  <c r="H1793" i="8"/>
  <c r="I1793" i="8"/>
  <c r="K1793" i="8" s="1"/>
  <c r="M1793" i="8" s="1"/>
  <c r="H1795" i="8"/>
  <c r="I1795" i="8"/>
  <c r="H1797" i="8"/>
  <c r="I1797" i="8"/>
  <c r="H1798" i="8"/>
  <c r="I1798" i="8"/>
  <c r="H1802" i="8"/>
  <c r="I1802" i="8"/>
  <c r="K1802" i="8" s="1"/>
  <c r="M1802" i="8" s="1"/>
  <c r="H1803" i="8"/>
  <c r="I1803" i="8"/>
  <c r="H1805" i="8"/>
  <c r="I1805" i="8"/>
  <c r="H1806" i="8"/>
  <c r="I1806" i="8"/>
  <c r="H1807" i="8"/>
  <c r="I1807" i="8"/>
  <c r="K1807" i="8" s="1"/>
  <c r="M1807" i="8" s="1"/>
  <c r="H1809" i="8"/>
  <c r="I1809" i="8"/>
  <c r="H1811" i="8"/>
  <c r="I1811" i="8"/>
  <c r="H1812" i="8"/>
  <c r="I1812" i="8"/>
  <c r="H1813" i="8"/>
  <c r="I1813" i="8"/>
  <c r="K1813" i="8" s="1"/>
  <c r="M1813" i="8" s="1"/>
  <c r="H1817" i="8"/>
  <c r="I1817" i="8"/>
  <c r="H1820" i="8"/>
  <c r="I1820" i="8"/>
  <c r="H1822" i="8"/>
  <c r="I1822" i="8"/>
  <c r="K1822" i="8" s="1"/>
  <c r="M1822" i="8" s="1"/>
  <c r="H1823" i="8"/>
  <c r="I1823" i="8"/>
  <c r="H1825" i="8"/>
  <c r="I1825" i="8"/>
  <c r="H1827" i="8"/>
  <c r="I1827" i="8"/>
  <c r="H1828" i="8"/>
  <c r="I1828" i="8"/>
  <c r="K1828" i="8" s="1"/>
  <c r="M1828" i="8" s="1"/>
  <c r="H1829" i="8"/>
  <c r="I1829" i="8"/>
  <c r="H1832" i="8"/>
  <c r="I1832" i="8"/>
  <c r="H261" i="8"/>
  <c r="I261" i="8"/>
  <c r="H262" i="8"/>
  <c r="I262" i="8"/>
  <c r="K262" i="8" s="1"/>
  <c r="M262" i="8" s="1"/>
  <c r="H1835" i="8"/>
  <c r="I1835" i="8"/>
  <c r="H1836" i="8"/>
  <c r="I1836" i="8"/>
  <c r="H1837" i="8"/>
  <c r="I1837" i="8"/>
  <c r="H1838" i="8"/>
  <c r="I1838" i="8"/>
  <c r="K1838" i="8" s="1"/>
  <c r="M1838" i="8" s="1"/>
  <c r="H1840" i="8"/>
  <c r="I1840" i="8"/>
  <c r="H1842" i="8"/>
  <c r="I1842" i="8"/>
  <c r="H1843" i="8"/>
  <c r="I1843" i="8"/>
  <c r="H2299" i="8"/>
  <c r="I2299" i="8"/>
  <c r="K2299" i="8" s="1"/>
  <c r="M2299" i="8" s="1"/>
  <c r="H1845" i="8"/>
  <c r="I1845" i="8"/>
  <c r="H2300" i="8"/>
  <c r="I2300" i="8"/>
  <c r="H1846" i="8"/>
  <c r="I1846" i="8"/>
  <c r="H1847" i="8"/>
  <c r="I1847" i="8"/>
  <c r="K1847" i="8" s="1"/>
  <c r="M1847" i="8" s="1"/>
  <c r="H1849" i="8"/>
  <c r="I1849" i="8"/>
  <c r="H1850" i="8"/>
  <c r="I1850" i="8"/>
  <c r="H1852" i="8"/>
  <c r="I1852" i="8"/>
  <c r="H1854" i="8"/>
  <c r="I1854" i="8"/>
  <c r="K1854" i="8" s="1"/>
  <c r="M1854" i="8" s="1"/>
  <c r="H1855" i="8"/>
  <c r="I1855" i="8"/>
  <c r="H263" i="8"/>
  <c r="I263" i="8"/>
  <c r="H264" i="8"/>
  <c r="I264" i="8"/>
  <c r="H1857" i="8"/>
  <c r="I1857" i="8"/>
  <c r="K1857" i="8" s="1"/>
  <c r="M1857" i="8" s="1"/>
  <c r="H1858" i="8"/>
  <c r="I1858" i="8"/>
  <c r="H1859" i="8"/>
  <c r="I1859" i="8"/>
  <c r="H1861" i="8"/>
  <c r="I1861" i="8"/>
  <c r="H1862" i="8"/>
  <c r="I1862" i="8"/>
  <c r="K1862" i="8" s="1"/>
  <c r="M1862" i="8" s="1"/>
  <c r="H1863" i="8"/>
  <c r="I1863" i="8"/>
  <c r="H1864" i="8"/>
  <c r="I1864" i="8"/>
  <c r="H1865" i="8"/>
  <c r="I1865" i="8"/>
  <c r="H2301" i="8"/>
  <c r="I2301" i="8"/>
  <c r="K2301" i="8" s="1"/>
  <c r="M2301" i="8" s="1"/>
  <c r="H1866" i="8"/>
  <c r="I1866" i="8"/>
  <c r="H1867" i="8"/>
  <c r="I1867" i="8"/>
  <c r="H1870" i="8"/>
  <c r="I1870" i="8"/>
  <c r="H2027" i="8"/>
  <c r="I2027" i="8"/>
  <c r="K2027" i="8" s="1"/>
  <c r="M2027" i="8" s="1"/>
  <c r="H2028" i="8"/>
  <c r="I2028" i="8"/>
  <c r="H2029" i="8"/>
  <c r="I2029" i="8"/>
  <c r="H2030" i="8"/>
  <c r="I2030" i="8"/>
  <c r="H1871" i="8"/>
  <c r="I1871" i="8"/>
  <c r="K1871" i="8" s="1"/>
  <c r="M1871" i="8" s="1"/>
  <c r="H1872" i="8"/>
  <c r="I1872" i="8"/>
  <c r="H43" i="8"/>
  <c r="I43" i="8"/>
  <c r="H44" i="8"/>
  <c r="I44" i="8"/>
  <c r="H45" i="8"/>
  <c r="I45" i="8"/>
  <c r="K45" i="8" s="1"/>
  <c r="M45" i="8" s="1"/>
  <c r="H46" i="8"/>
  <c r="I46" i="8"/>
  <c r="H1873" i="8"/>
  <c r="I1873" i="8"/>
  <c r="H265" i="8"/>
  <c r="I265" i="8"/>
  <c r="H266" i="8"/>
  <c r="I266" i="8"/>
  <c r="K266" i="8" s="1"/>
  <c r="M266" i="8" s="1"/>
  <c r="H1874" i="8"/>
  <c r="I1874" i="8"/>
  <c r="H1875" i="8"/>
  <c r="I1875" i="8"/>
  <c r="H1877" i="8"/>
  <c r="I1877" i="8"/>
  <c r="H1878" i="8"/>
  <c r="I1878" i="8"/>
  <c r="K1878" i="8" s="1"/>
  <c r="M1878" i="8" s="1"/>
  <c r="H1879" i="8"/>
  <c r="I1879" i="8"/>
  <c r="H1880" i="8"/>
  <c r="I1880" i="8"/>
  <c r="H1881" i="8"/>
  <c r="I1881" i="8"/>
  <c r="H1886" i="8"/>
  <c r="I1886" i="8"/>
  <c r="K1886" i="8" s="1"/>
  <c r="M1886" i="8" s="1"/>
  <c r="H1888" i="8"/>
  <c r="I1888" i="8"/>
  <c r="H1889" i="8"/>
  <c r="I1889" i="8"/>
  <c r="H1890" i="8"/>
  <c r="I1890" i="8"/>
  <c r="H1892" i="8"/>
  <c r="I1892" i="8"/>
  <c r="K1892" i="8" s="1"/>
  <c r="M1892" i="8" s="1"/>
  <c r="H1893" i="8"/>
  <c r="I1893" i="8"/>
  <c r="H1894" i="8"/>
  <c r="I1894" i="8"/>
  <c r="H1895" i="8"/>
  <c r="I1895" i="8"/>
  <c r="H1896" i="8"/>
  <c r="I1896" i="8"/>
  <c r="K1896" i="8" s="1"/>
  <c r="M1896" i="8" s="1"/>
  <c r="H1898" i="8"/>
  <c r="I1898" i="8"/>
  <c r="H1900" i="8"/>
  <c r="I1900" i="8"/>
  <c r="H1901" i="8"/>
  <c r="I1901" i="8"/>
  <c r="H1902" i="8"/>
  <c r="I1902" i="8"/>
  <c r="K1902" i="8" s="1"/>
  <c r="M1902" i="8" s="1"/>
  <c r="H1903" i="8"/>
  <c r="I1903" i="8"/>
  <c r="H2131" i="8"/>
  <c r="I2131" i="8"/>
  <c r="H2132" i="8"/>
  <c r="I2132" i="8"/>
  <c r="H1904" i="8"/>
  <c r="I1904" i="8"/>
  <c r="K1904" i="8" s="1"/>
  <c r="M1904" i="8" s="1"/>
  <c r="H1905" i="8"/>
  <c r="I1905" i="8"/>
  <c r="H1906" i="8"/>
  <c r="I1906" i="8"/>
  <c r="H267" i="8"/>
  <c r="I267" i="8"/>
  <c r="H268" i="8"/>
  <c r="I268" i="8"/>
  <c r="K268" i="8" s="1"/>
  <c r="M268" i="8" s="1"/>
  <c r="H1907" i="8"/>
  <c r="I1907" i="8"/>
  <c r="H1912" i="8"/>
  <c r="I1912" i="8"/>
  <c r="H271" i="8"/>
  <c r="I271" i="8"/>
  <c r="H272" i="8"/>
  <c r="I272" i="8"/>
  <c r="K272" i="8" s="1"/>
  <c r="M272" i="8" s="1"/>
  <c r="H1915" i="8"/>
  <c r="I1915" i="8"/>
  <c r="H1916" i="8"/>
  <c r="I1916" i="8"/>
  <c r="H1917" i="8"/>
  <c r="I1917" i="8"/>
  <c r="H1919" i="8"/>
  <c r="I1919" i="8"/>
  <c r="K1919" i="8" s="1"/>
  <c r="M1919" i="8" s="1"/>
  <c r="H1920" i="8"/>
  <c r="I1920" i="8"/>
  <c r="H1921" i="8"/>
  <c r="I1921" i="8"/>
  <c r="H1922" i="8"/>
  <c r="I1922" i="8"/>
  <c r="H1923" i="8"/>
  <c r="I1923" i="8"/>
  <c r="K1923" i="8" s="1"/>
  <c r="M1923" i="8" s="1"/>
  <c r="H2133" i="8"/>
  <c r="I2133" i="8"/>
  <c r="H2134" i="8"/>
  <c r="I2134" i="8"/>
  <c r="H1925" i="8"/>
  <c r="I1925" i="8"/>
  <c r="H1926" i="8"/>
  <c r="I1926" i="8"/>
  <c r="K1926" i="8" s="1"/>
  <c r="M1926" i="8" s="1"/>
  <c r="H1927" i="8"/>
  <c r="I1927" i="8"/>
  <c r="H1928" i="8"/>
  <c r="I1928" i="8"/>
  <c r="H1930" i="8"/>
  <c r="I1930" i="8"/>
  <c r="H1931" i="8"/>
  <c r="I1931" i="8"/>
  <c r="K1931" i="8" s="1"/>
  <c r="M1931" i="8" s="1"/>
  <c r="H1932" i="8"/>
  <c r="I1932" i="8"/>
  <c r="H1933" i="8"/>
  <c r="I1933" i="8"/>
  <c r="H1934" i="8"/>
  <c r="I1934" i="8"/>
  <c r="H1935" i="8"/>
  <c r="I1935" i="8"/>
  <c r="K1935" i="8" s="1"/>
  <c r="M1935" i="8" s="1"/>
  <c r="H1936" i="8"/>
  <c r="I1936" i="8"/>
  <c r="H273" i="8"/>
  <c r="I273" i="8"/>
  <c r="H274" i="8"/>
  <c r="I274" i="8"/>
  <c r="H1938" i="8"/>
  <c r="I1938" i="8"/>
  <c r="K1938" i="8" s="1"/>
  <c r="M1938" i="8" s="1"/>
  <c r="H1939" i="8"/>
  <c r="I1939" i="8"/>
  <c r="H275" i="8"/>
  <c r="I275" i="8"/>
  <c r="H276" i="8"/>
  <c r="I276" i="8"/>
  <c r="H1940" i="8"/>
  <c r="I1940" i="8"/>
  <c r="K1940" i="8" s="1"/>
  <c r="M1940" i="8" s="1"/>
  <c r="H1942" i="8"/>
  <c r="I1942" i="8"/>
  <c r="H1943" i="8"/>
  <c r="I1943" i="8"/>
  <c r="H1945" i="8"/>
  <c r="I1945" i="8"/>
  <c r="H1947" i="8"/>
  <c r="I1947" i="8"/>
  <c r="K1947" i="8" s="1"/>
  <c r="M1947" i="8" s="1"/>
  <c r="H1948" i="8"/>
  <c r="I1948" i="8"/>
  <c r="H1949" i="8"/>
  <c r="I1949" i="8"/>
  <c r="H1950" i="8"/>
  <c r="I1950" i="8"/>
  <c r="H1951" i="8"/>
  <c r="I1951" i="8"/>
  <c r="K1951" i="8" s="1"/>
  <c r="M1951" i="8" s="1"/>
  <c r="H1956" i="8"/>
  <c r="I1956" i="8"/>
  <c r="H1957" i="8"/>
  <c r="I1957" i="8"/>
  <c r="H1958" i="8"/>
  <c r="I1958" i="8"/>
  <c r="H2302" i="8"/>
  <c r="I2302" i="8"/>
  <c r="K2302" i="8" s="1"/>
  <c r="M2302" i="8" s="1"/>
  <c r="H1960" i="8"/>
  <c r="I1960" i="8"/>
  <c r="H1961" i="8"/>
  <c r="I1961" i="8"/>
  <c r="H2031" i="8"/>
  <c r="I2031" i="8"/>
  <c r="H2032" i="8"/>
  <c r="I2032" i="8"/>
  <c r="K2032" i="8" s="1"/>
  <c r="M2032" i="8" s="1"/>
  <c r="H2033" i="8"/>
  <c r="I2033" i="8"/>
  <c r="H2034" i="8"/>
  <c r="I2034" i="8"/>
  <c r="H1967" i="8"/>
  <c r="I1967" i="8"/>
  <c r="H86" i="8"/>
  <c r="I86" i="8"/>
  <c r="K86" i="8" s="1"/>
  <c r="M86" i="8" s="1"/>
  <c r="H87" i="8"/>
  <c r="I87" i="8"/>
  <c r="H88" i="8"/>
  <c r="I88" i="8"/>
  <c r="H1973" i="8"/>
  <c r="I1973" i="8"/>
  <c r="H1975" i="8"/>
  <c r="I1975" i="8"/>
  <c r="K1975" i="8" s="1"/>
  <c r="M1975" i="8" s="1"/>
  <c r="H1976" i="8"/>
  <c r="I1976" i="8"/>
  <c r="H1977" i="8"/>
  <c r="I1977" i="8"/>
  <c r="H1978" i="8"/>
  <c r="I1978" i="8"/>
  <c r="H1980" i="8"/>
  <c r="I1980" i="8"/>
  <c r="K1980" i="8" s="1"/>
  <c r="M1980" i="8" s="1"/>
  <c r="H1981" i="8"/>
  <c r="I1981" i="8"/>
  <c r="H1983" i="8"/>
  <c r="I1983" i="8"/>
  <c r="H1984" i="8"/>
  <c r="I1984" i="8"/>
  <c r="H1985" i="8"/>
  <c r="I1985" i="8"/>
  <c r="K1985" i="8" s="1"/>
  <c r="M1985" i="8" s="1"/>
  <c r="I279" i="8"/>
  <c r="J279" i="8" s="1"/>
  <c r="L279" i="8" s="1"/>
  <c r="N279" i="8" s="1"/>
  <c r="G280" i="8"/>
  <c r="G2135" i="8"/>
  <c r="G281" i="8"/>
  <c r="G282" i="8"/>
  <c r="G283" i="8"/>
  <c r="G2136" i="8"/>
  <c r="G284" i="8"/>
  <c r="G285" i="8"/>
  <c r="G286" i="8"/>
  <c r="G287" i="8"/>
  <c r="G288" i="8"/>
  <c r="G289" i="8"/>
  <c r="G290" i="8"/>
  <c r="G291" i="8"/>
  <c r="G2137" i="8"/>
  <c r="G292" i="8"/>
  <c r="G293" i="8"/>
  <c r="G294" i="8"/>
  <c r="G295" i="8"/>
  <c r="G296" i="8"/>
  <c r="G297" i="8"/>
  <c r="G298" i="8"/>
  <c r="G299" i="8"/>
  <c r="G300" i="8"/>
  <c r="G2138" i="8"/>
  <c r="G301" i="8"/>
  <c r="G302" i="8"/>
  <c r="G303" i="8"/>
  <c r="G304" i="8"/>
  <c r="G305" i="8"/>
  <c r="G89" i="8"/>
  <c r="G90" i="8"/>
  <c r="G306" i="8"/>
  <c r="G307" i="8"/>
  <c r="G308" i="8"/>
  <c r="G309" i="8"/>
  <c r="G310" i="8"/>
  <c r="G91" i="8"/>
  <c r="G92" i="8"/>
  <c r="G311" i="8"/>
  <c r="G312" i="8"/>
  <c r="G313" i="8"/>
  <c r="G93" i="8"/>
  <c r="G94" i="8"/>
  <c r="G314" i="8"/>
  <c r="G315" i="8"/>
  <c r="G316" i="8"/>
  <c r="G2139" i="8"/>
  <c r="G95" i="8"/>
  <c r="G9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2140" i="8"/>
  <c r="G333" i="8"/>
  <c r="G334" i="8"/>
  <c r="G335" i="8"/>
  <c r="G336" i="8"/>
  <c r="G337" i="8"/>
  <c r="G338" i="8"/>
  <c r="G339" i="8"/>
  <c r="G340" i="8"/>
  <c r="G341" i="8"/>
  <c r="G97" i="8"/>
  <c r="G98" i="8"/>
  <c r="G342" i="8"/>
  <c r="G343" i="8"/>
  <c r="G344" i="8"/>
  <c r="G345" i="8"/>
  <c r="G346" i="8"/>
  <c r="G99" i="8"/>
  <c r="G100" i="8"/>
  <c r="G347" i="8"/>
  <c r="G2141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2142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101" i="8"/>
  <c r="G102" i="8"/>
  <c r="G375" i="8"/>
  <c r="G376" i="8"/>
  <c r="G377" i="8"/>
  <c r="G378" i="8"/>
  <c r="G2143" i="8"/>
  <c r="G379" i="8"/>
  <c r="G380" i="8"/>
  <c r="G381" i="8"/>
  <c r="G382" i="8"/>
  <c r="G103" i="8"/>
  <c r="G104" i="8"/>
  <c r="G383" i="8"/>
  <c r="G2144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105" i="8"/>
  <c r="G106" i="8"/>
  <c r="G396" i="8"/>
  <c r="G397" i="8"/>
  <c r="G398" i="8"/>
  <c r="G399" i="8"/>
  <c r="G400" i="8"/>
  <c r="G401" i="8"/>
  <c r="G402" i="8"/>
  <c r="G403" i="8"/>
  <c r="G404" i="8"/>
  <c r="G405" i="8"/>
  <c r="G107" i="8"/>
  <c r="G108" i="8"/>
  <c r="G406" i="8"/>
  <c r="G407" i="8"/>
  <c r="G408" i="8"/>
  <c r="G409" i="8"/>
  <c r="G2145" i="8"/>
  <c r="G109" i="8"/>
  <c r="G110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2146" i="8"/>
  <c r="G423" i="8"/>
  <c r="G111" i="8"/>
  <c r="G112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113" i="8"/>
  <c r="G114" i="8"/>
  <c r="G441" i="8"/>
  <c r="G442" i="8"/>
  <c r="G443" i="8"/>
  <c r="G444" i="8"/>
  <c r="G445" i="8"/>
  <c r="G446" i="8"/>
  <c r="G447" i="8"/>
  <c r="G448" i="8"/>
  <c r="G449" i="8"/>
  <c r="G450" i="8"/>
  <c r="G451" i="8"/>
  <c r="G2147" i="8"/>
  <c r="G452" i="8"/>
  <c r="G453" i="8"/>
  <c r="G454" i="8"/>
  <c r="G455" i="8"/>
  <c r="G456" i="8"/>
  <c r="G2059" i="8"/>
  <c r="G2060" i="8"/>
  <c r="G2148" i="8"/>
  <c r="G2149" i="8"/>
  <c r="G2150" i="8"/>
  <c r="G2151" i="8"/>
  <c r="G2152" i="8"/>
  <c r="G457" i="8"/>
  <c r="G2061" i="8"/>
  <c r="G2062" i="8"/>
  <c r="G458" i="8"/>
  <c r="G459" i="8"/>
  <c r="G460" i="8"/>
  <c r="G2153" i="8"/>
  <c r="G461" i="8"/>
  <c r="G2154" i="8"/>
  <c r="G462" i="8"/>
  <c r="G2155" i="8"/>
  <c r="G2156" i="8"/>
  <c r="G115" i="8"/>
  <c r="G116" i="8"/>
  <c r="G2157" i="8"/>
  <c r="G463" i="8"/>
  <c r="G2158" i="8"/>
  <c r="G464" i="8"/>
  <c r="G465" i="8"/>
  <c r="G466" i="8"/>
  <c r="G2159" i="8"/>
  <c r="G2160" i="8"/>
  <c r="G47" i="8"/>
  <c r="G48" i="8"/>
  <c r="G2161" i="8"/>
  <c r="G2162" i="8"/>
  <c r="G467" i="8"/>
  <c r="G468" i="8"/>
  <c r="G2163" i="8"/>
  <c r="G2164" i="8"/>
  <c r="G2165" i="8"/>
  <c r="G2166" i="8"/>
  <c r="G469" i="8"/>
  <c r="G2167" i="8"/>
  <c r="G470" i="8"/>
  <c r="G2168" i="8"/>
  <c r="G2169" i="8"/>
  <c r="G471" i="8"/>
  <c r="G2063" i="8"/>
  <c r="G2064" i="8"/>
  <c r="G2065" i="8"/>
  <c r="G2066" i="8"/>
  <c r="G2170" i="8"/>
  <c r="G2171" i="8"/>
  <c r="G472" i="8"/>
  <c r="G2172" i="8"/>
  <c r="G473" i="8"/>
  <c r="G2173" i="8"/>
  <c r="G474" i="8"/>
  <c r="G475" i="8"/>
  <c r="G476" i="8"/>
  <c r="G477" i="8"/>
  <c r="G478" i="8"/>
  <c r="G2174" i="8"/>
  <c r="G2175" i="8"/>
  <c r="G117" i="8"/>
  <c r="G118" i="8"/>
  <c r="G479" i="8"/>
  <c r="G480" i="8"/>
  <c r="G2176" i="8"/>
  <c r="G2177" i="8"/>
  <c r="G23" i="8"/>
  <c r="G24" i="8"/>
  <c r="G25" i="8"/>
  <c r="G26" i="8"/>
  <c r="G481" i="8"/>
  <c r="G2178" i="8"/>
  <c r="G482" i="8"/>
  <c r="G119" i="8"/>
  <c r="G120" i="8"/>
  <c r="G483" i="8"/>
  <c r="G484" i="8"/>
  <c r="G485" i="8"/>
  <c r="G486" i="8"/>
  <c r="G2179" i="8"/>
  <c r="G487" i="8"/>
  <c r="G488" i="8"/>
  <c r="G489" i="8"/>
  <c r="G2180" i="8"/>
  <c r="G2181" i="8"/>
  <c r="G2182" i="8"/>
  <c r="G2067" i="8"/>
  <c r="G2068" i="8"/>
  <c r="G121" i="8"/>
  <c r="G122" i="8"/>
  <c r="G2183" i="8"/>
  <c r="G2069" i="8"/>
  <c r="G2070" i="8"/>
  <c r="G490" i="8"/>
  <c r="G2184" i="8"/>
  <c r="G491" i="8"/>
  <c r="G492" i="8"/>
  <c r="G493" i="8"/>
  <c r="G494" i="8"/>
  <c r="G495" i="8"/>
  <c r="G496" i="8"/>
  <c r="G2185" i="8"/>
  <c r="G2186" i="8"/>
  <c r="G2187" i="8"/>
  <c r="G2188" i="8"/>
  <c r="G2189" i="8"/>
  <c r="G497" i="8"/>
  <c r="G2190" i="8"/>
  <c r="G498" i="8"/>
  <c r="G499" i="8"/>
  <c r="G123" i="8"/>
  <c r="G124" i="8"/>
  <c r="G500" i="8"/>
  <c r="G501" i="8"/>
  <c r="G2191" i="8"/>
  <c r="G2071" i="8"/>
  <c r="G2072" i="8"/>
  <c r="G2192" i="8"/>
  <c r="G2073" i="8"/>
  <c r="G2074" i="8"/>
  <c r="G502" i="8"/>
  <c r="G503" i="8"/>
  <c r="G2193" i="8"/>
  <c r="G2194" i="8"/>
  <c r="G2195" i="8"/>
  <c r="G504" i="8"/>
  <c r="G505" i="8"/>
  <c r="G125" i="8"/>
  <c r="G126" i="8"/>
  <c r="G2196" i="8"/>
  <c r="G506" i="8"/>
  <c r="G507" i="8"/>
  <c r="G2197" i="8"/>
  <c r="G2075" i="8"/>
  <c r="G2076" i="8"/>
  <c r="G508" i="8"/>
  <c r="G2077" i="8"/>
  <c r="G2078" i="8"/>
  <c r="G509" i="8"/>
  <c r="G2198" i="8"/>
  <c r="G2199" i="8"/>
  <c r="G510" i="8"/>
  <c r="G511" i="8"/>
  <c r="G127" i="8"/>
  <c r="G128" i="8"/>
  <c r="G2200" i="8"/>
  <c r="G2201" i="8"/>
  <c r="G512" i="8"/>
  <c r="G2202" i="8"/>
  <c r="G513" i="8"/>
  <c r="G514" i="8"/>
  <c r="G515" i="8"/>
  <c r="G516" i="8"/>
  <c r="G129" i="8"/>
  <c r="G130" i="8"/>
  <c r="G517" i="8"/>
  <c r="G518" i="8"/>
  <c r="G2203" i="8"/>
  <c r="G2079" i="8"/>
  <c r="G2080" i="8"/>
  <c r="G2204" i="8"/>
  <c r="G2205" i="8"/>
  <c r="G131" i="8"/>
  <c r="G132" i="8"/>
  <c r="G49" i="8"/>
  <c r="G50" i="8"/>
  <c r="G51" i="8"/>
  <c r="G519" i="8"/>
  <c r="G2206" i="8"/>
  <c r="G520" i="8"/>
  <c r="G2081" i="8"/>
  <c r="G2082" i="8"/>
  <c r="G521" i="8"/>
  <c r="G522" i="8"/>
  <c r="G523" i="8"/>
  <c r="G2207" i="8"/>
  <c r="G2208" i="8"/>
  <c r="G524" i="8"/>
  <c r="G2209" i="8"/>
  <c r="G2210" i="8"/>
  <c r="G525" i="8"/>
  <c r="G2211" i="8"/>
  <c r="G2212" i="8"/>
  <c r="G526" i="8"/>
  <c r="G2213" i="8"/>
  <c r="G2214" i="8"/>
  <c r="G2215" i="8"/>
  <c r="G2216" i="8"/>
  <c r="G527" i="8"/>
  <c r="G528" i="8"/>
  <c r="G2217" i="8"/>
  <c r="G2218" i="8"/>
  <c r="G2083" i="8"/>
  <c r="G2084" i="8"/>
  <c r="G529" i="8"/>
  <c r="G2219" i="8"/>
  <c r="G2220" i="8"/>
  <c r="G530" i="8"/>
  <c r="G531" i="8"/>
  <c r="G2221" i="8"/>
  <c r="G532" i="8"/>
  <c r="G2222" i="8"/>
  <c r="G533" i="8"/>
  <c r="G534" i="8"/>
  <c r="G535" i="8"/>
  <c r="G536" i="8"/>
  <c r="G2223" i="8"/>
  <c r="G1995" i="8"/>
  <c r="G1996" i="8"/>
  <c r="G1997" i="8"/>
  <c r="G1998" i="8"/>
  <c r="G1999" i="8"/>
  <c r="G2000" i="8"/>
  <c r="G2001" i="8"/>
  <c r="G2002" i="8"/>
  <c r="G2224" i="8"/>
  <c r="G2225" i="8"/>
  <c r="G2226" i="8"/>
  <c r="G2227" i="8"/>
  <c r="G2085" i="8"/>
  <c r="G2086" i="8"/>
  <c r="G537" i="8"/>
  <c r="G2228" i="8"/>
  <c r="G2229" i="8"/>
  <c r="G2230" i="8"/>
  <c r="G538" i="8"/>
  <c r="G539" i="8"/>
  <c r="G2231" i="8"/>
  <c r="G2232" i="8"/>
  <c r="G2233" i="8"/>
  <c r="G540" i="8"/>
  <c r="G2234" i="8"/>
  <c r="G541" i="8"/>
  <c r="G2235" i="8"/>
  <c r="G542" i="8"/>
  <c r="G133" i="8"/>
  <c r="G134" i="8"/>
  <c r="G2236" i="8"/>
  <c r="G543" i="8"/>
  <c r="G544" i="8"/>
  <c r="G2237" i="8"/>
  <c r="G2238" i="8"/>
  <c r="G545" i="8"/>
  <c r="G546" i="8"/>
  <c r="G547" i="8"/>
  <c r="G548" i="8"/>
  <c r="G549" i="8"/>
  <c r="G550" i="8"/>
  <c r="G551" i="8"/>
  <c r="G552" i="8"/>
  <c r="G553" i="8"/>
  <c r="G554" i="8"/>
  <c r="G555" i="8"/>
  <c r="G2087" i="8"/>
  <c r="G2088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2089" i="8"/>
  <c r="G2090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2239" i="8"/>
  <c r="G584" i="8"/>
  <c r="G585" i="8"/>
  <c r="G586" i="8"/>
  <c r="G587" i="8"/>
  <c r="G588" i="8"/>
  <c r="G589" i="8"/>
  <c r="G590" i="8"/>
  <c r="G591" i="8"/>
  <c r="G135" i="8"/>
  <c r="G136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137" i="8"/>
  <c r="G138" i="8"/>
  <c r="G613" i="8"/>
  <c r="G614" i="8"/>
  <c r="G615" i="8"/>
  <c r="G616" i="8"/>
  <c r="G617" i="8"/>
  <c r="G2240" i="8"/>
  <c r="G618" i="8"/>
  <c r="G619" i="8"/>
  <c r="G2091" i="8"/>
  <c r="G2092" i="8"/>
  <c r="G620" i="8"/>
  <c r="G621" i="8"/>
  <c r="G2241" i="8"/>
  <c r="G622" i="8"/>
  <c r="G623" i="8"/>
  <c r="G624" i="8"/>
  <c r="G625" i="8"/>
  <c r="G626" i="8"/>
  <c r="G139" i="8"/>
  <c r="G140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2242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141" i="8"/>
  <c r="G142" i="8"/>
  <c r="G654" i="8"/>
  <c r="G655" i="8"/>
  <c r="G656" i="8"/>
  <c r="G657" i="8"/>
  <c r="G658" i="8"/>
  <c r="G659" i="8"/>
  <c r="G660" i="8"/>
  <c r="G2093" i="8"/>
  <c r="G2094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2243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2011" i="8"/>
  <c r="G2012" i="8"/>
  <c r="G2013" i="8"/>
  <c r="G2014" i="8"/>
  <c r="G2015" i="8"/>
  <c r="G2016" i="8"/>
  <c r="G689" i="8"/>
  <c r="G690" i="8"/>
  <c r="G691" i="8"/>
  <c r="G692" i="8"/>
  <c r="G693" i="8"/>
  <c r="G694" i="8"/>
  <c r="G17" i="8"/>
  <c r="G18" i="8"/>
  <c r="G19" i="8"/>
  <c r="G20" i="8"/>
  <c r="G21" i="8"/>
  <c r="G22" i="8"/>
  <c r="G695" i="8"/>
  <c r="G696" i="8"/>
  <c r="G697" i="8"/>
  <c r="G698" i="8"/>
  <c r="G699" i="8"/>
  <c r="G52" i="8"/>
  <c r="G700" i="8"/>
  <c r="G701" i="8"/>
  <c r="G702" i="8"/>
  <c r="G2244" i="8"/>
  <c r="G703" i="8"/>
  <c r="G143" i="8"/>
  <c r="G144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2095" i="8"/>
  <c r="G2096" i="8"/>
  <c r="G724" i="8"/>
  <c r="G2097" i="8"/>
  <c r="G2098" i="8"/>
  <c r="G725" i="8"/>
  <c r="G726" i="8"/>
  <c r="G727" i="8"/>
  <c r="G728" i="8"/>
  <c r="G729" i="8"/>
  <c r="G145" i="8"/>
  <c r="G146" i="8"/>
  <c r="G730" i="8"/>
  <c r="G731" i="8"/>
  <c r="G732" i="8"/>
  <c r="G733" i="8"/>
  <c r="G734" i="8"/>
  <c r="G735" i="8"/>
  <c r="G736" i="8"/>
  <c r="G737" i="8"/>
  <c r="G738" i="8"/>
  <c r="G739" i="8"/>
  <c r="G2017" i="8"/>
  <c r="G2018" i="8"/>
  <c r="G2019" i="8"/>
  <c r="G2020" i="8"/>
  <c r="G2021" i="8"/>
  <c r="G740" i="8"/>
  <c r="G741" i="8"/>
  <c r="G742" i="8"/>
  <c r="G27" i="8"/>
  <c r="G28" i="8"/>
  <c r="G29" i="8"/>
  <c r="G30" i="8"/>
  <c r="G743" i="8"/>
  <c r="G744" i="8"/>
  <c r="G745" i="8"/>
  <c r="G746" i="8"/>
  <c r="G747" i="8"/>
  <c r="G748" i="8"/>
  <c r="G749" i="8"/>
  <c r="G750" i="8"/>
  <c r="G2099" i="8"/>
  <c r="G2100" i="8"/>
  <c r="G751" i="8"/>
  <c r="G752" i="8"/>
  <c r="G753" i="8"/>
  <c r="G754" i="8"/>
  <c r="G755" i="8"/>
  <c r="G756" i="8"/>
  <c r="G757" i="8"/>
  <c r="G758" i="8"/>
  <c r="G759" i="8"/>
  <c r="G760" i="8"/>
  <c r="G147" i="8"/>
  <c r="G148" i="8"/>
  <c r="G761" i="8"/>
  <c r="G762" i="8"/>
  <c r="G763" i="8"/>
  <c r="G53" i="8"/>
  <c r="G54" i="8"/>
  <c r="G55" i="8"/>
  <c r="G764" i="8"/>
  <c r="G765" i="8"/>
  <c r="G149" i="8"/>
  <c r="G150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151" i="8"/>
  <c r="G152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2101" i="8"/>
  <c r="G2102" i="8"/>
  <c r="G805" i="8"/>
  <c r="G806" i="8"/>
  <c r="G807" i="8"/>
  <c r="G808" i="8"/>
  <c r="G809" i="8"/>
  <c r="G810" i="8"/>
  <c r="G153" i="8"/>
  <c r="G154" i="8"/>
  <c r="G811" i="8"/>
  <c r="G812" i="8"/>
  <c r="G155" i="8"/>
  <c r="G156" i="8"/>
  <c r="G813" i="8"/>
  <c r="G814" i="8"/>
  <c r="G815" i="8"/>
  <c r="G816" i="8"/>
  <c r="G817" i="8"/>
  <c r="G157" i="8"/>
  <c r="G158" i="8"/>
  <c r="G818" i="8"/>
  <c r="G2035" i="8"/>
  <c r="G2036" i="8"/>
  <c r="G2037" i="8"/>
  <c r="G819" i="8"/>
  <c r="G820" i="8"/>
  <c r="G821" i="8"/>
  <c r="G822" i="8"/>
  <c r="G823" i="8"/>
  <c r="G824" i="8"/>
  <c r="G825" i="8"/>
  <c r="G826" i="8"/>
  <c r="G159" i="8"/>
  <c r="G160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2022" i="8"/>
  <c r="G2023" i="8"/>
  <c r="G2024" i="8"/>
  <c r="G2025" i="8"/>
  <c r="G2026" i="8"/>
  <c r="G840" i="8"/>
  <c r="G2245" i="8"/>
  <c r="G841" i="8"/>
  <c r="G842" i="8"/>
  <c r="G843" i="8"/>
  <c r="G31" i="8"/>
  <c r="G32" i="8"/>
  <c r="G33" i="8"/>
  <c r="G34" i="8"/>
  <c r="G844" i="8"/>
  <c r="G845" i="8"/>
  <c r="G846" i="8"/>
  <c r="G1986" i="8"/>
  <c r="G1987" i="8"/>
  <c r="G1988" i="8"/>
  <c r="G1989" i="8"/>
  <c r="G1990" i="8"/>
  <c r="G1991" i="8"/>
  <c r="G1992" i="8"/>
  <c r="G1993" i="8"/>
  <c r="G1994" i="8"/>
  <c r="G847" i="8"/>
  <c r="G848" i="8"/>
  <c r="G849" i="8"/>
  <c r="G850" i="8"/>
  <c r="G2246" i="8"/>
  <c r="G56" i="8"/>
  <c r="G57" i="8"/>
  <c r="G58" i="8"/>
  <c r="G851" i="8"/>
  <c r="G2247" i="8"/>
  <c r="G852" i="8"/>
  <c r="G2248" i="8"/>
  <c r="G853" i="8"/>
  <c r="G854" i="8"/>
  <c r="G59" i="8"/>
  <c r="G60" i="8"/>
  <c r="G61" i="8"/>
  <c r="G855" i="8"/>
  <c r="G856" i="8"/>
  <c r="G857" i="8"/>
  <c r="G2249" i="8"/>
  <c r="G858" i="8"/>
  <c r="G859" i="8"/>
  <c r="G161" i="8"/>
  <c r="G162" i="8"/>
  <c r="G860" i="8"/>
  <c r="G861" i="8"/>
  <c r="G862" i="8"/>
  <c r="G863" i="8"/>
  <c r="G864" i="8"/>
  <c r="G1" i="8"/>
  <c r="G2" i="8"/>
  <c r="G3" i="8"/>
  <c r="G4" i="8"/>
  <c r="G5" i="8"/>
  <c r="G6" i="8"/>
  <c r="G7" i="8"/>
  <c r="G8" i="8"/>
  <c r="G9" i="8"/>
  <c r="G2250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2251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163" i="8"/>
  <c r="G16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165" i="8"/>
  <c r="G166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2103" i="8"/>
  <c r="G2104" i="8"/>
  <c r="G955" i="8"/>
  <c r="G956" i="8"/>
  <c r="G957" i="8"/>
  <c r="G958" i="8"/>
  <c r="G62" i="8"/>
  <c r="G63" i="8"/>
  <c r="G64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2252" i="8"/>
  <c r="G973" i="8"/>
  <c r="G974" i="8"/>
  <c r="G975" i="8"/>
  <c r="G976" i="8"/>
  <c r="G2253" i="8"/>
  <c r="G167" i="8"/>
  <c r="G168" i="8"/>
  <c r="G977" i="8"/>
  <c r="G978" i="8"/>
  <c r="G979" i="8"/>
  <c r="G980" i="8"/>
  <c r="G2254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2105" i="8"/>
  <c r="G2106" i="8"/>
  <c r="G2255" i="8"/>
  <c r="G996" i="8"/>
  <c r="G997" i="8"/>
  <c r="G998" i="8"/>
  <c r="G999" i="8"/>
  <c r="G2256" i="8"/>
  <c r="G1000" i="8"/>
  <c r="G1001" i="8"/>
  <c r="G1002" i="8"/>
  <c r="G1003" i="8"/>
  <c r="G1004" i="8"/>
  <c r="G1005" i="8"/>
  <c r="G1006" i="8"/>
  <c r="G2257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2107" i="8"/>
  <c r="G2108" i="8"/>
  <c r="G2258" i="8"/>
  <c r="G1026" i="8"/>
  <c r="G1027" i="8"/>
  <c r="G1028" i="8"/>
  <c r="G1029" i="8"/>
  <c r="G1030" i="8"/>
  <c r="G169" i="8"/>
  <c r="G17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71" i="8"/>
  <c r="G172" i="8"/>
  <c r="G1058" i="8"/>
  <c r="G1059" i="8"/>
  <c r="G1060" i="8"/>
  <c r="G1061" i="8"/>
  <c r="G1062" i="8"/>
  <c r="G1063" i="8"/>
  <c r="G1064" i="8"/>
  <c r="G1065" i="8"/>
  <c r="G1066" i="8"/>
  <c r="G1067" i="8"/>
  <c r="G1068" i="8"/>
  <c r="G35" i="8"/>
  <c r="G36" i="8"/>
  <c r="G37" i="8"/>
  <c r="G3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2259" i="8"/>
  <c r="G1083" i="8"/>
  <c r="G2260" i="8"/>
  <c r="G1084" i="8"/>
  <c r="G1085" i="8"/>
  <c r="G1086" i="8"/>
  <c r="G1087" i="8"/>
  <c r="G1088" i="8"/>
  <c r="G2261" i="8"/>
  <c r="G2262" i="8"/>
  <c r="G2263" i="8"/>
  <c r="G1089" i="8"/>
  <c r="G1090" i="8"/>
  <c r="G1091" i="8"/>
  <c r="G1092" i="8"/>
  <c r="G1093" i="8"/>
  <c r="G173" i="8"/>
  <c r="G174" i="8"/>
  <c r="G1094" i="8"/>
  <c r="G1095" i="8"/>
  <c r="G1096" i="8"/>
  <c r="G65" i="8"/>
  <c r="G66" i="8"/>
  <c r="G67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2264" i="8"/>
  <c r="G1121" i="8"/>
  <c r="G1122" i="8"/>
  <c r="G1123" i="8"/>
  <c r="G175" i="8"/>
  <c r="G176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77" i="8"/>
  <c r="G178" i="8"/>
  <c r="G1164" i="8"/>
  <c r="G1165" i="8"/>
  <c r="G1166" i="8"/>
  <c r="G1167" i="8"/>
  <c r="G179" i="8"/>
  <c r="G180" i="8"/>
  <c r="G181" i="8"/>
  <c r="G182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2038" i="8"/>
  <c r="G2039" i="8"/>
  <c r="G2040" i="8"/>
  <c r="G1186" i="8"/>
  <c r="G1187" i="8"/>
  <c r="G2003" i="8"/>
  <c r="G2004" i="8"/>
  <c r="G2005" i="8"/>
  <c r="G2006" i="8"/>
  <c r="G2007" i="8"/>
  <c r="G2008" i="8"/>
  <c r="G2009" i="8"/>
  <c r="G2010" i="8"/>
  <c r="G183" i="8"/>
  <c r="G184" i="8"/>
  <c r="G185" i="8"/>
  <c r="G186" i="8"/>
  <c r="G1188" i="8"/>
  <c r="G1189" i="8"/>
  <c r="G1190" i="8"/>
  <c r="G1191" i="8"/>
  <c r="G1192" i="8"/>
  <c r="G10" i="8"/>
  <c r="G11" i="8"/>
  <c r="G12" i="8"/>
  <c r="G13" i="8"/>
  <c r="G14" i="8"/>
  <c r="G15" i="8"/>
  <c r="G16" i="8"/>
  <c r="G1193" i="8"/>
  <c r="G1194" i="8"/>
  <c r="G187" i="8"/>
  <c r="G188" i="8"/>
  <c r="G1195" i="8"/>
  <c r="G1196" i="8"/>
  <c r="G1197" i="8"/>
  <c r="G1198" i="8"/>
  <c r="G1199" i="8"/>
  <c r="G189" i="8"/>
  <c r="G190" i="8"/>
  <c r="G2109" i="8"/>
  <c r="G2110" i="8"/>
  <c r="G1200" i="8"/>
  <c r="G1201" i="8"/>
  <c r="G1202" i="8"/>
  <c r="G1203" i="8"/>
  <c r="G1204" i="8"/>
  <c r="G1205" i="8"/>
  <c r="G1206" i="8"/>
  <c r="G1207" i="8"/>
  <c r="G2111" i="8"/>
  <c r="G2112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2265" i="8"/>
  <c r="G1251" i="8"/>
  <c r="G1252" i="8"/>
  <c r="G1253" i="8"/>
  <c r="G1254" i="8"/>
  <c r="G1255" i="8"/>
  <c r="G1256" i="8"/>
  <c r="G1257" i="8"/>
  <c r="G1258" i="8"/>
  <c r="G68" i="8"/>
  <c r="G69" i="8"/>
  <c r="G70" i="8"/>
  <c r="G1259" i="8"/>
  <c r="G1260" i="8"/>
  <c r="G1261" i="8"/>
  <c r="G191" i="8"/>
  <c r="G192" i="8"/>
  <c r="G2266" i="8"/>
  <c r="G1262" i="8"/>
  <c r="G1263" i="8"/>
  <c r="G1264" i="8"/>
  <c r="G1265" i="8"/>
  <c r="G1266" i="8"/>
  <c r="G1267" i="8"/>
  <c r="G1268" i="8"/>
  <c r="G1269" i="8"/>
  <c r="G1270" i="8"/>
  <c r="G1271" i="8"/>
  <c r="G1272" i="8"/>
  <c r="G193" i="8"/>
  <c r="G194" i="8"/>
  <c r="G1273" i="8"/>
  <c r="G1274" i="8"/>
  <c r="G1275" i="8"/>
  <c r="G1276" i="8"/>
  <c r="G1277" i="8"/>
  <c r="G195" i="8"/>
  <c r="G196" i="8"/>
  <c r="G1278" i="8"/>
  <c r="G1279" i="8"/>
  <c r="G2113" i="8"/>
  <c r="G2114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2267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2268" i="8"/>
  <c r="G71" i="8"/>
  <c r="G72" i="8"/>
  <c r="G73" i="8"/>
  <c r="G1310" i="8"/>
  <c r="G1311" i="8"/>
  <c r="G1312" i="8"/>
  <c r="G1313" i="8"/>
  <c r="G1314" i="8"/>
  <c r="G1315" i="8"/>
  <c r="G197" i="8"/>
  <c r="G198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39" i="8"/>
  <c r="G40" i="8"/>
  <c r="G41" i="8"/>
  <c r="G42" i="8"/>
  <c r="G1329" i="8"/>
  <c r="G1330" i="8"/>
  <c r="G199" i="8"/>
  <c r="G200" i="8"/>
  <c r="G2269" i="8"/>
  <c r="G1331" i="8"/>
  <c r="G2041" i="8"/>
  <c r="G2042" i="8"/>
  <c r="G2043" i="8"/>
  <c r="G1332" i="8"/>
  <c r="G1333" i="8"/>
  <c r="G201" i="8"/>
  <c r="G202" i="8"/>
  <c r="G1334" i="8"/>
  <c r="G1335" i="8"/>
  <c r="G1336" i="8"/>
  <c r="G1337" i="8"/>
  <c r="G1338" i="8"/>
  <c r="G1339" i="8"/>
  <c r="G1340" i="8"/>
  <c r="G1341" i="8"/>
  <c r="G203" i="8"/>
  <c r="G204" i="8"/>
  <c r="G1342" i="8"/>
  <c r="G1343" i="8"/>
  <c r="G1344" i="8"/>
  <c r="G1345" i="8"/>
  <c r="G2270" i="8"/>
  <c r="G1346" i="8"/>
  <c r="G1347" i="8"/>
  <c r="G1348" i="8"/>
  <c r="G1349" i="8"/>
  <c r="G2271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205" i="8"/>
  <c r="G206" i="8"/>
  <c r="G1368" i="8"/>
  <c r="G1369" i="8"/>
  <c r="G1370" i="8"/>
  <c r="G207" i="8"/>
  <c r="G208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2115" i="8"/>
  <c r="G2116" i="8"/>
  <c r="G1400" i="8"/>
  <c r="G1401" i="8"/>
  <c r="G1402" i="8"/>
  <c r="G1403" i="8"/>
  <c r="G1404" i="8"/>
  <c r="G1405" i="8"/>
  <c r="G1406" i="8"/>
  <c r="G1407" i="8"/>
  <c r="G1408" i="8"/>
  <c r="G1409" i="8"/>
  <c r="G2272" i="8"/>
  <c r="G1410" i="8"/>
  <c r="G1411" i="8"/>
  <c r="G1412" i="8"/>
  <c r="G1413" i="8"/>
  <c r="G1414" i="8"/>
  <c r="G1415" i="8"/>
  <c r="G1416" i="8"/>
  <c r="G1417" i="8"/>
  <c r="G1418" i="8"/>
  <c r="G1419" i="8"/>
  <c r="G1420" i="8"/>
  <c r="G209" i="8"/>
  <c r="G210" i="8"/>
  <c r="G1421" i="8"/>
  <c r="G74" i="8"/>
  <c r="G75" i="8"/>
  <c r="G76" i="8"/>
  <c r="G1422" i="8"/>
  <c r="G1423" i="8"/>
  <c r="G1424" i="8"/>
  <c r="G1425" i="8"/>
  <c r="G1426" i="8"/>
  <c r="G1427" i="8"/>
  <c r="G211" i="8"/>
  <c r="G212" i="8"/>
  <c r="G1428" i="8"/>
  <c r="G213" i="8"/>
  <c r="G214" i="8"/>
  <c r="G1429" i="8"/>
  <c r="G1430" i="8"/>
  <c r="G2044" i="8"/>
  <c r="G2045" i="8"/>
  <c r="G2046" i="8"/>
  <c r="G1431" i="8"/>
  <c r="G1432" i="8"/>
  <c r="G1433" i="8"/>
  <c r="G1434" i="8"/>
  <c r="G1435" i="8"/>
  <c r="G1436" i="8"/>
  <c r="G215" i="8"/>
  <c r="G216" i="8"/>
  <c r="G1437" i="8"/>
  <c r="G1438" i="8"/>
  <c r="G1439" i="8"/>
  <c r="G1440" i="8"/>
  <c r="G1441" i="8"/>
  <c r="G1442" i="8"/>
  <c r="G1443" i="8"/>
  <c r="G1444" i="8"/>
  <c r="G217" i="8"/>
  <c r="G218" i="8"/>
  <c r="G1445" i="8"/>
  <c r="G1446" i="8"/>
  <c r="G1447" i="8"/>
  <c r="G1448" i="8"/>
  <c r="G219" i="8"/>
  <c r="G220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77" i="8"/>
  <c r="G78" i="8"/>
  <c r="G79" i="8"/>
  <c r="G1481" i="8"/>
  <c r="G1482" i="8"/>
  <c r="G1483" i="8"/>
  <c r="G1484" i="8"/>
  <c r="G1485" i="8"/>
  <c r="G1486" i="8"/>
  <c r="G1487" i="8"/>
  <c r="G2273" i="8"/>
  <c r="G221" i="8"/>
  <c r="G222" i="8"/>
  <c r="G2047" i="8"/>
  <c r="G2048" i="8"/>
  <c r="G2049" i="8"/>
  <c r="G2274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223" i="8"/>
  <c r="G224" i="8"/>
  <c r="G1500" i="8"/>
  <c r="G1501" i="8"/>
  <c r="G1502" i="8"/>
  <c r="G1503" i="8"/>
  <c r="G1504" i="8"/>
  <c r="G2275" i="8"/>
  <c r="G2276" i="8"/>
  <c r="G1505" i="8"/>
  <c r="G1506" i="8"/>
  <c r="G1507" i="8"/>
  <c r="G1508" i="8"/>
  <c r="G1509" i="8"/>
  <c r="G1510" i="8"/>
  <c r="G1511" i="8"/>
  <c r="G1512" i="8"/>
  <c r="G225" i="8"/>
  <c r="G226" i="8"/>
  <c r="G1513" i="8"/>
  <c r="G1514" i="8"/>
  <c r="G1515" i="8"/>
  <c r="G1516" i="8"/>
  <c r="G1517" i="8"/>
  <c r="G1518" i="8"/>
  <c r="G1519" i="8"/>
  <c r="G2277" i="8"/>
  <c r="G1520" i="8"/>
  <c r="G1521" i="8"/>
  <c r="G1522" i="8"/>
  <c r="G1523" i="8"/>
  <c r="G1524" i="8"/>
  <c r="G1525" i="8"/>
  <c r="G1526" i="8"/>
  <c r="G2278" i="8"/>
  <c r="G1527" i="8"/>
  <c r="G1528" i="8"/>
  <c r="G1529" i="8"/>
  <c r="G227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2280" i="8"/>
  <c r="G1548" i="8"/>
  <c r="G1549" i="8"/>
  <c r="G1550" i="8"/>
  <c r="G2050" i="8"/>
  <c r="G2051" i="8"/>
  <c r="G2052" i="8"/>
  <c r="G1551" i="8"/>
  <c r="G1552" i="8"/>
  <c r="G227" i="8"/>
  <c r="G228" i="8"/>
  <c r="G1553" i="8"/>
  <c r="G1554" i="8"/>
  <c r="G1555" i="8"/>
  <c r="G1556" i="8"/>
  <c r="G1557" i="8"/>
  <c r="G1558" i="8"/>
  <c r="G1559" i="8"/>
  <c r="G1560" i="8"/>
  <c r="G2281" i="8"/>
  <c r="G2282" i="8"/>
  <c r="G1561" i="8"/>
  <c r="G1562" i="8"/>
  <c r="G1563" i="8"/>
  <c r="G1564" i="8"/>
  <c r="G2283" i="8"/>
  <c r="G2284" i="8"/>
  <c r="G229" i="8"/>
  <c r="G230" i="8"/>
  <c r="G1565" i="8"/>
  <c r="G1566" i="8"/>
  <c r="G1567" i="8"/>
  <c r="G1568" i="8"/>
  <c r="G231" i="8"/>
  <c r="G232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2285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2286" i="8"/>
  <c r="G2117" i="8"/>
  <c r="G2118" i="8"/>
  <c r="G1594" i="8"/>
  <c r="G1595" i="8"/>
  <c r="G1596" i="8"/>
  <c r="G1597" i="8"/>
  <c r="G1598" i="8"/>
  <c r="G1599" i="8"/>
  <c r="G1600" i="8"/>
  <c r="G1601" i="8"/>
  <c r="G1602" i="8"/>
  <c r="G1603" i="8"/>
  <c r="G1604" i="8"/>
  <c r="G2287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2288" i="8"/>
  <c r="G233" i="8"/>
  <c r="G234" i="8"/>
  <c r="G2289" i="8"/>
  <c r="G2119" i="8"/>
  <c r="G2120" i="8"/>
  <c r="G235" i="8"/>
  <c r="G236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2121" i="8"/>
  <c r="G2122" i="8"/>
  <c r="G1672" i="8"/>
  <c r="G2123" i="8"/>
  <c r="G2124" i="8"/>
  <c r="G237" i="8"/>
  <c r="G238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2290" i="8"/>
  <c r="G80" i="8"/>
  <c r="G81" i="8"/>
  <c r="G82" i="8"/>
  <c r="G1698" i="8"/>
  <c r="G1699" i="8"/>
  <c r="G1700" i="8"/>
  <c r="G1701" i="8"/>
  <c r="G1702" i="8"/>
  <c r="G1703" i="8"/>
  <c r="G1704" i="8"/>
  <c r="G1705" i="8"/>
  <c r="G239" i="8"/>
  <c r="G240" i="8"/>
  <c r="G1706" i="8"/>
  <c r="G1707" i="8"/>
  <c r="G1708" i="8"/>
  <c r="G1709" i="8"/>
  <c r="G1710" i="8"/>
  <c r="G1711" i="8"/>
  <c r="G1712" i="8"/>
  <c r="G1713" i="8"/>
  <c r="G2125" i="8"/>
  <c r="G2126" i="8"/>
  <c r="G1714" i="8"/>
  <c r="G1715" i="8"/>
  <c r="G241" i="8"/>
  <c r="G242" i="8"/>
  <c r="G1716" i="8"/>
  <c r="G1717" i="8"/>
  <c r="G1718" i="8"/>
  <c r="G243" i="8"/>
  <c r="G244" i="8"/>
  <c r="G1719" i="8"/>
  <c r="G1720" i="8"/>
  <c r="G1721" i="8"/>
  <c r="G1722" i="8"/>
  <c r="G1723" i="8"/>
  <c r="G1724" i="8"/>
  <c r="G1725" i="8"/>
  <c r="G2291" i="8"/>
  <c r="G1726" i="8"/>
  <c r="G1727" i="8"/>
  <c r="G1728" i="8"/>
  <c r="G1729" i="8"/>
  <c r="G1730" i="8"/>
  <c r="G245" i="8"/>
  <c r="G246" i="8"/>
  <c r="G1731" i="8"/>
  <c r="G1732" i="8"/>
  <c r="G247" i="8"/>
  <c r="G248" i="8"/>
  <c r="G249" i="8"/>
  <c r="G250" i="8"/>
  <c r="G1733" i="8"/>
  <c r="G1734" i="8"/>
  <c r="G1735" i="8"/>
  <c r="G2292" i="8"/>
  <c r="G1736" i="8"/>
  <c r="G2127" i="8"/>
  <c r="G2128" i="8"/>
  <c r="G83" i="8"/>
  <c r="G84" i="8"/>
  <c r="G85" i="8"/>
  <c r="G1737" i="8"/>
  <c r="G1738" i="8"/>
  <c r="G251" i="8"/>
  <c r="G252" i="8"/>
  <c r="G1739" i="8"/>
  <c r="G1740" i="8"/>
  <c r="G253" i="8"/>
  <c r="G254" i="8"/>
  <c r="G1741" i="8"/>
  <c r="G1742" i="8"/>
  <c r="G1743" i="8"/>
  <c r="G1744" i="8"/>
  <c r="G1745" i="8"/>
  <c r="G1746" i="8"/>
  <c r="G1747" i="8"/>
  <c r="G1748" i="8"/>
  <c r="G1749" i="8"/>
  <c r="G1750" i="8"/>
  <c r="G1751" i="8"/>
  <c r="G255" i="8"/>
  <c r="G256" i="8"/>
  <c r="G1752" i="8"/>
  <c r="G1753" i="8"/>
  <c r="G1754" i="8"/>
  <c r="G1755" i="8"/>
  <c r="G1756" i="8"/>
  <c r="G1757" i="8"/>
  <c r="G1758" i="8"/>
  <c r="G2293" i="8"/>
  <c r="G1759" i="8"/>
  <c r="G1760" i="8"/>
  <c r="G1761" i="8"/>
  <c r="G1762" i="8"/>
  <c r="G1763" i="8"/>
  <c r="G1764" i="8"/>
  <c r="G1765" i="8"/>
  <c r="G1766" i="8"/>
  <c r="G2294" i="8"/>
  <c r="G1767" i="8"/>
  <c r="G1768" i="8"/>
  <c r="G1769" i="8"/>
  <c r="G2295" i="8"/>
  <c r="G2296" i="8"/>
  <c r="G1770" i="8"/>
  <c r="G257" i="8"/>
  <c r="G258" i="8"/>
  <c r="G1771" i="8"/>
  <c r="G1772" i="8"/>
  <c r="G259" i="8"/>
  <c r="G260" i="8"/>
  <c r="G1773" i="8"/>
  <c r="G1774" i="8"/>
  <c r="G1775" i="8"/>
  <c r="G1776" i="8"/>
  <c r="G1777" i="8"/>
  <c r="G2297" i="8"/>
  <c r="G1778" i="8"/>
  <c r="G1779" i="8"/>
  <c r="G1780" i="8"/>
  <c r="G1781" i="8"/>
  <c r="G1782" i="8"/>
  <c r="G1783" i="8"/>
  <c r="G1784" i="8"/>
  <c r="G1785" i="8"/>
  <c r="G1786" i="8"/>
  <c r="G1787" i="8"/>
  <c r="G2053" i="8"/>
  <c r="G2054" i="8"/>
  <c r="G2055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2129" i="8"/>
  <c r="G2130" i="8"/>
  <c r="G2298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2056" i="8"/>
  <c r="G2057" i="8"/>
  <c r="G2058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261" i="8"/>
  <c r="G262" i="8"/>
  <c r="G1834" i="8"/>
  <c r="G1835" i="8"/>
  <c r="G1836" i="8"/>
  <c r="G1837" i="8"/>
  <c r="G1838" i="8"/>
  <c r="G1839" i="8"/>
  <c r="G1840" i="8"/>
  <c r="G1841" i="8"/>
  <c r="G1842" i="8"/>
  <c r="G1843" i="8"/>
  <c r="G2299" i="8"/>
  <c r="G1844" i="8"/>
  <c r="G1845" i="8"/>
  <c r="G2300" i="8"/>
  <c r="G1846" i="8"/>
  <c r="G1847" i="8"/>
  <c r="G1848" i="8"/>
  <c r="G1849" i="8"/>
  <c r="G1850" i="8"/>
  <c r="G1851" i="8"/>
  <c r="G1852" i="8"/>
  <c r="G1853" i="8"/>
  <c r="G1854" i="8"/>
  <c r="G1855" i="8"/>
  <c r="G263" i="8"/>
  <c r="G264" i="8"/>
  <c r="G1856" i="8"/>
  <c r="G1857" i="8"/>
  <c r="G1858" i="8"/>
  <c r="G1859" i="8"/>
  <c r="G1860" i="8"/>
  <c r="G1861" i="8"/>
  <c r="G1862" i="8"/>
  <c r="G1863" i="8"/>
  <c r="G1864" i="8"/>
  <c r="G1865" i="8"/>
  <c r="G2301" i="8"/>
  <c r="G1866" i="8"/>
  <c r="G1867" i="8"/>
  <c r="G1868" i="8"/>
  <c r="G1869" i="8"/>
  <c r="G1870" i="8"/>
  <c r="G2027" i="8"/>
  <c r="G2028" i="8"/>
  <c r="G2029" i="8"/>
  <c r="G2030" i="8"/>
  <c r="G1871" i="8"/>
  <c r="G1872" i="8"/>
  <c r="G43" i="8"/>
  <c r="G44" i="8"/>
  <c r="G45" i="8"/>
  <c r="G46" i="8"/>
  <c r="G1873" i="8"/>
  <c r="G265" i="8"/>
  <c r="G266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2131" i="8"/>
  <c r="G2132" i="8"/>
  <c r="G1904" i="8"/>
  <c r="G1905" i="8"/>
  <c r="G1906" i="8"/>
  <c r="G267" i="8"/>
  <c r="G268" i="8"/>
  <c r="G1907" i="8"/>
  <c r="G269" i="8"/>
  <c r="G270" i="8"/>
  <c r="G1908" i="8"/>
  <c r="G1909" i="8"/>
  <c r="G1910" i="8"/>
  <c r="G1911" i="8"/>
  <c r="G1912" i="8"/>
  <c r="G1913" i="8"/>
  <c r="G271" i="8"/>
  <c r="G272" i="8"/>
  <c r="G1914" i="8"/>
  <c r="G1915" i="8"/>
  <c r="G1916" i="8"/>
  <c r="G1917" i="8"/>
  <c r="G1918" i="8"/>
  <c r="G1919" i="8"/>
  <c r="G1920" i="8"/>
  <c r="G1921" i="8"/>
  <c r="G1922" i="8"/>
  <c r="G1923" i="8"/>
  <c r="G2133" i="8"/>
  <c r="G2134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273" i="8"/>
  <c r="G274" i="8"/>
  <c r="G1937" i="8"/>
  <c r="G1938" i="8"/>
  <c r="G1939" i="8"/>
  <c r="G275" i="8"/>
  <c r="G276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2302" i="8"/>
  <c r="G1959" i="8"/>
  <c r="G1960" i="8"/>
  <c r="G1961" i="8"/>
  <c r="G1962" i="8"/>
  <c r="G1963" i="8"/>
  <c r="G1964" i="8"/>
  <c r="G1965" i="8"/>
  <c r="G2031" i="8"/>
  <c r="G2032" i="8"/>
  <c r="G2033" i="8"/>
  <c r="G2034" i="8"/>
  <c r="G1966" i="8"/>
  <c r="G1967" i="8"/>
  <c r="G86" i="8"/>
  <c r="G87" i="8"/>
  <c r="G88" i="8"/>
  <c r="G1968" i="8"/>
  <c r="G277" i="8"/>
  <c r="G27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279" i="8"/>
  <c r="K1982" i="8" l="1"/>
  <c r="M1982" i="8" s="1"/>
  <c r="J1967" i="8"/>
  <c r="L1967" i="8" s="1"/>
  <c r="N1967" i="8" s="1"/>
  <c r="J1877" i="8"/>
  <c r="L1877" i="8" s="1"/>
  <c r="N1877" i="8" s="1"/>
  <c r="J506" i="8"/>
  <c r="L506" i="8" s="1"/>
  <c r="N506" i="8" s="1"/>
  <c r="J421" i="8"/>
  <c r="L421" i="8" s="1"/>
  <c r="N421" i="8" s="1"/>
  <c r="J390" i="8"/>
  <c r="L390" i="8" s="1"/>
  <c r="N390" i="8" s="1"/>
  <c r="K281" i="8"/>
  <c r="M281" i="8" s="1"/>
  <c r="J525" i="8"/>
  <c r="L525" i="8" s="1"/>
  <c r="N525" i="8" s="1"/>
  <c r="J594" i="8"/>
  <c r="L594" i="8" s="1"/>
  <c r="N594" i="8" s="1"/>
  <c r="K52" i="8"/>
  <c r="M52" i="8" s="1"/>
  <c r="J733" i="8"/>
  <c r="L733" i="8" s="1"/>
  <c r="N733" i="8" s="1"/>
  <c r="J791" i="8"/>
  <c r="L791" i="8" s="1"/>
  <c r="N791" i="8" s="1"/>
  <c r="J799" i="8"/>
  <c r="L799" i="8" s="1"/>
  <c r="N799" i="8" s="1"/>
  <c r="K1006" i="8"/>
  <c r="M1006" i="8" s="1"/>
  <c r="K1073" i="8"/>
  <c r="M1073" i="8" s="1"/>
  <c r="J186" i="8"/>
  <c r="L186" i="8" s="1"/>
  <c r="N186" i="8" s="1"/>
  <c r="J1192" i="8"/>
  <c r="L1192" i="8" s="1"/>
  <c r="N1192" i="8" s="1"/>
  <c r="J1220" i="8"/>
  <c r="L1220" i="8" s="1"/>
  <c r="N1220" i="8" s="1"/>
  <c r="J1213" i="8"/>
  <c r="L1213" i="8" s="1"/>
  <c r="N1213" i="8" s="1"/>
  <c r="J1269" i="8"/>
  <c r="L1269" i="8" s="1"/>
  <c r="N1269" i="8" s="1"/>
  <c r="J1785" i="8"/>
  <c r="L1785" i="8" s="1"/>
  <c r="N1785" i="8" s="1"/>
  <c r="K2058" i="8"/>
  <c r="M2058" i="8" s="1"/>
  <c r="J294" i="8"/>
  <c r="L294" i="8" s="1"/>
  <c r="N294" i="8" s="1"/>
  <c r="J414" i="8"/>
  <c r="L414" i="8" s="1"/>
  <c r="N414" i="8" s="1"/>
  <c r="J453" i="8"/>
  <c r="L453" i="8" s="1"/>
  <c r="N453" i="8" s="1"/>
  <c r="J516" i="8"/>
  <c r="L516" i="8" s="1"/>
  <c r="N516" i="8" s="1"/>
  <c r="J610" i="8"/>
  <c r="L610" i="8" s="1"/>
  <c r="N610" i="8" s="1"/>
  <c r="J667" i="8"/>
  <c r="L667" i="8" s="1"/>
  <c r="N667" i="8" s="1"/>
  <c r="J832" i="8"/>
  <c r="L832" i="8" s="1"/>
  <c r="N832" i="8" s="1"/>
  <c r="J939" i="8"/>
  <c r="L939" i="8" s="1"/>
  <c r="N939" i="8" s="1"/>
  <c r="J2256" i="8"/>
  <c r="L2256" i="8" s="1"/>
  <c r="N2256" i="8" s="1"/>
  <c r="J181" i="8"/>
  <c r="L181" i="8" s="1"/>
  <c r="N181" i="8" s="1"/>
  <c r="J1062" i="8"/>
  <c r="L1062" i="8" s="1"/>
  <c r="N1062" i="8" s="1"/>
  <c r="J1346" i="8"/>
  <c r="L1346" i="8" s="1"/>
  <c r="N1346" i="8" s="1"/>
  <c r="K1336" i="8"/>
  <c r="M1336" i="8" s="1"/>
  <c r="J1547" i="8"/>
  <c r="L1547" i="8" s="1"/>
  <c r="N1547" i="8" s="1"/>
  <c r="J1529" i="8"/>
  <c r="L1529" i="8" s="1"/>
  <c r="N1529" i="8" s="1"/>
  <c r="J1578" i="8"/>
  <c r="L1578" i="8" s="1"/>
  <c r="N1578" i="8" s="1"/>
  <c r="J1638" i="8"/>
  <c r="L1638" i="8" s="1"/>
  <c r="N1638" i="8" s="1"/>
  <c r="J1868" i="8"/>
  <c r="L1868" i="8" s="1"/>
  <c r="N1868" i="8" s="1"/>
  <c r="J743" i="8"/>
  <c r="L743" i="8" s="1"/>
  <c r="N743" i="8" s="1"/>
  <c r="J1361" i="8"/>
  <c r="L1361" i="8" s="1"/>
  <c r="N1361" i="8" s="1"/>
  <c r="J1012" i="8"/>
  <c r="L1012" i="8" s="1"/>
  <c r="N1012" i="8" s="1"/>
  <c r="J661" i="8"/>
  <c r="L661" i="8" s="1"/>
  <c r="N661" i="8" s="1"/>
  <c r="J559" i="8"/>
  <c r="L559" i="8" s="1"/>
  <c r="N559" i="8" s="1"/>
  <c r="J1064" i="8"/>
  <c r="L1064" i="8" s="1"/>
  <c r="N1064" i="8" s="1"/>
  <c r="J960" i="8"/>
  <c r="L960" i="8" s="1"/>
  <c r="N960" i="8" s="1"/>
  <c r="J1135" i="8"/>
  <c r="L1135" i="8" s="1"/>
  <c r="N1135" i="8" s="1"/>
  <c r="J1491" i="8"/>
  <c r="L1491" i="8" s="1"/>
  <c r="N1491" i="8" s="1"/>
  <c r="K1719" i="8"/>
  <c r="M1719" i="8" s="1"/>
  <c r="K1804" i="8"/>
  <c r="M1804" i="8" s="1"/>
  <c r="J1984" i="8"/>
  <c r="L1984" i="8" s="1"/>
  <c r="N1984" i="8" s="1"/>
  <c r="J1973" i="8"/>
  <c r="L1973" i="8" s="1"/>
  <c r="N1973" i="8" s="1"/>
  <c r="J1958" i="8"/>
  <c r="L1958" i="8" s="1"/>
  <c r="N1958" i="8" s="1"/>
  <c r="J1945" i="8"/>
  <c r="L1945" i="8" s="1"/>
  <c r="N1945" i="8" s="1"/>
  <c r="J274" i="8"/>
  <c r="L274" i="8" s="1"/>
  <c r="N274" i="8" s="1"/>
  <c r="J1930" i="8"/>
  <c r="L1930" i="8" s="1"/>
  <c r="N1930" i="8" s="1"/>
  <c r="J1922" i="8"/>
  <c r="L1922" i="8" s="1"/>
  <c r="N1922" i="8" s="1"/>
  <c r="J271" i="8"/>
  <c r="L271" i="8" s="1"/>
  <c r="N271" i="8" s="1"/>
  <c r="J2132" i="8"/>
  <c r="L2132" i="8" s="1"/>
  <c r="N2132" i="8" s="1"/>
  <c r="J1895" i="8"/>
  <c r="L1895" i="8" s="1"/>
  <c r="N1895" i="8" s="1"/>
  <c r="J1881" i="8"/>
  <c r="L1881" i="8" s="1"/>
  <c r="N1881" i="8" s="1"/>
  <c r="J44" i="8"/>
  <c r="L44" i="8" s="1"/>
  <c r="N44" i="8" s="1"/>
  <c r="J2030" i="8"/>
  <c r="L2030" i="8" s="1"/>
  <c r="N2030" i="8" s="1"/>
  <c r="J1865" i="8"/>
  <c r="L1865" i="8" s="1"/>
  <c r="N1865" i="8" s="1"/>
  <c r="J264" i="8"/>
  <c r="L264" i="8" s="1"/>
  <c r="N264" i="8" s="1"/>
  <c r="J1846" i="8"/>
  <c r="L1846" i="8" s="1"/>
  <c r="N1846" i="8" s="1"/>
  <c r="J1837" i="8"/>
  <c r="L1837" i="8" s="1"/>
  <c r="N1837" i="8" s="1"/>
  <c r="J1820" i="8"/>
  <c r="L1820" i="8" s="1"/>
  <c r="N1820" i="8" s="1"/>
  <c r="J604" i="8"/>
  <c r="L604" i="8" s="1"/>
  <c r="N604" i="8" s="1"/>
  <c r="J577" i="8"/>
  <c r="L577" i="8" s="1"/>
  <c r="N577" i="8" s="1"/>
  <c r="J557" i="8"/>
  <c r="L557" i="8" s="1"/>
  <c r="N557" i="8" s="1"/>
  <c r="J545" i="8"/>
  <c r="L545" i="8" s="1"/>
  <c r="N545" i="8" s="1"/>
  <c r="J542" i="8"/>
  <c r="L542" i="8" s="1"/>
  <c r="N542" i="8" s="1"/>
  <c r="J539" i="8"/>
  <c r="L539" i="8" s="1"/>
  <c r="N539" i="8" s="1"/>
  <c r="J2224" i="8"/>
  <c r="L2224" i="8" s="1"/>
  <c r="N2224" i="8" s="1"/>
  <c r="J1995" i="8"/>
  <c r="L1995" i="8" s="1"/>
  <c r="N1995" i="8" s="1"/>
  <c r="J2084" i="8"/>
  <c r="L2084" i="8" s="1"/>
  <c r="N2084" i="8" s="1"/>
  <c r="J2210" i="8"/>
  <c r="L2210" i="8" s="1"/>
  <c r="N2210" i="8" s="1"/>
  <c r="J49" i="8"/>
  <c r="L49" i="8" s="1"/>
  <c r="N49" i="8" s="1"/>
  <c r="J515" i="8"/>
  <c r="L515" i="8" s="1"/>
  <c r="N515" i="8" s="1"/>
  <c r="J2077" i="8"/>
  <c r="L2077" i="8" s="1"/>
  <c r="N2077" i="8" s="1"/>
  <c r="J2195" i="8"/>
  <c r="L2195" i="8" s="1"/>
  <c r="N2195" i="8" s="1"/>
  <c r="J500" i="8"/>
  <c r="L500" i="8" s="1"/>
  <c r="N500" i="8" s="1"/>
  <c r="J2187" i="8"/>
  <c r="L2187" i="8" s="1"/>
  <c r="N2187" i="8" s="1"/>
  <c r="J121" i="8"/>
  <c r="L121" i="8" s="1"/>
  <c r="N121" i="8" s="1"/>
  <c r="J486" i="8"/>
  <c r="L486" i="8" s="1"/>
  <c r="N486" i="8" s="1"/>
  <c r="J24" i="8"/>
  <c r="L24" i="8" s="1"/>
  <c r="N24" i="8" s="1"/>
  <c r="J477" i="8"/>
  <c r="L477" i="8" s="1"/>
  <c r="N477" i="8" s="1"/>
  <c r="J471" i="8"/>
  <c r="L471" i="8" s="1"/>
  <c r="N471" i="8" s="1"/>
  <c r="J2159" i="8"/>
  <c r="L2159" i="8" s="1"/>
  <c r="N2159" i="8" s="1"/>
  <c r="J462" i="8"/>
  <c r="L462" i="8" s="1"/>
  <c r="N462" i="8" s="1"/>
  <c r="J2151" i="8"/>
  <c r="L2151" i="8" s="1"/>
  <c r="N2151" i="8" s="1"/>
  <c r="J444" i="8"/>
  <c r="L444" i="8" s="1"/>
  <c r="N444" i="8" s="1"/>
  <c r="J426" i="8"/>
  <c r="L426" i="8" s="1"/>
  <c r="N426" i="8" s="1"/>
  <c r="J416" i="8"/>
  <c r="L416" i="8" s="1"/>
  <c r="N416" i="8" s="1"/>
  <c r="J392" i="8"/>
  <c r="L392" i="8" s="1"/>
  <c r="N392" i="8" s="1"/>
  <c r="J383" i="8"/>
  <c r="L383" i="8" s="1"/>
  <c r="N383" i="8" s="1"/>
  <c r="J372" i="8"/>
  <c r="L372" i="8" s="1"/>
  <c r="N372" i="8" s="1"/>
  <c r="J358" i="8"/>
  <c r="L358" i="8" s="1"/>
  <c r="N358" i="8" s="1"/>
  <c r="J346" i="8"/>
  <c r="L346" i="8" s="1"/>
  <c r="N346" i="8" s="1"/>
  <c r="J338" i="8"/>
  <c r="L338" i="8" s="1"/>
  <c r="N338" i="8" s="1"/>
  <c r="J330" i="8"/>
  <c r="L330" i="8" s="1"/>
  <c r="N330" i="8" s="1"/>
  <c r="J96" i="8"/>
  <c r="L96" i="8" s="1"/>
  <c r="N96" i="8" s="1"/>
  <c r="J90" i="8"/>
  <c r="L90" i="8" s="1"/>
  <c r="N90" i="8" s="1"/>
  <c r="J291" i="8"/>
  <c r="L291" i="8" s="1"/>
  <c r="N291" i="8" s="1"/>
  <c r="K1913" i="8"/>
  <c r="M1913" i="8" s="1"/>
  <c r="J1808" i="8"/>
  <c r="L1808" i="8" s="1"/>
  <c r="N1808" i="8" s="1"/>
  <c r="J1546" i="8"/>
  <c r="L1546" i="8" s="1"/>
  <c r="N1546" i="8" s="1"/>
  <c r="J2270" i="8"/>
  <c r="L2270" i="8" s="1"/>
  <c r="N2270" i="8" s="1"/>
  <c r="J1243" i="8"/>
  <c r="L1243" i="8" s="1"/>
  <c r="N1243" i="8" s="1"/>
  <c r="J1141" i="8"/>
  <c r="L1141" i="8" s="1"/>
  <c r="N1141" i="8" s="1"/>
  <c r="J175" i="8"/>
  <c r="L175" i="8" s="1"/>
  <c r="N175" i="8" s="1"/>
  <c r="J1019" i="8"/>
  <c r="L1019" i="8" s="1"/>
  <c r="N1019" i="8" s="1"/>
  <c r="J971" i="8"/>
  <c r="L971" i="8" s="1"/>
  <c r="N971" i="8" s="1"/>
  <c r="J62" i="8"/>
  <c r="L62" i="8" s="1"/>
  <c r="N62" i="8" s="1"/>
  <c r="J817" i="8"/>
  <c r="L817" i="8" s="1"/>
  <c r="N817" i="8" s="1"/>
  <c r="J792" i="8"/>
  <c r="L792" i="8" s="1"/>
  <c r="N792" i="8" s="1"/>
  <c r="J700" i="8"/>
  <c r="L700" i="8" s="1"/>
  <c r="N700" i="8" s="1"/>
  <c r="J615" i="8"/>
  <c r="L615" i="8" s="1"/>
  <c r="N615" i="8" s="1"/>
  <c r="J602" i="8"/>
  <c r="L602" i="8" s="1"/>
  <c r="N602" i="8" s="1"/>
  <c r="J576" i="8"/>
  <c r="L576" i="8" s="1"/>
  <c r="N576" i="8" s="1"/>
  <c r="J368" i="8"/>
  <c r="L368" i="8" s="1"/>
  <c r="N368" i="8" s="1"/>
  <c r="J2222" i="8"/>
  <c r="L2222" i="8" s="1"/>
  <c r="N2222" i="8" s="1"/>
  <c r="B266" i="9"/>
  <c r="J1978" i="8"/>
  <c r="L1978" i="8" s="1"/>
  <c r="N1978" i="8" s="1"/>
  <c r="J2031" i="8"/>
  <c r="L2031" i="8" s="1"/>
  <c r="N2031" i="8" s="1"/>
  <c r="J1950" i="8"/>
  <c r="L1950" i="8" s="1"/>
  <c r="N1950" i="8" s="1"/>
  <c r="J276" i="8"/>
  <c r="L276" i="8" s="1"/>
  <c r="N276" i="8" s="1"/>
  <c r="J1934" i="8"/>
  <c r="L1934" i="8" s="1"/>
  <c r="N1934" i="8" s="1"/>
  <c r="J1925" i="8"/>
  <c r="L1925" i="8" s="1"/>
  <c r="N1925" i="8" s="1"/>
  <c r="J1917" i="8"/>
  <c r="L1917" i="8" s="1"/>
  <c r="N1917" i="8" s="1"/>
  <c r="J267" i="8"/>
  <c r="L267" i="8" s="1"/>
  <c r="N267" i="8" s="1"/>
  <c r="J1901" i="8"/>
  <c r="L1901" i="8" s="1"/>
  <c r="N1901" i="8" s="1"/>
  <c r="J1890" i="8"/>
  <c r="L1890" i="8" s="1"/>
  <c r="N1890" i="8" s="1"/>
  <c r="J265" i="8"/>
  <c r="L265" i="8" s="1"/>
  <c r="N265" i="8" s="1"/>
  <c r="J1870" i="8"/>
  <c r="L1870" i="8" s="1"/>
  <c r="N1870" i="8" s="1"/>
  <c r="J1861" i="8"/>
  <c r="L1861" i="8" s="1"/>
  <c r="N1861" i="8" s="1"/>
  <c r="J1852" i="8"/>
  <c r="L1852" i="8" s="1"/>
  <c r="N1852" i="8" s="1"/>
  <c r="J1843" i="8"/>
  <c r="L1843" i="8" s="1"/>
  <c r="N1843" i="8" s="1"/>
  <c r="J261" i="8"/>
  <c r="L261" i="8" s="1"/>
  <c r="N261" i="8" s="1"/>
  <c r="J1827" i="8"/>
  <c r="L1827" i="8" s="1"/>
  <c r="N1827" i="8" s="1"/>
  <c r="J589" i="8"/>
  <c r="L589" i="8" s="1"/>
  <c r="N589" i="8" s="1"/>
  <c r="J562" i="8"/>
  <c r="L562" i="8" s="1"/>
  <c r="N562" i="8" s="1"/>
  <c r="J554" i="8"/>
  <c r="L554" i="8" s="1"/>
  <c r="N554" i="8" s="1"/>
  <c r="J543" i="8"/>
  <c r="L543" i="8" s="1"/>
  <c r="N543" i="8" s="1"/>
  <c r="J540" i="8"/>
  <c r="L540" i="8" s="1"/>
  <c r="N540" i="8" s="1"/>
  <c r="J2085" i="8"/>
  <c r="L2085" i="8" s="1"/>
  <c r="N2085" i="8" s="1"/>
  <c r="J1999" i="8"/>
  <c r="L1999" i="8" s="1"/>
  <c r="N1999" i="8" s="1"/>
  <c r="J533" i="8"/>
  <c r="L533" i="8" s="1"/>
  <c r="N533" i="8" s="1"/>
  <c r="J522" i="8"/>
  <c r="L522" i="8" s="1"/>
  <c r="N522" i="8" s="1"/>
  <c r="J2080" i="8"/>
  <c r="L2080" i="8" s="1"/>
  <c r="N2080" i="8" s="1"/>
  <c r="J512" i="8"/>
  <c r="L512" i="8" s="1"/>
  <c r="N512" i="8" s="1"/>
  <c r="J2197" i="8"/>
  <c r="L2197" i="8" s="1"/>
  <c r="N2197" i="8" s="1"/>
  <c r="J2072" i="8"/>
  <c r="L2072" i="8" s="1"/>
  <c r="N2072" i="8" s="1"/>
  <c r="J2190" i="8"/>
  <c r="L2190" i="8" s="1"/>
  <c r="N2190" i="8" s="1"/>
  <c r="J490" i="8"/>
  <c r="L490" i="8" s="1"/>
  <c r="N490" i="8" s="1"/>
  <c r="J2181" i="8"/>
  <c r="L2181" i="8" s="1"/>
  <c r="N2181" i="8" s="1"/>
  <c r="J119" i="8"/>
  <c r="L119" i="8" s="1"/>
  <c r="N119" i="8" s="1"/>
  <c r="J480" i="8"/>
  <c r="L480" i="8" s="1"/>
  <c r="N480" i="8" s="1"/>
  <c r="J2171" i="8"/>
  <c r="L2171" i="8" s="1"/>
  <c r="N2171" i="8" s="1"/>
  <c r="J468" i="8"/>
  <c r="L468" i="8" s="1"/>
  <c r="N468" i="8" s="1"/>
  <c r="J116" i="8"/>
  <c r="L116" i="8" s="1"/>
  <c r="N116" i="8" s="1"/>
  <c r="J459" i="8"/>
  <c r="L459" i="8" s="1"/>
  <c r="N459" i="8" s="1"/>
  <c r="J454" i="8"/>
  <c r="L454" i="8" s="1"/>
  <c r="N454" i="8" s="1"/>
  <c r="J433" i="8"/>
  <c r="L433" i="8" s="1"/>
  <c r="N433" i="8" s="1"/>
  <c r="J2146" i="8"/>
  <c r="L2146" i="8" s="1"/>
  <c r="N2146" i="8" s="1"/>
  <c r="J398" i="8"/>
  <c r="L398" i="8" s="1"/>
  <c r="N398" i="8" s="1"/>
  <c r="J386" i="8"/>
  <c r="L386" i="8" s="1"/>
  <c r="N386" i="8" s="1"/>
  <c r="J380" i="8"/>
  <c r="L380" i="8" s="1"/>
  <c r="N380" i="8" s="1"/>
  <c r="J363" i="8"/>
  <c r="L363" i="8" s="1"/>
  <c r="N363" i="8" s="1"/>
  <c r="J97" i="8"/>
  <c r="L97" i="8" s="1"/>
  <c r="N97" i="8" s="1"/>
  <c r="J322" i="8"/>
  <c r="L322" i="8" s="1"/>
  <c r="N322" i="8" s="1"/>
  <c r="J93" i="8"/>
  <c r="L93" i="8" s="1"/>
  <c r="N93" i="8" s="1"/>
  <c r="J300" i="8"/>
  <c r="L300" i="8" s="1"/>
  <c r="N300" i="8" s="1"/>
  <c r="J286" i="8"/>
  <c r="L286" i="8" s="1"/>
  <c r="N286" i="8" s="1"/>
  <c r="J2126" i="8"/>
  <c r="L2126" i="8" s="1"/>
  <c r="N2126" i="8" s="1"/>
  <c r="J203" i="8"/>
  <c r="L203" i="8" s="1"/>
  <c r="N203" i="8" s="1"/>
  <c r="J315" i="8"/>
  <c r="L315" i="8" s="1"/>
  <c r="N315" i="8" s="1"/>
  <c r="K1974" i="8"/>
  <c r="M1974" i="8" s="1"/>
  <c r="K278" i="8"/>
  <c r="M278" i="8" s="1"/>
  <c r="K1964" i="8"/>
  <c r="M1964" i="8" s="1"/>
  <c r="K1235" i="8"/>
  <c r="M1235" i="8" s="1"/>
  <c r="K193" i="8"/>
  <c r="M193" i="8" s="1"/>
  <c r="K1267" i="8"/>
  <c r="M1267" i="8" s="1"/>
  <c r="K191" i="8"/>
  <c r="M191" i="8" s="1"/>
  <c r="K1301" i="8"/>
  <c r="M1301" i="8" s="1"/>
  <c r="K1294" i="8"/>
  <c r="M1294" i="8" s="1"/>
  <c r="K1277" i="8"/>
  <c r="M1277" i="8" s="1"/>
  <c r="K1359" i="8"/>
  <c r="M1359" i="8" s="1"/>
  <c r="K1352" i="8"/>
  <c r="M1352" i="8" s="1"/>
  <c r="K1341" i="8"/>
  <c r="M1341" i="8" s="1"/>
  <c r="K1323" i="8"/>
  <c r="M1323" i="8" s="1"/>
  <c r="K198" i="8"/>
  <c r="M198" i="8" s="1"/>
  <c r="K1401" i="8"/>
  <c r="M1401" i="8" s="1"/>
  <c r="K1386" i="8"/>
  <c r="M1386" i="8" s="1"/>
  <c r="K1376" i="8"/>
  <c r="M1376" i="8" s="1"/>
  <c r="K213" i="8"/>
  <c r="M213" i="8" s="1"/>
  <c r="K1427" i="8"/>
  <c r="M1427" i="8" s="1"/>
  <c r="K75" i="8"/>
  <c r="M75" i="8" s="1"/>
  <c r="K209" i="8"/>
  <c r="M209" i="8" s="1"/>
  <c r="K1411" i="8"/>
  <c r="M1411" i="8" s="1"/>
  <c r="K1402" i="8"/>
  <c r="M1402" i="8" s="1"/>
  <c r="K1458" i="8"/>
  <c r="M1458" i="8" s="1"/>
  <c r="K218" i="8"/>
  <c r="M218" i="8" s="1"/>
  <c r="K216" i="8"/>
  <c r="M216" i="8" s="1"/>
  <c r="K223" i="8"/>
  <c r="M223" i="8" s="1"/>
  <c r="K1494" i="8"/>
  <c r="M1494" i="8" s="1"/>
  <c r="K229" i="8"/>
  <c r="M229" i="8" s="1"/>
  <c r="K1559" i="8"/>
  <c r="M1559" i="8" s="1"/>
  <c r="K1528" i="8"/>
  <c r="M1528" i="8" s="1"/>
  <c r="K1521" i="8"/>
  <c r="M1521" i="8" s="1"/>
  <c r="K1607" i="8"/>
  <c r="M1607" i="8" s="1"/>
  <c r="K1596" i="8"/>
  <c r="M1596" i="8" s="1"/>
  <c r="K1587" i="8"/>
  <c r="M1587" i="8" s="1"/>
  <c r="K1576" i="8"/>
  <c r="M1576" i="8" s="1"/>
  <c r="K232" i="8"/>
  <c r="M232" i="8" s="1"/>
  <c r="K1566" i="8"/>
  <c r="M1566" i="8" s="1"/>
  <c r="K1656" i="8"/>
  <c r="M1656" i="8" s="1"/>
  <c r="K1649" i="8"/>
  <c r="M1649" i="8" s="1"/>
  <c r="K1629" i="8"/>
  <c r="M1629" i="8" s="1"/>
  <c r="K236" i="8"/>
  <c r="M236" i="8" s="1"/>
  <c r="K1619" i="8"/>
  <c r="M1619" i="8" s="1"/>
  <c r="K84" i="8"/>
  <c r="M84" i="8" s="1"/>
  <c r="K1724" i="8"/>
  <c r="M1724" i="8" s="1"/>
  <c r="K1691" i="8"/>
  <c r="M1691" i="8" s="1"/>
  <c r="K2122" i="8"/>
  <c r="M2122" i="8" s="1"/>
  <c r="K256" i="8"/>
  <c r="M256" i="8" s="1"/>
  <c r="K254" i="8"/>
  <c r="M254" i="8" s="1"/>
  <c r="K252" i="8"/>
  <c r="M252" i="8" s="1"/>
  <c r="K1799" i="8"/>
  <c r="M1799" i="8" s="1"/>
  <c r="K1767" i="8"/>
  <c r="M1767" i="8" s="1"/>
  <c r="K1759" i="8"/>
  <c r="M1759" i="8" s="1"/>
  <c r="K1816" i="8"/>
  <c r="M1816" i="8" s="1"/>
  <c r="K2056" i="8"/>
  <c r="M2056" i="8" s="1"/>
  <c r="J1853" i="8"/>
  <c r="L1853" i="8" s="1"/>
  <c r="N1853" i="8" s="1"/>
  <c r="K1860" i="8"/>
  <c r="M1860" i="8" s="1"/>
  <c r="K1968" i="8"/>
  <c r="M1968" i="8" s="1"/>
  <c r="K1952" i="8"/>
  <c r="M1952" i="8" s="1"/>
  <c r="K355" i="8"/>
  <c r="M355" i="8" s="1"/>
  <c r="K305" i="8"/>
  <c r="M305" i="8" s="1"/>
  <c r="K284" i="8"/>
  <c r="M284" i="8" s="1"/>
  <c r="K409" i="8"/>
  <c r="M409" i="8" s="1"/>
  <c r="K442" i="8"/>
  <c r="M442" i="8" s="1"/>
  <c r="K2183" i="8"/>
  <c r="M2183" i="8" s="1"/>
  <c r="K2165" i="8"/>
  <c r="M2165" i="8" s="1"/>
  <c r="K2185" i="8"/>
  <c r="M2185" i="8" s="1"/>
  <c r="K2228" i="8"/>
  <c r="M2228" i="8" s="1"/>
  <c r="K2215" i="8"/>
  <c r="M2215" i="8" s="1"/>
  <c r="K521" i="8"/>
  <c r="M521" i="8" s="1"/>
  <c r="K564" i="8"/>
  <c r="M564" i="8" s="1"/>
  <c r="K2089" i="8"/>
  <c r="M2089" i="8" s="1"/>
  <c r="K621" i="8"/>
  <c r="M621" i="8" s="1"/>
  <c r="K619" i="8"/>
  <c r="M619" i="8" s="1"/>
  <c r="K607" i="8"/>
  <c r="M607" i="8" s="1"/>
  <c r="K694" i="8"/>
  <c r="M694" i="8" s="1"/>
  <c r="K142" i="8"/>
  <c r="M142" i="8" s="1"/>
  <c r="K642" i="8"/>
  <c r="M642" i="8" s="1"/>
  <c r="K780" i="8"/>
  <c r="M780" i="8" s="1"/>
  <c r="K882" i="8"/>
  <c r="M882" i="8" s="1"/>
  <c r="K915" i="8"/>
  <c r="M915" i="8" s="1"/>
  <c r="K1027" i="8"/>
  <c r="M1027" i="8" s="1"/>
  <c r="K1040" i="8"/>
  <c r="M1040" i="8" s="1"/>
  <c r="K1169" i="8"/>
  <c r="M1169" i="8" s="1"/>
  <c r="K1924" i="8"/>
  <c r="M1924" i="8" s="1"/>
  <c r="K1160" i="8"/>
  <c r="M1160" i="8" s="1"/>
  <c r="K1068" i="8"/>
  <c r="M1068" i="8" s="1"/>
  <c r="J1293" i="8"/>
  <c r="L1293" i="8" s="1"/>
  <c r="N1293" i="8" s="1"/>
  <c r="K1263" i="8"/>
  <c r="M1263" i="8" s="1"/>
  <c r="K1232" i="8"/>
  <c r="M1232" i="8" s="1"/>
  <c r="K1338" i="8"/>
  <c r="M1338" i="8" s="1"/>
  <c r="K1326" i="8"/>
  <c r="M1326" i="8" s="1"/>
  <c r="K1420" i="8"/>
  <c r="M1420" i="8" s="1"/>
  <c r="K1406" i="8"/>
  <c r="M1406" i="8" s="1"/>
  <c r="K1480" i="8"/>
  <c r="M1480" i="8" s="1"/>
  <c r="K1442" i="8"/>
  <c r="M1442" i="8" s="1"/>
  <c r="K225" i="8"/>
  <c r="M225" i="8" s="1"/>
  <c r="K1482" i="8"/>
  <c r="M1482" i="8" s="1"/>
  <c r="K1549" i="8"/>
  <c r="M1549" i="8" s="1"/>
  <c r="K1531" i="8"/>
  <c r="M1531" i="8" s="1"/>
  <c r="K1519" i="8"/>
  <c r="M1519" i="8" s="1"/>
  <c r="K2286" i="8"/>
  <c r="M2286" i="8" s="1"/>
  <c r="K2283" i="8"/>
  <c r="M2283" i="8" s="1"/>
  <c r="K1621" i="8"/>
  <c r="M1621" i="8" s="1"/>
  <c r="K2287" i="8"/>
  <c r="M2287" i="8" s="1"/>
  <c r="K2118" i="8"/>
  <c r="M2118" i="8" s="1"/>
  <c r="K1679" i="8"/>
  <c r="M1679" i="8" s="1"/>
  <c r="K1660" i="8"/>
  <c r="M1660" i="8" s="1"/>
  <c r="K1642" i="8"/>
  <c r="M1642" i="8" s="1"/>
  <c r="K1761" i="8"/>
  <c r="M1761" i="8" s="1"/>
  <c r="K1712" i="8"/>
  <c r="M1712" i="8" s="1"/>
  <c r="K1699" i="8"/>
  <c r="M1699" i="8" s="1"/>
  <c r="K2298" i="8"/>
  <c r="M2298" i="8" s="1"/>
  <c r="J2054" i="8"/>
  <c r="L2054" i="8" s="1"/>
  <c r="N2054" i="8" s="1"/>
  <c r="K270" i="8"/>
  <c r="M270" i="8" s="1"/>
  <c r="K1882" i="8"/>
  <c r="M1882" i="8" s="1"/>
  <c r="K865" i="8"/>
  <c r="M865" i="8" s="1"/>
  <c r="K677" i="8"/>
  <c r="M677" i="8" s="1"/>
  <c r="K1422" i="8"/>
  <c r="M1422" i="8" s="1"/>
  <c r="J1279" i="8"/>
  <c r="L1279" i="8" s="1"/>
  <c r="N1279" i="8" s="1"/>
  <c r="K1084" i="8"/>
  <c r="M1084" i="8" s="1"/>
  <c r="K1690" i="8"/>
  <c r="M1690" i="8" s="1"/>
  <c r="K1830" i="8"/>
  <c r="M1830" i="8" s="1"/>
  <c r="J288" i="8"/>
  <c r="L288" i="8" s="1"/>
  <c r="N288" i="8" s="1"/>
  <c r="K706" i="8"/>
  <c r="M706" i="8" s="1"/>
  <c r="K646" i="8"/>
  <c r="M646" i="8" s="1"/>
  <c r="K306" i="8"/>
  <c r="M306" i="8" s="1"/>
  <c r="K884" i="8"/>
  <c r="M884" i="8" s="1"/>
  <c r="K840" i="8"/>
  <c r="M840" i="8" s="1"/>
  <c r="K805" i="8"/>
  <c r="M805" i="8" s="1"/>
  <c r="K1054" i="8"/>
  <c r="M1054" i="8" s="1"/>
  <c r="K993" i="8"/>
  <c r="M993" i="8" s="1"/>
  <c r="K905" i="8"/>
  <c r="M905" i="8" s="1"/>
  <c r="K1164" i="8"/>
  <c r="M1164" i="8" s="1"/>
  <c r="K1114" i="8"/>
  <c r="M1114" i="8" s="1"/>
  <c r="K1089" i="8"/>
  <c r="M1089" i="8" s="1"/>
  <c r="K1449" i="8"/>
  <c r="M1449" i="8" s="1"/>
  <c r="K1368" i="8"/>
  <c r="M1368" i="8" s="1"/>
  <c r="K1280" i="8"/>
  <c r="M1280" i="8" s="1"/>
  <c r="K1543" i="8"/>
  <c r="M1543" i="8" s="1"/>
  <c r="K1703" i="8"/>
  <c r="M1703" i="8" s="1"/>
  <c r="K1614" i="8"/>
  <c r="M1614" i="8" s="1"/>
  <c r="K1791" i="8"/>
  <c r="M1791" i="8" s="1"/>
  <c r="K1731" i="8"/>
  <c r="M1731" i="8" s="1"/>
  <c r="K1941" i="8"/>
  <c r="M1941" i="8" s="1"/>
  <c r="K1918" i="8"/>
  <c r="M1918" i="8" s="1"/>
  <c r="K1826" i="8"/>
  <c r="M1826" i="8" s="1"/>
  <c r="K400" i="8"/>
  <c r="M400" i="8" s="1"/>
  <c r="K756" i="8"/>
  <c r="M756" i="8" s="1"/>
  <c r="K657" i="8"/>
  <c r="M657" i="8" s="1"/>
  <c r="K566" i="8"/>
  <c r="M566" i="8" s="1"/>
  <c r="K956" i="8"/>
  <c r="M956" i="8" s="1"/>
  <c r="K796" i="8"/>
  <c r="M796" i="8" s="1"/>
  <c r="K1042" i="8"/>
  <c r="M1042" i="8" s="1"/>
  <c r="K1384" i="8"/>
  <c r="M1384" i="8" s="1"/>
  <c r="K1316" i="8"/>
  <c r="M1316" i="8" s="1"/>
  <c r="K1259" i="8"/>
  <c r="M1259" i="8" s="1"/>
  <c r="K1565" i="8"/>
  <c r="M1565" i="8" s="1"/>
  <c r="J1400" i="8"/>
  <c r="L1400" i="8" s="1"/>
  <c r="N1400" i="8" s="1"/>
  <c r="K1737" i="8"/>
  <c r="M1737" i="8" s="1"/>
  <c r="K1588" i="8"/>
  <c r="M1588" i="8" s="1"/>
  <c r="K862" i="8"/>
  <c r="M862" i="8" s="1"/>
  <c r="K897" i="8"/>
  <c r="M897" i="8" s="1"/>
  <c r="K1513" i="8"/>
  <c r="M1513" i="8" s="1"/>
  <c r="J201" i="8"/>
  <c r="L201" i="8" s="1"/>
  <c r="N201" i="8" s="1"/>
  <c r="J2041" i="8"/>
  <c r="L2041" i="8" s="1"/>
  <c r="N2041" i="8" s="1"/>
  <c r="J199" i="8"/>
  <c r="L199" i="8" s="1"/>
  <c r="N199" i="8" s="1"/>
  <c r="J1319" i="8"/>
  <c r="L1319" i="8" s="1"/>
  <c r="N1319" i="8" s="1"/>
  <c r="J73" i="8"/>
  <c r="L73" i="8" s="1"/>
  <c r="N73" i="8" s="1"/>
  <c r="J1308" i="8"/>
  <c r="L1308" i="8" s="1"/>
  <c r="N1308" i="8" s="1"/>
  <c r="J1285" i="8"/>
  <c r="L1285" i="8" s="1"/>
  <c r="N1285" i="8" s="1"/>
  <c r="J1281" i="8"/>
  <c r="L1281" i="8" s="1"/>
  <c r="N1281" i="8" s="1"/>
  <c r="J1272" i="8"/>
  <c r="L1272" i="8" s="1"/>
  <c r="N1272" i="8" s="1"/>
  <c r="J1256" i="8"/>
  <c r="L1256" i="8" s="1"/>
  <c r="N1256" i="8" s="1"/>
  <c r="J1249" i="8"/>
  <c r="L1249" i="8" s="1"/>
  <c r="N1249" i="8" s="1"/>
  <c r="B493" i="9"/>
  <c r="J1778" i="8"/>
  <c r="L1778" i="8" s="1"/>
  <c r="N1778" i="8" s="1"/>
  <c r="J1765" i="8"/>
  <c r="L1765" i="8" s="1"/>
  <c r="N1765" i="8" s="1"/>
  <c r="J1734" i="8"/>
  <c r="L1734" i="8" s="1"/>
  <c r="N1734" i="8" s="1"/>
  <c r="J244" i="8"/>
  <c r="L244" i="8" s="1"/>
  <c r="N244" i="8" s="1"/>
  <c r="J1678" i="8"/>
  <c r="L1678" i="8" s="1"/>
  <c r="N1678" i="8" s="1"/>
  <c r="J2120" i="8"/>
  <c r="L2120" i="8" s="1"/>
  <c r="N2120" i="8" s="1"/>
  <c r="J1517" i="8"/>
  <c r="L1517" i="8" s="1"/>
  <c r="N1517" i="8" s="1"/>
  <c r="J1534" i="8"/>
  <c r="L1534" i="8" s="1"/>
  <c r="N1534" i="8" s="1"/>
  <c r="J2003" i="8"/>
  <c r="L2003" i="8" s="1"/>
  <c r="N2003" i="8" s="1"/>
  <c r="J1123" i="8"/>
  <c r="L1123" i="8" s="1"/>
  <c r="N1123" i="8" s="1"/>
  <c r="J1116" i="8"/>
  <c r="L1116" i="8" s="1"/>
  <c r="N1116" i="8" s="1"/>
  <c r="J1111" i="8"/>
  <c r="L1111" i="8" s="1"/>
  <c r="N1111" i="8" s="1"/>
  <c r="J1103" i="8"/>
  <c r="L1103" i="8" s="1"/>
  <c r="N1103" i="8" s="1"/>
  <c r="J1099" i="8"/>
  <c r="L1099" i="8" s="1"/>
  <c r="N1099" i="8" s="1"/>
  <c r="J65" i="8"/>
  <c r="L65" i="8" s="1"/>
  <c r="N65" i="8" s="1"/>
  <c r="J173" i="8"/>
  <c r="L173" i="8" s="1"/>
  <c r="N173" i="8" s="1"/>
  <c r="J1090" i="8"/>
  <c r="L1090" i="8" s="1"/>
  <c r="N1090" i="8" s="1"/>
  <c r="J1088" i="8"/>
  <c r="L1088" i="8" s="1"/>
  <c r="N1088" i="8" s="1"/>
  <c r="J1077" i="8"/>
  <c r="L1077" i="8" s="1"/>
  <c r="N1077" i="8" s="1"/>
  <c r="J1069" i="8"/>
  <c r="L1069" i="8" s="1"/>
  <c r="N1069" i="8" s="1"/>
  <c r="J35" i="8"/>
  <c r="L35" i="8" s="1"/>
  <c r="N35" i="8" s="1"/>
  <c r="J1061" i="8"/>
  <c r="L1061" i="8" s="1"/>
  <c r="N1061" i="8" s="1"/>
  <c r="J171" i="8"/>
  <c r="L171" i="8" s="1"/>
  <c r="N171" i="8" s="1"/>
  <c r="J1051" i="8"/>
  <c r="L1051" i="8" s="1"/>
  <c r="N1051" i="8" s="1"/>
  <c r="J1046" i="8"/>
  <c r="L1046" i="8" s="1"/>
  <c r="N1046" i="8" s="1"/>
  <c r="J169" i="8"/>
  <c r="L169" i="8" s="1"/>
  <c r="N169" i="8" s="1"/>
  <c r="J2107" i="8"/>
  <c r="L2107" i="8" s="1"/>
  <c r="N2107" i="8" s="1"/>
  <c r="J1021" i="8"/>
  <c r="L1021" i="8" s="1"/>
  <c r="N1021" i="8" s="1"/>
  <c r="J1014" i="8"/>
  <c r="L1014" i="8" s="1"/>
  <c r="N1014" i="8" s="1"/>
  <c r="J2257" i="8"/>
  <c r="L2257" i="8" s="1"/>
  <c r="N2257" i="8" s="1"/>
  <c r="J996" i="8"/>
  <c r="L996" i="8" s="1"/>
  <c r="N996" i="8" s="1"/>
  <c r="J995" i="8"/>
  <c r="L995" i="8" s="1"/>
  <c r="N995" i="8" s="1"/>
  <c r="J984" i="8"/>
  <c r="L984" i="8" s="1"/>
  <c r="N984" i="8" s="1"/>
  <c r="J980" i="8"/>
  <c r="L980" i="8" s="1"/>
  <c r="N980" i="8" s="1"/>
  <c r="J167" i="8"/>
  <c r="L167" i="8" s="1"/>
  <c r="N167" i="8" s="1"/>
  <c r="J972" i="8"/>
  <c r="L972" i="8" s="1"/>
  <c r="N972" i="8" s="1"/>
  <c r="B326" i="9"/>
  <c r="K1779" i="8"/>
  <c r="M1779" i="8" s="1"/>
  <c r="K1776" i="8"/>
  <c r="M1776" i="8" s="1"/>
  <c r="K259" i="8"/>
  <c r="M259" i="8" s="1"/>
  <c r="K1770" i="8"/>
  <c r="M1770" i="8" s="1"/>
  <c r="K2294" i="8"/>
  <c r="M2294" i="8" s="1"/>
  <c r="K2293" i="8"/>
  <c r="M2293" i="8" s="1"/>
  <c r="K1748" i="8"/>
  <c r="M1748" i="8" s="1"/>
  <c r="K2128" i="8"/>
  <c r="M2128" i="8" s="1"/>
  <c r="K1735" i="8"/>
  <c r="M1735" i="8" s="1"/>
  <c r="K249" i="8"/>
  <c r="M249" i="8" s="1"/>
  <c r="K246" i="8"/>
  <c r="M246" i="8" s="1"/>
  <c r="K2291" i="8"/>
  <c r="M2291" i="8" s="1"/>
  <c r="K1720" i="8"/>
  <c r="M1720" i="8" s="1"/>
  <c r="K1714" i="8"/>
  <c r="M1714" i="8" s="1"/>
  <c r="K1708" i="8"/>
  <c r="M1708" i="8" s="1"/>
  <c r="K1705" i="8"/>
  <c r="M1705" i="8" s="1"/>
  <c r="K1694" i="8"/>
  <c r="M1694" i="8" s="1"/>
  <c r="K1687" i="8"/>
  <c r="M1687" i="8" s="1"/>
  <c r="K1682" i="8"/>
  <c r="M1682" i="8" s="1"/>
  <c r="K238" i="8"/>
  <c r="M238" i="8" s="1"/>
  <c r="K1672" i="8"/>
  <c r="M1672" i="8" s="1"/>
  <c r="K1667" i="8"/>
  <c r="M1667" i="8" s="1"/>
  <c r="K1645" i="8"/>
  <c r="M1645" i="8" s="1"/>
  <c r="K1631" i="8"/>
  <c r="M1631" i="8" s="1"/>
  <c r="K1624" i="8"/>
  <c r="M1624" i="8" s="1"/>
  <c r="K233" i="8"/>
  <c r="M233" i="8" s="1"/>
  <c r="K1613" i="8"/>
  <c r="M1613" i="8" s="1"/>
  <c r="K1600" i="8"/>
  <c r="M1600" i="8" s="1"/>
  <c r="K1585" i="8"/>
  <c r="M1585" i="8" s="1"/>
  <c r="K2285" i="8"/>
  <c r="M2285" i="8" s="1"/>
  <c r="K1562" i="8"/>
  <c r="M1562" i="8" s="1"/>
  <c r="K1557" i="8"/>
  <c r="M1557" i="8" s="1"/>
  <c r="K228" i="8"/>
  <c r="M228" i="8" s="1"/>
  <c r="K2051" i="8"/>
  <c r="M2051" i="8" s="1"/>
  <c r="K1542" i="8"/>
  <c r="M1542" i="8" s="1"/>
  <c r="K1537" i="8"/>
  <c r="M1537" i="8" s="1"/>
  <c r="K1533" i="8"/>
  <c r="M1533" i="8" s="1"/>
  <c r="K1518" i="8"/>
  <c r="M1518" i="8" s="1"/>
  <c r="K1510" i="8"/>
  <c r="M1510" i="8" s="1"/>
  <c r="K1506" i="8"/>
  <c r="M1506" i="8" s="1"/>
  <c r="K1493" i="8"/>
  <c r="M1493" i="8" s="1"/>
  <c r="K1488" i="8"/>
  <c r="M1488" i="8" s="1"/>
  <c r="K2047" i="8"/>
  <c r="M2047" i="8" s="1"/>
  <c r="K1487" i="8"/>
  <c r="M1487" i="8" s="1"/>
  <c r="K1477" i="8"/>
  <c r="M1477" i="8" s="1"/>
  <c r="K1472" i="8"/>
  <c r="M1472" i="8" s="1"/>
  <c r="K1468" i="8"/>
  <c r="M1468" i="8" s="1"/>
  <c r="K1463" i="8"/>
  <c r="M1463" i="8" s="1"/>
  <c r="K1454" i="8"/>
  <c r="M1454" i="8" s="1"/>
  <c r="K1450" i="8"/>
  <c r="M1450" i="8" s="1"/>
  <c r="K1444" i="8"/>
  <c r="M1444" i="8" s="1"/>
  <c r="K1432" i="8"/>
  <c r="M1432" i="8" s="1"/>
  <c r="K2044" i="8"/>
  <c r="M2044" i="8" s="1"/>
  <c r="K1413" i="8"/>
  <c r="M1413" i="8" s="1"/>
  <c r="K1395" i="8"/>
  <c r="M1395" i="8" s="1"/>
  <c r="K1390" i="8"/>
  <c r="M1390" i="8" s="1"/>
  <c r="K1381" i="8"/>
  <c r="M1381" i="8" s="1"/>
  <c r="K1374" i="8"/>
  <c r="M1374" i="8" s="1"/>
  <c r="K208" i="8"/>
  <c r="M208" i="8" s="1"/>
  <c r="K206" i="8"/>
  <c r="M206" i="8" s="1"/>
  <c r="K925" i="8"/>
  <c r="M925" i="8" s="1"/>
  <c r="K920" i="8"/>
  <c r="M920" i="8" s="1"/>
  <c r="K910" i="8"/>
  <c r="M910" i="8" s="1"/>
  <c r="K164" i="8"/>
  <c r="M164" i="8" s="1"/>
  <c r="K901" i="8"/>
  <c r="M901" i="8" s="1"/>
  <c r="K890" i="8"/>
  <c r="M890" i="8" s="1"/>
  <c r="K885" i="8"/>
  <c r="M885" i="8" s="1"/>
  <c r="K2251" i="8"/>
  <c r="M2251" i="8" s="1"/>
  <c r="K872" i="8"/>
  <c r="M872" i="8" s="1"/>
  <c r="K866" i="8"/>
  <c r="M866" i="8" s="1"/>
  <c r="K6" i="8"/>
  <c r="M6" i="8" s="1"/>
  <c r="K2" i="8"/>
  <c r="M2" i="8" s="1"/>
  <c r="K161" i="8"/>
  <c r="M161" i="8" s="1"/>
  <c r="K857" i="8"/>
  <c r="M857" i="8" s="1"/>
  <c r="K60" i="8"/>
  <c r="M60" i="8" s="1"/>
  <c r="K2248" i="8"/>
  <c r="M2248" i="8" s="1"/>
  <c r="K58" i="8"/>
  <c r="M58" i="8" s="1"/>
  <c r="K849" i="8"/>
  <c r="M849" i="8" s="1"/>
  <c r="K1993" i="8"/>
  <c r="M1993" i="8" s="1"/>
  <c r="K1989" i="8"/>
  <c r="M1989" i="8" s="1"/>
  <c r="K846" i="8"/>
  <c r="M846" i="8" s="1"/>
  <c r="K33" i="8"/>
  <c r="M33" i="8" s="1"/>
  <c r="K841" i="8"/>
  <c r="M841" i="8" s="1"/>
  <c r="K2024" i="8"/>
  <c r="M2024" i="8" s="1"/>
  <c r="K838" i="8"/>
  <c r="M838" i="8" s="1"/>
  <c r="K833" i="8"/>
  <c r="M833" i="8" s="1"/>
  <c r="K828" i="8"/>
  <c r="M828" i="8" s="1"/>
  <c r="K824" i="8"/>
  <c r="M824" i="8" s="1"/>
  <c r="K820" i="8"/>
  <c r="M820" i="8" s="1"/>
  <c r="K818" i="8"/>
  <c r="M818" i="8" s="1"/>
  <c r="K155" i="8"/>
  <c r="M155" i="8" s="1"/>
  <c r="J774" i="8"/>
  <c r="L774" i="8" s="1"/>
  <c r="N774" i="8" s="1"/>
  <c r="J767" i="8"/>
  <c r="L767" i="8" s="1"/>
  <c r="N767" i="8" s="1"/>
  <c r="J765" i="8"/>
  <c r="L765" i="8" s="1"/>
  <c r="N765" i="8" s="1"/>
  <c r="J53" i="8"/>
  <c r="L53" i="8" s="1"/>
  <c r="N53" i="8" s="1"/>
  <c r="J147" i="8"/>
  <c r="L147" i="8" s="1"/>
  <c r="N147" i="8" s="1"/>
  <c r="J747" i="8"/>
  <c r="L747" i="8" s="1"/>
  <c r="N747" i="8" s="1"/>
  <c r="J738" i="8"/>
  <c r="L738" i="8" s="1"/>
  <c r="N738" i="8" s="1"/>
  <c r="J2097" i="8"/>
  <c r="L2097" i="8" s="1"/>
  <c r="N2097" i="8" s="1"/>
  <c r="J713" i="8"/>
  <c r="L713" i="8" s="1"/>
  <c r="N713" i="8" s="1"/>
  <c r="J708" i="8"/>
  <c r="L708" i="8" s="1"/>
  <c r="N708" i="8" s="1"/>
  <c r="J143" i="8"/>
  <c r="L143" i="8" s="1"/>
  <c r="N143" i="8" s="1"/>
  <c r="J696" i="8"/>
  <c r="L696" i="8" s="1"/>
  <c r="N696" i="8" s="1"/>
  <c r="J681" i="8"/>
  <c r="L681" i="8" s="1"/>
  <c r="N681" i="8" s="1"/>
  <c r="J674" i="8"/>
  <c r="L674" i="8" s="1"/>
  <c r="N674" i="8" s="1"/>
  <c r="J668" i="8"/>
  <c r="L668" i="8" s="1"/>
  <c r="N668" i="8" s="1"/>
  <c r="J662" i="8"/>
  <c r="L662" i="8" s="1"/>
  <c r="N662" i="8" s="1"/>
  <c r="J652" i="8"/>
  <c r="L652" i="8" s="1"/>
  <c r="N652" i="8" s="1"/>
  <c r="J645" i="8"/>
  <c r="L645" i="8" s="1"/>
  <c r="N645" i="8" s="1"/>
  <c r="J632" i="8"/>
  <c r="L632" i="8" s="1"/>
  <c r="N632" i="8" s="1"/>
  <c r="J140" i="8"/>
  <c r="L140" i="8" s="1"/>
  <c r="N140" i="8" s="1"/>
  <c r="J623" i="8"/>
  <c r="L623" i="8" s="1"/>
  <c r="N623" i="8" s="1"/>
  <c r="B198" i="9"/>
  <c r="J40" i="8"/>
  <c r="L40" i="8" s="1"/>
  <c r="N40" i="8" s="1"/>
  <c r="J2296" i="8"/>
  <c r="L2296" i="8" s="1"/>
  <c r="N2296" i="8" s="1"/>
  <c r="J2127" i="8"/>
  <c r="L2127" i="8" s="1"/>
  <c r="N2127" i="8" s="1"/>
  <c r="J1723" i="8"/>
  <c r="L1723" i="8" s="1"/>
  <c r="N1723" i="8" s="1"/>
  <c r="J1704" i="8"/>
  <c r="L1704" i="8" s="1"/>
  <c r="N1704" i="8" s="1"/>
  <c r="J237" i="8"/>
  <c r="L237" i="8" s="1"/>
  <c r="N237" i="8" s="1"/>
  <c r="J1644" i="8"/>
  <c r="L1644" i="8" s="1"/>
  <c r="N1644" i="8" s="1"/>
  <c r="J1611" i="8"/>
  <c r="L1611" i="8" s="1"/>
  <c r="N1611" i="8" s="1"/>
  <c r="J1579" i="8"/>
  <c r="L1579" i="8" s="1"/>
  <c r="N1579" i="8" s="1"/>
  <c r="J227" i="8"/>
  <c r="L227" i="8" s="1"/>
  <c r="N227" i="8" s="1"/>
  <c r="J1536" i="8"/>
  <c r="L1536" i="8" s="1"/>
  <c r="N1536" i="8" s="1"/>
  <c r="J1505" i="8"/>
  <c r="L1505" i="8" s="1"/>
  <c r="N1505" i="8" s="1"/>
  <c r="J222" i="8"/>
  <c r="L222" i="8" s="1"/>
  <c r="N222" i="8" s="1"/>
  <c r="J1471" i="8"/>
  <c r="L1471" i="8" s="1"/>
  <c r="N1471" i="8" s="1"/>
  <c r="J1453" i="8"/>
  <c r="L1453" i="8" s="1"/>
  <c r="N1453" i="8" s="1"/>
  <c r="J1416" i="8"/>
  <c r="L1416" i="8" s="1"/>
  <c r="N1416" i="8" s="1"/>
  <c r="J1389" i="8"/>
  <c r="L1389" i="8" s="1"/>
  <c r="N1389" i="8" s="1"/>
  <c r="J207" i="8"/>
  <c r="L207" i="8" s="1"/>
  <c r="N207" i="8" s="1"/>
  <c r="J1812" i="8"/>
  <c r="L1812" i="8" s="1"/>
  <c r="N1812" i="8" s="1"/>
  <c r="J1806" i="8"/>
  <c r="L1806" i="8" s="1"/>
  <c r="N1806" i="8" s="1"/>
  <c r="J1798" i="8"/>
  <c r="L1798" i="8" s="1"/>
  <c r="N1798" i="8" s="1"/>
  <c r="J1792" i="8"/>
  <c r="L1792" i="8" s="1"/>
  <c r="N1792" i="8" s="1"/>
  <c r="J810" i="8"/>
  <c r="L810" i="8" s="1"/>
  <c r="N810" i="8" s="1"/>
  <c r="J806" i="8"/>
  <c r="L806" i="8" s="1"/>
  <c r="N806" i="8" s="1"/>
  <c r="J2183" i="8"/>
  <c r="L2183" i="8" s="1"/>
  <c r="N2183" i="8" s="1"/>
  <c r="J2185" i="8"/>
  <c r="L2185" i="8" s="1"/>
  <c r="N2185" i="8" s="1"/>
  <c r="J642" i="8"/>
  <c r="L642" i="8" s="1"/>
  <c r="N642" i="8" s="1"/>
  <c r="J780" i="8"/>
  <c r="L780" i="8" s="1"/>
  <c r="N780" i="8" s="1"/>
  <c r="J1442" i="8"/>
  <c r="L1442" i="8" s="1"/>
  <c r="N1442" i="8" s="1"/>
  <c r="J1549" i="8"/>
  <c r="L1549" i="8" s="1"/>
  <c r="N1549" i="8" s="1"/>
  <c r="J2287" i="8"/>
  <c r="L2287" i="8" s="1"/>
  <c r="N2287" i="8" s="1"/>
  <c r="J1642" i="8"/>
  <c r="L1642" i="8" s="1"/>
  <c r="N1642" i="8" s="1"/>
  <c r="J1422" i="8"/>
  <c r="L1422" i="8" s="1"/>
  <c r="N1422" i="8" s="1"/>
  <c r="J1084" i="8"/>
  <c r="L1084" i="8" s="1"/>
  <c r="N1084" i="8" s="1"/>
  <c r="J1690" i="8"/>
  <c r="L1690" i="8" s="1"/>
  <c r="N1690" i="8" s="1"/>
  <c r="J993" i="8"/>
  <c r="L993" i="8" s="1"/>
  <c r="N993" i="8" s="1"/>
  <c r="J1918" i="8"/>
  <c r="L1918" i="8" s="1"/>
  <c r="N1918" i="8" s="1"/>
  <c r="J1513" i="8"/>
  <c r="L1513" i="8" s="1"/>
  <c r="N1513" i="8" s="1"/>
  <c r="B394" i="9"/>
  <c r="J46" i="8"/>
  <c r="L46" i="8" s="1"/>
  <c r="N46" i="8" s="1"/>
  <c r="J1295" i="8"/>
  <c r="L1295" i="8" s="1"/>
  <c r="N1295" i="8" s="1"/>
  <c r="J807" i="8"/>
  <c r="L807" i="8" s="1"/>
  <c r="N807" i="8" s="1"/>
  <c r="J804" i="8"/>
  <c r="L804" i="8" s="1"/>
  <c r="N804" i="8" s="1"/>
  <c r="J787" i="8"/>
  <c r="L787" i="8" s="1"/>
  <c r="N787" i="8" s="1"/>
  <c r="J151" i="8"/>
  <c r="L151" i="8" s="1"/>
  <c r="N151" i="8" s="1"/>
  <c r="J1532" i="8"/>
  <c r="L1532" i="8" s="1"/>
  <c r="N1532" i="8" s="1"/>
  <c r="J1772" i="8"/>
  <c r="L1772" i="8" s="1"/>
  <c r="N1772" i="8" s="1"/>
  <c r="J1756" i="8"/>
  <c r="L1756" i="8" s="1"/>
  <c r="N1756" i="8" s="1"/>
  <c r="J248" i="8"/>
  <c r="L248" i="8" s="1"/>
  <c r="N248" i="8" s="1"/>
  <c r="J1713" i="8"/>
  <c r="L1713" i="8" s="1"/>
  <c r="N1713" i="8" s="1"/>
  <c r="J1692" i="8"/>
  <c r="L1692" i="8" s="1"/>
  <c r="N1692" i="8" s="1"/>
  <c r="J1670" i="8"/>
  <c r="L1670" i="8" s="1"/>
  <c r="N1670" i="8" s="1"/>
  <c r="J1630" i="8"/>
  <c r="L1630" i="8" s="1"/>
  <c r="N1630" i="8" s="1"/>
  <c r="J1598" i="8"/>
  <c r="L1598" i="8" s="1"/>
  <c r="N1598" i="8" s="1"/>
  <c r="J2282" i="8"/>
  <c r="L2282" i="8" s="1"/>
  <c r="N2282" i="8" s="1"/>
  <c r="J1541" i="8"/>
  <c r="L1541" i="8" s="1"/>
  <c r="N1541" i="8" s="1"/>
  <c r="J1509" i="8"/>
  <c r="L1509" i="8" s="1"/>
  <c r="N1509" i="8" s="1"/>
  <c r="J2274" i="8"/>
  <c r="L2274" i="8" s="1"/>
  <c r="N2274" i="8" s="1"/>
  <c r="J1476" i="8"/>
  <c r="L1476" i="8" s="1"/>
  <c r="N1476" i="8" s="1"/>
  <c r="J1461" i="8"/>
  <c r="L1461" i="8" s="1"/>
  <c r="N1461" i="8" s="1"/>
  <c r="J1436" i="8"/>
  <c r="L1436" i="8" s="1"/>
  <c r="N1436" i="8" s="1"/>
  <c r="J2272" i="8"/>
  <c r="L2272" i="8" s="1"/>
  <c r="N2272" i="8" s="1"/>
  <c r="J1380" i="8"/>
  <c r="L1380" i="8" s="1"/>
  <c r="N1380" i="8" s="1"/>
  <c r="J205" i="8"/>
  <c r="L205" i="8" s="1"/>
  <c r="N205" i="8" s="1"/>
  <c r="J59" i="8"/>
  <c r="L59" i="8" s="1"/>
  <c r="N59" i="8" s="1"/>
  <c r="J1445" i="8"/>
  <c r="L1445" i="8" s="1"/>
  <c r="N1445" i="8" s="1"/>
  <c r="K1445" i="8"/>
  <c r="M1445" i="8" s="1"/>
  <c r="B522" i="9"/>
  <c r="J1616" i="8"/>
  <c r="L1616" i="8" s="1"/>
  <c r="N1616" i="8" s="1"/>
  <c r="J1475" i="8"/>
  <c r="L1475" i="8" s="1"/>
  <c r="N1475" i="8" s="1"/>
  <c r="J174" i="8"/>
  <c r="L174" i="8" s="1"/>
  <c r="N174" i="8" s="1"/>
  <c r="J961" i="8"/>
  <c r="L961" i="8" s="1"/>
  <c r="N961" i="8" s="1"/>
  <c r="J945" i="8"/>
  <c r="L945" i="8" s="1"/>
  <c r="N945" i="8" s="1"/>
  <c r="J922" i="8"/>
  <c r="L922" i="8" s="1"/>
  <c r="N922" i="8" s="1"/>
  <c r="J912" i="8"/>
  <c r="L912" i="8" s="1"/>
  <c r="N912" i="8" s="1"/>
  <c r="J907" i="8"/>
  <c r="L907" i="8" s="1"/>
  <c r="N907" i="8" s="1"/>
  <c r="J904" i="8"/>
  <c r="L904" i="8" s="1"/>
  <c r="N904" i="8" s="1"/>
  <c r="J892" i="8"/>
  <c r="L892" i="8" s="1"/>
  <c r="N892" i="8" s="1"/>
  <c r="J887" i="8"/>
  <c r="L887" i="8" s="1"/>
  <c r="N887" i="8" s="1"/>
  <c r="J879" i="8"/>
  <c r="L879" i="8" s="1"/>
  <c r="N879" i="8" s="1"/>
  <c r="J875" i="8"/>
  <c r="L875" i="8" s="1"/>
  <c r="N875" i="8" s="1"/>
  <c r="J869" i="8"/>
  <c r="L869" i="8" s="1"/>
  <c r="N869" i="8" s="1"/>
  <c r="J8" i="8"/>
  <c r="L8" i="8" s="1"/>
  <c r="N8" i="8" s="1"/>
  <c r="J4" i="8"/>
  <c r="L4" i="8" s="1"/>
  <c r="N4" i="8" s="1"/>
  <c r="J863" i="8"/>
  <c r="L863" i="8" s="1"/>
  <c r="N863" i="8" s="1"/>
  <c r="J858" i="8"/>
  <c r="L858" i="8" s="1"/>
  <c r="N858" i="8" s="1"/>
  <c r="J855" i="8"/>
  <c r="L855" i="8" s="1"/>
  <c r="N855" i="8" s="1"/>
  <c r="J854" i="8"/>
  <c r="L854" i="8" s="1"/>
  <c r="N854" i="8" s="1"/>
  <c r="J2247" i="8"/>
  <c r="L2247" i="8" s="1"/>
  <c r="N2247" i="8" s="1"/>
  <c r="J56" i="8"/>
  <c r="L56" i="8" s="1"/>
  <c r="N56" i="8" s="1"/>
  <c r="J847" i="8"/>
  <c r="L847" i="8" s="1"/>
  <c r="N847" i="8" s="1"/>
  <c r="J1991" i="8"/>
  <c r="L1991" i="8" s="1"/>
  <c r="N1991" i="8" s="1"/>
  <c r="J1987" i="8"/>
  <c r="L1987" i="8" s="1"/>
  <c r="N1987" i="8" s="1"/>
  <c r="J844" i="8"/>
  <c r="L844" i="8" s="1"/>
  <c r="N844" i="8" s="1"/>
  <c r="J31" i="8"/>
  <c r="L31" i="8" s="1"/>
  <c r="N31" i="8" s="1"/>
  <c r="J2026" i="8"/>
  <c r="L2026" i="8" s="1"/>
  <c r="N2026" i="8" s="1"/>
  <c r="J2022" i="8"/>
  <c r="L2022" i="8" s="1"/>
  <c r="N2022" i="8" s="1"/>
  <c r="J836" i="8"/>
  <c r="L836" i="8" s="1"/>
  <c r="N836" i="8" s="1"/>
  <c r="J830" i="8"/>
  <c r="L830" i="8" s="1"/>
  <c r="N830" i="8" s="1"/>
  <c r="J159" i="8"/>
  <c r="L159" i="8" s="1"/>
  <c r="N159" i="8" s="1"/>
  <c r="J822" i="8"/>
  <c r="L822" i="8" s="1"/>
  <c r="N822" i="8" s="1"/>
  <c r="J2036" i="8"/>
  <c r="L2036" i="8" s="1"/>
  <c r="N2036" i="8" s="1"/>
  <c r="J814" i="8"/>
  <c r="L814" i="8" s="1"/>
  <c r="N814" i="8" s="1"/>
  <c r="K776" i="8"/>
  <c r="M776" i="8" s="1"/>
  <c r="K768" i="8"/>
  <c r="M768" i="8" s="1"/>
  <c r="K149" i="8"/>
  <c r="M149" i="8" s="1"/>
  <c r="K54" i="8"/>
  <c r="M54" i="8" s="1"/>
  <c r="K148" i="8"/>
  <c r="M148" i="8" s="1"/>
  <c r="K748" i="8"/>
  <c r="M748" i="8" s="1"/>
  <c r="K739" i="8"/>
  <c r="M739" i="8" s="1"/>
  <c r="K2098" i="8"/>
  <c r="M2098" i="8" s="1"/>
  <c r="K723" i="8"/>
  <c r="M723" i="8" s="1"/>
  <c r="K709" i="8"/>
  <c r="M709" i="8" s="1"/>
  <c r="K144" i="8"/>
  <c r="M144" i="8" s="1"/>
  <c r="K701" i="8"/>
  <c r="M701" i="8" s="1"/>
  <c r="K682" i="8"/>
  <c r="M682" i="8" s="1"/>
  <c r="K675" i="8"/>
  <c r="M675" i="8" s="1"/>
  <c r="K670" i="8"/>
  <c r="M670" i="8" s="1"/>
  <c r="K663" i="8"/>
  <c r="M663" i="8" s="1"/>
  <c r="K653" i="8"/>
  <c r="M653" i="8" s="1"/>
  <c r="K647" i="8"/>
  <c r="M647" i="8" s="1"/>
  <c r="K636" i="8"/>
  <c r="M636" i="8" s="1"/>
  <c r="K628" i="8"/>
  <c r="M628" i="8" s="1"/>
  <c r="K624" i="8"/>
  <c r="M624" i="8" s="1"/>
  <c r="B70" i="9"/>
  <c r="J1774" i="8"/>
  <c r="L1774" i="8" s="1"/>
  <c r="N1774" i="8" s="1"/>
  <c r="J1745" i="8"/>
  <c r="L1745" i="8" s="1"/>
  <c r="N1745" i="8" s="1"/>
  <c r="J245" i="8"/>
  <c r="L245" i="8" s="1"/>
  <c r="N245" i="8" s="1"/>
  <c r="J1707" i="8"/>
  <c r="L1707" i="8" s="1"/>
  <c r="N1707" i="8" s="1"/>
  <c r="J1686" i="8"/>
  <c r="L1686" i="8" s="1"/>
  <c r="N1686" i="8" s="1"/>
  <c r="J1661" i="8"/>
  <c r="L1661" i="8" s="1"/>
  <c r="N1661" i="8" s="1"/>
  <c r="J2288" i="8"/>
  <c r="L2288" i="8" s="1"/>
  <c r="N2288" i="8" s="1"/>
  <c r="J1583" i="8"/>
  <c r="L1583" i="8" s="1"/>
  <c r="N1583" i="8" s="1"/>
  <c r="J1556" i="8"/>
  <c r="L1556" i="8" s="1"/>
  <c r="N1556" i="8" s="1"/>
  <c r="J2050" i="8"/>
  <c r="L2050" i="8" s="1"/>
  <c r="N2050" i="8" s="1"/>
  <c r="J2278" i="8"/>
  <c r="L2278" i="8" s="1"/>
  <c r="N2278" i="8" s="1"/>
  <c r="J1492" i="8"/>
  <c r="L1492" i="8" s="1"/>
  <c r="N1492" i="8" s="1"/>
  <c r="J1486" i="8"/>
  <c r="L1486" i="8" s="1"/>
  <c r="N1486" i="8" s="1"/>
  <c r="J1467" i="8"/>
  <c r="L1467" i="8" s="1"/>
  <c r="N1467" i="8" s="1"/>
  <c r="J220" i="8"/>
  <c r="L220" i="8" s="1"/>
  <c r="N220" i="8" s="1"/>
  <c r="J1431" i="8"/>
  <c r="L1431" i="8" s="1"/>
  <c r="N1431" i="8" s="1"/>
  <c r="J1393" i="8"/>
  <c r="L1393" i="8" s="1"/>
  <c r="N1393" i="8" s="1"/>
  <c r="J1373" i="8"/>
  <c r="L1373" i="8" s="1"/>
  <c r="N1373" i="8" s="1"/>
  <c r="J1353" i="8"/>
  <c r="L1353" i="8" s="1"/>
  <c r="N1353" i="8" s="1"/>
  <c r="J5" i="8"/>
  <c r="L5" i="8" s="1"/>
  <c r="N5" i="8" s="1"/>
  <c r="J1" i="8"/>
  <c r="B5" i="9"/>
  <c r="B17" i="9"/>
  <c r="B4" i="9"/>
  <c r="B24" i="9"/>
  <c r="B40" i="9"/>
  <c r="B56" i="9"/>
  <c r="B72" i="9"/>
  <c r="B88" i="9"/>
  <c r="B104" i="9"/>
  <c r="B120" i="9"/>
  <c r="B136" i="9"/>
  <c r="B152" i="9"/>
  <c r="B168" i="9"/>
  <c r="B184" i="9"/>
  <c r="B200" i="9"/>
  <c r="B216" i="9"/>
  <c r="B232" i="9"/>
  <c r="B248" i="9"/>
  <c r="B264" i="9"/>
  <c r="B280" i="9"/>
  <c r="B296" i="9"/>
  <c r="B312" i="9"/>
  <c r="B328" i="9"/>
  <c r="B344" i="9"/>
  <c r="B360" i="9"/>
  <c r="B376" i="9"/>
  <c r="B392" i="9"/>
  <c r="B408" i="9"/>
  <c r="B424" i="9"/>
  <c r="B440" i="9"/>
  <c r="B456" i="9"/>
  <c r="B472" i="9"/>
  <c r="B488" i="9"/>
  <c r="B503" i="9"/>
  <c r="B515" i="9"/>
  <c r="B528" i="9"/>
  <c r="B540" i="9"/>
  <c r="B552" i="9"/>
  <c r="B562" i="9"/>
  <c r="B572" i="9"/>
  <c r="B584" i="9"/>
  <c r="B594" i="9"/>
  <c r="B604" i="9"/>
  <c r="B614" i="9"/>
  <c r="B623" i="9"/>
  <c r="B632" i="9"/>
  <c r="B641" i="9"/>
  <c r="B650" i="9"/>
  <c r="B659" i="9"/>
  <c r="B668" i="9"/>
  <c r="B678" i="9"/>
  <c r="B686" i="9"/>
  <c r="B694" i="9"/>
  <c r="B702" i="9"/>
  <c r="B710" i="9"/>
  <c r="B718" i="9"/>
  <c r="B726" i="9"/>
  <c r="B734" i="9"/>
  <c r="B742" i="9"/>
  <c r="B750" i="9"/>
  <c r="B758" i="9"/>
  <c r="B766" i="9"/>
  <c r="B774" i="9"/>
  <c r="B782" i="9"/>
  <c r="B790" i="9"/>
  <c r="B798" i="9"/>
  <c r="B806" i="9"/>
  <c r="B814" i="9"/>
  <c r="B822" i="9"/>
  <c r="B830" i="9"/>
  <c r="B838" i="9"/>
  <c r="B846" i="9"/>
  <c r="B854" i="9"/>
  <c r="B862" i="9"/>
  <c r="B870" i="9"/>
  <c r="B878" i="9"/>
  <c r="B886" i="9"/>
  <c r="B894" i="9"/>
  <c r="B902" i="9"/>
  <c r="B910" i="9"/>
  <c r="B918" i="9"/>
  <c r="B926" i="9"/>
  <c r="B934" i="9"/>
  <c r="B942" i="9"/>
  <c r="B950" i="9"/>
  <c r="B958" i="9"/>
  <c r="B966" i="9"/>
  <c r="B974" i="9"/>
  <c r="B982" i="9"/>
  <c r="B990" i="9"/>
  <c r="B998" i="9"/>
  <c r="B1006" i="9"/>
  <c r="B1014" i="9"/>
  <c r="B1022" i="9"/>
  <c r="B1030" i="9"/>
  <c r="B1038" i="9"/>
  <c r="B1046" i="9"/>
  <c r="B1054" i="9"/>
  <c r="B1062" i="9"/>
  <c r="B1070" i="9"/>
  <c r="B1078" i="9"/>
  <c r="B1086" i="9"/>
  <c r="B1094" i="9"/>
  <c r="B1102" i="9"/>
  <c r="B1110" i="9"/>
  <c r="B1118" i="9"/>
  <c r="B1126" i="9"/>
  <c r="B1134" i="9"/>
  <c r="B1142" i="9"/>
  <c r="B1150" i="9"/>
  <c r="B1158" i="9"/>
  <c r="B1166" i="9"/>
  <c r="B1174" i="9"/>
  <c r="B1182" i="9"/>
  <c r="B1190" i="9"/>
  <c r="B1198" i="9"/>
  <c r="B1143" i="9"/>
  <c r="B1159" i="9"/>
  <c r="B1175" i="9"/>
  <c r="B1191" i="9"/>
  <c r="B1168" i="9"/>
  <c r="B1192" i="9"/>
  <c r="B8" i="9"/>
  <c r="B27" i="9"/>
  <c r="B43" i="9"/>
  <c r="B59" i="9"/>
  <c r="B75" i="9"/>
  <c r="B91" i="9"/>
  <c r="B107" i="9"/>
  <c r="B123" i="9"/>
  <c r="B139" i="9"/>
  <c r="B155" i="9"/>
  <c r="B171" i="9"/>
  <c r="B187" i="9"/>
  <c r="B203" i="9"/>
  <c r="B219" i="9"/>
  <c r="B235" i="9"/>
  <c r="B251" i="9"/>
  <c r="B267" i="9"/>
  <c r="B283" i="9"/>
  <c r="B299" i="9"/>
  <c r="B315" i="9"/>
  <c r="B331" i="9"/>
  <c r="B347" i="9"/>
  <c r="B363" i="9"/>
  <c r="B379" i="9"/>
  <c r="B395" i="9"/>
  <c r="B411" i="9"/>
  <c r="B427" i="9"/>
  <c r="B443" i="9"/>
  <c r="B459" i="9"/>
  <c r="B475" i="9"/>
  <c r="B491" i="9"/>
  <c r="B504" i="9"/>
  <c r="B516" i="9"/>
  <c r="B529" i="9"/>
  <c r="B543" i="9"/>
  <c r="B553" i="9"/>
  <c r="B563" i="9"/>
  <c r="B575" i="9"/>
  <c r="B585" i="9"/>
  <c r="B595" i="9"/>
  <c r="B606" i="9"/>
  <c r="B615" i="9"/>
  <c r="B624" i="9"/>
  <c r="B633" i="9"/>
  <c r="B642" i="9"/>
  <c r="B651" i="9"/>
  <c r="B660" i="9"/>
  <c r="B670" i="9"/>
  <c r="B679" i="9"/>
  <c r="B687" i="9"/>
  <c r="B695" i="9"/>
  <c r="B703" i="9"/>
  <c r="B711" i="9"/>
  <c r="B719" i="9"/>
  <c r="B727" i="9"/>
  <c r="B735" i="9"/>
  <c r="B743" i="9"/>
  <c r="B751" i="9"/>
  <c r="B759" i="9"/>
  <c r="B767" i="9"/>
  <c r="B775" i="9"/>
  <c r="B783" i="9"/>
  <c r="B791" i="9"/>
  <c r="B799" i="9"/>
  <c r="B807" i="9"/>
  <c r="B815" i="9"/>
  <c r="B823" i="9"/>
  <c r="B831" i="9"/>
  <c r="B839" i="9"/>
  <c r="B847" i="9"/>
  <c r="B855" i="9"/>
  <c r="B863" i="9"/>
  <c r="B871" i="9"/>
  <c r="B879" i="9"/>
  <c r="B887" i="9"/>
  <c r="B895" i="9"/>
  <c r="B903" i="9"/>
  <c r="B911" i="9"/>
  <c r="B919" i="9"/>
  <c r="B927" i="9"/>
  <c r="B935" i="9"/>
  <c r="B943" i="9"/>
  <c r="B951" i="9"/>
  <c r="B959" i="9"/>
  <c r="B967" i="9"/>
  <c r="B975" i="9"/>
  <c r="B983" i="9"/>
  <c r="B991" i="9"/>
  <c r="B999" i="9"/>
  <c r="B1007" i="9"/>
  <c r="B1015" i="9"/>
  <c r="B1023" i="9"/>
  <c r="B1031" i="9"/>
  <c r="B1039" i="9"/>
  <c r="B1047" i="9"/>
  <c r="B1055" i="9"/>
  <c r="B1063" i="9"/>
  <c r="B1071" i="9"/>
  <c r="B1079" i="9"/>
  <c r="B1087" i="9"/>
  <c r="B1095" i="9"/>
  <c r="B1103" i="9"/>
  <c r="B1111" i="9"/>
  <c r="B1119" i="9"/>
  <c r="B1127" i="9"/>
  <c r="B1135" i="9"/>
  <c r="B1151" i="9"/>
  <c r="B1167" i="9"/>
  <c r="B1183" i="9"/>
  <c r="B1199" i="9"/>
  <c r="B1176" i="9"/>
  <c r="B1200" i="9"/>
  <c r="B9" i="9"/>
  <c r="B28" i="9"/>
  <c r="B44" i="9"/>
  <c r="B60" i="9"/>
  <c r="B76" i="9"/>
  <c r="B92" i="9"/>
  <c r="B108" i="9"/>
  <c r="B124" i="9"/>
  <c r="B140" i="9"/>
  <c r="B156" i="9"/>
  <c r="B172" i="9"/>
  <c r="B188" i="9"/>
  <c r="B204" i="9"/>
  <c r="B220" i="9"/>
  <c r="B236" i="9"/>
  <c r="B252" i="9"/>
  <c r="B268" i="9"/>
  <c r="B284" i="9"/>
  <c r="B300" i="9"/>
  <c r="B316" i="9"/>
  <c r="B332" i="9"/>
  <c r="B348" i="9"/>
  <c r="B364" i="9"/>
  <c r="B380" i="9"/>
  <c r="B396" i="9"/>
  <c r="B412" i="9"/>
  <c r="B428" i="9"/>
  <c r="B444" i="9"/>
  <c r="B460" i="9"/>
  <c r="B476" i="9"/>
  <c r="B492" i="9"/>
  <c r="B505" i="9"/>
  <c r="B519" i="9"/>
  <c r="B531" i="9"/>
  <c r="B544" i="9"/>
  <c r="B554" i="9"/>
  <c r="B564" i="9"/>
  <c r="B576" i="9"/>
  <c r="B586" i="9"/>
  <c r="B596" i="9"/>
  <c r="B607" i="9"/>
  <c r="B616" i="9"/>
  <c r="B625" i="9"/>
  <c r="B634" i="9"/>
  <c r="B643" i="9"/>
  <c r="B652" i="9"/>
  <c r="B662" i="9"/>
  <c r="B671" i="9"/>
  <c r="B680" i="9"/>
  <c r="B688" i="9"/>
  <c r="B696" i="9"/>
  <c r="B704" i="9"/>
  <c r="B712" i="9"/>
  <c r="B720" i="9"/>
  <c r="B728" i="9"/>
  <c r="B736" i="9"/>
  <c r="B744" i="9"/>
  <c r="B752" i="9"/>
  <c r="B760" i="9"/>
  <c r="B768" i="9"/>
  <c r="B776" i="9"/>
  <c r="B784" i="9"/>
  <c r="B792" i="9"/>
  <c r="B800" i="9"/>
  <c r="B808" i="9"/>
  <c r="B816" i="9"/>
  <c r="B824" i="9"/>
  <c r="B832" i="9"/>
  <c r="B840" i="9"/>
  <c r="B848" i="9"/>
  <c r="B856" i="9"/>
  <c r="B864" i="9"/>
  <c r="B872" i="9"/>
  <c r="B880" i="9"/>
  <c r="B888" i="9"/>
  <c r="B896" i="9"/>
  <c r="B904" i="9"/>
  <c r="B912" i="9"/>
  <c r="B920" i="9"/>
  <c r="B928" i="9"/>
  <c r="B936" i="9"/>
  <c r="B944" i="9"/>
  <c r="B952" i="9"/>
  <c r="B960" i="9"/>
  <c r="B968" i="9"/>
  <c r="B976" i="9"/>
  <c r="B984" i="9"/>
  <c r="B992" i="9"/>
  <c r="B1000" i="9"/>
  <c r="B1008" i="9"/>
  <c r="B1016" i="9"/>
  <c r="B1024" i="9"/>
  <c r="B1032" i="9"/>
  <c r="B1040" i="9"/>
  <c r="B1048" i="9"/>
  <c r="B1056" i="9"/>
  <c r="B1064" i="9"/>
  <c r="B1072" i="9"/>
  <c r="B1080" i="9"/>
  <c r="B1088" i="9"/>
  <c r="B1096" i="9"/>
  <c r="B1104" i="9"/>
  <c r="B1112" i="9"/>
  <c r="B1120" i="9"/>
  <c r="B1128" i="9"/>
  <c r="B1136" i="9"/>
  <c r="B1144" i="9"/>
  <c r="B1152" i="9"/>
  <c r="B1160" i="9"/>
  <c r="B1184" i="9"/>
  <c r="B20" i="9"/>
  <c r="B36" i="9"/>
  <c r="B52" i="9"/>
  <c r="B68" i="9"/>
  <c r="B84" i="9"/>
  <c r="B100" i="9"/>
  <c r="B116" i="9"/>
  <c r="B132" i="9"/>
  <c r="B148" i="9"/>
  <c r="B164" i="9"/>
  <c r="B180" i="9"/>
  <c r="B196" i="9"/>
  <c r="B212" i="9"/>
  <c r="B228" i="9"/>
  <c r="B244" i="9"/>
  <c r="B260" i="9"/>
  <c r="B276" i="9"/>
  <c r="B292" i="9"/>
  <c r="B308" i="9"/>
  <c r="B324" i="9"/>
  <c r="B340" i="9"/>
  <c r="B356" i="9"/>
  <c r="B372" i="9"/>
  <c r="B388" i="9"/>
  <c r="B404" i="9"/>
  <c r="B420" i="9"/>
  <c r="B436" i="9"/>
  <c r="B452" i="9"/>
  <c r="B468" i="9"/>
  <c r="B484" i="9"/>
  <c r="B499" i="9"/>
  <c r="B512" i="9"/>
  <c r="B524" i="9"/>
  <c r="B537" i="9"/>
  <c r="B548" i="9"/>
  <c r="B560" i="9"/>
  <c r="B570" i="9"/>
  <c r="B580" i="9"/>
  <c r="B592" i="9"/>
  <c r="B602" i="9"/>
  <c r="B611" i="9"/>
  <c r="B620" i="9"/>
  <c r="B630" i="9"/>
  <c r="B639" i="9"/>
  <c r="B648" i="9"/>
  <c r="B657" i="9"/>
  <c r="B666" i="9"/>
  <c r="B675" i="9"/>
  <c r="B684" i="9"/>
  <c r="B692" i="9"/>
  <c r="B700" i="9"/>
  <c r="B708" i="9"/>
  <c r="B716" i="9"/>
  <c r="B724" i="9"/>
  <c r="B732" i="9"/>
  <c r="B740" i="9"/>
  <c r="B748" i="9"/>
  <c r="B756" i="9"/>
  <c r="B764" i="9"/>
  <c r="B772" i="9"/>
  <c r="B780" i="9"/>
  <c r="B788" i="9"/>
  <c r="B796" i="9"/>
  <c r="B804" i="9"/>
  <c r="B812" i="9"/>
  <c r="B820" i="9"/>
  <c r="B828" i="9"/>
  <c r="B836" i="9"/>
  <c r="B844" i="9"/>
  <c r="B852" i="9"/>
  <c r="B860" i="9"/>
  <c r="B868" i="9"/>
  <c r="B876" i="9"/>
  <c r="B884" i="9"/>
  <c r="B892" i="9"/>
  <c r="B900" i="9"/>
  <c r="B908" i="9"/>
  <c r="B916" i="9"/>
  <c r="B924" i="9"/>
  <c r="B932" i="9"/>
  <c r="B940" i="9"/>
  <c r="B948" i="9"/>
  <c r="B956" i="9"/>
  <c r="B964" i="9"/>
  <c r="B972" i="9"/>
  <c r="B980" i="9"/>
  <c r="B988" i="9"/>
  <c r="B996" i="9"/>
  <c r="B1004" i="9"/>
  <c r="B1012" i="9"/>
  <c r="B1020" i="9"/>
  <c r="B1028" i="9"/>
  <c r="B1036" i="9"/>
  <c r="B1044" i="9"/>
  <c r="B1052" i="9"/>
  <c r="B1060" i="9"/>
  <c r="B1068" i="9"/>
  <c r="B1076" i="9"/>
  <c r="B1084" i="9"/>
  <c r="B1092" i="9"/>
  <c r="B1100" i="9"/>
  <c r="B1108" i="9"/>
  <c r="B1116" i="9"/>
  <c r="B1124" i="9"/>
  <c r="B1132" i="9"/>
  <c r="B1140" i="9"/>
  <c r="B1148" i="9"/>
  <c r="B1156" i="9"/>
  <c r="B1164" i="9"/>
  <c r="B1172" i="9"/>
  <c r="B1180" i="9"/>
  <c r="B1188" i="9"/>
  <c r="B1196" i="9"/>
  <c r="B12" i="9"/>
  <c r="B47" i="9"/>
  <c r="B79" i="9"/>
  <c r="B111" i="9"/>
  <c r="B143" i="9"/>
  <c r="B175" i="9"/>
  <c r="B207" i="9"/>
  <c r="B239" i="9"/>
  <c r="B271" i="9"/>
  <c r="B303" i="9"/>
  <c r="B335" i="9"/>
  <c r="B367" i="9"/>
  <c r="B399" i="9"/>
  <c r="B431" i="9"/>
  <c r="B463" i="9"/>
  <c r="B495" i="9"/>
  <c r="B520" i="9"/>
  <c r="B545" i="9"/>
  <c r="B567" i="9"/>
  <c r="B587" i="9"/>
  <c r="B608" i="9"/>
  <c r="B626" i="9"/>
  <c r="B644" i="9"/>
  <c r="B663" i="9"/>
  <c r="B681" i="9"/>
  <c r="B697" i="9"/>
  <c r="B713" i="9"/>
  <c r="B729" i="9"/>
  <c r="B745" i="9"/>
  <c r="B761" i="9"/>
  <c r="B777" i="9"/>
  <c r="B793" i="9"/>
  <c r="B809" i="9"/>
  <c r="B825" i="9"/>
  <c r="B841" i="9"/>
  <c r="B857" i="9"/>
  <c r="B873" i="9"/>
  <c r="B889" i="9"/>
  <c r="B905" i="9"/>
  <c r="B921" i="9"/>
  <c r="B937" i="9"/>
  <c r="B953" i="9"/>
  <c r="B969" i="9"/>
  <c r="B985" i="9"/>
  <c r="B1001" i="9"/>
  <c r="B1017" i="9"/>
  <c r="B1033" i="9"/>
  <c r="B1049" i="9"/>
  <c r="B1065" i="9"/>
  <c r="B1081" i="9"/>
  <c r="B1097" i="9"/>
  <c r="B1113" i="9"/>
  <c r="B1129" i="9"/>
  <c r="B1145" i="9"/>
  <c r="B1161" i="9"/>
  <c r="B1177" i="9"/>
  <c r="B1193" i="9"/>
  <c r="B922" i="9"/>
  <c r="B954" i="9"/>
  <c r="B986" i="9"/>
  <c r="B1018" i="9"/>
  <c r="B1050" i="9"/>
  <c r="B1082" i="9"/>
  <c r="B1114" i="9"/>
  <c r="B1130" i="9"/>
  <c r="B1162" i="9"/>
  <c r="B1178" i="9"/>
  <c r="B1194" i="9"/>
  <c r="B1179" i="9"/>
  <c r="B87" i="9"/>
  <c r="B215" i="9"/>
  <c r="B311" i="9"/>
  <c r="B407" i="9"/>
  <c r="B500" i="9"/>
  <c r="B571" i="9"/>
  <c r="B631" i="9"/>
  <c r="B685" i="9"/>
  <c r="B733" i="9"/>
  <c r="B781" i="9"/>
  <c r="B829" i="9"/>
  <c r="B877" i="9"/>
  <c r="B925" i="9"/>
  <c r="B973" i="9"/>
  <c r="B1021" i="9"/>
  <c r="B1069" i="9"/>
  <c r="B1117" i="9"/>
  <c r="B1165" i="9"/>
  <c r="B31" i="9"/>
  <c r="B63" i="9"/>
  <c r="B159" i="9"/>
  <c r="B191" i="9"/>
  <c r="B287" i="9"/>
  <c r="B383" i="9"/>
  <c r="B479" i="9"/>
  <c r="B577" i="9"/>
  <c r="B635" i="9"/>
  <c r="B705" i="9"/>
  <c r="B769" i="9"/>
  <c r="B833" i="9"/>
  <c r="B881" i="9"/>
  <c r="B945" i="9"/>
  <c r="B993" i="9"/>
  <c r="B1057" i="9"/>
  <c r="B1121" i="9"/>
  <c r="B1185" i="9"/>
  <c r="B32" i="9"/>
  <c r="B128" i="9"/>
  <c r="B416" i="9"/>
  <c r="B535" i="9"/>
  <c r="B618" i="9"/>
  <c r="B690" i="9"/>
  <c r="B754" i="9"/>
  <c r="B818" i="9"/>
  <c r="B882" i="9"/>
  <c r="B930" i="9"/>
  <c r="B994" i="9"/>
  <c r="B1058" i="9"/>
  <c r="B1106" i="9"/>
  <c r="B1170" i="9"/>
  <c r="B13" i="9"/>
  <c r="B48" i="9"/>
  <c r="B80" i="9"/>
  <c r="B112" i="9"/>
  <c r="B144" i="9"/>
  <c r="B176" i="9"/>
  <c r="B208" i="9"/>
  <c r="B240" i="9"/>
  <c r="B272" i="9"/>
  <c r="B304" i="9"/>
  <c r="B336" i="9"/>
  <c r="B368" i="9"/>
  <c r="B400" i="9"/>
  <c r="B432" i="9"/>
  <c r="B464" i="9"/>
  <c r="B496" i="9"/>
  <c r="B521" i="9"/>
  <c r="B546" i="9"/>
  <c r="B568" i="9"/>
  <c r="B588" i="9"/>
  <c r="B609" i="9"/>
  <c r="B627" i="9"/>
  <c r="B646" i="9"/>
  <c r="B664" i="9"/>
  <c r="B682" i="9"/>
  <c r="B698" i="9"/>
  <c r="B714" i="9"/>
  <c r="B730" i="9"/>
  <c r="B746" i="9"/>
  <c r="B762" i="9"/>
  <c r="B778" i="9"/>
  <c r="B794" i="9"/>
  <c r="B810" i="9"/>
  <c r="B826" i="9"/>
  <c r="B842" i="9"/>
  <c r="B858" i="9"/>
  <c r="B874" i="9"/>
  <c r="B890" i="9"/>
  <c r="B906" i="9"/>
  <c r="B938" i="9"/>
  <c r="B970" i="9"/>
  <c r="B1002" i="9"/>
  <c r="B1034" i="9"/>
  <c r="B1066" i="9"/>
  <c r="B1098" i="9"/>
  <c r="B1146" i="9"/>
  <c r="B1147" i="9"/>
  <c r="B1195" i="9"/>
  <c r="B23" i="9"/>
  <c r="B151" i="9"/>
  <c r="B247" i="9"/>
  <c r="B343" i="9"/>
  <c r="B439" i="9"/>
  <c r="B527" i="9"/>
  <c r="B593" i="9"/>
  <c r="B649" i="9"/>
  <c r="B701" i="9"/>
  <c r="B749" i="9"/>
  <c r="B797" i="9"/>
  <c r="B845" i="9"/>
  <c r="B893" i="9"/>
  <c r="B941" i="9"/>
  <c r="B989" i="9"/>
  <c r="B1037" i="9"/>
  <c r="B1085" i="9"/>
  <c r="B1133" i="9"/>
  <c r="B1181" i="9"/>
  <c r="B127" i="9"/>
  <c r="B255" i="9"/>
  <c r="B351" i="9"/>
  <c r="B447" i="9"/>
  <c r="B507" i="9"/>
  <c r="B599" i="9"/>
  <c r="B672" i="9"/>
  <c r="B753" i="9"/>
  <c r="B817" i="9"/>
  <c r="B897" i="9"/>
  <c r="B929" i="9"/>
  <c r="B1009" i="9"/>
  <c r="B1073" i="9"/>
  <c r="B1153" i="9"/>
  <c r="B1" i="9"/>
  <c r="B160" i="9"/>
  <c r="B256" i="9"/>
  <c r="B384" i="9"/>
  <c r="B480" i="9"/>
  <c r="B578" i="9"/>
  <c r="B655" i="9"/>
  <c r="B722" i="9"/>
  <c r="B786" i="9"/>
  <c r="B850" i="9"/>
  <c r="B914" i="9"/>
  <c r="B978" i="9"/>
  <c r="B1042" i="9"/>
  <c r="B1122" i="9"/>
  <c r="B16" i="9"/>
  <c r="B51" i="9"/>
  <c r="B83" i="9"/>
  <c r="B115" i="9"/>
  <c r="B147" i="9"/>
  <c r="B179" i="9"/>
  <c r="B211" i="9"/>
  <c r="B243" i="9"/>
  <c r="B275" i="9"/>
  <c r="B307" i="9"/>
  <c r="B339" i="9"/>
  <c r="B371" i="9"/>
  <c r="B403" i="9"/>
  <c r="B435" i="9"/>
  <c r="B467" i="9"/>
  <c r="B497" i="9"/>
  <c r="B523" i="9"/>
  <c r="B547" i="9"/>
  <c r="B569" i="9"/>
  <c r="B591" i="9"/>
  <c r="B610" i="9"/>
  <c r="B628" i="9"/>
  <c r="B647" i="9"/>
  <c r="B665" i="9"/>
  <c r="B683" i="9"/>
  <c r="B699" i="9"/>
  <c r="B715" i="9"/>
  <c r="B731" i="9"/>
  <c r="B747" i="9"/>
  <c r="B763" i="9"/>
  <c r="B779" i="9"/>
  <c r="B795" i="9"/>
  <c r="B811" i="9"/>
  <c r="B827" i="9"/>
  <c r="B843" i="9"/>
  <c r="B859" i="9"/>
  <c r="B875" i="9"/>
  <c r="B891" i="9"/>
  <c r="B907" i="9"/>
  <c r="B923" i="9"/>
  <c r="B939" i="9"/>
  <c r="B955" i="9"/>
  <c r="B971" i="9"/>
  <c r="B987" i="9"/>
  <c r="B1003" i="9"/>
  <c r="B1019" i="9"/>
  <c r="B1035" i="9"/>
  <c r="B1051" i="9"/>
  <c r="B1067" i="9"/>
  <c r="B1083" i="9"/>
  <c r="B1099" i="9"/>
  <c r="B1115" i="9"/>
  <c r="B1131" i="9"/>
  <c r="B1163" i="9"/>
  <c r="B55" i="9"/>
  <c r="B119" i="9"/>
  <c r="B183" i="9"/>
  <c r="B279" i="9"/>
  <c r="B375" i="9"/>
  <c r="B471" i="9"/>
  <c r="B551" i="9"/>
  <c r="B612" i="9"/>
  <c r="B667" i="9"/>
  <c r="B717" i="9"/>
  <c r="B765" i="9"/>
  <c r="B813" i="9"/>
  <c r="B861" i="9"/>
  <c r="B909" i="9"/>
  <c r="B957" i="9"/>
  <c r="B1005" i="9"/>
  <c r="B1053" i="9"/>
  <c r="B1101" i="9"/>
  <c r="B1149" i="9"/>
  <c r="B1197" i="9"/>
  <c r="B95" i="9"/>
  <c r="B223" i="9"/>
  <c r="B319" i="9"/>
  <c r="B415" i="9"/>
  <c r="B555" i="9"/>
  <c r="B617" i="9"/>
  <c r="B689" i="9"/>
  <c r="B737" i="9"/>
  <c r="B801" i="9"/>
  <c r="B865" i="9"/>
  <c r="B913" i="9"/>
  <c r="B977" i="9"/>
  <c r="B1041" i="9"/>
  <c r="B1105" i="9"/>
  <c r="B1169" i="9"/>
  <c r="B96" i="9"/>
  <c r="B224" i="9"/>
  <c r="B352" i="9"/>
  <c r="B508" i="9"/>
  <c r="B600" i="9"/>
  <c r="B673" i="9"/>
  <c r="B738" i="9"/>
  <c r="B802" i="9"/>
  <c r="B866" i="9"/>
  <c r="B946" i="9"/>
  <c r="B1010" i="9"/>
  <c r="B1090" i="9"/>
  <c r="B1154" i="9"/>
  <c r="B35" i="9"/>
  <c r="B67" i="9"/>
  <c r="B99" i="9"/>
  <c r="B131" i="9"/>
  <c r="B163" i="9"/>
  <c r="B195" i="9"/>
  <c r="B227" i="9"/>
  <c r="B259" i="9"/>
  <c r="B291" i="9"/>
  <c r="B323" i="9"/>
  <c r="B355" i="9"/>
  <c r="B387" i="9"/>
  <c r="B419" i="9"/>
  <c r="B451" i="9"/>
  <c r="B483" i="9"/>
  <c r="B511" i="9"/>
  <c r="B536" i="9"/>
  <c r="B559" i="9"/>
  <c r="B579" i="9"/>
  <c r="B601" i="9"/>
  <c r="B619" i="9"/>
  <c r="B638" i="9"/>
  <c r="B656" i="9"/>
  <c r="B674" i="9"/>
  <c r="B691" i="9"/>
  <c r="B707" i="9"/>
  <c r="B723" i="9"/>
  <c r="B739" i="9"/>
  <c r="B755" i="9"/>
  <c r="B771" i="9"/>
  <c r="B787" i="9"/>
  <c r="B803" i="9"/>
  <c r="B819" i="9"/>
  <c r="B835" i="9"/>
  <c r="B851" i="9"/>
  <c r="B867" i="9"/>
  <c r="B883" i="9"/>
  <c r="B899" i="9"/>
  <c r="B915" i="9"/>
  <c r="B931" i="9"/>
  <c r="B947" i="9"/>
  <c r="B963" i="9"/>
  <c r="B979" i="9"/>
  <c r="B995" i="9"/>
  <c r="B1011" i="9"/>
  <c r="B1027" i="9"/>
  <c r="B1043" i="9"/>
  <c r="B1059" i="9"/>
  <c r="B1075" i="9"/>
  <c r="B1091" i="9"/>
  <c r="B1107" i="9"/>
  <c r="B1123" i="9"/>
  <c r="B1139" i="9"/>
  <c r="B1155" i="9"/>
  <c r="B1171" i="9"/>
  <c r="B1187" i="9"/>
  <c r="B39" i="9"/>
  <c r="B71" i="9"/>
  <c r="B103" i="9"/>
  <c r="B135" i="9"/>
  <c r="B167" i="9"/>
  <c r="B199" i="9"/>
  <c r="B231" i="9"/>
  <c r="B263" i="9"/>
  <c r="B295" i="9"/>
  <c r="B327" i="9"/>
  <c r="B359" i="9"/>
  <c r="B391" i="9"/>
  <c r="B423" i="9"/>
  <c r="B455" i="9"/>
  <c r="B487" i="9"/>
  <c r="B513" i="9"/>
  <c r="B539" i="9"/>
  <c r="B561" i="9"/>
  <c r="B583" i="9"/>
  <c r="B603" i="9"/>
  <c r="B622" i="9"/>
  <c r="B640" i="9"/>
  <c r="B658" i="9"/>
  <c r="B676" i="9"/>
  <c r="B693" i="9"/>
  <c r="B709" i="9"/>
  <c r="B725" i="9"/>
  <c r="B741" i="9"/>
  <c r="B757" i="9"/>
  <c r="B773" i="9"/>
  <c r="B789" i="9"/>
  <c r="B805" i="9"/>
  <c r="B821" i="9"/>
  <c r="B837" i="9"/>
  <c r="B853" i="9"/>
  <c r="B869" i="9"/>
  <c r="B885" i="9"/>
  <c r="B901" i="9"/>
  <c r="B917" i="9"/>
  <c r="B933" i="9"/>
  <c r="B949" i="9"/>
  <c r="B965" i="9"/>
  <c r="B981" i="9"/>
  <c r="B997" i="9"/>
  <c r="B1013" i="9"/>
  <c r="B1029" i="9"/>
  <c r="B1045" i="9"/>
  <c r="B1061" i="9"/>
  <c r="B1077" i="9"/>
  <c r="B1093" i="9"/>
  <c r="B1109" i="9"/>
  <c r="B1125" i="9"/>
  <c r="B1141" i="9"/>
  <c r="B1157" i="9"/>
  <c r="B1173" i="9"/>
  <c r="B1189" i="9"/>
  <c r="B532" i="9"/>
  <c r="B654" i="9"/>
  <c r="B721" i="9"/>
  <c r="B785" i="9"/>
  <c r="B849" i="9"/>
  <c r="B961" i="9"/>
  <c r="B1025" i="9"/>
  <c r="B1089" i="9"/>
  <c r="B1137" i="9"/>
  <c r="B64" i="9"/>
  <c r="B192" i="9"/>
  <c r="B288" i="9"/>
  <c r="B320" i="9"/>
  <c r="B448" i="9"/>
  <c r="B556" i="9"/>
  <c r="B636" i="9"/>
  <c r="B706" i="9"/>
  <c r="B770" i="9"/>
  <c r="B834" i="9"/>
  <c r="B898" i="9"/>
  <c r="B962" i="9"/>
  <c r="B1026" i="9"/>
  <c r="B1074" i="9"/>
  <c r="B1138" i="9"/>
  <c r="B1186" i="9"/>
  <c r="B2" i="9"/>
  <c r="B65" i="9"/>
  <c r="B129" i="9"/>
  <c r="B193" i="9"/>
  <c r="B257" i="9"/>
  <c r="B321" i="9"/>
  <c r="B385" i="9"/>
  <c r="B449" i="9"/>
  <c r="B19" i="9"/>
  <c r="B82" i="9"/>
  <c r="B146" i="9"/>
  <c r="B210" i="9"/>
  <c r="B274" i="9"/>
  <c r="B338" i="9"/>
  <c r="B402" i="9"/>
  <c r="B466" i="9"/>
  <c r="B530" i="9"/>
  <c r="B53" i="9"/>
  <c r="B117" i="9"/>
  <c r="B181" i="9"/>
  <c r="B245" i="9"/>
  <c r="B309" i="9"/>
  <c r="B373" i="9"/>
  <c r="B437" i="9"/>
  <c r="B501" i="9"/>
  <c r="B565" i="9"/>
  <c r="B629" i="9"/>
  <c r="B15" i="9"/>
  <c r="B78" i="9"/>
  <c r="B142" i="9"/>
  <c r="B206" i="9"/>
  <c r="B270" i="9"/>
  <c r="B334" i="9"/>
  <c r="B398" i="9"/>
  <c r="B462" i="9"/>
  <c r="B526" i="9"/>
  <c r="B590" i="9"/>
  <c r="B10" i="9"/>
  <c r="B73" i="9"/>
  <c r="B137" i="9"/>
  <c r="B201" i="9"/>
  <c r="B265" i="9"/>
  <c r="B329" i="9"/>
  <c r="B393" i="9"/>
  <c r="B457" i="9"/>
  <c r="B26" i="9"/>
  <c r="B90" i="9"/>
  <c r="B154" i="9"/>
  <c r="B218" i="9"/>
  <c r="B282" i="9"/>
  <c r="B346" i="9"/>
  <c r="B410" i="9"/>
  <c r="B474" i="9"/>
  <c r="B538" i="9"/>
  <c r="B61" i="9"/>
  <c r="B125" i="9"/>
  <c r="B189" i="9"/>
  <c r="B253" i="9"/>
  <c r="B317" i="9"/>
  <c r="B381" i="9"/>
  <c r="B445" i="9"/>
  <c r="B509" i="9"/>
  <c r="B573" i="9"/>
  <c r="B637" i="9"/>
  <c r="B22" i="9"/>
  <c r="B86" i="9"/>
  <c r="B150" i="9"/>
  <c r="B214" i="9"/>
  <c r="B278" i="9"/>
  <c r="B342" i="9"/>
  <c r="B406" i="9"/>
  <c r="B470" i="9"/>
  <c r="B534" i="9"/>
  <c r="B598" i="9"/>
  <c r="B18" i="9"/>
  <c r="B81" i="9"/>
  <c r="B145" i="9"/>
  <c r="B209" i="9"/>
  <c r="B273" i="9"/>
  <c r="B337" i="9"/>
  <c r="B401" i="9"/>
  <c r="B465" i="9"/>
  <c r="B34" i="9"/>
  <c r="B98" i="9"/>
  <c r="B162" i="9"/>
  <c r="B226" i="9"/>
  <c r="B290" i="9"/>
  <c r="B354" i="9"/>
  <c r="B418" i="9"/>
  <c r="B482" i="9"/>
  <c r="B6" i="9"/>
  <c r="B69" i="9"/>
  <c r="B133" i="9"/>
  <c r="B197" i="9"/>
  <c r="B261" i="9"/>
  <c r="B325" i="9"/>
  <c r="B389" i="9"/>
  <c r="B453" i="9"/>
  <c r="B517" i="9"/>
  <c r="B581" i="9"/>
  <c r="B645" i="9"/>
  <c r="B30" i="9"/>
  <c r="B94" i="9"/>
  <c r="B158" i="9"/>
  <c r="B222" i="9"/>
  <c r="B286" i="9"/>
  <c r="B350" i="9"/>
  <c r="B414" i="9"/>
  <c r="B478" i="9"/>
  <c r="B542" i="9"/>
  <c r="B49" i="9"/>
  <c r="B113" i="9"/>
  <c r="B177" i="9"/>
  <c r="B241" i="9"/>
  <c r="B305" i="9"/>
  <c r="B369" i="9"/>
  <c r="B433" i="9"/>
  <c r="B3" i="9"/>
  <c r="B66" i="9"/>
  <c r="B130" i="9"/>
  <c r="B194" i="9"/>
  <c r="B258" i="9"/>
  <c r="B322" i="9"/>
  <c r="B386" i="9"/>
  <c r="B450" i="9"/>
  <c r="B514" i="9"/>
  <c r="B37" i="9"/>
  <c r="B101" i="9"/>
  <c r="B165" i="9"/>
  <c r="B229" i="9"/>
  <c r="B293" i="9"/>
  <c r="B357" i="9"/>
  <c r="B421" i="9"/>
  <c r="B485" i="9"/>
  <c r="B549" i="9"/>
  <c r="B613" i="9"/>
  <c r="B677" i="9"/>
  <c r="B62" i="9"/>
  <c r="B126" i="9"/>
  <c r="B190" i="9"/>
  <c r="B254" i="9"/>
  <c r="B318" i="9"/>
  <c r="B382" i="9"/>
  <c r="B446" i="9"/>
  <c r="B510" i="9"/>
  <c r="B574" i="9"/>
  <c r="B25" i="9"/>
  <c r="B153" i="9"/>
  <c r="B281" i="9"/>
  <c r="B409" i="9"/>
  <c r="B42" i="9"/>
  <c r="B170" i="9"/>
  <c r="B298" i="9"/>
  <c r="B426" i="9"/>
  <c r="B14" i="9"/>
  <c r="B141" i="9"/>
  <c r="B269" i="9"/>
  <c r="B397" i="9"/>
  <c r="B525" i="9"/>
  <c r="B653" i="9"/>
  <c r="B102" i="9"/>
  <c r="B230" i="9"/>
  <c r="B358" i="9"/>
  <c r="B486" i="9"/>
  <c r="B33" i="9"/>
  <c r="B161" i="9"/>
  <c r="B289" i="9"/>
  <c r="B417" i="9"/>
  <c r="B50" i="9"/>
  <c r="B178" i="9"/>
  <c r="B306" i="9"/>
  <c r="B434" i="9"/>
  <c r="B21" i="9"/>
  <c r="B149" i="9"/>
  <c r="B277" i="9"/>
  <c r="B405" i="9"/>
  <c r="B533" i="9"/>
  <c r="B661" i="9"/>
  <c r="B110" i="9"/>
  <c r="B238" i="9"/>
  <c r="B366" i="9"/>
  <c r="B494" i="9"/>
  <c r="B41" i="9"/>
  <c r="B169" i="9"/>
  <c r="B297" i="9"/>
  <c r="B425" i="9"/>
  <c r="B58" i="9"/>
  <c r="B186" i="9"/>
  <c r="B314" i="9"/>
  <c r="B442" i="9"/>
  <c r="B29" i="9"/>
  <c r="B157" i="9"/>
  <c r="B285" i="9"/>
  <c r="B413" i="9"/>
  <c r="B541" i="9"/>
  <c r="B669" i="9"/>
  <c r="B118" i="9"/>
  <c r="B246" i="9"/>
  <c r="B374" i="9"/>
  <c r="B502" i="9"/>
  <c r="B105" i="9"/>
  <c r="B233" i="9"/>
  <c r="B361" i="9"/>
  <c r="B489" i="9"/>
  <c r="B122" i="9"/>
  <c r="B250" i="9"/>
  <c r="B378" i="9"/>
  <c r="B506" i="9"/>
  <c r="B93" i="9"/>
  <c r="B221" i="9"/>
  <c r="B349" i="9"/>
  <c r="B477" i="9"/>
  <c r="B605" i="9"/>
  <c r="B54" i="9"/>
  <c r="B182" i="9"/>
  <c r="B310" i="9"/>
  <c r="B438" i="9"/>
  <c r="B566" i="9"/>
  <c r="B57" i="9"/>
  <c r="B313" i="9"/>
  <c r="B74" i="9"/>
  <c r="B330" i="9"/>
  <c r="B45" i="9"/>
  <c r="B301" i="9"/>
  <c r="B557" i="9"/>
  <c r="B134" i="9"/>
  <c r="B390" i="9"/>
  <c r="B89" i="9"/>
  <c r="B345" i="9"/>
  <c r="B106" i="9"/>
  <c r="B362" i="9"/>
  <c r="B77" i="9"/>
  <c r="B333" i="9"/>
  <c r="B589" i="9"/>
  <c r="B166" i="9"/>
  <c r="B422" i="9"/>
  <c r="B97" i="9"/>
  <c r="B353" i="9"/>
  <c r="B114" i="9"/>
  <c r="B370" i="9"/>
  <c r="B85" i="9"/>
  <c r="B341" i="9"/>
  <c r="B597" i="9"/>
  <c r="B174" i="9"/>
  <c r="B430" i="9"/>
  <c r="B225" i="9"/>
  <c r="B481" i="9"/>
  <c r="B242" i="9"/>
  <c r="B498" i="9"/>
  <c r="B213" i="9"/>
  <c r="B469" i="9"/>
  <c r="B46" i="9"/>
  <c r="B302" i="9"/>
  <c r="B558" i="9"/>
  <c r="B121" i="9"/>
  <c r="B138" i="9"/>
  <c r="B109" i="9"/>
  <c r="B621" i="9"/>
  <c r="B454" i="9"/>
  <c r="B185" i="9"/>
  <c r="B202" i="9"/>
  <c r="B173" i="9"/>
  <c r="B7" i="9"/>
  <c r="B518" i="9"/>
  <c r="B217" i="9"/>
  <c r="B234" i="9"/>
  <c r="B205" i="9"/>
  <c r="B38" i="9"/>
  <c r="B550" i="9"/>
  <c r="B473" i="9"/>
  <c r="B490" i="9"/>
  <c r="B461" i="9"/>
  <c r="B294" i="9"/>
  <c r="B249" i="9"/>
  <c r="B237" i="9"/>
  <c r="B582" i="9"/>
  <c r="B377" i="9"/>
  <c r="B365" i="9"/>
  <c r="B441" i="9"/>
  <c r="B429" i="9"/>
  <c r="B458" i="9"/>
  <c r="B262" i="9"/>
  <c r="J859" i="8"/>
  <c r="L859" i="8" s="1"/>
  <c r="N859" i="8" s="1"/>
  <c r="J856" i="8"/>
  <c r="L856" i="8" s="1"/>
  <c r="N856" i="8" s="1"/>
  <c r="J852" i="8"/>
  <c r="L852" i="8" s="1"/>
  <c r="N852" i="8" s="1"/>
  <c r="J57" i="8"/>
  <c r="L57" i="8" s="1"/>
  <c r="N57" i="8" s="1"/>
  <c r="J848" i="8"/>
  <c r="L848" i="8" s="1"/>
  <c r="N848" i="8" s="1"/>
  <c r="J1992" i="8"/>
  <c r="L1992" i="8" s="1"/>
  <c r="N1992" i="8" s="1"/>
  <c r="J1988" i="8"/>
  <c r="L1988" i="8" s="1"/>
  <c r="N1988" i="8" s="1"/>
  <c r="J845" i="8"/>
  <c r="L845" i="8" s="1"/>
  <c r="N845" i="8" s="1"/>
  <c r="J32" i="8"/>
  <c r="L32" i="8" s="1"/>
  <c r="N32" i="8" s="1"/>
  <c r="J2245" i="8"/>
  <c r="L2245" i="8" s="1"/>
  <c r="N2245" i="8" s="1"/>
  <c r="J2023" i="8"/>
  <c r="L2023" i="8" s="1"/>
  <c r="N2023" i="8" s="1"/>
  <c r="J837" i="8"/>
  <c r="L837" i="8" s="1"/>
  <c r="N837" i="8" s="1"/>
  <c r="J831" i="8"/>
  <c r="L831" i="8" s="1"/>
  <c r="N831" i="8" s="1"/>
  <c r="J160" i="8"/>
  <c r="L160" i="8" s="1"/>
  <c r="N160" i="8" s="1"/>
  <c r="J823" i="8"/>
  <c r="L823" i="8" s="1"/>
  <c r="N823" i="8" s="1"/>
  <c r="J2037" i="8"/>
  <c r="L2037" i="8" s="1"/>
  <c r="N2037" i="8" s="1"/>
  <c r="J815" i="8"/>
  <c r="L815" i="8" s="1"/>
  <c r="N815" i="8" s="1"/>
  <c r="J303" i="8"/>
  <c r="L303" i="8" s="1"/>
  <c r="N303" i="8" s="1"/>
  <c r="J316" i="8"/>
  <c r="L316" i="8" s="1"/>
  <c r="N316" i="8" s="1"/>
  <c r="J335" i="8"/>
  <c r="L335" i="8" s="1"/>
  <c r="N335" i="8" s="1"/>
  <c r="J354" i="8"/>
  <c r="L354" i="8" s="1"/>
  <c r="N354" i="8" s="1"/>
  <c r="J347" i="8"/>
  <c r="L347" i="8" s="1"/>
  <c r="N347" i="8" s="1"/>
  <c r="J395" i="8"/>
  <c r="L395" i="8" s="1"/>
  <c r="N395" i="8" s="1"/>
  <c r="J107" i="8"/>
  <c r="L107" i="8" s="1"/>
  <c r="N107" i="8" s="1"/>
  <c r="J455" i="8"/>
  <c r="L455" i="8" s="1"/>
  <c r="N455" i="8" s="1"/>
  <c r="J443" i="8"/>
  <c r="L443" i="8" s="1"/>
  <c r="N443" i="8" s="1"/>
  <c r="J436" i="8"/>
  <c r="L436" i="8" s="1"/>
  <c r="N436" i="8" s="1"/>
  <c r="J429" i="8"/>
  <c r="L429" i="8" s="1"/>
  <c r="N429" i="8" s="1"/>
  <c r="J2164" i="8"/>
  <c r="L2164" i="8" s="1"/>
  <c r="N2164" i="8" s="1"/>
  <c r="J2157" i="8"/>
  <c r="L2157" i="8" s="1"/>
  <c r="N2157" i="8" s="1"/>
  <c r="J2179" i="8"/>
  <c r="L2179" i="8" s="1"/>
  <c r="N2179" i="8" s="1"/>
  <c r="J479" i="8"/>
  <c r="L479" i="8" s="1"/>
  <c r="N479" i="8" s="1"/>
  <c r="J2074" i="8"/>
  <c r="L2074" i="8" s="1"/>
  <c r="N2074" i="8" s="1"/>
  <c r="K127" i="8"/>
  <c r="M127" i="8" s="1"/>
  <c r="K337" i="8"/>
  <c r="M337" i="8" s="1"/>
  <c r="K389" i="8"/>
  <c r="M389" i="8" s="1"/>
  <c r="J2219" i="8"/>
  <c r="L2219" i="8" s="1"/>
  <c r="N2219" i="8" s="1"/>
  <c r="J2212" i="8"/>
  <c r="L2212" i="8" s="1"/>
  <c r="N2212" i="8" s="1"/>
  <c r="J2204" i="8"/>
  <c r="L2204" i="8" s="1"/>
  <c r="N2204" i="8" s="1"/>
  <c r="J556" i="8"/>
  <c r="L556" i="8" s="1"/>
  <c r="N556" i="8" s="1"/>
  <c r="J135" i="8"/>
  <c r="L135" i="8" s="1"/>
  <c r="N135" i="8" s="1"/>
  <c r="J581" i="8"/>
  <c r="L581" i="8" s="1"/>
  <c r="N581" i="8" s="1"/>
  <c r="J572" i="8"/>
  <c r="L572" i="8" s="1"/>
  <c r="N572" i="8" s="1"/>
  <c r="J631" i="8"/>
  <c r="L631" i="8" s="1"/>
  <c r="N631" i="8" s="1"/>
  <c r="J2240" i="8"/>
  <c r="L2240" i="8" s="1"/>
  <c r="N2240" i="8" s="1"/>
  <c r="J655" i="8"/>
  <c r="L655" i="8" s="1"/>
  <c r="N655" i="8" s="1"/>
  <c r="J659" i="8"/>
  <c r="L659" i="8" s="1"/>
  <c r="N659" i="8" s="1"/>
  <c r="J2014" i="8"/>
  <c r="L2014" i="8" s="1"/>
  <c r="N2014" i="8" s="1"/>
  <c r="K688" i="8"/>
  <c r="M688" i="8" s="1"/>
  <c r="J697" i="8"/>
  <c r="L697" i="8" s="1"/>
  <c r="N697" i="8" s="1"/>
  <c r="J19" i="8"/>
  <c r="L19" i="8" s="1"/>
  <c r="N19" i="8" s="1"/>
  <c r="J703" i="8"/>
  <c r="L703" i="8" s="1"/>
  <c r="N703" i="8" s="1"/>
  <c r="J145" i="8"/>
  <c r="L145" i="8" s="1"/>
  <c r="N145" i="8" s="1"/>
  <c r="J725" i="8"/>
  <c r="L725" i="8" s="1"/>
  <c r="N725" i="8" s="1"/>
  <c r="J734" i="8"/>
  <c r="L734" i="8" s="1"/>
  <c r="N734" i="8" s="1"/>
  <c r="J740" i="8"/>
  <c r="L740" i="8" s="1"/>
  <c r="N740" i="8" s="1"/>
  <c r="J2018" i="8"/>
  <c r="L2018" i="8" s="1"/>
  <c r="N2018" i="8" s="1"/>
  <c r="J27" i="8"/>
  <c r="L27" i="8" s="1"/>
  <c r="N27" i="8" s="1"/>
  <c r="J769" i="8"/>
  <c r="L769" i="8" s="1"/>
  <c r="N769" i="8" s="1"/>
  <c r="J755" i="8"/>
  <c r="L755" i="8" s="1"/>
  <c r="N755" i="8" s="1"/>
  <c r="J782" i="8"/>
  <c r="L782" i="8" s="1"/>
  <c r="N782" i="8" s="1"/>
  <c r="J800" i="8"/>
  <c r="L800" i="8" s="1"/>
  <c r="N800" i="8" s="1"/>
  <c r="J794" i="8"/>
  <c r="L794" i="8" s="1"/>
  <c r="N794" i="8" s="1"/>
  <c r="J881" i="8"/>
  <c r="L881" i="8" s="1"/>
  <c r="N881" i="8" s="1"/>
  <c r="J871" i="8"/>
  <c r="L871" i="8" s="1"/>
  <c r="N871" i="8" s="1"/>
  <c r="J900" i="8"/>
  <c r="L900" i="8" s="1"/>
  <c r="N900" i="8" s="1"/>
  <c r="J166" i="8"/>
  <c r="L166" i="8" s="1"/>
  <c r="N166" i="8" s="1"/>
  <c r="J941" i="8"/>
  <c r="L941" i="8" s="1"/>
  <c r="N941" i="8" s="1"/>
  <c r="J931" i="8"/>
  <c r="L931" i="8" s="1"/>
  <c r="N931" i="8" s="1"/>
  <c r="J954" i="8"/>
  <c r="L954" i="8" s="1"/>
  <c r="N954" i="8" s="1"/>
  <c r="J968" i="8"/>
  <c r="L968" i="8" s="1"/>
  <c r="N968" i="8" s="1"/>
  <c r="J1015" i="8"/>
  <c r="L1015" i="8" s="1"/>
  <c r="N1015" i="8" s="1"/>
  <c r="J1000" i="8"/>
  <c r="L1000" i="8" s="1"/>
  <c r="N1000" i="8" s="1"/>
  <c r="J1038" i="8"/>
  <c r="L1038" i="8" s="1"/>
  <c r="N1038" i="8" s="1"/>
  <c r="J1030" i="8"/>
  <c r="L1030" i="8" s="1"/>
  <c r="N1030" i="8" s="1"/>
  <c r="B11" i="9"/>
  <c r="J2226" i="8"/>
  <c r="L2226" i="8" s="1"/>
  <c r="N2226" i="8" s="1"/>
  <c r="J241" i="8"/>
  <c r="L241" i="8" s="1"/>
  <c r="N241" i="8" s="1"/>
  <c r="J352" i="8"/>
  <c r="L352" i="8" s="1"/>
  <c r="N352" i="8" s="1"/>
  <c r="J457" i="8"/>
  <c r="L457" i="8" s="1"/>
  <c r="N457" i="8" s="1"/>
  <c r="J21" i="8"/>
  <c r="L21" i="8" s="1"/>
  <c r="N21" i="8" s="1"/>
  <c r="J988" i="8"/>
  <c r="L988" i="8" s="1"/>
  <c r="N988" i="8" s="1"/>
  <c r="J1344" i="8"/>
  <c r="L1344" i="8" s="1"/>
  <c r="N1344" i="8" s="1"/>
  <c r="J1317" i="8"/>
  <c r="L1317" i="8" s="1"/>
  <c r="N1317" i="8" s="1"/>
  <c r="J1438" i="8"/>
  <c r="L1438" i="8" s="1"/>
  <c r="N1438" i="8" s="1"/>
  <c r="J1459" i="8"/>
  <c r="L1459" i="8" s="1"/>
  <c r="N1459" i="8" s="1"/>
  <c r="J1523" i="8"/>
  <c r="L1523" i="8" s="1"/>
  <c r="N1523" i="8" s="1"/>
  <c r="J1620" i="8"/>
  <c r="L1620" i="8" s="1"/>
  <c r="N1620" i="8" s="1"/>
  <c r="J85" i="8"/>
  <c r="L85" i="8" s="1"/>
  <c r="N85" i="8" s="1"/>
  <c r="J1753" i="8"/>
  <c r="L1753" i="8" s="1"/>
  <c r="N1753" i="8" s="1"/>
  <c r="J367" i="8"/>
  <c r="L367" i="8" s="1"/>
  <c r="N367" i="8" s="1"/>
  <c r="J324" i="8"/>
  <c r="L324" i="8" s="1"/>
  <c r="N324" i="8" s="1"/>
  <c r="J2229" i="8"/>
  <c r="L2229" i="8" s="1"/>
  <c r="N2229" i="8" s="1"/>
  <c r="J726" i="8"/>
  <c r="L726" i="8" s="1"/>
  <c r="N726" i="8" s="1"/>
  <c r="J937" i="8"/>
  <c r="L937" i="8" s="1"/>
  <c r="N937" i="8" s="1"/>
  <c r="J226" i="8"/>
  <c r="L226" i="8" s="1"/>
  <c r="N226" i="8" s="1"/>
  <c r="J2117" i="8"/>
  <c r="L2117" i="8" s="1"/>
  <c r="N2117" i="8" s="1"/>
  <c r="J1605" i="8"/>
  <c r="L1605" i="8" s="1"/>
  <c r="N1605" i="8" s="1"/>
  <c r="J1594" i="8"/>
  <c r="L1594" i="8" s="1"/>
  <c r="N1594" i="8" s="1"/>
  <c r="J1680" i="8"/>
  <c r="L1680" i="8" s="1"/>
  <c r="N1680" i="8" s="1"/>
  <c r="J1643" i="8"/>
  <c r="L1643" i="8" s="1"/>
  <c r="N1643" i="8" s="1"/>
  <c r="J1801" i="8"/>
  <c r="L1801" i="8" s="1"/>
  <c r="N1801" i="8" s="1"/>
  <c r="J889" i="8"/>
  <c r="L889" i="8" s="1"/>
  <c r="N889" i="8" s="1"/>
  <c r="J1382" i="8"/>
  <c r="L1382" i="8" s="1"/>
  <c r="N1382" i="8" s="1"/>
  <c r="J1551" i="8"/>
  <c r="L1551" i="8" s="1"/>
  <c r="N1551" i="8" s="1"/>
  <c r="J1706" i="8"/>
  <c r="L1706" i="8" s="1"/>
  <c r="N1706" i="8" s="1"/>
  <c r="J406" i="8"/>
  <c r="L406" i="8" s="1"/>
  <c r="N406" i="8" s="1"/>
  <c r="J789" i="8"/>
  <c r="L789" i="8" s="1"/>
  <c r="N789" i="8" s="1"/>
  <c r="J689" i="8"/>
  <c r="L689" i="8" s="1"/>
  <c r="N689" i="8" s="1"/>
  <c r="J437" i="8"/>
  <c r="L437" i="8" s="1"/>
  <c r="N437" i="8" s="1"/>
  <c r="J932" i="8"/>
  <c r="L932" i="8" s="1"/>
  <c r="N932" i="8" s="1"/>
  <c r="J1266" i="8"/>
  <c r="L1266" i="8" s="1"/>
  <c r="N1266" i="8" s="1"/>
  <c r="J1602" i="8"/>
  <c r="L1602" i="8" s="1"/>
  <c r="N1602" i="8" s="1"/>
  <c r="J938" i="8"/>
  <c r="L938" i="8" s="1"/>
  <c r="N938" i="8" s="1"/>
  <c r="J1963" i="8"/>
  <c r="L1963" i="8" s="1"/>
  <c r="N1963" i="8" s="1"/>
  <c r="J1106" i="8"/>
  <c r="L1106" i="8" s="1"/>
  <c r="N1106" i="8" s="1"/>
  <c r="J1159" i="8"/>
  <c r="L1159" i="8" s="1"/>
  <c r="N1159" i="8" s="1"/>
  <c r="J1133" i="8"/>
  <c r="L1133" i="8" s="1"/>
  <c r="N1133" i="8" s="1"/>
  <c r="J1204" i="8"/>
  <c r="L1204" i="8" s="1"/>
  <c r="N1204" i="8" s="1"/>
  <c r="J1199" i="8"/>
  <c r="L1199" i="8" s="1"/>
  <c r="N1199" i="8" s="1"/>
  <c r="J1225" i="8"/>
  <c r="L1225" i="8" s="1"/>
  <c r="N1225" i="8" s="1"/>
  <c r="J1214" i="8"/>
  <c r="L1214" i="8" s="1"/>
  <c r="N1214" i="8" s="1"/>
  <c r="J68" i="8"/>
  <c r="L68" i="8" s="1"/>
  <c r="N68" i="8" s="1"/>
  <c r="J1264" i="8"/>
  <c r="L1264" i="8" s="1"/>
  <c r="N1264" i="8" s="1"/>
  <c r="J1299" i="8"/>
  <c r="L1299" i="8" s="1"/>
  <c r="N1299" i="8" s="1"/>
  <c r="J1276" i="8"/>
  <c r="L1276" i="8" s="1"/>
  <c r="N1276" i="8" s="1"/>
  <c r="J1357" i="8"/>
  <c r="L1357" i="8" s="1"/>
  <c r="N1357" i="8" s="1"/>
  <c r="J1321" i="8"/>
  <c r="L1321" i="8" s="1"/>
  <c r="N1321" i="8" s="1"/>
  <c r="J197" i="8"/>
  <c r="L197" i="8" s="1"/>
  <c r="N197" i="8" s="1"/>
  <c r="J2116" i="8"/>
  <c r="L2116" i="8" s="1"/>
  <c r="N2116" i="8" s="1"/>
  <c r="J1385" i="8"/>
  <c r="L1385" i="8" s="1"/>
  <c r="N1385" i="8" s="1"/>
  <c r="J1428" i="8"/>
  <c r="L1428" i="8" s="1"/>
  <c r="N1428" i="8" s="1"/>
  <c r="J1418" i="8"/>
  <c r="L1418" i="8" s="1"/>
  <c r="N1418" i="8" s="1"/>
  <c r="J1405" i="8"/>
  <c r="L1405" i="8" s="1"/>
  <c r="N1405" i="8" s="1"/>
  <c r="J1429" i="8"/>
  <c r="L1429" i="8" s="1"/>
  <c r="N1429" i="8" s="1"/>
  <c r="J1455" i="8"/>
  <c r="L1455" i="8" s="1"/>
  <c r="N1455" i="8" s="1"/>
  <c r="J217" i="8"/>
  <c r="L217" i="8" s="1"/>
  <c r="N217" i="8" s="1"/>
  <c r="J1502" i="8"/>
  <c r="L1502" i="8" s="1"/>
  <c r="N1502" i="8" s="1"/>
  <c r="J1498" i="8"/>
  <c r="L1498" i="8" s="1"/>
  <c r="N1498" i="8" s="1"/>
  <c r="J1484" i="8"/>
  <c r="L1484" i="8" s="1"/>
  <c r="N1484" i="8" s="1"/>
  <c r="J1527" i="8"/>
  <c r="L1527" i="8" s="1"/>
  <c r="N1527" i="8" s="1"/>
  <c r="J1520" i="8"/>
  <c r="L1520" i="8" s="1"/>
  <c r="N1520" i="8" s="1"/>
  <c r="J1604" i="8"/>
  <c r="L1604" i="8" s="1"/>
  <c r="N1604" i="8" s="1"/>
  <c r="J231" i="8"/>
  <c r="L231" i="8" s="1"/>
  <c r="N231" i="8" s="1"/>
  <c r="K230" i="8"/>
  <c r="M230" i="8" s="1"/>
  <c r="J1647" i="8"/>
  <c r="L1647" i="8" s="1"/>
  <c r="N1647" i="8" s="1"/>
  <c r="J1628" i="8"/>
  <c r="L1628" i="8" s="1"/>
  <c r="N1628" i="8" s="1"/>
  <c r="J1617" i="8"/>
  <c r="L1617" i="8" s="1"/>
  <c r="N1617" i="8" s="1"/>
  <c r="J83" i="8"/>
  <c r="L83" i="8" s="1"/>
  <c r="N83" i="8" s="1"/>
  <c r="J1681" i="8"/>
  <c r="L1681" i="8" s="1"/>
  <c r="N1681" i="8" s="1"/>
  <c r="J253" i="8"/>
  <c r="L253" i="8" s="1"/>
  <c r="N253" i="8" s="1"/>
  <c r="J251" i="8"/>
  <c r="L251" i="8" s="1"/>
  <c r="N251" i="8" s="1"/>
  <c r="J1786" i="8"/>
  <c r="L1786" i="8" s="1"/>
  <c r="N1786" i="8" s="1"/>
  <c r="J1766" i="8"/>
  <c r="L1766" i="8" s="1"/>
  <c r="N1766" i="8" s="1"/>
  <c r="J1815" i="8"/>
  <c r="L1815" i="8" s="1"/>
  <c r="N1815" i="8" s="1"/>
  <c r="J1851" i="8"/>
  <c r="L1851" i="8" s="1"/>
  <c r="N1851" i="8" s="1"/>
  <c r="J1856" i="8"/>
  <c r="L1856" i="8" s="1"/>
  <c r="N1856" i="8" s="1"/>
  <c r="J295" i="8"/>
  <c r="L295" i="8" s="1"/>
  <c r="N295" i="8" s="1"/>
  <c r="J403" i="8"/>
  <c r="L403" i="8" s="1"/>
  <c r="N403" i="8" s="1"/>
  <c r="J489" i="8"/>
  <c r="L489" i="8" s="1"/>
  <c r="N489" i="8" s="1"/>
  <c r="J2162" i="8"/>
  <c r="L2162" i="8" s="1"/>
  <c r="N2162" i="8" s="1"/>
  <c r="J494" i="8"/>
  <c r="L494" i="8" s="1"/>
  <c r="N494" i="8" s="1"/>
  <c r="K2214" i="8"/>
  <c r="M2214" i="8" s="1"/>
  <c r="J571" i="8"/>
  <c r="L571" i="8" s="1"/>
  <c r="N571" i="8" s="1"/>
  <c r="J640" i="8"/>
  <c r="L640" i="8" s="1"/>
  <c r="N640" i="8" s="1"/>
  <c r="J620" i="8"/>
  <c r="L620" i="8" s="1"/>
  <c r="N620" i="8" s="1"/>
  <c r="J618" i="8"/>
  <c r="L618" i="8" s="1"/>
  <c r="N618" i="8" s="1"/>
  <c r="K685" i="8"/>
  <c r="M685" i="8" s="1"/>
  <c r="K141" i="8"/>
  <c r="M141" i="8" s="1"/>
  <c r="J641" i="8"/>
  <c r="L641" i="8" s="1"/>
  <c r="N641" i="8" s="1"/>
  <c r="J940" i="8"/>
  <c r="L940" i="8" s="1"/>
  <c r="N940" i="8" s="1"/>
  <c r="J1011" i="8"/>
  <c r="L1011" i="8" s="1"/>
  <c r="N1011" i="8" s="1"/>
  <c r="J1198" i="8"/>
  <c r="L1198" i="8" s="1"/>
  <c r="N1198" i="8" s="1"/>
  <c r="J1122" i="8"/>
  <c r="L1122" i="8" s="1"/>
  <c r="N1122" i="8" s="1"/>
  <c r="J1067" i="8"/>
  <c r="L1067" i="8" s="1"/>
  <c r="N1067" i="8" s="1"/>
  <c r="J1290" i="8"/>
  <c r="L1290" i="8" s="1"/>
  <c r="N1290" i="8" s="1"/>
  <c r="J1254" i="8"/>
  <c r="L1254" i="8" s="1"/>
  <c r="N1254" i="8" s="1"/>
  <c r="J1217" i="8"/>
  <c r="L1217" i="8" s="1"/>
  <c r="N1217" i="8" s="1"/>
  <c r="J1337" i="8"/>
  <c r="L1337" i="8" s="1"/>
  <c r="N1337" i="8" s="1"/>
  <c r="J1313" i="8"/>
  <c r="L1313" i="8" s="1"/>
  <c r="N1313" i="8" s="1"/>
  <c r="J1419" i="8"/>
  <c r="L1419" i="8" s="1"/>
  <c r="N1419" i="8" s="1"/>
  <c r="J1462" i="8"/>
  <c r="L1462" i="8" s="1"/>
  <c r="N1462" i="8" s="1"/>
  <c r="J1440" i="8"/>
  <c r="L1440" i="8" s="1"/>
  <c r="N1440" i="8" s="1"/>
  <c r="J79" i="8"/>
  <c r="L79" i="8" s="1"/>
  <c r="N79" i="8" s="1"/>
  <c r="J2280" i="8"/>
  <c r="L2280" i="8" s="1"/>
  <c r="N2280" i="8" s="1"/>
  <c r="J1530" i="8"/>
  <c r="L1530" i="8" s="1"/>
  <c r="N1530" i="8" s="1"/>
  <c r="J1637" i="8"/>
  <c r="L1637" i="8" s="1"/>
  <c r="N1637" i="8" s="1"/>
  <c r="J1612" i="8"/>
  <c r="L1612" i="8" s="1"/>
  <c r="N1612" i="8" s="1"/>
  <c r="J1599" i="8"/>
  <c r="L1599" i="8" s="1"/>
  <c r="N1599" i="8" s="1"/>
  <c r="J80" i="8"/>
  <c r="L80" i="8" s="1"/>
  <c r="N80" i="8" s="1"/>
  <c r="J1665" i="8"/>
  <c r="L1665" i="8" s="1"/>
  <c r="N1665" i="8" s="1"/>
  <c r="J1659" i="8"/>
  <c r="L1659" i="8" s="1"/>
  <c r="N1659" i="8" s="1"/>
  <c r="J1640" i="8"/>
  <c r="L1640" i="8" s="1"/>
  <c r="N1640" i="8" s="1"/>
  <c r="J1751" i="8"/>
  <c r="L1751" i="8" s="1"/>
  <c r="N1751" i="8" s="1"/>
  <c r="J1711" i="8"/>
  <c r="L1711" i="8" s="1"/>
  <c r="N1711" i="8" s="1"/>
  <c r="K82" i="8"/>
  <c r="M82" i="8" s="1"/>
  <c r="J2130" i="8"/>
  <c r="L2130" i="8" s="1"/>
  <c r="N2130" i="8" s="1"/>
  <c r="J1962" i="8"/>
  <c r="L1962" i="8" s="1"/>
  <c r="N1962" i="8" s="1"/>
  <c r="J1869" i="8"/>
  <c r="L1869" i="8" s="1"/>
  <c r="N1869" i="8" s="1"/>
  <c r="J778" i="8"/>
  <c r="L778" i="8" s="1"/>
  <c r="N778" i="8" s="1"/>
  <c r="J650" i="8"/>
  <c r="L650" i="8" s="1"/>
  <c r="N650" i="8" s="1"/>
  <c r="J1410" i="8"/>
  <c r="L1410" i="8" s="1"/>
  <c r="N1410" i="8" s="1"/>
  <c r="J1262" i="8"/>
  <c r="L1262" i="8" s="1"/>
  <c r="N1262" i="8" s="1"/>
  <c r="J1013" i="8"/>
  <c r="L1013" i="8" s="1"/>
  <c r="N1013" i="8" s="1"/>
  <c r="J1652" i="8"/>
  <c r="L1652" i="8" s="1"/>
  <c r="N1652" i="8" s="1"/>
  <c r="K916" i="8"/>
  <c r="M916" i="8" s="1"/>
  <c r="J775" i="8"/>
  <c r="L775" i="8" s="1"/>
  <c r="N775" i="8" s="1"/>
  <c r="J673" i="8"/>
  <c r="L673" i="8" s="1"/>
  <c r="N673" i="8" s="1"/>
  <c r="J627" i="8"/>
  <c r="L627" i="8" s="1"/>
  <c r="N627" i="8" s="1"/>
  <c r="J297" i="8"/>
  <c r="L297" i="8" s="1"/>
  <c r="N297" i="8" s="1"/>
  <c r="J784" i="8"/>
  <c r="L784" i="8" s="1"/>
  <c r="N784" i="8" s="1"/>
  <c r="J1031" i="8"/>
  <c r="L1031" i="8" s="1"/>
  <c r="N1031" i="8" s="1"/>
  <c r="J981" i="8"/>
  <c r="L981" i="8" s="1"/>
  <c r="N981" i="8" s="1"/>
  <c r="J1222" i="8"/>
  <c r="L1222" i="8" s="1"/>
  <c r="N1222" i="8" s="1"/>
  <c r="J1144" i="8"/>
  <c r="L1144" i="8" s="1"/>
  <c r="N1144" i="8" s="1"/>
  <c r="J1110" i="8"/>
  <c r="L1110" i="8" s="1"/>
  <c r="N1110" i="8" s="1"/>
  <c r="J1075" i="8"/>
  <c r="L1075" i="8" s="1"/>
  <c r="N1075" i="8" s="1"/>
  <c r="J1364" i="8"/>
  <c r="L1364" i="8" s="1"/>
  <c r="N1364" i="8" s="1"/>
  <c r="J1726" i="8"/>
  <c r="L1726" i="8" s="1"/>
  <c r="N1726" i="8" s="1"/>
  <c r="J1693" i="8"/>
  <c r="L1693" i="8" s="1"/>
  <c r="N1693" i="8" s="1"/>
  <c r="J1810" i="8"/>
  <c r="L1810" i="8" s="1"/>
  <c r="N1810" i="8" s="1"/>
  <c r="J1775" i="8"/>
  <c r="L1775" i="8" s="1"/>
  <c r="N1775" i="8" s="1"/>
  <c r="J1979" i="8"/>
  <c r="L1979" i="8" s="1"/>
  <c r="N1979" i="8" s="1"/>
  <c r="J1937" i="8"/>
  <c r="L1937" i="8" s="1"/>
  <c r="N1937" i="8" s="1"/>
  <c r="J1914" i="8"/>
  <c r="L1914" i="8" s="1"/>
  <c r="N1914" i="8" s="1"/>
  <c r="J1821" i="8"/>
  <c r="L1821" i="8" s="1"/>
  <c r="N1821" i="8" s="1"/>
  <c r="J720" i="8"/>
  <c r="L720" i="8" s="1"/>
  <c r="N720" i="8" s="1"/>
  <c r="J599" i="8"/>
  <c r="L599" i="8" s="1"/>
  <c r="N599" i="8" s="1"/>
  <c r="J548" i="8"/>
  <c r="L548" i="8" s="1"/>
  <c r="N548" i="8" s="1"/>
  <c r="J947" i="8"/>
  <c r="L947" i="8" s="1"/>
  <c r="N947" i="8" s="1"/>
  <c r="J1035" i="8"/>
  <c r="L1035" i="8" s="1"/>
  <c r="N1035" i="8" s="1"/>
  <c r="J1358" i="8"/>
  <c r="L1358" i="8" s="1"/>
  <c r="N1358" i="8" s="1"/>
  <c r="J1300" i="8"/>
  <c r="L1300" i="8" s="1"/>
  <c r="N1300" i="8" s="1"/>
  <c r="J1226" i="8"/>
  <c r="L1226" i="8" s="1"/>
  <c r="N1226" i="8" s="1"/>
  <c r="J1522" i="8"/>
  <c r="L1522" i="8" s="1"/>
  <c r="N1522" i="8" s="1"/>
  <c r="J1437" i="8"/>
  <c r="L1437" i="8" s="1"/>
  <c r="N1437" i="8" s="1"/>
  <c r="J1953" i="8"/>
  <c r="L1953" i="8" s="1"/>
  <c r="N1953" i="8" s="1"/>
  <c r="J1654" i="8"/>
  <c r="L1654" i="8" s="1"/>
  <c r="N1654" i="8" s="1"/>
  <c r="J1969" i="8"/>
  <c r="L1969" i="8" s="1"/>
  <c r="N1969" i="8" s="1"/>
  <c r="J751" i="8"/>
  <c r="L751" i="8" s="1"/>
  <c r="N751" i="8" s="1"/>
  <c r="K1481" i="8"/>
  <c r="M1481" i="8" s="1"/>
  <c r="K1883" i="8"/>
  <c r="M1883" i="8" s="1"/>
  <c r="J1747" i="8"/>
  <c r="L1747" i="8" s="1"/>
  <c r="N1747" i="8" s="1"/>
  <c r="J1848" i="8"/>
  <c r="L1848" i="8" s="1"/>
  <c r="N1848" i="8" s="1"/>
  <c r="J942" i="8"/>
  <c r="L942" i="8" s="1"/>
  <c r="N942" i="8" s="1"/>
  <c r="J1188" i="8"/>
  <c r="L1188" i="8" s="1"/>
  <c r="N1188" i="8" s="1"/>
  <c r="K1350" i="8"/>
  <c r="M1350" i="8" s="1"/>
  <c r="K1273" i="8"/>
  <c r="M1273" i="8" s="1"/>
  <c r="J1500" i="8"/>
  <c r="L1500" i="8" s="1"/>
  <c r="N1500" i="8" s="1"/>
  <c r="J861" i="8"/>
  <c r="L861" i="8" s="1"/>
  <c r="N861" i="8" s="1"/>
  <c r="J1168" i="8"/>
  <c r="L1168" i="8" s="1"/>
  <c r="N1168" i="8" s="1"/>
  <c r="K1698" i="8"/>
  <c r="M1698" i="8" s="1"/>
  <c r="K1981" i="8"/>
  <c r="M1981" i="8" s="1"/>
  <c r="K1976" i="8"/>
  <c r="M1976" i="8" s="1"/>
  <c r="K87" i="8"/>
  <c r="M87" i="8" s="1"/>
  <c r="K2033" i="8"/>
  <c r="M2033" i="8" s="1"/>
  <c r="K1960" i="8"/>
  <c r="M1960" i="8" s="1"/>
  <c r="K1956" i="8"/>
  <c r="M1956" i="8" s="1"/>
  <c r="K1948" i="8"/>
  <c r="M1948" i="8" s="1"/>
  <c r="K1942" i="8"/>
  <c r="M1942" i="8" s="1"/>
  <c r="K1939" i="8"/>
  <c r="M1939" i="8" s="1"/>
  <c r="K1936" i="8"/>
  <c r="M1936" i="8" s="1"/>
  <c r="K1932" i="8"/>
  <c r="M1932" i="8" s="1"/>
  <c r="K1927" i="8"/>
  <c r="M1927" i="8" s="1"/>
  <c r="K2133" i="8"/>
  <c r="M2133" i="8" s="1"/>
  <c r="K1920" i="8"/>
  <c r="M1920" i="8" s="1"/>
  <c r="K1915" i="8"/>
  <c r="M1915" i="8" s="1"/>
  <c r="K1907" i="8"/>
  <c r="M1907" i="8" s="1"/>
  <c r="K1905" i="8"/>
  <c r="M1905" i="8" s="1"/>
  <c r="K1903" i="8"/>
  <c r="M1903" i="8" s="1"/>
  <c r="K1898" i="8"/>
  <c r="M1898" i="8" s="1"/>
  <c r="K1893" i="8"/>
  <c r="M1893" i="8" s="1"/>
  <c r="K1888" i="8"/>
  <c r="M1888" i="8" s="1"/>
  <c r="K1879" i="8"/>
  <c r="M1879" i="8" s="1"/>
  <c r="K1874" i="8"/>
  <c r="M1874" i="8" s="1"/>
  <c r="K46" i="8"/>
  <c r="M46" i="8" s="1"/>
  <c r="K1872" i="8"/>
  <c r="M1872" i="8" s="1"/>
  <c r="K2028" i="8"/>
  <c r="M2028" i="8" s="1"/>
  <c r="K1866" i="8"/>
  <c r="M1866" i="8" s="1"/>
  <c r="K1863" i="8"/>
  <c r="M1863" i="8" s="1"/>
  <c r="K1858" i="8"/>
  <c r="M1858" i="8" s="1"/>
  <c r="K1855" i="8"/>
  <c r="M1855" i="8" s="1"/>
  <c r="K1849" i="8"/>
  <c r="M1849" i="8" s="1"/>
  <c r="K1845" i="8"/>
  <c r="M1845" i="8" s="1"/>
  <c r="K1840" i="8"/>
  <c r="M1840" i="8" s="1"/>
  <c r="K1835" i="8"/>
  <c r="M1835" i="8" s="1"/>
  <c r="K1829" i="8"/>
  <c r="M1829" i="8" s="1"/>
  <c r="K1823" i="8"/>
  <c r="M1823" i="8" s="1"/>
  <c r="K1817" i="8"/>
  <c r="M1817" i="8" s="1"/>
  <c r="K1809" i="8"/>
  <c r="M1809" i="8" s="1"/>
  <c r="K1803" i="8"/>
  <c r="M1803" i="8" s="1"/>
  <c r="K1795" i="8"/>
  <c r="M1795" i="8" s="1"/>
  <c r="K1789" i="8"/>
  <c r="M1789" i="8" s="1"/>
  <c r="K1780" i="8"/>
  <c r="M1780" i="8" s="1"/>
  <c r="K1777" i="8"/>
  <c r="M1777" i="8" s="1"/>
  <c r="K260" i="8"/>
  <c r="M260" i="8" s="1"/>
  <c r="K257" i="8"/>
  <c r="M257" i="8" s="1"/>
  <c r="K1768" i="8"/>
  <c r="M1768" i="8" s="1"/>
  <c r="K1760" i="8"/>
  <c r="M1760" i="8" s="1"/>
  <c r="K1749" i="8"/>
  <c r="M1749" i="8" s="1"/>
  <c r="K1742" i="8"/>
  <c r="M1742" i="8" s="1"/>
  <c r="K2292" i="8"/>
  <c r="M2292" i="8" s="1"/>
  <c r="K250" i="8"/>
  <c r="M250" i="8" s="1"/>
  <c r="K1732" i="8"/>
  <c r="M1732" i="8" s="1"/>
  <c r="K1727" i="8"/>
  <c r="M1727" i="8" s="1"/>
  <c r="K1721" i="8"/>
  <c r="M1721" i="8" s="1"/>
  <c r="K1717" i="8"/>
  <c r="M1717" i="8" s="1"/>
  <c r="K1709" i="8"/>
  <c r="M1709" i="8" s="1"/>
  <c r="K239" i="8"/>
  <c r="M239" i="8" s="1"/>
  <c r="K1695" i="8"/>
  <c r="M1695" i="8" s="1"/>
  <c r="K1688" i="8"/>
  <c r="M1688" i="8" s="1"/>
  <c r="K1684" i="8"/>
  <c r="M1684" i="8" s="1"/>
  <c r="K1674" i="8"/>
  <c r="M1674" i="8" s="1"/>
  <c r="K2123" i="8"/>
  <c r="M2123" i="8" s="1"/>
  <c r="K1668" i="8"/>
  <c r="M1668" i="8" s="1"/>
  <c r="K1648" i="8"/>
  <c r="M1648" i="8" s="1"/>
  <c r="K1632" i="8"/>
  <c r="M1632" i="8" s="1"/>
  <c r="K1626" i="8"/>
  <c r="M1626" i="8" s="1"/>
  <c r="K234" i="8"/>
  <c r="M234" i="8" s="1"/>
  <c r="K1615" i="8"/>
  <c r="M1615" i="8" s="1"/>
  <c r="K1609" i="8"/>
  <c r="M1609" i="8" s="1"/>
  <c r="K1591" i="8"/>
  <c r="M1591" i="8" s="1"/>
  <c r="K1581" i="8"/>
  <c r="M1581" i="8" s="1"/>
  <c r="K1563" i="8"/>
  <c r="M1563" i="8" s="1"/>
  <c r="K1558" i="8"/>
  <c r="M1558" i="8" s="1"/>
  <c r="K1553" i="8"/>
  <c r="M1553" i="8" s="1"/>
  <c r="K2052" i="8"/>
  <c r="M2052" i="8" s="1"/>
  <c r="K1544" i="8"/>
  <c r="M1544" i="8" s="1"/>
  <c r="K1539" i="8"/>
  <c r="M1539" i="8" s="1"/>
  <c r="K1534" i="8"/>
  <c r="M1534" i="8" s="1"/>
  <c r="K2277" i="8"/>
  <c r="M2277" i="8" s="1"/>
  <c r="K1512" i="8"/>
  <c r="M1512" i="8" s="1"/>
  <c r="K1507" i="8"/>
  <c r="M1507" i="8" s="1"/>
  <c r="K1504" i="8"/>
  <c r="M1504" i="8" s="1"/>
  <c r="K1489" i="8"/>
  <c r="M1489" i="8" s="1"/>
  <c r="K2048" i="8"/>
  <c r="M2048" i="8" s="1"/>
  <c r="K2273" i="8"/>
  <c r="M2273" i="8" s="1"/>
  <c r="K1478" i="8"/>
  <c r="M1478" i="8" s="1"/>
  <c r="K1473" i="8"/>
  <c r="M1473" i="8" s="1"/>
  <c r="K1469" i="8"/>
  <c r="M1469" i="8" s="1"/>
  <c r="K1464" i="8"/>
  <c r="M1464" i="8" s="1"/>
  <c r="K1456" i="8"/>
  <c r="M1456" i="8" s="1"/>
  <c r="K1451" i="8"/>
  <c r="M1451" i="8" s="1"/>
  <c r="K1448" i="8"/>
  <c r="M1448" i="8" s="1"/>
  <c r="K1434" i="8"/>
  <c r="M1434" i="8" s="1"/>
  <c r="K2045" i="8"/>
  <c r="M2045" i="8" s="1"/>
  <c r="K1414" i="8"/>
  <c r="M1414" i="8" s="1"/>
  <c r="K1396" i="8"/>
  <c r="M1396" i="8" s="1"/>
  <c r="K1391" i="8"/>
  <c r="M1391" i="8" s="1"/>
  <c r="K1387" i="8"/>
  <c r="M1387" i="8" s="1"/>
  <c r="K1375" i="8"/>
  <c r="M1375" i="8" s="1"/>
  <c r="K1371" i="8"/>
  <c r="M1371" i="8" s="1"/>
  <c r="K1369" i="8"/>
  <c r="M1369" i="8" s="1"/>
  <c r="K1365" i="8"/>
  <c r="M1365" i="8" s="1"/>
  <c r="K1348" i="8"/>
  <c r="M1348" i="8" s="1"/>
  <c r="K1334" i="8"/>
  <c r="M1334" i="8" s="1"/>
  <c r="K2043" i="8"/>
  <c r="M2043" i="8" s="1"/>
  <c r="K2269" i="8"/>
  <c r="M2269" i="8" s="1"/>
  <c r="K42" i="8"/>
  <c r="M42" i="8" s="1"/>
  <c r="K1328" i="8"/>
  <c r="M1328" i="8" s="1"/>
  <c r="K1311" i="8"/>
  <c r="M1311" i="8" s="1"/>
  <c r="K71" i="8"/>
  <c r="M71" i="8" s="1"/>
  <c r="K1306" i="8"/>
  <c r="M1306" i="8" s="1"/>
  <c r="K1291" i="8"/>
  <c r="M1291" i="8" s="1"/>
  <c r="K1283" i="8"/>
  <c r="M1283" i="8" s="1"/>
  <c r="K2113" i="8"/>
  <c r="M2113" i="8" s="1"/>
  <c r="K1258" i="8"/>
  <c r="M1258" i="8" s="1"/>
  <c r="K1252" i="8"/>
  <c r="M1252" i="8" s="1"/>
  <c r="K1245" i="8"/>
  <c r="M1245" i="8" s="1"/>
  <c r="K1234" i="8"/>
  <c r="M1234" i="8" s="1"/>
  <c r="K1223" i="8"/>
  <c r="M1223" i="8" s="1"/>
  <c r="K1207" i="8"/>
  <c r="M1207" i="8" s="1"/>
  <c r="K2109" i="8"/>
  <c r="M2109" i="8" s="1"/>
  <c r="K187" i="8"/>
  <c r="M187" i="8" s="1"/>
  <c r="K15" i="8"/>
  <c r="M15" i="8" s="1"/>
  <c r="K11" i="8"/>
  <c r="M11" i="8" s="1"/>
  <c r="K184" i="8"/>
  <c r="M184" i="8" s="1"/>
  <c r="K2008" i="8"/>
  <c r="M2008" i="8" s="1"/>
  <c r="K2004" i="8"/>
  <c r="M2004" i="8" s="1"/>
  <c r="K2040" i="8"/>
  <c r="M2040" i="8" s="1"/>
  <c r="K1182" i="8"/>
  <c r="M1182" i="8" s="1"/>
  <c r="K1177" i="8"/>
  <c r="M1177" i="8" s="1"/>
  <c r="K180" i="8"/>
  <c r="M180" i="8" s="1"/>
  <c r="K1165" i="8"/>
  <c r="M1165" i="8" s="1"/>
  <c r="K1155" i="8"/>
  <c r="M1155" i="8" s="1"/>
  <c r="K1146" i="8"/>
  <c r="M1146" i="8" s="1"/>
  <c r="K1140" i="8"/>
  <c r="M1140" i="8" s="1"/>
  <c r="K1134" i="8"/>
  <c r="M1134" i="8" s="1"/>
  <c r="K1127" i="8"/>
  <c r="M1127" i="8" s="1"/>
  <c r="K1119" i="8"/>
  <c r="M1119" i="8" s="1"/>
  <c r="K1113" i="8"/>
  <c r="M1113" i="8" s="1"/>
  <c r="K1108" i="8"/>
  <c r="M1108" i="8" s="1"/>
  <c r="K1101" i="8"/>
  <c r="M1101" i="8" s="1"/>
  <c r="K67" i="8"/>
  <c r="M67" i="8" s="1"/>
  <c r="K1095" i="8"/>
  <c r="M1095" i="8" s="1"/>
  <c r="K1092" i="8"/>
  <c r="M1092" i="8" s="1"/>
  <c r="K2262" i="8"/>
  <c r="M2262" i="8" s="1"/>
  <c r="K1080" i="8"/>
  <c r="M1080" i="8" s="1"/>
  <c r="K1074" i="8"/>
  <c r="M1074" i="8" s="1"/>
  <c r="K37" i="8"/>
  <c r="M37" i="8" s="1"/>
  <c r="K1065" i="8"/>
  <c r="M1065" i="8" s="1"/>
  <c r="K1059" i="8"/>
  <c r="M1059" i="8" s="1"/>
  <c r="K1055" i="8"/>
  <c r="M1055" i="8" s="1"/>
  <c r="K1049" i="8"/>
  <c r="M1049" i="8" s="1"/>
  <c r="K1032" i="8"/>
  <c r="M1032" i="8" s="1"/>
  <c r="K2258" i="8"/>
  <c r="M2258" i="8" s="1"/>
  <c r="K1024" i="8"/>
  <c r="M1024" i="8" s="1"/>
  <c r="K1017" i="8"/>
  <c r="M1017" i="8" s="1"/>
  <c r="K1009" i="8"/>
  <c r="M1009" i="8" s="1"/>
  <c r="K1001" i="8"/>
  <c r="M1001" i="8" s="1"/>
  <c r="K2106" i="8"/>
  <c r="M2106" i="8" s="1"/>
  <c r="K992" i="8"/>
  <c r="M992" i="8" s="1"/>
  <c r="K982" i="8"/>
  <c r="M982" i="8" s="1"/>
  <c r="K978" i="8"/>
  <c r="M978" i="8" s="1"/>
  <c r="K974" i="8"/>
  <c r="M974" i="8" s="1"/>
  <c r="K963" i="8"/>
  <c r="M963" i="8" s="1"/>
  <c r="K952" i="8"/>
  <c r="M952" i="8" s="1"/>
  <c r="K130" i="8"/>
  <c r="M130" i="8" s="1"/>
  <c r="J130" i="8"/>
  <c r="L130" i="8" s="1"/>
  <c r="N130" i="8" s="1"/>
  <c r="J606" i="8"/>
  <c r="L606" i="8" s="1"/>
  <c r="N606" i="8" s="1"/>
  <c r="K606" i="8"/>
  <c r="M606" i="8" s="1"/>
  <c r="J948" i="8"/>
  <c r="L948" i="8" s="1"/>
  <c r="N948" i="8" s="1"/>
  <c r="K948" i="8"/>
  <c r="M948" i="8" s="1"/>
  <c r="K519" i="8"/>
  <c r="M519" i="8" s="1"/>
  <c r="J519" i="8"/>
  <c r="L519" i="8" s="1"/>
  <c r="N519" i="8" s="1"/>
  <c r="J753" i="8"/>
  <c r="L753" i="8" s="1"/>
  <c r="N753" i="8" s="1"/>
  <c r="K753" i="8"/>
  <c r="M753" i="8" s="1"/>
  <c r="K182" i="8"/>
  <c r="M182" i="8" s="1"/>
  <c r="J182" i="8"/>
  <c r="L182" i="8" s="1"/>
  <c r="N182" i="8" s="1"/>
  <c r="J1919" i="8"/>
  <c r="L1919" i="8" s="1"/>
  <c r="N1919" i="8" s="1"/>
  <c r="J2294" i="8"/>
  <c r="L2294" i="8" s="1"/>
  <c r="N2294" i="8" s="1"/>
  <c r="K1983" i="8"/>
  <c r="M1983" i="8" s="1"/>
  <c r="K1977" i="8"/>
  <c r="M1977" i="8" s="1"/>
  <c r="K88" i="8"/>
  <c r="M88" i="8" s="1"/>
  <c r="K2034" i="8"/>
  <c r="M2034" i="8" s="1"/>
  <c r="K1961" i="8"/>
  <c r="M1961" i="8" s="1"/>
  <c r="K1957" i="8"/>
  <c r="M1957" i="8" s="1"/>
  <c r="K1949" i="8"/>
  <c r="M1949" i="8" s="1"/>
  <c r="K1943" i="8"/>
  <c r="M1943" i="8" s="1"/>
  <c r="K275" i="8"/>
  <c r="M275" i="8" s="1"/>
  <c r="K273" i="8"/>
  <c r="M273" i="8" s="1"/>
  <c r="K1933" i="8"/>
  <c r="M1933" i="8" s="1"/>
  <c r="K1928" i="8"/>
  <c r="M1928" i="8" s="1"/>
  <c r="K2134" i="8"/>
  <c r="M2134" i="8" s="1"/>
  <c r="K1921" i="8"/>
  <c r="M1921" i="8" s="1"/>
  <c r="K1916" i="8"/>
  <c r="M1916" i="8" s="1"/>
  <c r="K1912" i="8"/>
  <c r="M1912" i="8" s="1"/>
  <c r="K1906" i="8"/>
  <c r="M1906" i="8" s="1"/>
  <c r="K2131" i="8"/>
  <c r="M2131" i="8" s="1"/>
  <c r="K1900" i="8"/>
  <c r="M1900" i="8" s="1"/>
  <c r="K1894" i="8"/>
  <c r="M1894" i="8" s="1"/>
  <c r="K1889" i="8"/>
  <c r="M1889" i="8" s="1"/>
  <c r="K1880" i="8"/>
  <c r="M1880" i="8" s="1"/>
  <c r="K1875" i="8"/>
  <c r="M1875" i="8" s="1"/>
  <c r="K1873" i="8"/>
  <c r="M1873" i="8" s="1"/>
  <c r="K43" i="8"/>
  <c r="M43" i="8" s="1"/>
  <c r="K2029" i="8"/>
  <c r="M2029" i="8" s="1"/>
  <c r="K1867" i="8"/>
  <c r="M1867" i="8" s="1"/>
  <c r="K1864" i="8"/>
  <c r="M1864" i="8" s="1"/>
  <c r="K1859" i="8"/>
  <c r="M1859" i="8" s="1"/>
  <c r="K263" i="8"/>
  <c r="M263" i="8" s="1"/>
  <c r="K1850" i="8"/>
  <c r="M1850" i="8" s="1"/>
  <c r="K2300" i="8"/>
  <c r="M2300" i="8" s="1"/>
  <c r="K1842" i="8"/>
  <c r="M1842" i="8" s="1"/>
  <c r="K1836" i="8"/>
  <c r="M1836" i="8" s="1"/>
  <c r="K1832" i="8"/>
  <c r="M1832" i="8" s="1"/>
  <c r="K1825" i="8"/>
  <c r="M1825" i="8" s="1"/>
  <c r="K1819" i="8"/>
  <c r="M1819" i="8" s="1"/>
  <c r="K1811" i="8"/>
  <c r="M1811" i="8" s="1"/>
  <c r="K1805" i="8"/>
  <c r="M1805" i="8" s="1"/>
  <c r="K1797" i="8"/>
  <c r="M1797" i="8" s="1"/>
  <c r="K1790" i="8"/>
  <c r="M1790" i="8" s="1"/>
  <c r="K1781" i="8"/>
  <c r="M1781" i="8" s="1"/>
  <c r="K2297" i="8"/>
  <c r="M2297" i="8" s="1"/>
  <c r="K1773" i="8"/>
  <c r="M1773" i="8" s="1"/>
  <c r="K258" i="8"/>
  <c r="M258" i="8" s="1"/>
  <c r="K2295" i="8"/>
  <c r="M2295" i="8" s="1"/>
  <c r="K1762" i="8"/>
  <c r="M1762" i="8" s="1"/>
  <c r="K1755" i="8"/>
  <c r="M1755" i="8" s="1"/>
  <c r="K1744" i="8"/>
  <c r="M1744" i="8" s="1"/>
  <c r="K1736" i="8"/>
  <c r="M1736" i="8" s="1"/>
  <c r="K1733" i="8"/>
  <c r="M1733" i="8" s="1"/>
  <c r="K247" i="8"/>
  <c r="M247" i="8" s="1"/>
  <c r="K1728" i="8"/>
  <c r="M1728" i="8" s="1"/>
  <c r="K1722" i="8"/>
  <c r="M1722" i="8" s="1"/>
  <c r="K243" i="8"/>
  <c r="M243" i="8" s="1"/>
  <c r="K1710" i="8"/>
  <c r="M1710" i="8" s="1"/>
  <c r="K240" i="8"/>
  <c r="M240" i="8" s="1"/>
  <c r="K1702" i="8"/>
  <c r="M1702" i="8" s="1"/>
  <c r="K1689" i="8"/>
  <c r="M1689" i="8" s="1"/>
  <c r="K1685" i="8"/>
  <c r="M1685" i="8" s="1"/>
  <c r="K1675" i="8"/>
  <c r="M1675" i="8" s="1"/>
  <c r="K2124" i="8"/>
  <c r="M2124" i="8" s="1"/>
  <c r="K1669" i="8"/>
  <c r="M1669" i="8" s="1"/>
  <c r="K1650" i="8"/>
  <c r="M1650" i="8" s="1"/>
  <c r="K1639" i="8"/>
  <c r="M1639" i="8" s="1"/>
  <c r="K1627" i="8"/>
  <c r="M1627" i="8" s="1"/>
  <c r="K2119" i="8"/>
  <c r="M2119" i="8" s="1"/>
  <c r="K1616" i="8"/>
  <c r="M1616" i="8" s="1"/>
  <c r="K1610" i="8"/>
  <c r="M1610" i="8" s="1"/>
  <c r="K1597" i="8"/>
  <c r="M1597" i="8" s="1"/>
  <c r="K1582" i="8"/>
  <c r="M1582" i="8" s="1"/>
  <c r="K1575" i="8"/>
  <c r="M1575" i="8" s="1"/>
  <c r="K2281" i="8"/>
  <c r="M2281" i="8" s="1"/>
  <c r="K1554" i="8"/>
  <c r="M1554" i="8" s="1"/>
  <c r="K1552" i="8"/>
  <c r="M1552" i="8" s="1"/>
  <c r="K1545" i="8"/>
  <c r="M1545" i="8" s="1"/>
  <c r="K1540" i="8"/>
  <c r="M1540" i="8" s="1"/>
  <c r="K1535" i="8"/>
  <c r="M1535" i="8" s="1"/>
  <c r="K1525" i="8"/>
  <c r="M1525" i="8" s="1"/>
  <c r="K1516" i="8"/>
  <c r="M1516" i="8" s="1"/>
  <c r="K1508" i="8"/>
  <c r="M1508" i="8" s="1"/>
  <c r="K2276" i="8"/>
  <c r="M2276" i="8" s="1"/>
  <c r="K1490" i="8"/>
  <c r="M1490" i="8" s="1"/>
  <c r="K2049" i="8"/>
  <c r="M2049" i="8" s="1"/>
  <c r="K221" i="8"/>
  <c r="M221" i="8" s="1"/>
  <c r="K1485" i="8"/>
  <c r="M1485" i="8" s="1"/>
  <c r="K1475" i="8"/>
  <c r="M1475" i="8" s="1"/>
  <c r="K1470" i="8"/>
  <c r="M1470" i="8" s="1"/>
  <c r="K1466" i="8"/>
  <c r="M1466" i="8" s="1"/>
  <c r="K1460" i="8"/>
  <c r="M1460" i="8" s="1"/>
  <c r="K1452" i="8"/>
  <c r="M1452" i="8" s="1"/>
  <c r="K219" i="8"/>
  <c r="M219" i="8" s="1"/>
  <c r="K1435" i="8"/>
  <c r="M1435" i="8" s="1"/>
  <c r="K2046" i="8"/>
  <c r="M2046" i="8" s="1"/>
  <c r="K1415" i="8"/>
  <c r="M1415" i="8" s="1"/>
  <c r="K1398" i="8"/>
  <c r="M1398" i="8" s="1"/>
  <c r="K1392" i="8"/>
  <c r="M1392" i="8" s="1"/>
  <c r="K1388" i="8"/>
  <c r="M1388" i="8" s="1"/>
  <c r="K1378" i="8"/>
  <c r="M1378" i="8" s="1"/>
  <c r="K1372" i="8"/>
  <c r="M1372" i="8" s="1"/>
  <c r="K1370" i="8"/>
  <c r="M1370" i="8" s="1"/>
  <c r="K1366" i="8"/>
  <c r="M1366" i="8" s="1"/>
  <c r="K1349" i="8"/>
  <c r="M1349" i="8" s="1"/>
  <c r="K1340" i="8"/>
  <c r="M1340" i="8" s="1"/>
  <c r="K1333" i="8"/>
  <c r="M1333" i="8" s="1"/>
  <c r="K1331" i="8"/>
  <c r="M1331" i="8" s="1"/>
  <c r="K1330" i="8"/>
  <c r="M1330" i="8" s="1"/>
  <c r="K39" i="8"/>
  <c r="M39" i="8" s="1"/>
  <c r="K1315" i="8"/>
  <c r="M1315" i="8" s="1"/>
  <c r="K72" i="8"/>
  <c r="M72" i="8" s="1"/>
  <c r="K1307" i="8"/>
  <c r="M1307" i="8" s="1"/>
  <c r="K2267" i="8"/>
  <c r="M2267" i="8" s="1"/>
  <c r="K1284" i="8"/>
  <c r="M1284" i="8" s="1"/>
  <c r="K2114" i="8"/>
  <c r="M2114" i="8" s="1"/>
  <c r="K1271" i="8"/>
  <c r="M1271" i="8" s="1"/>
  <c r="K1255" i="8"/>
  <c r="M1255" i="8" s="1"/>
  <c r="K1247" i="8"/>
  <c r="M1247" i="8" s="1"/>
  <c r="K1236" i="8"/>
  <c r="M1236" i="8" s="1"/>
  <c r="K1224" i="8"/>
  <c r="M1224" i="8" s="1"/>
  <c r="K1216" i="8"/>
  <c r="M1216" i="8" s="1"/>
  <c r="K2110" i="8"/>
  <c r="M2110" i="8" s="1"/>
  <c r="K188" i="8"/>
  <c r="M188" i="8" s="1"/>
  <c r="K16" i="8"/>
  <c r="M16" i="8" s="1"/>
  <c r="K12" i="8"/>
  <c r="M12" i="8" s="1"/>
  <c r="K1190" i="8"/>
  <c r="M1190" i="8" s="1"/>
  <c r="K2009" i="8"/>
  <c r="M2009" i="8" s="1"/>
  <c r="K2005" i="8"/>
  <c r="M2005" i="8" s="1"/>
  <c r="K1186" i="8"/>
  <c r="M1186" i="8" s="1"/>
  <c r="K1185" i="8"/>
  <c r="M1185" i="8" s="1"/>
  <c r="K1178" i="8"/>
  <c r="M1178" i="8" s="1"/>
  <c r="K1172" i="8"/>
  <c r="M1172" i="8" s="1"/>
  <c r="K1166" i="8"/>
  <c r="M1166" i="8" s="1"/>
  <c r="K1161" i="8"/>
  <c r="M1161" i="8" s="1"/>
  <c r="K1147" i="8"/>
  <c r="M1147" i="8" s="1"/>
  <c r="K1142" i="8"/>
  <c r="M1142" i="8" s="1"/>
  <c r="K1136" i="8"/>
  <c r="M1136" i="8" s="1"/>
  <c r="K1129" i="8"/>
  <c r="M1129" i="8" s="1"/>
  <c r="K2264" i="8"/>
  <c r="M2264" i="8" s="1"/>
  <c r="K1115" i="8"/>
  <c r="M1115" i="8" s="1"/>
  <c r="K1109" i="8"/>
  <c r="M1109" i="8" s="1"/>
  <c r="K1102" i="8"/>
  <c r="M1102" i="8" s="1"/>
  <c r="K1098" i="8"/>
  <c r="M1098" i="8" s="1"/>
  <c r="K1096" i="8"/>
  <c r="M1096" i="8" s="1"/>
  <c r="K1093" i="8"/>
  <c r="M1093" i="8" s="1"/>
  <c r="K2263" i="8"/>
  <c r="M2263" i="8" s="1"/>
  <c r="K1082" i="8"/>
  <c r="M1082" i="8" s="1"/>
  <c r="K1076" i="8"/>
  <c r="M1076" i="8" s="1"/>
  <c r="K38" i="8"/>
  <c r="M38" i="8" s="1"/>
  <c r="K1066" i="8"/>
  <c r="M1066" i="8" s="1"/>
  <c r="K1060" i="8"/>
  <c r="M1060" i="8" s="1"/>
  <c r="K1056" i="8"/>
  <c r="M1056" i="8" s="1"/>
  <c r="K1050" i="8"/>
  <c r="M1050" i="8" s="1"/>
  <c r="K1033" i="8"/>
  <c r="M1033" i="8" s="1"/>
  <c r="K1026" i="8"/>
  <c r="M1026" i="8" s="1"/>
  <c r="K1025" i="8"/>
  <c r="M1025" i="8" s="1"/>
  <c r="K1018" i="8"/>
  <c r="M1018" i="8" s="1"/>
  <c r="K1010" i="8"/>
  <c r="M1010" i="8" s="1"/>
  <c r="K1004" i="8"/>
  <c r="M1004" i="8" s="1"/>
  <c r="K2255" i="8"/>
  <c r="M2255" i="8" s="1"/>
  <c r="K994" i="8"/>
  <c r="M994" i="8" s="1"/>
  <c r="K983" i="8"/>
  <c r="M983" i="8" s="1"/>
  <c r="K979" i="8"/>
  <c r="M979" i="8" s="1"/>
  <c r="K2253" i="8"/>
  <c r="M2253" i="8" s="1"/>
  <c r="K970" i="8"/>
  <c r="M970" i="8" s="1"/>
  <c r="K959" i="8"/>
  <c r="M959" i="8" s="1"/>
  <c r="K926" i="8"/>
  <c r="M926" i="8" s="1"/>
  <c r="K921" i="8"/>
  <c r="M921" i="8" s="1"/>
  <c r="K911" i="8"/>
  <c r="M911" i="8" s="1"/>
  <c r="K906" i="8"/>
  <c r="M906" i="8" s="1"/>
  <c r="K903" i="8"/>
  <c r="M903" i="8" s="1"/>
  <c r="K891" i="8"/>
  <c r="M891" i="8" s="1"/>
  <c r="K886" i="8"/>
  <c r="M886" i="8" s="1"/>
  <c r="K878" i="8"/>
  <c r="M878" i="8" s="1"/>
  <c r="K873" i="8"/>
  <c r="M873" i="8" s="1"/>
  <c r="K868" i="8"/>
  <c r="M868" i="8" s="1"/>
  <c r="K7" i="8"/>
  <c r="M7" i="8" s="1"/>
  <c r="K3" i="8"/>
  <c r="M3" i="8" s="1"/>
  <c r="K162" i="8"/>
  <c r="M162" i="8" s="1"/>
  <c r="K2249" i="8"/>
  <c r="M2249" i="8" s="1"/>
  <c r="K61" i="8"/>
  <c r="M61" i="8" s="1"/>
  <c r="K853" i="8"/>
  <c r="M853" i="8" s="1"/>
  <c r="K851" i="8"/>
  <c r="M851" i="8" s="1"/>
  <c r="K2246" i="8"/>
  <c r="M2246" i="8" s="1"/>
  <c r="K1994" i="8"/>
  <c r="M1994" i="8" s="1"/>
  <c r="K1990" i="8"/>
  <c r="M1990" i="8" s="1"/>
  <c r="K1986" i="8"/>
  <c r="M1986" i="8" s="1"/>
  <c r="K34" i="8"/>
  <c r="M34" i="8" s="1"/>
  <c r="K842" i="8"/>
  <c r="M842" i="8" s="1"/>
  <c r="K2025" i="8"/>
  <c r="M2025" i="8" s="1"/>
  <c r="K839" i="8"/>
  <c r="M839" i="8" s="1"/>
  <c r="K834" i="8"/>
  <c r="M834" i="8" s="1"/>
  <c r="K829" i="8"/>
  <c r="M829" i="8" s="1"/>
  <c r="K826" i="8"/>
  <c r="M826" i="8" s="1"/>
  <c r="K821" i="8"/>
  <c r="M821" i="8" s="1"/>
  <c r="K2035" i="8"/>
  <c r="M2035" i="8" s="1"/>
  <c r="K156" i="8"/>
  <c r="M156" i="8" s="1"/>
  <c r="K809" i="8"/>
  <c r="M809" i="8" s="1"/>
  <c r="K2102" i="8"/>
  <c r="M2102" i="8" s="1"/>
  <c r="K801" i="8"/>
  <c r="M801" i="8" s="1"/>
  <c r="K785" i="8"/>
  <c r="M785" i="8" s="1"/>
  <c r="K777" i="8"/>
  <c r="M777" i="8" s="1"/>
  <c r="K770" i="8"/>
  <c r="M770" i="8" s="1"/>
  <c r="K150" i="8"/>
  <c r="M150" i="8" s="1"/>
  <c r="K55" i="8"/>
  <c r="M55" i="8" s="1"/>
  <c r="K762" i="8"/>
  <c r="M762" i="8" s="1"/>
  <c r="K600" i="8"/>
  <c r="M600" i="8" s="1"/>
  <c r="K790" i="8"/>
  <c r="M790" i="8" s="1"/>
  <c r="K1399" i="8"/>
  <c r="M1399" i="8" s="1"/>
  <c r="K643" i="8"/>
  <c r="M643" i="8" s="1"/>
  <c r="K77" i="8"/>
  <c r="M77" i="8" s="1"/>
  <c r="K1801" i="8"/>
  <c r="M1801" i="8" s="1"/>
  <c r="K976" i="8"/>
  <c r="M976" i="8" s="1"/>
  <c r="K1946" i="8"/>
  <c r="M1946" i="8" s="1"/>
  <c r="K789" i="8"/>
  <c r="M789" i="8" s="1"/>
  <c r="K835" i="8"/>
  <c r="M835" i="8" s="1"/>
  <c r="J835" i="8"/>
  <c r="L835" i="8" s="1"/>
  <c r="N835" i="8" s="1"/>
  <c r="K1203" i="8"/>
  <c r="M1203" i="8" s="1"/>
  <c r="J1203" i="8"/>
  <c r="L1203" i="8" s="1"/>
  <c r="N1203" i="8" s="1"/>
  <c r="K2149" i="8"/>
  <c r="M2149" i="8" s="1"/>
  <c r="J2149" i="8"/>
  <c r="L2149" i="8" s="1"/>
  <c r="N2149" i="8" s="1"/>
  <c r="K750" i="8"/>
  <c r="M750" i="8" s="1"/>
  <c r="K744" i="8"/>
  <c r="M744" i="8" s="1"/>
  <c r="K735" i="8"/>
  <c r="M735" i="8" s="1"/>
  <c r="K2095" i="8"/>
  <c r="M2095" i="8" s="1"/>
  <c r="K710" i="8"/>
  <c r="M710" i="8" s="1"/>
  <c r="K705" i="8"/>
  <c r="M705" i="8" s="1"/>
  <c r="K702" i="8"/>
  <c r="M702" i="8" s="1"/>
  <c r="K683" i="8"/>
  <c r="M683" i="8" s="1"/>
  <c r="K678" i="8"/>
  <c r="M678" i="8" s="1"/>
  <c r="K671" i="8"/>
  <c r="M671" i="8" s="1"/>
  <c r="K664" i="8"/>
  <c r="M664" i="8" s="1"/>
  <c r="K2093" i="8"/>
  <c r="M2093" i="8" s="1"/>
  <c r="K648" i="8"/>
  <c r="M648" i="8" s="1"/>
  <c r="K637" i="8"/>
  <c r="M637" i="8" s="1"/>
  <c r="K629" i="8"/>
  <c r="M629" i="8" s="1"/>
  <c r="K625" i="8"/>
  <c r="M625" i="8" s="1"/>
  <c r="K614" i="8"/>
  <c r="M614" i="8" s="1"/>
  <c r="K596" i="8"/>
  <c r="M596" i="8" s="1"/>
  <c r="K587" i="8"/>
  <c r="M587" i="8" s="1"/>
  <c r="K573" i="8"/>
  <c r="M573" i="8" s="1"/>
  <c r="K560" i="8"/>
  <c r="M560" i="8" s="1"/>
  <c r="K2087" i="8"/>
  <c r="M2087" i="8" s="1"/>
  <c r="K551" i="8"/>
  <c r="M551" i="8" s="1"/>
  <c r="K2237" i="8"/>
  <c r="M2237" i="8" s="1"/>
  <c r="K134" i="8"/>
  <c r="M134" i="8" s="1"/>
  <c r="K541" i="8"/>
  <c r="M541" i="8" s="1"/>
  <c r="K2232" i="8"/>
  <c r="M2232" i="8" s="1"/>
  <c r="K537" i="8"/>
  <c r="M537" i="8" s="1"/>
  <c r="K2226" i="8"/>
  <c r="M2226" i="8" s="1"/>
  <c r="K2001" i="8"/>
  <c r="M2001" i="8" s="1"/>
  <c r="K1997" i="8"/>
  <c r="M1997" i="8" s="1"/>
  <c r="K536" i="8"/>
  <c r="M536" i="8" s="1"/>
  <c r="K2220" i="8"/>
  <c r="M2220" i="8" s="1"/>
  <c r="K2217" i="8"/>
  <c r="M2217" i="8" s="1"/>
  <c r="K2208" i="8"/>
  <c r="M2208" i="8" s="1"/>
  <c r="K51" i="8"/>
  <c r="M51" i="8" s="1"/>
  <c r="K131" i="8"/>
  <c r="M131" i="8" s="1"/>
  <c r="K2203" i="8"/>
  <c r="M2203" i="8" s="1"/>
  <c r="K513" i="8"/>
  <c r="M513" i="8" s="1"/>
  <c r="K511" i="8"/>
  <c r="M511" i="8" s="1"/>
  <c r="K2076" i="8"/>
  <c r="M2076" i="8" s="1"/>
  <c r="K2196" i="8"/>
  <c r="M2196" i="8" s="1"/>
  <c r="K503" i="8"/>
  <c r="M503" i="8" s="1"/>
  <c r="K2191" i="8"/>
  <c r="M2191" i="8" s="1"/>
  <c r="K123" i="8"/>
  <c r="M123" i="8" s="1"/>
  <c r="K2189" i="8"/>
  <c r="M2189" i="8" s="1"/>
  <c r="K495" i="8"/>
  <c r="M495" i="8" s="1"/>
  <c r="K2069" i="8"/>
  <c r="M2069" i="8" s="1"/>
  <c r="K2067" i="8"/>
  <c r="M2067" i="8" s="1"/>
  <c r="K488" i="8"/>
  <c r="M488" i="8" s="1"/>
  <c r="K484" i="8"/>
  <c r="M484" i="8" s="1"/>
  <c r="K26" i="8"/>
  <c r="M26" i="8" s="1"/>
  <c r="K2177" i="8"/>
  <c r="M2177" i="8" s="1"/>
  <c r="K2174" i="8"/>
  <c r="M2174" i="8" s="1"/>
  <c r="K474" i="8"/>
  <c r="M474" i="8" s="1"/>
  <c r="K2066" i="8"/>
  <c r="M2066" i="8" s="1"/>
  <c r="K470" i="8"/>
  <c r="M470" i="8" s="1"/>
  <c r="K2161" i="8"/>
  <c r="M2161" i="8" s="1"/>
  <c r="K465" i="8"/>
  <c r="M465" i="8" s="1"/>
  <c r="K2156" i="8"/>
  <c r="M2156" i="8" s="1"/>
  <c r="K461" i="8"/>
  <c r="M461" i="8" s="1"/>
  <c r="K2062" i="8"/>
  <c r="M2062" i="8" s="1"/>
  <c r="K2060" i="8"/>
  <c r="M2060" i="8" s="1"/>
  <c r="K2147" i="8"/>
  <c r="M2147" i="8" s="1"/>
  <c r="K113" i="8"/>
  <c r="M113" i="8" s="1"/>
  <c r="K428" i="8"/>
  <c r="M428" i="8" s="1"/>
  <c r="K112" i="8"/>
  <c r="M112" i="8" s="1"/>
  <c r="K420" i="8"/>
  <c r="M420" i="8" s="1"/>
  <c r="K110" i="8"/>
  <c r="M110" i="8" s="1"/>
  <c r="K106" i="8"/>
  <c r="M106" i="8" s="1"/>
  <c r="K388" i="8"/>
  <c r="M388" i="8" s="1"/>
  <c r="K384" i="8"/>
  <c r="M384" i="8" s="1"/>
  <c r="K103" i="8"/>
  <c r="M103" i="8" s="1"/>
  <c r="K374" i="8"/>
  <c r="M374" i="8" s="1"/>
  <c r="K366" i="8"/>
  <c r="M366" i="8" s="1"/>
  <c r="K361" i="8"/>
  <c r="M361" i="8" s="1"/>
  <c r="K356" i="8"/>
  <c r="M356" i="8" s="1"/>
  <c r="K100" i="8"/>
  <c r="M100" i="8" s="1"/>
  <c r="K343" i="8"/>
  <c r="M343" i="8" s="1"/>
  <c r="K340" i="8"/>
  <c r="M340" i="8" s="1"/>
  <c r="K333" i="8"/>
  <c r="M333" i="8" s="1"/>
  <c r="K326" i="8"/>
  <c r="M326" i="8" s="1"/>
  <c r="K319" i="8"/>
  <c r="M319" i="8" s="1"/>
  <c r="K314" i="8"/>
  <c r="M314" i="8" s="1"/>
  <c r="K309" i="8"/>
  <c r="M309" i="8" s="1"/>
  <c r="K304" i="8"/>
  <c r="M304" i="8" s="1"/>
  <c r="K298" i="8"/>
  <c r="M298" i="8" s="1"/>
  <c r="K289" i="8"/>
  <c r="M289" i="8" s="1"/>
  <c r="K282" i="8"/>
  <c r="M282" i="8" s="1"/>
  <c r="K1824" i="8"/>
  <c r="M1824" i="8" s="1"/>
  <c r="K1784" i="8"/>
  <c r="M1784" i="8" s="1"/>
  <c r="K1633" i="8"/>
  <c r="M1633" i="8" s="1"/>
  <c r="K1465" i="8"/>
  <c r="M1465" i="8" s="1"/>
  <c r="K1343" i="8"/>
  <c r="M1343" i="8" s="1"/>
  <c r="K1253" i="8"/>
  <c r="M1253" i="8" s="1"/>
  <c r="K1206" i="8"/>
  <c r="M1206" i="8" s="1"/>
  <c r="K1125" i="8"/>
  <c r="M1125" i="8" s="1"/>
  <c r="K1104" i="8"/>
  <c r="M1104" i="8" s="1"/>
  <c r="K999" i="8"/>
  <c r="M999" i="8" s="1"/>
  <c r="K64" i="8"/>
  <c r="M64" i="8" s="1"/>
  <c r="K158" i="8"/>
  <c r="M158" i="8" s="1"/>
  <c r="K154" i="8"/>
  <c r="M154" i="8" s="1"/>
  <c r="K779" i="8"/>
  <c r="M779" i="8" s="1"/>
  <c r="K666" i="8"/>
  <c r="M666" i="8" s="1"/>
  <c r="K137" i="8"/>
  <c r="M137" i="8" s="1"/>
  <c r="K590" i="8"/>
  <c r="M590" i="8" s="1"/>
  <c r="K371" i="8"/>
  <c r="M371" i="8" s="1"/>
  <c r="K332" i="8"/>
  <c r="M332" i="8" s="1"/>
  <c r="K2081" i="8"/>
  <c r="M2081" i="8" s="1"/>
  <c r="K2137" i="8"/>
  <c r="M2137" i="8" s="1"/>
  <c r="K308" i="8"/>
  <c r="M308" i="8" s="1"/>
  <c r="K312" i="8"/>
  <c r="M312" i="8" s="1"/>
  <c r="K327" i="8"/>
  <c r="M327" i="8" s="1"/>
  <c r="K101" i="8"/>
  <c r="M101" i="8" s="1"/>
  <c r="K352" i="8"/>
  <c r="M352" i="8" s="1"/>
  <c r="K378" i="8"/>
  <c r="M378" i="8" s="1"/>
  <c r="K393" i="8"/>
  <c r="M393" i="8" s="1"/>
  <c r="K404" i="8"/>
  <c r="M404" i="8" s="1"/>
  <c r="K417" i="8"/>
  <c r="M417" i="8" s="1"/>
  <c r="K447" i="8"/>
  <c r="M447" i="8" s="1"/>
  <c r="K439" i="8"/>
  <c r="M439" i="8" s="1"/>
  <c r="K432" i="8"/>
  <c r="M432" i="8" s="1"/>
  <c r="J2150" i="8"/>
  <c r="L2150" i="8" s="1"/>
  <c r="N2150" i="8" s="1"/>
  <c r="K2169" i="8"/>
  <c r="M2169" i="8" s="1"/>
  <c r="K48" i="8"/>
  <c r="M48" i="8" s="1"/>
  <c r="K457" i="8"/>
  <c r="M457" i="8" s="1"/>
  <c r="K482" i="8"/>
  <c r="M482" i="8" s="1"/>
  <c r="K117" i="8"/>
  <c r="M117" i="8" s="1"/>
  <c r="K2194" i="8"/>
  <c r="M2194" i="8" s="1"/>
  <c r="J364" i="8"/>
  <c r="L364" i="8" s="1"/>
  <c r="N364" i="8" s="1"/>
  <c r="K2221" i="8"/>
  <c r="M2221" i="8" s="1"/>
  <c r="K527" i="8"/>
  <c r="M527" i="8" s="1"/>
  <c r="K524" i="8"/>
  <c r="M524" i="8" s="1"/>
  <c r="J547" i="8"/>
  <c r="L547" i="8" s="1"/>
  <c r="N547" i="8" s="1"/>
  <c r="K2239" i="8"/>
  <c r="M2239" i="8" s="1"/>
  <c r="K578" i="8"/>
  <c r="M578" i="8" s="1"/>
  <c r="K593" i="8"/>
  <c r="M593" i="8" s="1"/>
  <c r="K622" i="8"/>
  <c r="M622" i="8" s="1"/>
  <c r="K611" i="8"/>
  <c r="M611" i="8" s="1"/>
  <c r="K635" i="8"/>
  <c r="M635" i="8" s="1"/>
  <c r="K669" i="8"/>
  <c r="M669" i="8" s="1"/>
  <c r="K2016" i="8"/>
  <c r="M2016" i="8" s="1"/>
  <c r="K2012" i="8"/>
  <c r="M2012" i="8" s="1"/>
  <c r="K686" i="8"/>
  <c r="M686" i="8" s="1"/>
  <c r="K21" i="8"/>
  <c r="M21" i="8" s="1"/>
  <c r="K711" i="8"/>
  <c r="M711" i="8" s="1"/>
  <c r="K699" i="8"/>
  <c r="M699" i="8" s="1"/>
  <c r="K730" i="8"/>
  <c r="M730" i="8" s="1"/>
  <c r="K728" i="8"/>
  <c r="M728" i="8" s="1"/>
  <c r="K732" i="8"/>
  <c r="M732" i="8" s="1"/>
  <c r="J790" i="8"/>
  <c r="L790" i="8" s="1"/>
  <c r="N790" i="8" s="1"/>
  <c r="K811" i="8"/>
  <c r="M811" i="8" s="1"/>
  <c r="K798" i="8"/>
  <c r="M798" i="8" s="1"/>
  <c r="K843" i="8"/>
  <c r="M843" i="8" s="1"/>
  <c r="K914" i="8"/>
  <c r="M914" i="8" s="1"/>
  <c r="K894" i="8"/>
  <c r="M894" i="8" s="1"/>
  <c r="K953" i="8"/>
  <c r="M953" i="8" s="1"/>
  <c r="K929" i="8"/>
  <c r="M929" i="8" s="1"/>
  <c r="K2104" i="8"/>
  <c r="M2104" i="8" s="1"/>
  <c r="K964" i="8"/>
  <c r="M964" i="8" s="1"/>
  <c r="K988" i="8"/>
  <c r="M988" i="8" s="1"/>
  <c r="K975" i="8"/>
  <c r="M975" i="8" s="1"/>
  <c r="K1028" i="8"/>
  <c r="M1028" i="8" s="1"/>
  <c r="K1048" i="8"/>
  <c r="M1048" i="8" s="1"/>
  <c r="K1041" i="8"/>
  <c r="M1041" i="8" s="1"/>
  <c r="K1071" i="8"/>
  <c r="M1071" i="8" s="1"/>
  <c r="K1117" i="8"/>
  <c r="M1117" i="8" s="1"/>
  <c r="K1086" i="8"/>
  <c r="M1086" i="8" s="1"/>
  <c r="K1148" i="8"/>
  <c r="M1148" i="8" s="1"/>
  <c r="K185" i="8"/>
  <c r="M185" i="8" s="1"/>
  <c r="K1173" i="8"/>
  <c r="M1173" i="8" s="1"/>
  <c r="K190" i="8"/>
  <c r="M190" i="8" s="1"/>
  <c r="K1219" i="8"/>
  <c r="M1219" i="8" s="1"/>
  <c r="K2112" i="8"/>
  <c r="M2112" i="8" s="1"/>
  <c r="K194" i="8"/>
  <c r="M194" i="8" s="1"/>
  <c r="K192" i="8"/>
  <c r="M192" i="8" s="1"/>
  <c r="K1302" i="8"/>
  <c r="M1302" i="8" s="1"/>
  <c r="K1296" i="8"/>
  <c r="M1296" i="8" s="1"/>
  <c r="K1274" i="8"/>
  <c r="M1274" i="8" s="1"/>
  <c r="K1354" i="8"/>
  <c r="M1354" i="8" s="1"/>
  <c r="K1344" i="8"/>
  <c r="M1344" i="8" s="1"/>
  <c r="K1317" i="8"/>
  <c r="M1317" i="8" s="1"/>
  <c r="K1379" i="8"/>
  <c r="M1379" i="8" s="1"/>
  <c r="K1360" i="8"/>
  <c r="M1360" i="8" s="1"/>
  <c r="J76" i="8"/>
  <c r="L76" i="8" s="1"/>
  <c r="N76" i="8" s="1"/>
  <c r="K76" i="8"/>
  <c r="M76" i="8" s="1"/>
  <c r="K210" i="8"/>
  <c r="M210" i="8" s="1"/>
  <c r="K1412" i="8"/>
  <c r="M1412" i="8" s="1"/>
  <c r="K215" i="8"/>
  <c r="M215" i="8" s="1"/>
  <c r="K1438" i="8"/>
  <c r="M1438" i="8" s="1"/>
  <c r="K224" i="8"/>
  <c r="M224" i="8" s="1"/>
  <c r="K1459" i="8"/>
  <c r="M1459" i="8" s="1"/>
  <c r="K1532" i="8"/>
  <c r="M1532" i="8" s="1"/>
  <c r="K1523" i="8"/>
  <c r="M1523" i="8" s="1"/>
  <c r="K1503" i="8"/>
  <c r="M1503" i="8" s="1"/>
  <c r="K1601" i="8"/>
  <c r="M1601" i="8" s="1"/>
  <c r="K1589" i="8"/>
  <c r="M1589" i="8" s="1"/>
  <c r="K1577" i="8"/>
  <c r="M1577" i="8" s="1"/>
  <c r="K1570" i="8"/>
  <c r="M1570" i="8" s="1"/>
  <c r="K1651" i="8"/>
  <c r="M1651" i="8" s="1"/>
  <c r="K1634" i="8"/>
  <c r="M1634" i="8" s="1"/>
  <c r="K1620" i="8"/>
  <c r="M1620" i="8" s="1"/>
  <c r="K85" i="8"/>
  <c r="M85" i="8" s="1"/>
  <c r="K1729" i="8"/>
  <c r="M1729" i="8" s="1"/>
  <c r="J1676" i="8"/>
  <c r="L1676" i="8" s="1"/>
  <c r="N1676" i="8" s="1"/>
  <c r="K1676" i="8"/>
  <c r="M1676" i="8" s="1"/>
  <c r="K1753" i="8"/>
  <c r="M1753" i="8" s="1"/>
  <c r="K1741" i="8"/>
  <c r="M1741" i="8" s="1"/>
  <c r="K1739" i="8"/>
  <c r="M1739" i="8" s="1"/>
  <c r="K1800" i="8"/>
  <c r="M1800" i="8" s="1"/>
  <c r="K1769" i="8"/>
  <c r="M1769" i="8" s="1"/>
  <c r="K1763" i="8"/>
  <c r="M1763" i="8" s="1"/>
  <c r="K1831" i="8"/>
  <c r="M1831" i="8" s="1"/>
  <c r="K1839" i="8"/>
  <c r="M1839" i="8" s="1"/>
  <c r="K277" i="8"/>
  <c r="M277" i="8" s="1"/>
  <c r="K1899" i="8"/>
  <c r="M1899" i="8" s="1"/>
  <c r="K367" i="8"/>
  <c r="M367" i="8" s="1"/>
  <c r="K324" i="8"/>
  <c r="M324" i="8" s="1"/>
  <c r="K292" i="8"/>
  <c r="M292" i="8" s="1"/>
  <c r="K413" i="8"/>
  <c r="M413" i="8" s="1"/>
  <c r="K449" i="8"/>
  <c r="M449" i="8" s="1"/>
  <c r="K463" i="8"/>
  <c r="M463" i="8" s="1"/>
  <c r="K2229" i="8"/>
  <c r="M2229" i="8" s="1"/>
  <c r="K2216" i="8"/>
  <c r="M2216" i="8" s="1"/>
  <c r="K2091" i="8"/>
  <c r="M2091" i="8" s="1"/>
  <c r="K608" i="8"/>
  <c r="M608" i="8" s="1"/>
  <c r="K726" i="8"/>
  <c r="M726" i="8" s="1"/>
  <c r="K2100" i="8"/>
  <c r="M2100" i="8" s="1"/>
  <c r="K937" i="8"/>
  <c r="M937" i="8" s="1"/>
  <c r="K989" i="8"/>
  <c r="M989" i="8" s="1"/>
  <c r="K1052" i="8"/>
  <c r="M1052" i="8" s="1"/>
  <c r="K1265" i="8"/>
  <c r="M1265" i="8" s="1"/>
  <c r="K1239" i="8"/>
  <c r="M1239" i="8" s="1"/>
  <c r="J1339" i="8"/>
  <c r="L1339" i="8" s="1"/>
  <c r="N1339" i="8" s="1"/>
  <c r="K1339" i="8"/>
  <c r="M1339" i="8" s="1"/>
  <c r="K1335" i="8"/>
  <c r="M1335" i="8" s="1"/>
  <c r="K1297" i="8"/>
  <c r="M1297" i="8" s="1"/>
  <c r="K1408" i="8"/>
  <c r="M1408" i="8" s="1"/>
  <c r="K1443" i="8"/>
  <c r="M1443" i="8" s="1"/>
  <c r="K226" i="8"/>
  <c r="M226" i="8" s="1"/>
  <c r="K1483" i="8"/>
  <c r="M1483" i="8" s="1"/>
  <c r="K1560" i="8"/>
  <c r="M1560" i="8" s="1"/>
  <c r="K1538" i="8"/>
  <c r="M1538" i="8" s="1"/>
  <c r="K1526" i="8"/>
  <c r="M1526" i="8" s="1"/>
  <c r="K2117" i="8"/>
  <c r="M2117" i="8" s="1"/>
  <c r="K1573" i="8"/>
  <c r="M1573" i="8" s="1"/>
  <c r="K1622" i="8"/>
  <c r="M1622" i="8" s="1"/>
  <c r="K1605" i="8"/>
  <c r="M1605" i="8" s="1"/>
  <c r="K1594" i="8"/>
  <c r="M1594" i="8" s="1"/>
  <c r="K1680" i="8"/>
  <c r="M1680" i="8" s="1"/>
  <c r="K1662" i="8"/>
  <c r="M1662" i="8" s="1"/>
  <c r="K1643" i="8"/>
  <c r="M1643" i="8" s="1"/>
  <c r="K2053" i="8"/>
  <c r="M2053" i="8" s="1"/>
  <c r="K1725" i="8"/>
  <c r="M1725" i="8" s="1"/>
  <c r="K1700" i="8"/>
  <c r="M1700" i="8" s="1"/>
  <c r="K2055" i="8"/>
  <c r="M2055" i="8" s="1"/>
  <c r="J1909" i="8"/>
  <c r="L1909" i="8" s="1"/>
  <c r="N1909" i="8" s="1"/>
  <c r="K1909" i="8"/>
  <c r="M1909" i="8" s="1"/>
  <c r="K1884" i="8"/>
  <c r="M1884" i="8" s="1"/>
  <c r="K1844" i="8"/>
  <c r="M1844" i="8" s="1"/>
  <c r="K742" i="8"/>
  <c r="M742" i="8" s="1"/>
  <c r="K410" i="8"/>
  <c r="M410" i="8" s="1"/>
  <c r="K1286" i="8"/>
  <c r="M1286" i="8" s="1"/>
  <c r="K1237" i="8"/>
  <c r="M1237" i="8" s="1"/>
  <c r="J1794" i="8"/>
  <c r="L1794" i="8" s="1"/>
  <c r="N1794" i="8" s="1"/>
  <c r="K1794" i="8"/>
  <c r="M1794" i="8" s="1"/>
  <c r="J1548" i="8"/>
  <c r="L1548" i="8" s="1"/>
  <c r="N1548" i="8" s="1"/>
  <c r="K917" i="8"/>
  <c r="M917" i="8" s="1"/>
  <c r="K745" i="8"/>
  <c r="M745" i="8" s="1"/>
  <c r="K651" i="8"/>
  <c r="M651" i="8" s="1"/>
  <c r="K553" i="8"/>
  <c r="M553" i="8" s="1"/>
  <c r="K889" i="8"/>
  <c r="M889" i="8" s="1"/>
  <c r="K1058" i="8"/>
  <c r="M1058" i="8" s="1"/>
  <c r="K1007" i="8"/>
  <c r="M1007" i="8" s="1"/>
  <c r="K950" i="8"/>
  <c r="M950" i="8" s="1"/>
  <c r="K1180" i="8"/>
  <c r="M1180" i="8" s="1"/>
  <c r="K1130" i="8"/>
  <c r="M1130" i="8" s="1"/>
  <c r="K1094" i="8"/>
  <c r="M1094" i="8" s="1"/>
  <c r="K1382" i="8"/>
  <c r="M1382" i="8" s="1"/>
  <c r="K1329" i="8"/>
  <c r="M1329" i="8" s="1"/>
  <c r="K1551" i="8"/>
  <c r="M1551" i="8" s="1"/>
  <c r="K1706" i="8"/>
  <c r="M1706" i="8" s="1"/>
  <c r="J1673" i="8"/>
  <c r="L1673" i="8" s="1"/>
  <c r="N1673" i="8" s="1"/>
  <c r="J1796" i="8"/>
  <c r="L1796" i="8" s="1"/>
  <c r="N1796" i="8" s="1"/>
  <c r="K1796" i="8"/>
  <c r="M1796" i="8" s="1"/>
  <c r="J1743" i="8"/>
  <c r="L1743" i="8" s="1"/>
  <c r="N1743" i="8" s="1"/>
  <c r="K1834" i="8"/>
  <c r="M1834" i="8" s="1"/>
  <c r="K406" i="8"/>
  <c r="M406" i="8" s="1"/>
  <c r="K689" i="8"/>
  <c r="M689" i="8" s="1"/>
  <c r="J580" i="8"/>
  <c r="L580" i="8" s="1"/>
  <c r="N580" i="8" s="1"/>
  <c r="K437" i="8"/>
  <c r="M437" i="8" s="1"/>
  <c r="K932" i="8"/>
  <c r="M932" i="8" s="1"/>
  <c r="K1157" i="8"/>
  <c r="M1157" i="8" s="1"/>
  <c r="K967" i="8"/>
  <c r="M967" i="8" s="1"/>
  <c r="J1322" i="8"/>
  <c r="L1322" i="8" s="1"/>
  <c r="N1322" i="8" s="1"/>
  <c r="K1266" i="8"/>
  <c r="M1266" i="8" s="1"/>
  <c r="K1569" i="8"/>
  <c r="M1569" i="8" s="1"/>
  <c r="K1495" i="8"/>
  <c r="M1495" i="8" s="1"/>
  <c r="K1423" i="8"/>
  <c r="M1423" i="8" s="1"/>
  <c r="K1752" i="8"/>
  <c r="M1752" i="8" s="1"/>
  <c r="K1602" i="8"/>
  <c r="M1602" i="8" s="1"/>
  <c r="K2250" i="8"/>
  <c r="M2250" i="8" s="1"/>
  <c r="K938" i="8"/>
  <c r="M938" i="8" s="1"/>
  <c r="K492" i="8"/>
  <c r="M492" i="8" s="1"/>
  <c r="K1407" i="8"/>
  <c r="M1407" i="8" s="1"/>
  <c r="K1636" i="8"/>
  <c r="M1636" i="8" s="1"/>
  <c r="K1963" i="8"/>
  <c r="M1963" i="8" s="1"/>
  <c r="J2172" i="8"/>
  <c r="L2172" i="8" s="1"/>
  <c r="N2172" i="8" s="1"/>
  <c r="K1342" i="8"/>
  <c r="M1342" i="8" s="1"/>
  <c r="K806" i="8"/>
  <c r="M806" i="8" s="1"/>
  <c r="K803" i="8"/>
  <c r="M803" i="8" s="1"/>
  <c r="K786" i="8"/>
  <c r="M786" i="8" s="1"/>
  <c r="K781" i="8"/>
  <c r="M781" i="8" s="1"/>
  <c r="K771" i="8"/>
  <c r="M771" i="8" s="1"/>
  <c r="K766" i="8"/>
  <c r="M766" i="8" s="1"/>
  <c r="K764" i="8"/>
  <c r="M764" i="8" s="1"/>
  <c r="K763" i="8"/>
  <c r="M763" i="8" s="1"/>
  <c r="K759" i="8"/>
  <c r="M759" i="8" s="1"/>
  <c r="K746" i="8"/>
  <c r="M746" i="8" s="1"/>
  <c r="K736" i="8"/>
  <c r="M736" i="8" s="1"/>
  <c r="K2096" i="8"/>
  <c r="M2096" i="8" s="1"/>
  <c r="K712" i="8"/>
  <c r="M712" i="8" s="1"/>
  <c r="K707" i="8"/>
  <c r="M707" i="8" s="1"/>
  <c r="K2244" i="8"/>
  <c r="M2244" i="8" s="1"/>
  <c r="K684" i="8"/>
  <c r="M684" i="8" s="1"/>
  <c r="K680" i="8"/>
  <c r="M680" i="8" s="1"/>
  <c r="K672" i="8"/>
  <c r="M672" i="8" s="1"/>
  <c r="K665" i="8"/>
  <c r="M665" i="8" s="1"/>
  <c r="K2094" i="8"/>
  <c r="M2094" i="8" s="1"/>
  <c r="K649" i="8"/>
  <c r="M649" i="8" s="1"/>
  <c r="K2242" i="8"/>
  <c r="M2242" i="8" s="1"/>
  <c r="K630" i="8"/>
  <c r="M630" i="8" s="1"/>
  <c r="K139" i="8"/>
  <c r="M139" i="8" s="1"/>
  <c r="K617" i="8"/>
  <c r="M617" i="8" s="1"/>
  <c r="K603" i="8"/>
  <c r="M603" i="8" s="1"/>
  <c r="K588" i="8"/>
  <c r="M588" i="8" s="1"/>
  <c r="K574" i="8"/>
  <c r="M574" i="8" s="1"/>
  <c r="K561" i="8"/>
  <c r="M561" i="8" s="1"/>
  <c r="K2088" i="8"/>
  <c r="M2088" i="8" s="1"/>
  <c r="K552" i="8"/>
  <c r="M552" i="8" s="1"/>
  <c r="K2238" i="8"/>
  <c r="M2238" i="8" s="1"/>
  <c r="K2236" i="8"/>
  <c r="M2236" i="8" s="1"/>
  <c r="K2235" i="8"/>
  <c r="M2235" i="8" s="1"/>
  <c r="K2233" i="8"/>
  <c r="M2233" i="8" s="1"/>
  <c r="K538" i="8"/>
  <c r="M538" i="8" s="1"/>
  <c r="K2227" i="8"/>
  <c r="M2227" i="8" s="1"/>
  <c r="K2002" i="8"/>
  <c r="M2002" i="8" s="1"/>
  <c r="K1998" i="8"/>
  <c r="M1998" i="8" s="1"/>
  <c r="K2223" i="8"/>
  <c r="M2223" i="8" s="1"/>
  <c r="K530" i="8"/>
  <c r="M530" i="8" s="1"/>
  <c r="K2083" i="8"/>
  <c r="M2083" i="8" s="1"/>
  <c r="K2209" i="8"/>
  <c r="M2209" i="8" s="1"/>
  <c r="K2206" i="8"/>
  <c r="M2206" i="8" s="1"/>
  <c r="K132" i="8"/>
  <c r="M132" i="8" s="1"/>
  <c r="K2079" i="8"/>
  <c r="M2079" i="8" s="1"/>
  <c r="K514" i="8"/>
  <c r="M514" i="8" s="1"/>
  <c r="K2201" i="8"/>
  <c r="M2201" i="8" s="1"/>
  <c r="K508" i="8"/>
  <c r="M508" i="8" s="1"/>
  <c r="K506" i="8"/>
  <c r="M506" i="8" s="1"/>
  <c r="K2193" i="8"/>
  <c r="M2193" i="8" s="1"/>
  <c r="K2071" i="8"/>
  <c r="M2071" i="8" s="1"/>
  <c r="K124" i="8"/>
  <c r="M124" i="8" s="1"/>
  <c r="K497" i="8"/>
  <c r="M497" i="8" s="1"/>
  <c r="K496" i="8"/>
  <c r="M496" i="8" s="1"/>
  <c r="K2070" i="8"/>
  <c r="M2070" i="8" s="1"/>
  <c r="K2068" i="8"/>
  <c r="M2068" i="8" s="1"/>
  <c r="K2180" i="8"/>
  <c r="M2180" i="8" s="1"/>
  <c r="K485" i="8"/>
  <c r="M485" i="8" s="1"/>
  <c r="K2178" i="8"/>
  <c r="M2178" i="8" s="1"/>
  <c r="K23" i="8"/>
  <c r="M23" i="8" s="1"/>
  <c r="K2175" i="8"/>
  <c r="M2175" i="8" s="1"/>
  <c r="K475" i="8"/>
  <c r="M475" i="8" s="1"/>
  <c r="K2170" i="8"/>
  <c r="M2170" i="8" s="1"/>
  <c r="K2168" i="8"/>
  <c r="M2168" i="8" s="1"/>
  <c r="K467" i="8"/>
  <c r="M467" i="8" s="1"/>
  <c r="K466" i="8"/>
  <c r="M466" i="8" s="1"/>
  <c r="K115" i="8"/>
  <c r="M115" i="8" s="1"/>
  <c r="K2154" i="8"/>
  <c r="M2154" i="8" s="1"/>
  <c r="K458" i="8"/>
  <c r="M458" i="8" s="1"/>
  <c r="K2148" i="8"/>
  <c r="M2148" i="8" s="1"/>
  <c r="K452" i="8"/>
  <c r="M452" i="8" s="1"/>
  <c r="K114" i="8"/>
  <c r="M114" i="8" s="1"/>
  <c r="K431" i="8"/>
  <c r="M431" i="8" s="1"/>
  <c r="K425" i="8"/>
  <c r="M425" i="8" s="1"/>
  <c r="K421" i="8"/>
  <c r="M421" i="8" s="1"/>
  <c r="K412" i="8"/>
  <c r="M412" i="8" s="1"/>
  <c r="K397" i="8"/>
  <c r="M397" i="8" s="1"/>
  <c r="K390" i="8"/>
  <c r="M390" i="8" s="1"/>
  <c r="K385" i="8"/>
  <c r="M385" i="8" s="1"/>
  <c r="K104" i="8"/>
  <c r="M104" i="8" s="1"/>
  <c r="K2143" i="8"/>
  <c r="M2143" i="8" s="1"/>
  <c r="K370" i="8"/>
  <c r="M370" i="8" s="1"/>
  <c r="K2142" i="8"/>
  <c r="M2142" i="8" s="1"/>
  <c r="K357" i="8"/>
  <c r="M357" i="8" s="1"/>
  <c r="K348" i="8"/>
  <c r="M348" i="8" s="1"/>
  <c r="K344" i="8"/>
  <c r="M344" i="8" s="1"/>
  <c r="K341" i="8"/>
  <c r="M341" i="8" s="1"/>
  <c r="K336" i="8"/>
  <c r="M336" i="8" s="1"/>
  <c r="K329" i="8"/>
  <c r="M329" i="8" s="1"/>
  <c r="K320" i="8"/>
  <c r="M320" i="8" s="1"/>
  <c r="K95" i="8"/>
  <c r="M95" i="8" s="1"/>
  <c r="K310" i="8"/>
  <c r="M310" i="8" s="1"/>
  <c r="K89" i="8"/>
  <c r="M89" i="8" s="1"/>
  <c r="K299" i="8"/>
  <c r="M299" i="8" s="1"/>
  <c r="K290" i="8"/>
  <c r="M290" i="8" s="1"/>
  <c r="K285" i="8"/>
  <c r="M285" i="8" s="1"/>
  <c r="K1833" i="8"/>
  <c r="M1833" i="8" s="1"/>
  <c r="K1787" i="8"/>
  <c r="M1787" i="8" s="1"/>
  <c r="K2125" i="8"/>
  <c r="M2125" i="8" s="1"/>
  <c r="K2279" i="8"/>
  <c r="M2279" i="8" s="1"/>
  <c r="K1345" i="8"/>
  <c r="M1345" i="8" s="1"/>
  <c r="K323" i="8"/>
  <c r="M323" i="8" s="1"/>
  <c r="K601" i="8"/>
  <c r="M601" i="8" s="1"/>
  <c r="K825" i="8"/>
  <c r="M825" i="8" s="1"/>
  <c r="K895" i="8"/>
  <c r="M895" i="8" s="1"/>
  <c r="K1590" i="8"/>
  <c r="M1590" i="8" s="1"/>
  <c r="J2136" i="8"/>
  <c r="L2136" i="8" s="1"/>
  <c r="N2136" i="8" s="1"/>
  <c r="K1363" i="8"/>
  <c r="M1363" i="8" s="1"/>
  <c r="K1347" i="8"/>
  <c r="M1347" i="8" s="1"/>
  <c r="K202" i="8"/>
  <c r="M202" i="8" s="1"/>
  <c r="K2042" i="8"/>
  <c r="M2042" i="8" s="1"/>
  <c r="K200" i="8"/>
  <c r="M200" i="8" s="1"/>
  <c r="K41" i="8"/>
  <c r="M41" i="8" s="1"/>
  <c r="K1320" i="8"/>
  <c r="M1320" i="8" s="1"/>
  <c r="K1310" i="8"/>
  <c r="M1310" i="8" s="1"/>
  <c r="K2268" i="8"/>
  <c r="M2268" i="8" s="1"/>
  <c r="K1303" i="8"/>
  <c r="M1303" i="8" s="1"/>
  <c r="K1287" i="8"/>
  <c r="M1287" i="8" s="1"/>
  <c r="K1282" i="8"/>
  <c r="M1282" i="8" s="1"/>
  <c r="K1278" i="8"/>
  <c r="M1278" i="8" s="1"/>
  <c r="K1257" i="8"/>
  <c r="M1257" i="8" s="1"/>
  <c r="K2265" i="8"/>
  <c r="M2265" i="8" s="1"/>
  <c r="K1244" i="8"/>
  <c r="M1244" i="8" s="1"/>
  <c r="K1233" i="8"/>
  <c r="M1233" i="8" s="1"/>
  <c r="K1221" i="8"/>
  <c r="M1221" i="8" s="1"/>
  <c r="K1201" i="8"/>
  <c r="M1201" i="8" s="1"/>
  <c r="K1197" i="8"/>
  <c r="M1197" i="8" s="1"/>
  <c r="K1194" i="8"/>
  <c r="M1194" i="8" s="1"/>
  <c r="K14" i="8"/>
  <c r="M14" i="8" s="1"/>
  <c r="K10" i="8"/>
  <c r="M10" i="8" s="1"/>
  <c r="K183" i="8"/>
  <c r="M183" i="8" s="1"/>
  <c r="K2007" i="8"/>
  <c r="M2007" i="8" s="1"/>
  <c r="K2003" i="8"/>
  <c r="M2003" i="8" s="1"/>
  <c r="K2039" i="8"/>
  <c r="M2039" i="8" s="1"/>
  <c r="K1181" i="8"/>
  <c r="M1181" i="8" s="1"/>
  <c r="K1175" i="8"/>
  <c r="M1175" i="8" s="1"/>
  <c r="K179" i="8"/>
  <c r="M179" i="8" s="1"/>
  <c r="K178" i="8"/>
  <c r="M178" i="8" s="1"/>
  <c r="K1153" i="8"/>
  <c r="M1153" i="8" s="1"/>
  <c r="K1145" i="8"/>
  <c r="M1145" i="8" s="1"/>
  <c r="K1139" i="8"/>
  <c r="M1139" i="8" s="1"/>
  <c r="K1132" i="8"/>
  <c r="M1132" i="8" s="1"/>
  <c r="K1124" i="8"/>
  <c r="M1124" i="8" s="1"/>
  <c r="K1118" i="8"/>
  <c r="M1118" i="8" s="1"/>
  <c r="K1112" i="8"/>
  <c r="M1112" i="8" s="1"/>
  <c r="K1105" i="8"/>
  <c r="M1105" i="8" s="1"/>
  <c r="K1100" i="8"/>
  <c r="M1100" i="8" s="1"/>
  <c r="K66" i="8"/>
  <c r="M66" i="8" s="1"/>
  <c r="K174" i="8"/>
  <c r="M174" i="8" s="1"/>
  <c r="K1091" i="8"/>
  <c r="M1091" i="8" s="1"/>
  <c r="K2261" i="8"/>
  <c r="M2261" i="8" s="1"/>
  <c r="K1078" i="8"/>
  <c r="M1078" i="8" s="1"/>
  <c r="K1072" i="8"/>
  <c r="M1072" i="8" s="1"/>
  <c r="K36" i="8"/>
  <c r="M36" i="8" s="1"/>
  <c r="K1063" i="8"/>
  <c r="M1063" i="8" s="1"/>
  <c r="K172" i="8"/>
  <c r="M172" i="8" s="1"/>
  <c r="K1053" i="8"/>
  <c r="M1053" i="8" s="1"/>
  <c r="K1047" i="8"/>
  <c r="M1047" i="8" s="1"/>
  <c r="K170" i="8"/>
  <c r="M170" i="8" s="1"/>
  <c r="K2108" i="8"/>
  <c r="M2108" i="8" s="1"/>
  <c r="K1023" i="8"/>
  <c r="M1023" i="8" s="1"/>
  <c r="K1016" i="8"/>
  <c r="M1016" i="8" s="1"/>
  <c r="K1008" i="8"/>
  <c r="M1008" i="8" s="1"/>
  <c r="K997" i="8"/>
  <c r="M997" i="8" s="1"/>
  <c r="K2105" i="8"/>
  <c r="M2105" i="8" s="1"/>
  <c r="K991" i="8"/>
  <c r="M991" i="8" s="1"/>
  <c r="K2254" i="8"/>
  <c r="M2254" i="8" s="1"/>
  <c r="K168" i="8"/>
  <c r="M168" i="8" s="1"/>
  <c r="K2252" i="8"/>
  <c r="M2252" i="8" s="1"/>
  <c r="K962" i="8"/>
  <c r="M962" i="8" s="1"/>
  <c r="K951" i="8"/>
  <c r="M951" i="8" s="1"/>
  <c r="K924" i="8"/>
  <c r="M924" i="8" s="1"/>
  <c r="K913" i="8"/>
  <c r="M913" i="8" s="1"/>
  <c r="K909" i="8"/>
  <c r="M909" i="8" s="1"/>
  <c r="K163" i="8"/>
  <c r="M163" i="8" s="1"/>
  <c r="K893" i="8"/>
  <c r="M893" i="8" s="1"/>
  <c r="K888" i="8"/>
  <c r="M888" i="8" s="1"/>
  <c r="K883" i="8"/>
  <c r="M883" i="8" s="1"/>
  <c r="K876" i="8"/>
  <c r="M876" i="8" s="1"/>
  <c r="K870" i="8"/>
  <c r="M870" i="8" s="1"/>
  <c r="K9" i="8"/>
  <c r="M9" i="8" s="1"/>
  <c r="K5" i="8"/>
  <c r="M5" i="8" s="1"/>
  <c r="K804" i="8"/>
  <c r="M804" i="8" s="1"/>
  <c r="J281" i="8"/>
  <c r="L281" i="8" s="1"/>
  <c r="N281" i="8" s="1"/>
  <c r="K231" i="8"/>
  <c r="M231" i="8" s="1"/>
  <c r="K2162" i="8"/>
  <c r="M2162" i="8" s="1"/>
  <c r="K1067" i="8"/>
  <c r="M1067" i="8" s="1"/>
  <c r="K1440" i="8"/>
  <c r="M1440" i="8" s="1"/>
  <c r="K1612" i="8"/>
  <c r="M1612" i="8" s="1"/>
  <c r="K1665" i="8"/>
  <c r="M1665" i="8" s="1"/>
  <c r="K1659" i="8"/>
  <c r="M1659" i="8" s="1"/>
  <c r="K1711" i="8"/>
  <c r="M1711" i="8" s="1"/>
  <c r="K947" i="8"/>
  <c r="M947" i="8" s="1"/>
  <c r="K1718" i="8"/>
  <c r="M1718" i="8" s="1"/>
  <c r="K1288" i="8"/>
  <c r="M1288" i="8" s="1"/>
  <c r="K1240" i="8"/>
  <c r="M1240" i="8" s="1"/>
  <c r="K1126" i="8"/>
  <c r="M1126" i="8" s="1"/>
  <c r="K1120" i="8"/>
  <c r="M1120" i="8" s="1"/>
  <c r="K1003" i="8"/>
  <c r="M1003" i="8" s="1"/>
  <c r="K965" i="8"/>
  <c r="M965" i="8" s="1"/>
  <c r="K936" i="8"/>
  <c r="M936" i="8" s="1"/>
  <c r="K816" i="8"/>
  <c r="M816" i="8" s="1"/>
  <c r="K783" i="8"/>
  <c r="M783" i="8" s="1"/>
  <c r="K695" i="8"/>
  <c r="M695" i="8" s="1"/>
  <c r="K138" i="8"/>
  <c r="M138" i="8" s="1"/>
  <c r="K597" i="8"/>
  <c r="M597" i="8" s="1"/>
  <c r="K450" i="8"/>
  <c r="M450" i="8" s="1"/>
  <c r="K362" i="8"/>
  <c r="M362" i="8" s="1"/>
  <c r="K2082" i="8"/>
  <c r="M2082" i="8" s="1"/>
  <c r="K302" i="8"/>
  <c r="M302" i="8" s="1"/>
  <c r="K345" i="8"/>
  <c r="M345" i="8" s="1"/>
  <c r="K353" i="8"/>
  <c r="M353" i="8" s="1"/>
  <c r="K382" i="8"/>
  <c r="M382" i="8" s="1"/>
  <c r="K102" i="8"/>
  <c r="M102" i="8" s="1"/>
  <c r="K405" i="8"/>
  <c r="M405" i="8" s="1"/>
  <c r="K423" i="8"/>
  <c r="M423" i="8" s="1"/>
  <c r="K441" i="8"/>
  <c r="M441" i="8" s="1"/>
  <c r="K435" i="8"/>
  <c r="M435" i="8" s="1"/>
  <c r="K424" i="8"/>
  <c r="M424" i="8" s="1"/>
  <c r="J2163" i="8"/>
  <c r="L2163" i="8" s="1"/>
  <c r="N2163" i="8" s="1"/>
  <c r="K2153" i="8"/>
  <c r="M2153" i="8" s="1"/>
  <c r="K118" i="8"/>
  <c r="M118" i="8" s="1"/>
  <c r="K510" i="8"/>
  <c r="M510" i="8" s="1"/>
  <c r="J342" i="8"/>
  <c r="L342" i="8" s="1"/>
  <c r="N342" i="8" s="1"/>
  <c r="J396" i="8"/>
  <c r="L396" i="8" s="1"/>
  <c r="N396" i="8" s="1"/>
  <c r="K525" i="8"/>
  <c r="M525" i="8" s="1"/>
  <c r="K517" i="8"/>
  <c r="M517" i="8" s="1"/>
  <c r="K550" i="8"/>
  <c r="M550" i="8" s="1"/>
  <c r="K594" i="8"/>
  <c r="M594" i="8" s="1"/>
  <c r="K626" i="8"/>
  <c r="M626" i="8" s="1"/>
  <c r="K612" i="8"/>
  <c r="M612" i="8" s="1"/>
  <c r="K2013" i="8"/>
  <c r="M2013" i="8" s="1"/>
  <c r="K22" i="8"/>
  <c r="M22" i="8" s="1"/>
  <c r="K18" i="8"/>
  <c r="M18" i="8" s="1"/>
  <c r="J52" i="8"/>
  <c r="L52" i="8" s="1"/>
  <c r="N52" i="8" s="1"/>
  <c r="K719" i="8"/>
  <c r="M719" i="8" s="1"/>
  <c r="K714" i="8"/>
  <c r="M714" i="8" s="1"/>
  <c r="K724" i="8"/>
  <c r="M724" i="8" s="1"/>
  <c r="K733" i="8"/>
  <c r="M733" i="8" s="1"/>
  <c r="K2021" i="8"/>
  <c r="M2021" i="8" s="1"/>
  <c r="K30" i="8"/>
  <c r="M30" i="8" s="1"/>
  <c r="K791" i="8"/>
  <c r="M791" i="8" s="1"/>
  <c r="K773" i="8"/>
  <c r="M773" i="8" s="1"/>
  <c r="K799" i="8"/>
  <c r="M799" i="8" s="1"/>
  <c r="K880" i="8"/>
  <c r="M880" i="8" s="1"/>
  <c r="K165" i="8"/>
  <c r="M165" i="8" s="1"/>
  <c r="K946" i="8"/>
  <c r="M946" i="8" s="1"/>
  <c r="K935" i="8"/>
  <c r="M935" i="8" s="1"/>
  <c r="K930" i="8"/>
  <c r="M930" i="8" s="1"/>
  <c r="K955" i="8"/>
  <c r="M955" i="8" s="1"/>
  <c r="K966" i="8"/>
  <c r="M966" i="8" s="1"/>
  <c r="K990" i="8"/>
  <c r="M990" i="8" s="1"/>
  <c r="K977" i="8"/>
  <c r="M977" i="8" s="1"/>
  <c r="J998" i="8"/>
  <c r="L998" i="8" s="1"/>
  <c r="N998" i="8" s="1"/>
  <c r="K1043" i="8"/>
  <c r="M1043" i="8" s="1"/>
  <c r="K1037" i="8"/>
  <c r="M1037" i="8" s="1"/>
  <c r="K1085" i="8"/>
  <c r="M1085" i="8" s="1"/>
  <c r="K1128" i="8"/>
  <c r="M1128" i="8" s="1"/>
  <c r="K1149" i="8"/>
  <c r="M1149" i="8" s="1"/>
  <c r="K186" i="8"/>
  <c r="M186" i="8" s="1"/>
  <c r="K1176" i="8"/>
  <c r="M1176" i="8" s="1"/>
  <c r="K1202" i="8"/>
  <c r="M1202" i="8" s="1"/>
  <c r="K1192" i="8"/>
  <c r="M1192" i="8" s="1"/>
  <c r="K1220" i="8"/>
  <c r="M1220" i="8" s="1"/>
  <c r="K1213" i="8"/>
  <c r="M1213" i="8" s="1"/>
  <c r="K1251" i="8"/>
  <c r="M1251" i="8" s="1"/>
  <c r="K1269" i="8"/>
  <c r="M1269" i="8" s="1"/>
  <c r="K2266" i="8"/>
  <c r="M2266" i="8" s="1"/>
  <c r="K1304" i="8"/>
  <c r="M1304" i="8" s="1"/>
  <c r="K1298" i="8"/>
  <c r="M1298" i="8" s="1"/>
  <c r="J196" i="8"/>
  <c r="L196" i="8" s="1"/>
  <c r="N196" i="8" s="1"/>
  <c r="K1275" i="8"/>
  <c r="M1275" i="8" s="1"/>
  <c r="K1356" i="8"/>
  <c r="M1356" i="8" s="1"/>
  <c r="K2271" i="8"/>
  <c r="M2271" i="8" s="1"/>
  <c r="K1325" i="8"/>
  <c r="M1325" i="8" s="1"/>
  <c r="K1314" i="8"/>
  <c r="M1314" i="8" s="1"/>
  <c r="K2115" i="8"/>
  <c r="M2115" i="8" s="1"/>
  <c r="K212" i="8"/>
  <c r="M212" i="8" s="1"/>
  <c r="K1417" i="8"/>
  <c r="M1417" i="8" s="1"/>
  <c r="K214" i="8"/>
  <c r="M214" i="8" s="1"/>
  <c r="K1501" i="8"/>
  <c r="M1501" i="8" s="1"/>
  <c r="J1497" i="8"/>
  <c r="L1497" i="8" s="1"/>
  <c r="N1497" i="8" s="1"/>
  <c r="K1479" i="8"/>
  <c r="M1479" i="8" s="1"/>
  <c r="K1564" i="8"/>
  <c r="M1564" i="8" s="1"/>
  <c r="K1550" i="8"/>
  <c r="M1550" i="8" s="1"/>
  <c r="K1568" i="8"/>
  <c r="M1568" i="8" s="1"/>
  <c r="K1671" i="8"/>
  <c r="M1671" i="8" s="1"/>
  <c r="K1653" i="8"/>
  <c r="M1653" i="8" s="1"/>
  <c r="K1646" i="8"/>
  <c r="M1646" i="8" s="1"/>
  <c r="K2289" i="8"/>
  <c r="M2289" i="8" s="1"/>
  <c r="K1608" i="8"/>
  <c r="M1608" i="8" s="1"/>
  <c r="K2290" i="8"/>
  <c r="M2290" i="8" s="1"/>
  <c r="K1677" i="8"/>
  <c r="M1677" i="8" s="1"/>
  <c r="K1754" i="8"/>
  <c r="M1754" i="8" s="1"/>
  <c r="K1746" i="8"/>
  <c r="M1746" i="8" s="1"/>
  <c r="K1738" i="8"/>
  <c r="M1738" i="8" s="1"/>
  <c r="K1785" i="8"/>
  <c r="M1785" i="8" s="1"/>
  <c r="K1841" i="8"/>
  <c r="M1841" i="8" s="1"/>
  <c r="K1887" i="8"/>
  <c r="M1887" i="8" s="1"/>
  <c r="K331" i="8"/>
  <c r="M331" i="8" s="1"/>
  <c r="K294" i="8"/>
  <c r="M294" i="8" s="1"/>
  <c r="K414" i="8"/>
  <c r="M414" i="8" s="1"/>
  <c r="K453" i="8"/>
  <c r="M453" i="8" s="1"/>
  <c r="J2173" i="8"/>
  <c r="L2173" i="8" s="1"/>
  <c r="N2173" i="8" s="1"/>
  <c r="K2211" i="8"/>
  <c r="M2211" i="8" s="1"/>
  <c r="K516" i="8"/>
  <c r="M516" i="8" s="1"/>
  <c r="K570" i="8"/>
  <c r="M570" i="8" s="1"/>
  <c r="J638" i="8"/>
  <c r="L638" i="8" s="1"/>
  <c r="N638" i="8" s="1"/>
  <c r="K610" i="8"/>
  <c r="M610" i="8" s="1"/>
  <c r="K667" i="8"/>
  <c r="M667" i="8" s="1"/>
  <c r="K832" i="8"/>
  <c r="M832" i="8" s="1"/>
  <c r="K939" i="8"/>
  <c r="M939" i="8" s="1"/>
  <c r="K2256" i="8"/>
  <c r="M2256" i="8" s="1"/>
  <c r="K1171" i="8"/>
  <c r="M1171" i="8" s="1"/>
  <c r="K181" i="8"/>
  <c r="M181" i="8" s="1"/>
  <c r="K1062" i="8"/>
  <c r="M1062" i="8" s="1"/>
  <c r="K1289" i="8"/>
  <c r="M1289" i="8" s="1"/>
  <c r="K1250" i="8"/>
  <c r="M1250" i="8" s="1"/>
  <c r="K1346" i="8"/>
  <c r="M1346" i="8" s="1"/>
  <c r="J1336" i="8"/>
  <c r="L1336" i="8" s="1"/>
  <c r="N1336" i="8" s="1"/>
  <c r="K1409" i="8"/>
  <c r="M1409" i="8" s="1"/>
  <c r="K1377" i="8"/>
  <c r="M1377" i="8" s="1"/>
  <c r="J1430" i="8"/>
  <c r="L1430" i="8" s="1"/>
  <c r="N1430" i="8" s="1"/>
  <c r="K1499" i="8"/>
  <c r="M1499" i="8" s="1"/>
  <c r="K1547" i="8"/>
  <c r="M1547" i="8" s="1"/>
  <c r="K1529" i="8"/>
  <c r="M1529" i="8" s="1"/>
  <c r="K1514" i="8"/>
  <c r="M1514" i="8" s="1"/>
  <c r="K1578" i="8"/>
  <c r="M1578" i="8" s="1"/>
  <c r="K1606" i="8"/>
  <c r="M1606" i="8" s="1"/>
  <c r="K1595" i="8"/>
  <c r="M1595" i="8" s="1"/>
  <c r="K1696" i="8"/>
  <c r="M1696" i="8" s="1"/>
  <c r="K1664" i="8"/>
  <c r="M1664" i="8" s="1"/>
  <c r="K1657" i="8"/>
  <c r="M1657" i="8" s="1"/>
  <c r="K1638" i="8"/>
  <c r="M1638" i="8" s="1"/>
  <c r="K81" i="8"/>
  <c r="M81" i="8" s="1"/>
  <c r="J1910" i="8"/>
  <c r="L1910" i="8" s="1"/>
  <c r="N1910" i="8" s="1"/>
  <c r="K1868" i="8"/>
  <c r="M1868" i="8" s="1"/>
  <c r="K743" i="8"/>
  <c r="M743" i="8" s="1"/>
  <c r="K1361" i="8"/>
  <c r="M1361" i="8" s="1"/>
  <c r="K1012" i="8"/>
  <c r="M1012" i="8" s="1"/>
  <c r="K1592" i="8"/>
  <c r="M1592" i="8" s="1"/>
  <c r="K661" i="8"/>
  <c r="M661" i="8" s="1"/>
  <c r="K559" i="8"/>
  <c r="M559" i="8" s="1"/>
  <c r="K902" i="8"/>
  <c r="M902" i="8" s="1"/>
  <c r="K1064" i="8"/>
  <c r="M1064" i="8" s="1"/>
  <c r="K960" i="8"/>
  <c r="M960" i="8" s="1"/>
  <c r="K1135" i="8"/>
  <c r="M1135" i="8" s="1"/>
  <c r="K1097" i="8"/>
  <c r="M1097" i="8" s="1"/>
  <c r="K1491" i="8"/>
  <c r="M1491" i="8" s="1"/>
  <c r="K1394" i="8"/>
  <c r="M1394" i="8" s="1"/>
  <c r="K1332" i="8"/>
  <c r="M1332" i="8" s="1"/>
  <c r="K1231" i="8"/>
  <c r="M1231" i="8" s="1"/>
  <c r="K1683" i="8"/>
  <c r="M1683" i="8" s="1"/>
  <c r="K1771" i="8"/>
  <c r="M1771" i="8" s="1"/>
  <c r="K1848" i="8"/>
  <c r="M1848" i="8" s="1"/>
  <c r="K311" i="8"/>
  <c r="M311" i="8" s="1"/>
  <c r="K795" i="8"/>
  <c r="M795" i="8" s="1"/>
  <c r="K715" i="8"/>
  <c r="M715" i="8" s="1"/>
  <c r="K592" i="8"/>
  <c r="M592" i="8" s="1"/>
  <c r="K942" i="8"/>
  <c r="M942" i="8" s="1"/>
  <c r="K1188" i="8"/>
  <c r="M1188" i="8" s="1"/>
  <c r="K1210" i="8"/>
  <c r="M1210" i="8" s="1"/>
  <c r="K1500" i="8"/>
  <c r="M1500" i="8" s="1"/>
  <c r="J1814" i="8"/>
  <c r="L1814" i="8" s="1"/>
  <c r="N1814" i="8" s="1"/>
  <c r="J1618" i="8"/>
  <c r="L1618" i="8" s="1"/>
  <c r="N1618" i="8" s="1"/>
  <c r="K861" i="8"/>
  <c r="M861" i="8" s="1"/>
  <c r="K1168" i="8"/>
  <c r="M1168" i="8" s="1"/>
  <c r="J569" i="8"/>
  <c r="L569" i="8" s="1"/>
  <c r="N569" i="8" s="1"/>
  <c r="K1641" i="8"/>
  <c r="M1641" i="8" s="1"/>
  <c r="K569" i="8"/>
  <c r="M569" i="8" s="1"/>
  <c r="K1400" i="8"/>
  <c r="M1400" i="8" s="1"/>
  <c r="K1293" i="8"/>
  <c r="M1293" i="8" s="1"/>
  <c r="K196" i="8"/>
  <c r="M196" i="8" s="1"/>
  <c r="K2163" i="8"/>
  <c r="M2163" i="8" s="1"/>
  <c r="K283" i="8"/>
  <c r="M283" i="8" s="1"/>
  <c r="K1663" i="8"/>
  <c r="M1663" i="8" s="1"/>
  <c r="K1908" i="8"/>
  <c r="M1908" i="8" s="1"/>
  <c r="K1618" i="8"/>
  <c r="M1618" i="8" s="1"/>
  <c r="K998" i="8"/>
  <c r="M998" i="8" s="1"/>
  <c r="J2152" i="8"/>
  <c r="L2152" i="8" s="1"/>
  <c r="N2152" i="8" s="1"/>
  <c r="J802" i="8"/>
  <c r="L802" i="8" s="1"/>
  <c r="N802" i="8" s="1"/>
  <c r="J1070" i="8"/>
  <c r="L1070" i="8" s="1"/>
  <c r="N1070" i="8" s="1"/>
  <c r="J1138" i="8"/>
  <c r="L1138" i="8" s="1"/>
  <c r="N1138" i="8" s="1"/>
  <c r="J1386" i="8"/>
  <c r="L1386" i="8" s="1"/>
  <c r="N1386" i="8" s="1"/>
  <c r="K1970" i="8"/>
  <c r="M1970" i="8" s="1"/>
  <c r="J284" i="8"/>
  <c r="L284" i="8" s="1"/>
  <c r="N284" i="8" s="1"/>
  <c r="J2089" i="8"/>
  <c r="L2089" i="8" s="1"/>
  <c r="N2089" i="8" s="1"/>
  <c r="J1326" i="8"/>
  <c r="L1326" i="8" s="1"/>
  <c r="N1326" i="8" s="1"/>
  <c r="J1420" i="8"/>
  <c r="L1420" i="8" s="1"/>
  <c r="N1420" i="8" s="1"/>
  <c r="J1519" i="8"/>
  <c r="L1519" i="8" s="1"/>
  <c r="N1519" i="8" s="1"/>
  <c r="J1761" i="8"/>
  <c r="L1761" i="8" s="1"/>
  <c r="N1761" i="8" s="1"/>
  <c r="J1712" i="8"/>
  <c r="L1712" i="8" s="1"/>
  <c r="N1712" i="8" s="1"/>
  <c r="J1699" i="8"/>
  <c r="L1699" i="8" s="1"/>
  <c r="N1699" i="8" s="1"/>
  <c r="J677" i="8"/>
  <c r="L677" i="8" s="1"/>
  <c r="N677" i="8" s="1"/>
  <c r="J1703" i="8"/>
  <c r="L1703" i="8" s="1"/>
  <c r="N1703" i="8" s="1"/>
  <c r="J1791" i="8"/>
  <c r="L1791" i="8" s="1"/>
  <c r="N1791" i="8" s="1"/>
  <c r="K241" i="8"/>
  <c r="M241" i="8" s="1"/>
  <c r="K2054" i="8"/>
  <c r="M2054" i="8" s="1"/>
  <c r="K1430" i="8"/>
  <c r="M1430" i="8" s="1"/>
  <c r="K1497" i="8"/>
  <c r="M1497" i="8" s="1"/>
  <c r="J1980" i="8"/>
  <c r="L1980" i="8" s="1"/>
  <c r="N1980" i="8" s="1"/>
  <c r="J2032" i="8"/>
  <c r="L2032" i="8" s="1"/>
  <c r="N2032" i="8" s="1"/>
  <c r="J1940" i="8"/>
  <c r="L1940" i="8" s="1"/>
  <c r="N1940" i="8" s="1"/>
  <c r="J1926" i="8"/>
  <c r="L1926" i="8" s="1"/>
  <c r="N1926" i="8" s="1"/>
  <c r="J268" i="8"/>
  <c r="L268" i="8" s="1"/>
  <c r="N268" i="8" s="1"/>
  <c r="J1892" i="8"/>
  <c r="L1892" i="8" s="1"/>
  <c r="N1892" i="8" s="1"/>
  <c r="J266" i="8"/>
  <c r="L266" i="8" s="1"/>
  <c r="N266" i="8" s="1"/>
  <c r="J2301" i="8"/>
  <c r="L2301" i="8" s="1"/>
  <c r="N2301" i="8" s="1"/>
  <c r="J1857" i="8"/>
  <c r="L1857" i="8" s="1"/>
  <c r="N1857" i="8" s="1"/>
  <c r="J1847" i="8"/>
  <c r="L1847" i="8" s="1"/>
  <c r="N1847" i="8" s="1"/>
  <c r="J1838" i="8"/>
  <c r="L1838" i="8" s="1"/>
  <c r="N1838" i="8" s="1"/>
  <c r="J262" i="8"/>
  <c r="L262" i="8" s="1"/>
  <c r="N262" i="8" s="1"/>
  <c r="J1828" i="8"/>
  <c r="L1828" i="8" s="1"/>
  <c r="N1828" i="8" s="1"/>
  <c r="J1822" i="8"/>
  <c r="L1822" i="8" s="1"/>
  <c r="N1822" i="8" s="1"/>
  <c r="J1813" i="8"/>
  <c r="L1813" i="8" s="1"/>
  <c r="N1813" i="8" s="1"/>
  <c r="J1807" i="8"/>
  <c r="L1807" i="8" s="1"/>
  <c r="N1807" i="8" s="1"/>
  <c r="J1802" i="8"/>
  <c r="L1802" i="8" s="1"/>
  <c r="N1802" i="8" s="1"/>
  <c r="J1793" i="8"/>
  <c r="L1793" i="8" s="1"/>
  <c r="N1793" i="8" s="1"/>
  <c r="J1788" i="8"/>
  <c r="L1788" i="8" s="1"/>
  <c r="N1788" i="8" s="1"/>
  <c r="J1779" i="8"/>
  <c r="L1779" i="8" s="1"/>
  <c r="N1779" i="8" s="1"/>
  <c r="J1776" i="8"/>
  <c r="L1776" i="8" s="1"/>
  <c r="N1776" i="8" s="1"/>
  <c r="J259" i="8"/>
  <c r="L259" i="8" s="1"/>
  <c r="N259" i="8" s="1"/>
  <c r="J1770" i="8"/>
  <c r="L1770" i="8" s="1"/>
  <c r="N1770" i="8" s="1"/>
  <c r="J2293" i="8"/>
  <c r="L2293" i="8" s="1"/>
  <c r="N2293" i="8" s="1"/>
  <c r="J1735" i="8"/>
  <c r="L1735" i="8" s="1"/>
  <c r="N1735" i="8" s="1"/>
  <c r="J249" i="8"/>
  <c r="L249" i="8" s="1"/>
  <c r="N249" i="8" s="1"/>
  <c r="J246" i="8"/>
  <c r="L246" i="8" s="1"/>
  <c r="N246" i="8" s="1"/>
  <c r="J2291" i="8"/>
  <c r="L2291" i="8" s="1"/>
  <c r="N2291" i="8" s="1"/>
  <c r="J1720" i="8"/>
  <c r="L1720" i="8" s="1"/>
  <c r="N1720" i="8" s="1"/>
  <c r="J1714" i="8"/>
  <c r="L1714" i="8" s="1"/>
  <c r="N1714" i="8" s="1"/>
  <c r="J1708" i="8"/>
  <c r="L1708" i="8" s="1"/>
  <c r="N1708" i="8" s="1"/>
  <c r="J1705" i="8"/>
  <c r="L1705" i="8" s="1"/>
  <c r="N1705" i="8" s="1"/>
  <c r="J1694" i="8"/>
  <c r="L1694" i="8" s="1"/>
  <c r="N1694" i="8" s="1"/>
  <c r="J1687" i="8"/>
  <c r="L1687" i="8" s="1"/>
  <c r="N1687" i="8" s="1"/>
  <c r="J1682" i="8"/>
  <c r="L1682" i="8" s="1"/>
  <c r="N1682" i="8" s="1"/>
  <c r="J238" i="8"/>
  <c r="L238" i="8" s="1"/>
  <c r="N238" i="8" s="1"/>
  <c r="J1672" i="8"/>
  <c r="L1672" i="8" s="1"/>
  <c r="N1672" i="8" s="1"/>
  <c r="J1667" i="8"/>
  <c r="L1667" i="8" s="1"/>
  <c r="N1667" i="8" s="1"/>
  <c r="J1645" i="8"/>
  <c r="L1645" i="8" s="1"/>
  <c r="N1645" i="8" s="1"/>
  <c r="J1631" i="8"/>
  <c r="L1631" i="8" s="1"/>
  <c r="N1631" i="8" s="1"/>
  <c r="J1624" i="8"/>
  <c r="L1624" i="8" s="1"/>
  <c r="N1624" i="8" s="1"/>
  <c r="J233" i="8"/>
  <c r="L233" i="8" s="1"/>
  <c r="N233" i="8" s="1"/>
  <c r="J1613" i="8"/>
  <c r="L1613" i="8" s="1"/>
  <c r="N1613" i="8" s="1"/>
  <c r="J1600" i="8"/>
  <c r="L1600" i="8" s="1"/>
  <c r="N1600" i="8" s="1"/>
  <c r="J1585" i="8"/>
  <c r="L1585" i="8" s="1"/>
  <c r="N1585" i="8" s="1"/>
  <c r="J2285" i="8"/>
  <c r="L2285" i="8" s="1"/>
  <c r="N2285" i="8" s="1"/>
  <c r="J1562" i="8"/>
  <c r="L1562" i="8" s="1"/>
  <c r="N1562" i="8" s="1"/>
  <c r="J1557" i="8"/>
  <c r="L1557" i="8" s="1"/>
  <c r="N1557" i="8" s="1"/>
  <c r="J228" i="8"/>
  <c r="L228" i="8" s="1"/>
  <c r="N228" i="8" s="1"/>
  <c r="J2051" i="8"/>
  <c r="L2051" i="8" s="1"/>
  <c r="N2051" i="8" s="1"/>
  <c r="J1542" i="8"/>
  <c r="L1542" i="8" s="1"/>
  <c r="N1542" i="8" s="1"/>
  <c r="J1537" i="8"/>
  <c r="L1537" i="8" s="1"/>
  <c r="N1537" i="8" s="1"/>
  <c r="J1533" i="8"/>
  <c r="L1533" i="8" s="1"/>
  <c r="N1533" i="8" s="1"/>
  <c r="J1518" i="8"/>
  <c r="L1518" i="8" s="1"/>
  <c r="N1518" i="8" s="1"/>
  <c r="J1510" i="8"/>
  <c r="L1510" i="8" s="1"/>
  <c r="N1510" i="8" s="1"/>
  <c r="J1506" i="8"/>
  <c r="L1506" i="8" s="1"/>
  <c r="N1506" i="8" s="1"/>
  <c r="J1493" i="8"/>
  <c r="L1493" i="8" s="1"/>
  <c r="N1493" i="8" s="1"/>
  <c r="J1488" i="8"/>
  <c r="L1488" i="8" s="1"/>
  <c r="N1488" i="8" s="1"/>
  <c r="J2047" i="8"/>
  <c r="L2047" i="8" s="1"/>
  <c r="N2047" i="8" s="1"/>
  <c r="J1487" i="8"/>
  <c r="L1487" i="8" s="1"/>
  <c r="N1487" i="8" s="1"/>
  <c r="J1477" i="8"/>
  <c r="L1477" i="8" s="1"/>
  <c r="N1477" i="8" s="1"/>
  <c r="J1472" i="8"/>
  <c r="L1472" i="8" s="1"/>
  <c r="N1472" i="8" s="1"/>
  <c r="J1468" i="8"/>
  <c r="L1468" i="8" s="1"/>
  <c r="N1468" i="8" s="1"/>
  <c r="J1463" i="8"/>
  <c r="L1463" i="8" s="1"/>
  <c r="N1463" i="8" s="1"/>
  <c r="J1454" i="8"/>
  <c r="L1454" i="8" s="1"/>
  <c r="N1454" i="8" s="1"/>
  <c r="J1450" i="8"/>
  <c r="L1450" i="8" s="1"/>
  <c r="N1450" i="8" s="1"/>
  <c r="J1444" i="8"/>
  <c r="L1444" i="8" s="1"/>
  <c r="N1444" i="8" s="1"/>
  <c r="J1432" i="8"/>
  <c r="L1432" i="8" s="1"/>
  <c r="N1432" i="8" s="1"/>
  <c r="J2044" i="8"/>
  <c r="L2044" i="8" s="1"/>
  <c r="N2044" i="8" s="1"/>
  <c r="J1413" i="8"/>
  <c r="L1413" i="8" s="1"/>
  <c r="N1413" i="8" s="1"/>
  <c r="J1395" i="8"/>
  <c r="L1395" i="8" s="1"/>
  <c r="N1395" i="8" s="1"/>
  <c r="J1390" i="8"/>
  <c r="L1390" i="8" s="1"/>
  <c r="N1390" i="8" s="1"/>
  <c r="J1381" i="8"/>
  <c r="L1381" i="8" s="1"/>
  <c r="N1381" i="8" s="1"/>
  <c r="J1374" i="8"/>
  <c r="L1374" i="8" s="1"/>
  <c r="N1374" i="8" s="1"/>
  <c r="J208" i="8"/>
  <c r="L208" i="8" s="1"/>
  <c r="N208" i="8" s="1"/>
  <c r="J206" i="8"/>
  <c r="L206" i="8" s="1"/>
  <c r="N206" i="8" s="1"/>
  <c r="J1363" i="8"/>
  <c r="L1363" i="8" s="1"/>
  <c r="N1363" i="8" s="1"/>
  <c r="J1347" i="8"/>
  <c r="L1347" i="8" s="1"/>
  <c r="N1347" i="8" s="1"/>
  <c r="J202" i="8"/>
  <c r="L202" i="8" s="1"/>
  <c r="N202" i="8" s="1"/>
  <c r="J2042" i="8"/>
  <c r="L2042" i="8" s="1"/>
  <c r="N2042" i="8" s="1"/>
  <c r="J200" i="8"/>
  <c r="L200" i="8" s="1"/>
  <c r="N200" i="8" s="1"/>
  <c r="J41" i="8"/>
  <c r="L41" i="8" s="1"/>
  <c r="N41" i="8" s="1"/>
  <c r="J1320" i="8"/>
  <c r="L1320" i="8" s="1"/>
  <c r="N1320" i="8" s="1"/>
  <c r="J1310" i="8"/>
  <c r="L1310" i="8" s="1"/>
  <c r="N1310" i="8" s="1"/>
  <c r="J2268" i="8"/>
  <c r="L2268" i="8" s="1"/>
  <c r="N2268" i="8" s="1"/>
  <c r="J1303" i="8"/>
  <c r="L1303" i="8" s="1"/>
  <c r="N1303" i="8" s="1"/>
  <c r="J1287" i="8"/>
  <c r="L1287" i="8" s="1"/>
  <c r="N1287" i="8" s="1"/>
  <c r="J1282" i="8"/>
  <c r="L1282" i="8" s="1"/>
  <c r="N1282" i="8" s="1"/>
  <c r="J1278" i="8"/>
  <c r="L1278" i="8" s="1"/>
  <c r="N1278" i="8" s="1"/>
  <c r="J1257" i="8"/>
  <c r="L1257" i="8" s="1"/>
  <c r="N1257" i="8" s="1"/>
  <c r="J2265" i="8"/>
  <c r="L2265" i="8" s="1"/>
  <c r="N2265" i="8" s="1"/>
  <c r="J1244" i="8"/>
  <c r="L1244" i="8" s="1"/>
  <c r="N1244" i="8" s="1"/>
  <c r="J1233" i="8"/>
  <c r="L1233" i="8" s="1"/>
  <c r="N1233" i="8" s="1"/>
  <c r="J1221" i="8"/>
  <c r="L1221" i="8" s="1"/>
  <c r="N1221" i="8" s="1"/>
  <c r="J1201" i="8"/>
  <c r="L1201" i="8" s="1"/>
  <c r="N1201" i="8" s="1"/>
  <c r="J1197" i="8"/>
  <c r="L1197" i="8" s="1"/>
  <c r="N1197" i="8" s="1"/>
  <c r="J1194" i="8"/>
  <c r="L1194" i="8" s="1"/>
  <c r="N1194" i="8" s="1"/>
  <c r="J14" i="8"/>
  <c r="L14" i="8" s="1"/>
  <c r="N14" i="8" s="1"/>
  <c r="J10" i="8"/>
  <c r="L10" i="8" s="1"/>
  <c r="N10" i="8" s="1"/>
  <c r="J183" i="8"/>
  <c r="L183" i="8" s="1"/>
  <c r="N183" i="8" s="1"/>
  <c r="J2007" i="8"/>
  <c r="L2007" i="8" s="1"/>
  <c r="N2007" i="8" s="1"/>
  <c r="J2039" i="8"/>
  <c r="L2039" i="8" s="1"/>
  <c r="N2039" i="8" s="1"/>
  <c r="J1181" i="8"/>
  <c r="L1181" i="8" s="1"/>
  <c r="N1181" i="8" s="1"/>
  <c r="J1175" i="8"/>
  <c r="L1175" i="8" s="1"/>
  <c r="N1175" i="8" s="1"/>
  <c r="J179" i="8"/>
  <c r="L179" i="8" s="1"/>
  <c r="N179" i="8" s="1"/>
  <c r="J178" i="8"/>
  <c r="L178" i="8" s="1"/>
  <c r="N178" i="8" s="1"/>
  <c r="J1153" i="8"/>
  <c r="L1153" i="8" s="1"/>
  <c r="N1153" i="8" s="1"/>
  <c r="J1145" i="8"/>
  <c r="L1145" i="8" s="1"/>
  <c r="N1145" i="8" s="1"/>
  <c r="J1139" i="8"/>
  <c r="L1139" i="8" s="1"/>
  <c r="N1139" i="8" s="1"/>
  <c r="J1132" i="8"/>
  <c r="L1132" i="8" s="1"/>
  <c r="N1132" i="8" s="1"/>
  <c r="J1124" i="8"/>
  <c r="L1124" i="8" s="1"/>
  <c r="N1124" i="8" s="1"/>
  <c r="J1118" i="8"/>
  <c r="L1118" i="8" s="1"/>
  <c r="N1118" i="8" s="1"/>
  <c r="J1112" i="8"/>
  <c r="L1112" i="8" s="1"/>
  <c r="N1112" i="8" s="1"/>
  <c r="J1105" i="8"/>
  <c r="L1105" i="8" s="1"/>
  <c r="N1105" i="8" s="1"/>
  <c r="J1100" i="8"/>
  <c r="L1100" i="8" s="1"/>
  <c r="N1100" i="8" s="1"/>
  <c r="J66" i="8"/>
  <c r="L66" i="8" s="1"/>
  <c r="N66" i="8" s="1"/>
  <c r="J1091" i="8"/>
  <c r="L1091" i="8" s="1"/>
  <c r="N1091" i="8" s="1"/>
  <c r="J2261" i="8"/>
  <c r="L2261" i="8" s="1"/>
  <c r="N2261" i="8" s="1"/>
  <c r="J1078" i="8"/>
  <c r="L1078" i="8" s="1"/>
  <c r="N1078" i="8" s="1"/>
  <c r="J1072" i="8"/>
  <c r="L1072" i="8" s="1"/>
  <c r="N1072" i="8" s="1"/>
  <c r="J36" i="8"/>
  <c r="L36" i="8" s="1"/>
  <c r="N36" i="8" s="1"/>
  <c r="J1063" i="8"/>
  <c r="L1063" i="8" s="1"/>
  <c r="N1063" i="8" s="1"/>
  <c r="J172" i="8"/>
  <c r="L172" i="8" s="1"/>
  <c r="N172" i="8" s="1"/>
  <c r="J1053" i="8"/>
  <c r="L1053" i="8" s="1"/>
  <c r="N1053" i="8" s="1"/>
  <c r="J1047" i="8"/>
  <c r="L1047" i="8" s="1"/>
  <c r="N1047" i="8" s="1"/>
  <c r="J170" i="8"/>
  <c r="L170" i="8" s="1"/>
  <c r="N170" i="8" s="1"/>
  <c r="J2108" i="8"/>
  <c r="L2108" i="8" s="1"/>
  <c r="N2108" i="8" s="1"/>
  <c r="J1023" i="8"/>
  <c r="L1023" i="8" s="1"/>
  <c r="N1023" i="8" s="1"/>
  <c r="J1016" i="8"/>
  <c r="L1016" i="8" s="1"/>
  <c r="N1016" i="8" s="1"/>
  <c r="J1008" i="8"/>
  <c r="L1008" i="8" s="1"/>
  <c r="N1008" i="8" s="1"/>
  <c r="J997" i="8"/>
  <c r="L997" i="8" s="1"/>
  <c r="N997" i="8" s="1"/>
  <c r="J2105" i="8"/>
  <c r="L2105" i="8" s="1"/>
  <c r="N2105" i="8" s="1"/>
  <c r="J991" i="8"/>
  <c r="L991" i="8" s="1"/>
  <c r="N991" i="8" s="1"/>
  <c r="J2254" i="8"/>
  <c r="L2254" i="8" s="1"/>
  <c r="N2254" i="8" s="1"/>
  <c r="J168" i="8"/>
  <c r="L168" i="8" s="1"/>
  <c r="N168" i="8" s="1"/>
  <c r="J2252" i="8"/>
  <c r="L2252" i="8" s="1"/>
  <c r="N2252" i="8" s="1"/>
  <c r="J962" i="8"/>
  <c r="L962" i="8" s="1"/>
  <c r="N962" i="8" s="1"/>
  <c r="J951" i="8"/>
  <c r="L951" i="8" s="1"/>
  <c r="N951" i="8" s="1"/>
  <c r="J924" i="8"/>
  <c r="L924" i="8" s="1"/>
  <c r="N924" i="8" s="1"/>
  <c r="J913" i="8"/>
  <c r="L913" i="8" s="1"/>
  <c r="N913" i="8" s="1"/>
  <c r="J909" i="8"/>
  <c r="L909" i="8" s="1"/>
  <c r="N909" i="8" s="1"/>
  <c r="J163" i="8"/>
  <c r="L163" i="8" s="1"/>
  <c r="N163" i="8" s="1"/>
  <c r="J893" i="8"/>
  <c r="L893" i="8" s="1"/>
  <c r="N893" i="8" s="1"/>
  <c r="J888" i="8"/>
  <c r="L888" i="8" s="1"/>
  <c r="N888" i="8" s="1"/>
  <c r="J883" i="8"/>
  <c r="L883" i="8" s="1"/>
  <c r="N883" i="8" s="1"/>
  <c r="J876" i="8"/>
  <c r="L876" i="8" s="1"/>
  <c r="N876" i="8" s="1"/>
  <c r="J870" i="8"/>
  <c r="L870" i="8" s="1"/>
  <c r="N870" i="8" s="1"/>
  <c r="J9" i="8"/>
  <c r="L9" i="8" s="1"/>
  <c r="N9" i="8" s="1"/>
  <c r="J350" i="8"/>
  <c r="L350" i="8" s="1"/>
  <c r="N350" i="8" s="1"/>
  <c r="K350" i="8"/>
  <c r="M350" i="8" s="1"/>
  <c r="J91" i="8"/>
  <c r="L91" i="8" s="1"/>
  <c r="N91" i="8" s="1"/>
  <c r="K91" i="8"/>
  <c r="M91" i="8" s="1"/>
  <c r="J376" i="8"/>
  <c r="L376" i="8" s="1"/>
  <c r="N376" i="8" s="1"/>
  <c r="K376" i="8"/>
  <c r="M376" i="8" s="1"/>
  <c r="J2145" i="8"/>
  <c r="L2145" i="8" s="1"/>
  <c r="N2145" i="8" s="1"/>
  <c r="K2145" i="8"/>
  <c r="M2145" i="8" s="1"/>
  <c r="J401" i="8"/>
  <c r="L401" i="8" s="1"/>
  <c r="N401" i="8" s="1"/>
  <c r="K401" i="8"/>
  <c r="M401" i="8" s="1"/>
  <c r="J2064" i="8"/>
  <c r="L2064" i="8" s="1"/>
  <c r="N2064" i="8" s="1"/>
  <c r="K2064" i="8"/>
  <c r="M2064" i="8" s="1"/>
  <c r="J473" i="8"/>
  <c r="L473" i="8" s="1"/>
  <c r="N473" i="8" s="1"/>
  <c r="K473" i="8"/>
  <c r="M473" i="8" s="1"/>
  <c r="J507" i="8"/>
  <c r="L507" i="8" s="1"/>
  <c r="N507" i="8" s="1"/>
  <c r="K507" i="8"/>
  <c r="M507" i="8" s="1"/>
  <c r="J2230" i="8"/>
  <c r="L2230" i="8" s="1"/>
  <c r="N2230" i="8" s="1"/>
  <c r="K2230" i="8"/>
  <c r="M2230" i="8" s="1"/>
  <c r="K595" i="8"/>
  <c r="M595" i="8" s="1"/>
  <c r="J595" i="8"/>
  <c r="L595" i="8" s="1"/>
  <c r="N595" i="8" s="1"/>
  <c r="J2243" i="8"/>
  <c r="L2243" i="8" s="1"/>
  <c r="N2243" i="8" s="1"/>
  <c r="K2243" i="8"/>
  <c r="M2243" i="8" s="1"/>
  <c r="J692" i="8"/>
  <c r="L692" i="8" s="1"/>
  <c r="N692" i="8" s="1"/>
  <c r="K692" i="8"/>
  <c r="M692" i="8" s="1"/>
  <c r="J721" i="8"/>
  <c r="L721" i="8" s="1"/>
  <c r="N721" i="8" s="1"/>
  <c r="K721" i="8"/>
  <c r="M721" i="8" s="1"/>
  <c r="J716" i="8"/>
  <c r="L716" i="8" s="1"/>
  <c r="N716" i="8" s="1"/>
  <c r="K716" i="8"/>
  <c r="M716" i="8" s="1"/>
  <c r="J927" i="8"/>
  <c r="L927" i="8" s="1"/>
  <c r="N927" i="8" s="1"/>
  <c r="K927" i="8"/>
  <c r="M927" i="8" s="1"/>
  <c r="J957" i="8"/>
  <c r="L957" i="8" s="1"/>
  <c r="N957" i="8" s="1"/>
  <c r="K957" i="8"/>
  <c r="M957" i="8" s="1"/>
  <c r="J985" i="8"/>
  <c r="L985" i="8" s="1"/>
  <c r="N985" i="8" s="1"/>
  <c r="K985" i="8"/>
  <c r="M985" i="8" s="1"/>
  <c r="J1044" i="8"/>
  <c r="L1044" i="8" s="1"/>
  <c r="N1044" i="8" s="1"/>
  <c r="K1044" i="8"/>
  <c r="M1044" i="8" s="1"/>
  <c r="J1079" i="8"/>
  <c r="L1079" i="8" s="1"/>
  <c r="N1079" i="8" s="1"/>
  <c r="K1079" i="8"/>
  <c r="M1079" i="8" s="1"/>
  <c r="J1057" i="8"/>
  <c r="L1057" i="8" s="1"/>
  <c r="N1057" i="8" s="1"/>
  <c r="K1057" i="8"/>
  <c r="M1057" i="8" s="1"/>
  <c r="J1150" i="8"/>
  <c r="L1150" i="8" s="1"/>
  <c r="N1150" i="8" s="1"/>
  <c r="K1150" i="8"/>
  <c r="M1150" i="8" s="1"/>
  <c r="J1183" i="8"/>
  <c r="L1183" i="8" s="1"/>
  <c r="N1183" i="8" s="1"/>
  <c r="K1183" i="8"/>
  <c r="M1183" i="8" s="1"/>
  <c r="J1209" i="8"/>
  <c r="L1209" i="8" s="1"/>
  <c r="N1209" i="8" s="1"/>
  <c r="K1209" i="8"/>
  <c r="M1209" i="8" s="1"/>
  <c r="J1261" i="8"/>
  <c r="L1261" i="8" s="1"/>
  <c r="N1261" i="8" s="1"/>
  <c r="K1261" i="8"/>
  <c r="M1261" i="8" s="1"/>
  <c r="J1229" i="8"/>
  <c r="L1229" i="8" s="1"/>
  <c r="N1229" i="8" s="1"/>
  <c r="K1229" i="8"/>
  <c r="M1229" i="8" s="1"/>
  <c r="J1270" i="8"/>
  <c r="L1270" i="8" s="1"/>
  <c r="N1270" i="8" s="1"/>
  <c r="K1270" i="8"/>
  <c r="M1270" i="8" s="1"/>
  <c r="J1309" i="8"/>
  <c r="L1309" i="8" s="1"/>
  <c r="N1309" i="8" s="1"/>
  <c r="K1309" i="8"/>
  <c r="M1309" i="8" s="1"/>
  <c r="J1292" i="8"/>
  <c r="L1292" i="8" s="1"/>
  <c r="N1292" i="8" s="1"/>
  <c r="K1292" i="8"/>
  <c r="M1292" i="8" s="1"/>
  <c r="J1351" i="8"/>
  <c r="L1351" i="8" s="1"/>
  <c r="N1351" i="8" s="1"/>
  <c r="K1351" i="8"/>
  <c r="M1351" i="8" s="1"/>
  <c r="J1327" i="8"/>
  <c r="L1327" i="8" s="1"/>
  <c r="N1327" i="8" s="1"/>
  <c r="K1327" i="8"/>
  <c r="M1327" i="8" s="1"/>
  <c r="J1367" i="8"/>
  <c r="L1367" i="8" s="1"/>
  <c r="N1367" i="8" s="1"/>
  <c r="K1367" i="8"/>
  <c r="M1367" i="8" s="1"/>
  <c r="J1426" i="8"/>
  <c r="L1426" i="8" s="1"/>
  <c r="N1426" i="8" s="1"/>
  <c r="K1426" i="8"/>
  <c r="M1426" i="8" s="1"/>
  <c r="J74" i="8"/>
  <c r="L74" i="8" s="1"/>
  <c r="N74" i="8" s="1"/>
  <c r="K74" i="8"/>
  <c r="M74" i="8" s="1"/>
  <c r="J2284" i="8"/>
  <c r="L2284" i="8" s="1"/>
  <c r="N2284" i="8" s="1"/>
  <c r="K2284" i="8"/>
  <c r="M2284" i="8" s="1"/>
  <c r="J1555" i="8"/>
  <c r="L1555" i="8" s="1"/>
  <c r="N1555" i="8" s="1"/>
  <c r="K1555" i="8"/>
  <c r="M1555" i="8" s="1"/>
  <c r="J1593" i="8"/>
  <c r="L1593" i="8" s="1"/>
  <c r="N1593" i="8" s="1"/>
  <c r="K1593" i="8"/>
  <c r="M1593" i="8" s="1"/>
  <c r="J1586" i="8"/>
  <c r="L1586" i="8" s="1"/>
  <c r="N1586" i="8" s="1"/>
  <c r="K1586" i="8"/>
  <c r="M1586" i="8" s="1"/>
  <c r="J1572" i="8"/>
  <c r="L1572" i="8" s="1"/>
  <c r="N1572" i="8" s="1"/>
  <c r="K1572" i="8"/>
  <c r="M1572" i="8" s="1"/>
  <c r="J1655" i="8"/>
  <c r="L1655" i="8" s="1"/>
  <c r="N1655" i="8" s="1"/>
  <c r="K1655" i="8"/>
  <c r="M1655" i="8" s="1"/>
  <c r="J235" i="8"/>
  <c r="L235" i="8" s="1"/>
  <c r="N235" i="8" s="1"/>
  <c r="K235" i="8"/>
  <c r="M235" i="8" s="1"/>
  <c r="J1715" i="8"/>
  <c r="L1715" i="8" s="1"/>
  <c r="N1715" i="8" s="1"/>
  <c r="K1715" i="8"/>
  <c r="M1715" i="8" s="1"/>
  <c r="J2121" i="8"/>
  <c r="L2121" i="8" s="1"/>
  <c r="N2121" i="8" s="1"/>
  <c r="K2121" i="8"/>
  <c r="M2121" i="8" s="1"/>
  <c r="J255" i="8"/>
  <c r="L255" i="8" s="1"/>
  <c r="N255" i="8" s="1"/>
  <c r="K255" i="8"/>
  <c r="M255" i="8" s="1"/>
  <c r="J1758" i="8"/>
  <c r="L1758" i="8" s="1"/>
  <c r="N1758" i="8" s="1"/>
  <c r="K1758" i="8"/>
  <c r="M1758" i="8" s="1"/>
  <c r="J1891" i="8"/>
  <c r="L1891" i="8" s="1"/>
  <c r="N1891" i="8" s="1"/>
  <c r="K1891" i="8"/>
  <c r="M1891" i="8" s="1"/>
  <c r="J1966" i="8"/>
  <c r="L1966" i="8" s="1"/>
  <c r="N1966" i="8" s="1"/>
  <c r="K1966" i="8"/>
  <c r="M1966" i="8" s="1"/>
  <c r="J1944" i="8"/>
  <c r="L1944" i="8" s="1"/>
  <c r="N1944" i="8" s="1"/>
  <c r="K1944" i="8"/>
  <c r="M1944" i="8" s="1"/>
  <c r="J349" i="8"/>
  <c r="L349" i="8" s="1"/>
  <c r="N349" i="8" s="1"/>
  <c r="K349" i="8"/>
  <c r="M349" i="8" s="1"/>
  <c r="J422" i="8"/>
  <c r="L422" i="8" s="1"/>
  <c r="N422" i="8" s="1"/>
  <c r="K422" i="8"/>
  <c r="M422" i="8" s="1"/>
  <c r="J434" i="8"/>
  <c r="L434" i="8" s="1"/>
  <c r="N434" i="8" s="1"/>
  <c r="K434" i="8"/>
  <c r="M434" i="8" s="1"/>
  <c r="J532" i="8"/>
  <c r="L532" i="8" s="1"/>
  <c r="N532" i="8" s="1"/>
  <c r="K532" i="8"/>
  <c r="M532" i="8" s="1"/>
  <c r="J2099" i="8"/>
  <c r="L2099" i="8" s="1"/>
  <c r="N2099" i="8" s="1"/>
  <c r="K2099" i="8"/>
  <c r="M2099" i="8" s="1"/>
  <c r="J899" i="8"/>
  <c r="L899" i="8" s="1"/>
  <c r="N899" i="8" s="1"/>
  <c r="K899" i="8"/>
  <c r="M899" i="8" s="1"/>
  <c r="J1397" i="8"/>
  <c r="L1397" i="8" s="1"/>
  <c r="N1397" i="8" s="1"/>
  <c r="K1397" i="8"/>
  <c r="M1397" i="8" s="1"/>
  <c r="J1511" i="8"/>
  <c r="L1511" i="8" s="1"/>
  <c r="N1511" i="8" s="1"/>
  <c r="K1511" i="8"/>
  <c r="M1511" i="8" s="1"/>
  <c r="J1515" i="8"/>
  <c r="L1515" i="8" s="1"/>
  <c r="N1515" i="8" s="1"/>
  <c r="K1515" i="8"/>
  <c r="M1515" i="8" s="1"/>
  <c r="J1580" i="8"/>
  <c r="L1580" i="8" s="1"/>
  <c r="N1580" i="8" s="1"/>
  <c r="K1580" i="8"/>
  <c r="M1580" i="8" s="1"/>
  <c r="J269" i="8"/>
  <c r="L269" i="8" s="1"/>
  <c r="N269" i="8" s="1"/>
  <c r="K269" i="8"/>
  <c r="M269" i="8" s="1"/>
  <c r="K867" i="8"/>
  <c r="M867" i="8" s="1"/>
  <c r="J867" i="8"/>
  <c r="L867" i="8" s="1"/>
  <c r="N867" i="8" s="1"/>
  <c r="J1433" i="8"/>
  <c r="L1433" i="8" s="1"/>
  <c r="N1433" i="8" s="1"/>
  <c r="K1433" i="8"/>
  <c r="M1433" i="8" s="1"/>
  <c r="J1246" i="8"/>
  <c r="L1246" i="8" s="1"/>
  <c r="N1246" i="8" s="1"/>
  <c r="K1246" i="8"/>
  <c r="M1246" i="8" s="1"/>
  <c r="J375" i="8"/>
  <c r="L375" i="8" s="1"/>
  <c r="N375" i="8" s="1"/>
  <c r="K375" i="8"/>
  <c r="M375" i="8" s="1"/>
  <c r="K293" i="8"/>
  <c r="M293" i="8" s="1"/>
  <c r="J293" i="8"/>
  <c r="L293" i="8" s="1"/>
  <c r="N293" i="8" s="1"/>
  <c r="K1658" i="8"/>
  <c r="M1658" i="8" s="1"/>
  <c r="J1658" i="8"/>
  <c r="L1658" i="8" s="1"/>
  <c r="N1658" i="8" s="1"/>
  <c r="K1953" i="8"/>
  <c r="M1953" i="8" s="1"/>
  <c r="J2214" i="8"/>
  <c r="L2214" i="8" s="1"/>
  <c r="N2214" i="8" s="1"/>
  <c r="J82" i="8"/>
  <c r="L82" i="8" s="1"/>
  <c r="N82" i="8" s="1"/>
  <c r="K640" i="8"/>
  <c r="M640" i="8" s="1"/>
  <c r="K1364" i="8"/>
  <c r="M1364" i="8" s="1"/>
  <c r="J1816" i="8"/>
  <c r="L1816" i="8" s="1"/>
  <c r="N1816" i="8" s="1"/>
  <c r="J28" i="8"/>
  <c r="L28" i="8" s="1"/>
  <c r="N28" i="8" s="1"/>
  <c r="J127" i="8"/>
  <c r="L127" i="8" s="1"/>
  <c r="N127" i="8" s="1"/>
  <c r="J1981" i="8"/>
  <c r="L1981" i="8" s="1"/>
  <c r="N1981" i="8" s="1"/>
  <c r="J1060" i="8"/>
  <c r="L1060" i="8" s="1"/>
  <c r="N1060" i="8" s="1"/>
  <c r="K49" i="8"/>
  <c r="M49" i="8" s="1"/>
  <c r="K1984" i="8"/>
  <c r="M1984" i="8" s="1"/>
  <c r="K1978" i="8"/>
  <c r="M1978" i="8" s="1"/>
  <c r="K1973" i="8"/>
  <c r="M1973" i="8" s="1"/>
  <c r="K1967" i="8"/>
  <c r="M1967" i="8" s="1"/>
  <c r="K2031" i="8"/>
  <c r="M2031" i="8" s="1"/>
  <c r="K1958" i="8"/>
  <c r="M1958" i="8" s="1"/>
  <c r="K1950" i="8"/>
  <c r="M1950" i="8" s="1"/>
  <c r="K1945" i="8"/>
  <c r="M1945" i="8" s="1"/>
  <c r="K276" i="8"/>
  <c r="M276" i="8" s="1"/>
  <c r="K274" i="8"/>
  <c r="M274" i="8" s="1"/>
  <c r="K1934" i="8"/>
  <c r="M1934" i="8" s="1"/>
  <c r="K1930" i="8"/>
  <c r="M1930" i="8" s="1"/>
  <c r="K1925" i="8"/>
  <c r="M1925" i="8" s="1"/>
  <c r="K1922" i="8"/>
  <c r="M1922" i="8" s="1"/>
  <c r="K1917" i="8"/>
  <c r="M1917" i="8" s="1"/>
  <c r="K271" i="8"/>
  <c r="M271" i="8" s="1"/>
  <c r="K267" i="8"/>
  <c r="M267" i="8" s="1"/>
  <c r="K2132" i="8"/>
  <c r="M2132" i="8" s="1"/>
  <c r="K1901" i="8"/>
  <c r="M1901" i="8" s="1"/>
  <c r="K1895" i="8"/>
  <c r="M1895" i="8" s="1"/>
  <c r="K1890" i="8"/>
  <c r="M1890" i="8" s="1"/>
  <c r="K1881" i="8"/>
  <c r="M1881" i="8" s="1"/>
  <c r="K1877" i="8"/>
  <c r="M1877" i="8" s="1"/>
  <c r="K265" i="8"/>
  <c r="M265" i="8" s="1"/>
  <c r="K44" i="8"/>
  <c r="M44" i="8" s="1"/>
  <c r="K2030" i="8"/>
  <c r="M2030" i="8" s="1"/>
  <c r="K1870" i="8"/>
  <c r="M1870" i="8" s="1"/>
  <c r="K1865" i="8"/>
  <c r="M1865" i="8" s="1"/>
  <c r="K1861" i="8"/>
  <c r="M1861" i="8" s="1"/>
  <c r="K264" i="8"/>
  <c r="M264" i="8" s="1"/>
  <c r="K1852" i="8"/>
  <c r="M1852" i="8" s="1"/>
  <c r="K1846" i="8"/>
  <c r="M1846" i="8" s="1"/>
  <c r="K1843" i="8"/>
  <c r="M1843" i="8" s="1"/>
  <c r="K1837" i="8"/>
  <c r="M1837" i="8" s="1"/>
  <c r="K261" i="8"/>
  <c r="M261" i="8" s="1"/>
  <c r="K1827" i="8"/>
  <c r="M1827" i="8" s="1"/>
  <c r="K1820" i="8"/>
  <c r="M1820" i="8" s="1"/>
  <c r="K1812" i="8"/>
  <c r="M1812" i="8" s="1"/>
  <c r="K1806" i="8"/>
  <c r="M1806" i="8" s="1"/>
  <c r="K1798" i="8"/>
  <c r="M1798" i="8" s="1"/>
  <c r="K1792" i="8"/>
  <c r="M1792" i="8" s="1"/>
  <c r="K1783" i="8"/>
  <c r="M1783" i="8" s="1"/>
  <c r="K1778" i="8"/>
  <c r="M1778" i="8" s="1"/>
  <c r="K1774" i="8"/>
  <c r="M1774" i="8" s="1"/>
  <c r="K1772" i="8"/>
  <c r="M1772" i="8" s="1"/>
  <c r="K2296" i="8"/>
  <c r="M2296" i="8" s="1"/>
  <c r="K1765" i="8"/>
  <c r="M1765" i="8" s="1"/>
  <c r="K1756" i="8"/>
  <c r="M1756" i="8" s="1"/>
  <c r="K1745" i="8"/>
  <c r="M1745" i="8" s="1"/>
  <c r="K2127" i="8"/>
  <c r="M2127" i="8" s="1"/>
  <c r="K1734" i="8"/>
  <c r="M1734" i="8" s="1"/>
  <c r="K248" i="8"/>
  <c r="M248" i="8" s="1"/>
  <c r="K245" i="8"/>
  <c r="M245" i="8" s="1"/>
  <c r="K1723" i="8"/>
  <c r="M1723" i="8" s="1"/>
  <c r="K1713" i="8"/>
  <c r="M1713" i="8" s="1"/>
  <c r="K1707" i="8"/>
  <c r="M1707" i="8" s="1"/>
  <c r="K1704" i="8"/>
  <c r="M1704" i="8" s="1"/>
  <c r="K1692" i="8"/>
  <c r="M1692" i="8" s="1"/>
  <c r="K1686" i="8"/>
  <c r="M1686" i="8" s="1"/>
  <c r="K1678" i="8"/>
  <c r="M1678" i="8" s="1"/>
  <c r="K237" i="8"/>
  <c r="M237" i="8" s="1"/>
  <c r="K1670" i="8"/>
  <c r="M1670" i="8" s="1"/>
  <c r="K1661" i="8"/>
  <c r="M1661" i="8" s="1"/>
  <c r="K1644" i="8"/>
  <c r="M1644" i="8" s="1"/>
  <c r="K1630" i="8"/>
  <c r="M1630" i="8" s="1"/>
  <c r="K2120" i="8"/>
  <c r="M2120" i="8" s="1"/>
  <c r="K2288" i="8"/>
  <c r="M2288" i="8" s="1"/>
  <c r="K1611" i="8"/>
  <c r="M1611" i="8" s="1"/>
  <c r="K1598" i="8"/>
  <c r="M1598" i="8" s="1"/>
  <c r="K1583" i="8"/>
  <c r="M1583" i="8" s="1"/>
  <c r="K1579" i="8"/>
  <c r="M1579" i="8" s="1"/>
  <c r="K2282" i="8"/>
  <c r="M2282" i="8" s="1"/>
  <c r="K1556" i="8"/>
  <c r="M1556" i="8" s="1"/>
  <c r="K227" i="8"/>
  <c r="M227" i="8" s="1"/>
  <c r="K2050" i="8"/>
  <c r="M2050" i="8" s="1"/>
  <c r="K1541" i="8"/>
  <c r="M1541" i="8" s="1"/>
  <c r="K1536" i="8"/>
  <c r="M1536" i="8" s="1"/>
  <c r="K2278" i="8"/>
  <c r="M2278" i="8" s="1"/>
  <c r="K1517" i="8"/>
  <c r="M1517" i="8" s="1"/>
  <c r="K1509" i="8"/>
  <c r="M1509" i="8" s="1"/>
  <c r="K1505" i="8"/>
  <c r="M1505" i="8" s="1"/>
  <c r="K1492" i="8"/>
  <c r="M1492" i="8" s="1"/>
  <c r="K2274" i="8"/>
  <c r="M2274" i="8" s="1"/>
  <c r="K222" i="8"/>
  <c r="M222" i="8" s="1"/>
  <c r="K1486" i="8"/>
  <c r="M1486" i="8" s="1"/>
  <c r="K1476" i="8"/>
  <c r="M1476" i="8" s="1"/>
  <c r="K1471" i="8"/>
  <c r="M1471" i="8" s="1"/>
  <c r="K1467" i="8"/>
  <c r="M1467" i="8" s="1"/>
  <c r="K1461" i="8"/>
  <c r="M1461" i="8" s="1"/>
  <c r="K1453" i="8"/>
  <c r="M1453" i="8" s="1"/>
  <c r="K220" i="8"/>
  <c r="M220" i="8" s="1"/>
  <c r="K1436" i="8"/>
  <c r="M1436" i="8" s="1"/>
  <c r="K1431" i="8"/>
  <c r="M1431" i="8" s="1"/>
  <c r="K1416" i="8"/>
  <c r="M1416" i="8" s="1"/>
  <c r="K2272" i="8"/>
  <c r="M2272" i="8" s="1"/>
  <c r="K1393" i="8"/>
  <c r="M1393" i="8" s="1"/>
  <c r="K1389" i="8"/>
  <c r="M1389" i="8" s="1"/>
  <c r="K1380" i="8"/>
  <c r="M1380" i="8" s="1"/>
  <c r="K1373" i="8"/>
  <c r="M1373" i="8" s="1"/>
  <c r="K207" i="8"/>
  <c r="M207" i="8" s="1"/>
  <c r="K205" i="8"/>
  <c r="M205" i="8" s="1"/>
  <c r="K1353" i="8"/>
  <c r="M1353" i="8" s="1"/>
  <c r="K201" i="8"/>
  <c r="M201" i="8" s="1"/>
  <c r="K2041" i="8"/>
  <c r="M2041" i="8" s="1"/>
  <c r="K199" i="8"/>
  <c r="M199" i="8" s="1"/>
  <c r="K40" i="8"/>
  <c r="M40" i="8" s="1"/>
  <c r="K1319" i="8"/>
  <c r="M1319" i="8" s="1"/>
  <c r="K73" i="8"/>
  <c r="M73" i="8" s="1"/>
  <c r="K1308" i="8"/>
  <c r="M1308" i="8" s="1"/>
  <c r="K1295" i="8"/>
  <c r="M1295" i="8" s="1"/>
  <c r="K1285" i="8"/>
  <c r="M1285" i="8" s="1"/>
  <c r="K1281" i="8"/>
  <c r="M1281" i="8" s="1"/>
  <c r="K1272" i="8"/>
  <c r="M1272" i="8" s="1"/>
  <c r="K1256" i="8"/>
  <c r="M1256" i="8" s="1"/>
  <c r="K1249" i="8"/>
  <c r="M1249" i="8" s="1"/>
  <c r="K1241" i="8"/>
  <c r="M1241" i="8" s="1"/>
  <c r="K1230" i="8"/>
  <c r="M1230" i="8" s="1"/>
  <c r="K1218" i="8"/>
  <c r="M1218" i="8" s="1"/>
  <c r="K1200" i="8"/>
  <c r="M1200" i="8" s="1"/>
  <c r="K1196" i="8"/>
  <c r="M1196" i="8" s="1"/>
  <c r="K1193" i="8"/>
  <c r="M1193" i="8" s="1"/>
  <c r="K13" i="8"/>
  <c r="M13" i="8" s="1"/>
  <c r="K1191" i="8"/>
  <c r="M1191" i="8" s="1"/>
  <c r="K2010" i="8"/>
  <c r="M2010" i="8" s="1"/>
  <c r="K2006" i="8"/>
  <c r="M2006" i="8" s="1"/>
  <c r="K1187" i="8"/>
  <c r="M1187" i="8" s="1"/>
  <c r="K2038" i="8"/>
  <c r="M2038" i="8" s="1"/>
  <c r="K1179" i="8"/>
  <c r="M1179" i="8" s="1"/>
  <c r="K1174" i="8"/>
  <c r="M1174" i="8" s="1"/>
  <c r="K1167" i="8"/>
  <c r="M1167" i="8" s="1"/>
  <c r="K177" i="8"/>
  <c r="M177" i="8" s="1"/>
  <c r="K1151" i="8"/>
  <c r="M1151" i="8" s="1"/>
  <c r="K1143" i="8"/>
  <c r="M1143" i="8" s="1"/>
  <c r="K1137" i="8"/>
  <c r="M1137" i="8" s="1"/>
  <c r="K1131" i="8"/>
  <c r="M1131" i="8" s="1"/>
  <c r="K1123" i="8"/>
  <c r="M1123" i="8" s="1"/>
  <c r="K1116" i="8"/>
  <c r="M1116" i="8" s="1"/>
  <c r="K1111" i="8"/>
  <c r="M1111" i="8" s="1"/>
  <c r="K1103" i="8"/>
  <c r="M1103" i="8" s="1"/>
  <c r="K1099" i="8"/>
  <c r="M1099" i="8" s="1"/>
  <c r="K65" i="8"/>
  <c r="M65" i="8" s="1"/>
  <c r="K173" i="8"/>
  <c r="M173" i="8" s="1"/>
  <c r="K1090" i="8"/>
  <c r="M1090" i="8" s="1"/>
  <c r="K1088" i="8"/>
  <c r="M1088" i="8" s="1"/>
  <c r="K1077" i="8"/>
  <c r="M1077" i="8" s="1"/>
  <c r="K1069" i="8"/>
  <c r="M1069" i="8" s="1"/>
  <c r="K35" i="8"/>
  <c r="M35" i="8" s="1"/>
  <c r="K1061" i="8"/>
  <c r="M1061" i="8" s="1"/>
  <c r="K171" i="8"/>
  <c r="M171" i="8" s="1"/>
  <c r="K1051" i="8"/>
  <c r="M1051" i="8" s="1"/>
  <c r="K1046" i="8"/>
  <c r="M1046" i="8" s="1"/>
  <c r="K169" i="8"/>
  <c r="M169" i="8" s="1"/>
  <c r="K2107" i="8"/>
  <c r="M2107" i="8" s="1"/>
  <c r="K1021" i="8"/>
  <c r="M1021" i="8" s="1"/>
  <c r="K1014" i="8"/>
  <c r="M1014" i="8" s="1"/>
  <c r="K2257" i="8"/>
  <c r="M2257" i="8" s="1"/>
  <c r="K996" i="8"/>
  <c r="M996" i="8" s="1"/>
  <c r="K995" i="8"/>
  <c r="M995" i="8" s="1"/>
  <c r="K984" i="8"/>
  <c r="M984" i="8" s="1"/>
  <c r="K980" i="8"/>
  <c r="M980" i="8" s="1"/>
  <c r="K167" i="8"/>
  <c r="M167" i="8" s="1"/>
  <c r="K972" i="8"/>
  <c r="M972" i="8" s="1"/>
  <c r="K961" i="8"/>
  <c r="M961" i="8" s="1"/>
  <c r="K945" i="8"/>
  <c r="M945" i="8" s="1"/>
  <c r="K922" i="8"/>
  <c r="M922" i="8" s="1"/>
  <c r="K912" i="8"/>
  <c r="M912" i="8" s="1"/>
  <c r="K907" i="8"/>
  <c r="M907" i="8" s="1"/>
  <c r="K904" i="8"/>
  <c r="M904" i="8" s="1"/>
  <c r="K892" i="8"/>
  <c r="M892" i="8" s="1"/>
  <c r="K887" i="8"/>
  <c r="M887" i="8" s="1"/>
  <c r="K879" i="8"/>
  <c r="M879" i="8" s="1"/>
  <c r="K875" i="8"/>
  <c r="M875" i="8" s="1"/>
  <c r="K869" i="8"/>
  <c r="M869" i="8" s="1"/>
  <c r="K8" i="8"/>
  <c r="M8" i="8" s="1"/>
  <c r="K4" i="8"/>
  <c r="M4" i="8" s="1"/>
  <c r="K863" i="8"/>
  <c r="M863" i="8" s="1"/>
  <c r="K858" i="8"/>
  <c r="M858" i="8" s="1"/>
  <c r="K855" i="8"/>
  <c r="M855" i="8" s="1"/>
  <c r="K854" i="8"/>
  <c r="M854" i="8" s="1"/>
  <c r="K2247" i="8"/>
  <c r="M2247" i="8" s="1"/>
  <c r="K56" i="8"/>
  <c r="M56" i="8" s="1"/>
  <c r="K847" i="8"/>
  <c r="M847" i="8" s="1"/>
  <c r="K1991" i="8"/>
  <c r="M1991" i="8" s="1"/>
  <c r="K1987" i="8"/>
  <c r="M1987" i="8" s="1"/>
  <c r="K844" i="8"/>
  <c r="M844" i="8" s="1"/>
  <c r="K31" i="8"/>
  <c r="M31" i="8" s="1"/>
  <c r="K2026" i="8"/>
  <c r="M2026" i="8" s="1"/>
  <c r="K2022" i="8"/>
  <c r="M2022" i="8" s="1"/>
  <c r="K836" i="8"/>
  <c r="M836" i="8" s="1"/>
  <c r="K830" i="8"/>
  <c r="M830" i="8" s="1"/>
  <c r="K159" i="8"/>
  <c r="M159" i="8" s="1"/>
  <c r="K822" i="8"/>
  <c r="M822" i="8" s="1"/>
  <c r="K2036" i="8"/>
  <c r="M2036" i="8" s="1"/>
  <c r="K814" i="8"/>
  <c r="M814" i="8" s="1"/>
  <c r="K810" i="8"/>
  <c r="M810" i="8" s="1"/>
  <c r="K280" i="8"/>
  <c r="M280" i="8" s="1"/>
  <c r="K313" i="8"/>
  <c r="M313" i="8" s="1"/>
  <c r="J313" i="8"/>
  <c r="L313" i="8" s="1"/>
  <c r="N313" i="8" s="1"/>
  <c r="K394" i="8"/>
  <c r="M394" i="8" s="1"/>
  <c r="J394" i="8"/>
  <c r="L394" i="8" s="1"/>
  <c r="N394" i="8" s="1"/>
  <c r="K408" i="8"/>
  <c r="M408" i="8" s="1"/>
  <c r="J408" i="8"/>
  <c r="L408" i="8" s="1"/>
  <c r="N408" i="8" s="1"/>
  <c r="J448" i="8"/>
  <c r="L448" i="8" s="1"/>
  <c r="N448" i="8" s="1"/>
  <c r="K448" i="8"/>
  <c r="M448" i="8" s="1"/>
  <c r="K2063" i="8"/>
  <c r="M2063" i="8" s="1"/>
  <c r="J2063" i="8"/>
  <c r="L2063" i="8" s="1"/>
  <c r="N2063" i="8" s="1"/>
  <c r="K483" i="8"/>
  <c r="M483" i="8" s="1"/>
  <c r="J483" i="8"/>
  <c r="L483" i="8" s="1"/>
  <c r="N483" i="8" s="1"/>
  <c r="K125" i="8"/>
  <c r="M125" i="8" s="1"/>
  <c r="J125" i="8"/>
  <c r="L125" i="8" s="1"/>
  <c r="N125" i="8" s="1"/>
  <c r="K2073" i="8"/>
  <c r="M2073" i="8" s="1"/>
  <c r="J2073" i="8"/>
  <c r="L2073" i="8" s="1"/>
  <c r="N2073" i="8" s="1"/>
  <c r="K129" i="8"/>
  <c r="M129" i="8" s="1"/>
  <c r="J129" i="8"/>
  <c r="L129" i="8" s="1"/>
  <c r="N129" i="8" s="1"/>
  <c r="K126" i="8"/>
  <c r="M126" i="8" s="1"/>
  <c r="J126" i="8"/>
  <c r="L126" i="8" s="1"/>
  <c r="N126" i="8" s="1"/>
  <c r="K535" i="8"/>
  <c r="M535" i="8" s="1"/>
  <c r="J535" i="8"/>
  <c r="L535" i="8" s="1"/>
  <c r="N535" i="8" s="1"/>
  <c r="K2218" i="8"/>
  <c r="M2218" i="8" s="1"/>
  <c r="J2218" i="8"/>
  <c r="L2218" i="8" s="1"/>
  <c r="N2218" i="8" s="1"/>
  <c r="K584" i="8"/>
  <c r="M584" i="8" s="1"/>
  <c r="J584" i="8"/>
  <c r="L584" i="8" s="1"/>
  <c r="N584" i="8" s="1"/>
  <c r="K579" i="8"/>
  <c r="M579" i="8" s="1"/>
  <c r="J579" i="8"/>
  <c r="L579" i="8" s="1"/>
  <c r="N579" i="8" s="1"/>
  <c r="K568" i="8"/>
  <c r="M568" i="8" s="1"/>
  <c r="J568" i="8"/>
  <c r="L568" i="8" s="1"/>
  <c r="N568" i="8" s="1"/>
  <c r="K639" i="8"/>
  <c r="M639" i="8" s="1"/>
  <c r="J639" i="8"/>
  <c r="L639" i="8" s="1"/>
  <c r="N639" i="8" s="1"/>
  <c r="K676" i="8"/>
  <c r="M676" i="8" s="1"/>
  <c r="J676" i="8"/>
  <c r="L676" i="8" s="1"/>
  <c r="N676" i="8" s="1"/>
  <c r="J690" i="8"/>
  <c r="L690" i="8" s="1"/>
  <c r="N690" i="8" s="1"/>
  <c r="K690" i="8"/>
  <c r="M690" i="8" s="1"/>
  <c r="K687" i="8"/>
  <c r="M687" i="8" s="1"/>
  <c r="J687" i="8"/>
  <c r="L687" i="8" s="1"/>
  <c r="N687" i="8" s="1"/>
  <c r="K691" i="8"/>
  <c r="M691" i="8" s="1"/>
  <c r="J691" i="8"/>
  <c r="L691" i="8" s="1"/>
  <c r="N691" i="8" s="1"/>
  <c r="J729" i="8"/>
  <c r="L729" i="8" s="1"/>
  <c r="N729" i="8" s="1"/>
  <c r="K729" i="8"/>
  <c r="M729" i="8" s="1"/>
  <c r="K741" i="8"/>
  <c r="M741" i="8" s="1"/>
  <c r="J741" i="8"/>
  <c r="L741" i="8" s="1"/>
  <c r="N741" i="8" s="1"/>
  <c r="K760" i="8"/>
  <c r="M760" i="8" s="1"/>
  <c r="J760" i="8"/>
  <c r="L760" i="8" s="1"/>
  <c r="N760" i="8" s="1"/>
  <c r="K919" i="8"/>
  <c r="M919" i="8" s="1"/>
  <c r="J919" i="8"/>
  <c r="L919" i="8" s="1"/>
  <c r="N919" i="8" s="1"/>
  <c r="K1029" i="8"/>
  <c r="M1029" i="8" s="1"/>
  <c r="J1029" i="8"/>
  <c r="L1029" i="8" s="1"/>
  <c r="N1029" i="8" s="1"/>
  <c r="K1087" i="8"/>
  <c r="M1087" i="8" s="1"/>
  <c r="J1087" i="8"/>
  <c r="L1087" i="8" s="1"/>
  <c r="N1087" i="8" s="1"/>
  <c r="K1158" i="8"/>
  <c r="M1158" i="8" s="1"/>
  <c r="J1158" i="8"/>
  <c r="L1158" i="8" s="1"/>
  <c r="N1158" i="8" s="1"/>
  <c r="K1208" i="8"/>
  <c r="M1208" i="8" s="1"/>
  <c r="J1208" i="8"/>
  <c r="L1208" i="8" s="1"/>
  <c r="N1208" i="8" s="1"/>
  <c r="K1260" i="8"/>
  <c r="M1260" i="8" s="1"/>
  <c r="J1260" i="8"/>
  <c r="L1260" i="8" s="1"/>
  <c r="N1260" i="8" s="1"/>
  <c r="J1228" i="8"/>
  <c r="L1228" i="8" s="1"/>
  <c r="N1228" i="8" s="1"/>
  <c r="K1228" i="8"/>
  <c r="M1228" i="8" s="1"/>
  <c r="K1318" i="8"/>
  <c r="M1318" i="8" s="1"/>
  <c r="J1318" i="8"/>
  <c r="L1318" i="8" s="1"/>
  <c r="N1318" i="8" s="1"/>
  <c r="K1383" i="8"/>
  <c r="M1383" i="8" s="1"/>
  <c r="J1383" i="8"/>
  <c r="L1383" i="8" s="1"/>
  <c r="N1383" i="8" s="1"/>
  <c r="K1362" i="8"/>
  <c r="M1362" i="8" s="1"/>
  <c r="J1362" i="8"/>
  <c r="L1362" i="8" s="1"/>
  <c r="N1362" i="8" s="1"/>
  <c r="K1425" i="8"/>
  <c r="M1425" i="8" s="1"/>
  <c r="J1425" i="8"/>
  <c r="L1425" i="8" s="1"/>
  <c r="N1425" i="8" s="1"/>
  <c r="K1421" i="8"/>
  <c r="M1421" i="8" s="1"/>
  <c r="J1421" i="8"/>
  <c r="L1421" i="8" s="1"/>
  <c r="N1421" i="8" s="1"/>
  <c r="K1404" i="8"/>
  <c r="M1404" i="8" s="1"/>
  <c r="J1404" i="8"/>
  <c r="L1404" i="8" s="1"/>
  <c r="N1404" i="8" s="1"/>
  <c r="K1447" i="8"/>
  <c r="M1447" i="8" s="1"/>
  <c r="J1447" i="8"/>
  <c r="L1447" i="8" s="1"/>
  <c r="N1447" i="8" s="1"/>
  <c r="K1439" i="8"/>
  <c r="M1439" i="8" s="1"/>
  <c r="J1439" i="8"/>
  <c r="L1439" i="8" s="1"/>
  <c r="N1439" i="8" s="1"/>
  <c r="K1524" i="8"/>
  <c r="M1524" i="8" s="1"/>
  <c r="J1524" i="8"/>
  <c r="L1524" i="8" s="1"/>
  <c r="N1524" i="8" s="1"/>
  <c r="K2275" i="8"/>
  <c r="M2275" i="8" s="1"/>
  <c r="J2275" i="8"/>
  <c r="L2275" i="8" s="1"/>
  <c r="N2275" i="8" s="1"/>
  <c r="K1603" i="8"/>
  <c r="M1603" i="8" s="1"/>
  <c r="J1603" i="8"/>
  <c r="L1603" i="8" s="1"/>
  <c r="N1603" i="8" s="1"/>
  <c r="K1584" i="8"/>
  <c r="M1584" i="8" s="1"/>
  <c r="J1584" i="8"/>
  <c r="L1584" i="8" s="1"/>
  <c r="N1584" i="8" s="1"/>
  <c r="J1571" i="8"/>
  <c r="L1571" i="8" s="1"/>
  <c r="N1571" i="8" s="1"/>
  <c r="K1571" i="8"/>
  <c r="M1571" i="8" s="1"/>
  <c r="K1625" i="8"/>
  <c r="M1625" i="8" s="1"/>
  <c r="J1625" i="8"/>
  <c r="L1625" i="8" s="1"/>
  <c r="N1625" i="8" s="1"/>
  <c r="K1730" i="8"/>
  <c r="M1730" i="8" s="1"/>
  <c r="J1730" i="8"/>
  <c r="L1730" i="8" s="1"/>
  <c r="N1730" i="8" s="1"/>
  <c r="K1740" i="8"/>
  <c r="M1740" i="8" s="1"/>
  <c r="J1740" i="8"/>
  <c r="L1740" i="8" s="1"/>
  <c r="N1740" i="8" s="1"/>
  <c r="K1764" i="8"/>
  <c r="M1764" i="8" s="1"/>
  <c r="J1764" i="8"/>
  <c r="L1764" i="8" s="1"/>
  <c r="N1764" i="8" s="1"/>
  <c r="K1757" i="8"/>
  <c r="M1757" i="8" s="1"/>
  <c r="J1757" i="8"/>
  <c r="L1757" i="8" s="1"/>
  <c r="N1757" i="8" s="1"/>
  <c r="J1897" i="8"/>
  <c r="L1897" i="8" s="1"/>
  <c r="N1897" i="8" s="1"/>
  <c r="K1897" i="8"/>
  <c r="M1897" i="8" s="1"/>
  <c r="K1955" i="8"/>
  <c r="M1955" i="8" s="1"/>
  <c r="J1955" i="8"/>
  <c r="L1955" i="8" s="1"/>
  <c r="N1955" i="8" s="1"/>
  <c r="K1911" i="8"/>
  <c r="M1911" i="8" s="1"/>
  <c r="J1911" i="8"/>
  <c r="L1911" i="8" s="1"/>
  <c r="N1911" i="8" s="1"/>
  <c r="J1974" i="8"/>
  <c r="L1974" i="8" s="1"/>
  <c r="N1974" i="8" s="1"/>
  <c r="J278" i="8"/>
  <c r="L278" i="8" s="1"/>
  <c r="N278" i="8" s="1"/>
  <c r="K464" i="8"/>
  <c r="M464" i="8" s="1"/>
  <c r="J464" i="8"/>
  <c r="L464" i="8" s="1"/>
  <c r="N464" i="8" s="1"/>
  <c r="J493" i="8"/>
  <c r="L493" i="8" s="1"/>
  <c r="N493" i="8" s="1"/>
  <c r="K493" i="8"/>
  <c r="M493" i="8" s="1"/>
  <c r="K528" i="8"/>
  <c r="M528" i="8" s="1"/>
  <c r="J528" i="8"/>
  <c r="L528" i="8" s="1"/>
  <c r="N528" i="8" s="1"/>
  <c r="K2092" i="8"/>
  <c r="M2092" i="8" s="1"/>
  <c r="J2092" i="8"/>
  <c r="L2092" i="8" s="1"/>
  <c r="N2092" i="8" s="1"/>
  <c r="K737" i="8"/>
  <c r="M737" i="8" s="1"/>
  <c r="J737" i="8"/>
  <c r="L737" i="8" s="1"/>
  <c r="N737" i="8" s="1"/>
  <c r="K644" i="8"/>
  <c r="M644" i="8" s="1"/>
  <c r="J644" i="8"/>
  <c r="L644" i="8" s="1"/>
  <c r="N644" i="8" s="1"/>
  <c r="K752" i="8"/>
  <c r="M752" i="8" s="1"/>
  <c r="J752" i="8"/>
  <c r="L752" i="8" s="1"/>
  <c r="N752" i="8" s="1"/>
  <c r="K898" i="8"/>
  <c r="M898" i="8" s="1"/>
  <c r="J898" i="8"/>
  <c r="L898" i="8" s="1"/>
  <c r="N898" i="8" s="1"/>
  <c r="K1121" i="8"/>
  <c r="M1121" i="8" s="1"/>
  <c r="J1121" i="8"/>
  <c r="L1121" i="8" s="1"/>
  <c r="N1121" i="8" s="1"/>
  <c r="K1305" i="8"/>
  <c r="M1305" i="8" s="1"/>
  <c r="J1305" i="8"/>
  <c r="L1305" i="8" s="1"/>
  <c r="N1305" i="8" s="1"/>
  <c r="K1457" i="8"/>
  <c r="M1457" i="8" s="1"/>
  <c r="J1457" i="8"/>
  <c r="L1457" i="8" s="1"/>
  <c r="N1457" i="8" s="1"/>
  <c r="K78" i="8"/>
  <c r="M78" i="8" s="1"/>
  <c r="J78" i="8"/>
  <c r="L78" i="8" s="1"/>
  <c r="N78" i="8" s="1"/>
  <c r="K1635" i="8"/>
  <c r="M1635" i="8" s="1"/>
  <c r="J1635" i="8"/>
  <c r="L1635" i="8" s="1"/>
  <c r="N1635" i="8" s="1"/>
  <c r="J1750" i="8"/>
  <c r="L1750" i="8" s="1"/>
  <c r="N1750" i="8" s="1"/>
  <c r="K1750" i="8"/>
  <c r="M1750" i="8" s="1"/>
  <c r="K1701" i="8"/>
  <c r="M1701" i="8" s="1"/>
  <c r="J1701" i="8"/>
  <c r="L1701" i="8" s="1"/>
  <c r="N1701" i="8" s="1"/>
  <c r="K2129" i="8"/>
  <c r="M2129" i="8" s="1"/>
  <c r="J2129" i="8"/>
  <c r="L2129" i="8" s="1"/>
  <c r="N2129" i="8" s="1"/>
  <c r="K1885" i="8"/>
  <c r="M1885" i="8" s="1"/>
  <c r="J1885" i="8"/>
  <c r="L1885" i="8" s="1"/>
  <c r="N1885" i="8" s="1"/>
  <c r="J1964" i="8"/>
  <c r="L1964" i="8" s="1"/>
  <c r="N1964" i="8" s="1"/>
  <c r="K585" i="8"/>
  <c r="M585" i="8" s="1"/>
  <c r="J585" i="8"/>
  <c r="L585" i="8" s="1"/>
  <c r="N585" i="8" s="1"/>
  <c r="K1238" i="8"/>
  <c r="M1238" i="8" s="1"/>
  <c r="J1238" i="8"/>
  <c r="L1238" i="8" s="1"/>
  <c r="N1238" i="8" s="1"/>
  <c r="K918" i="8"/>
  <c r="M918" i="8" s="1"/>
  <c r="J918" i="8"/>
  <c r="L918" i="8" s="1"/>
  <c r="N918" i="8" s="1"/>
  <c r="K761" i="8"/>
  <c r="M761" i="8" s="1"/>
  <c r="J761" i="8"/>
  <c r="L761" i="8" s="1"/>
  <c r="N761" i="8" s="1"/>
  <c r="K864" i="8"/>
  <c r="M864" i="8" s="1"/>
  <c r="J864" i="8"/>
  <c r="L864" i="8" s="1"/>
  <c r="N864" i="8" s="1"/>
  <c r="K819" i="8"/>
  <c r="M819" i="8" s="1"/>
  <c r="J819" i="8"/>
  <c r="L819" i="8" s="1"/>
  <c r="N819" i="8" s="1"/>
  <c r="K1022" i="8"/>
  <c r="M1022" i="8" s="1"/>
  <c r="J1022" i="8"/>
  <c r="L1022" i="8" s="1"/>
  <c r="N1022" i="8" s="1"/>
  <c r="K1195" i="8"/>
  <c r="M1195" i="8" s="1"/>
  <c r="J1195" i="8"/>
  <c r="L1195" i="8" s="1"/>
  <c r="N1195" i="8" s="1"/>
  <c r="K1959" i="8"/>
  <c r="M1959" i="8" s="1"/>
  <c r="J1959" i="8"/>
  <c r="L1959" i="8" s="1"/>
  <c r="N1959" i="8" s="1"/>
  <c r="K1929" i="8"/>
  <c r="M1929" i="8" s="1"/>
  <c r="J1929" i="8"/>
  <c r="L1929" i="8" s="1"/>
  <c r="N1929" i="8" s="1"/>
  <c r="K986" i="8"/>
  <c r="M986" i="8" s="1"/>
  <c r="J986" i="8"/>
  <c r="L986" i="8" s="1"/>
  <c r="N986" i="8" s="1"/>
  <c r="K1424" i="8"/>
  <c r="M1424" i="8" s="1"/>
  <c r="J1424" i="8"/>
  <c r="L1424" i="8" s="1"/>
  <c r="N1424" i="8" s="1"/>
  <c r="K1441" i="8"/>
  <c r="M1441" i="8" s="1"/>
  <c r="J1441" i="8"/>
  <c r="L1441" i="8" s="1"/>
  <c r="N1441" i="8" s="1"/>
  <c r="K242" i="8"/>
  <c r="M242" i="8" s="1"/>
  <c r="J1481" i="8"/>
  <c r="L1481" i="8" s="1"/>
  <c r="N1481" i="8" s="1"/>
  <c r="K1814" i="8"/>
  <c r="M1814" i="8" s="1"/>
  <c r="J1259" i="8"/>
  <c r="L1259" i="8" s="1"/>
  <c r="N1259" i="8" s="1"/>
  <c r="K1910" i="8"/>
  <c r="M1910" i="8" s="1"/>
  <c r="J2211" i="8"/>
  <c r="L2211" i="8" s="1"/>
  <c r="N2211" i="8" s="1"/>
  <c r="K494" i="8"/>
  <c r="M494" i="8" s="1"/>
  <c r="K2173" i="8"/>
  <c r="M2173" i="8" s="1"/>
  <c r="J81" i="8"/>
  <c r="L81" i="8" s="1"/>
  <c r="N81" i="8" s="1"/>
  <c r="J1052" i="8"/>
  <c r="L1052" i="8" s="1"/>
  <c r="N1052" i="8" s="1"/>
  <c r="K638" i="8"/>
  <c r="M638" i="8" s="1"/>
  <c r="J449" i="8"/>
  <c r="L449" i="8" s="1"/>
  <c r="N449" i="8" s="1"/>
  <c r="J1332" i="8"/>
  <c r="L1332" i="8" s="1"/>
  <c r="N1332" i="8" s="1"/>
  <c r="K784" i="8"/>
  <c r="M784" i="8" s="1"/>
  <c r="J510" i="8"/>
  <c r="L510" i="8" s="1"/>
  <c r="N510" i="8" s="1"/>
  <c r="K342" i="8"/>
  <c r="M342" i="8" s="1"/>
  <c r="J86" i="8"/>
  <c r="L86" i="8" s="1"/>
  <c r="N86" i="8" s="1"/>
  <c r="J1947" i="8"/>
  <c r="L1947" i="8" s="1"/>
  <c r="N1947" i="8" s="1"/>
  <c r="J1931" i="8"/>
  <c r="L1931" i="8" s="1"/>
  <c r="N1931" i="8" s="1"/>
  <c r="J272" i="8"/>
  <c r="L272" i="8" s="1"/>
  <c r="N272" i="8" s="1"/>
  <c r="J1896" i="8"/>
  <c r="L1896" i="8" s="1"/>
  <c r="N1896" i="8" s="1"/>
  <c r="J45" i="8"/>
  <c r="L45" i="8" s="1"/>
  <c r="N45" i="8" s="1"/>
  <c r="J1748" i="8"/>
  <c r="L1748" i="8" s="1"/>
  <c r="N1748" i="8" s="1"/>
  <c r="K244" i="8"/>
  <c r="M244" i="8" s="1"/>
  <c r="K391" i="8"/>
  <c r="M391" i="8" s="1"/>
  <c r="J391" i="8"/>
  <c r="L391" i="8" s="1"/>
  <c r="N391" i="8" s="1"/>
  <c r="K407" i="8"/>
  <c r="M407" i="8" s="1"/>
  <c r="J407" i="8"/>
  <c r="L407" i="8" s="1"/>
  <c r="N407" i="8" s="1"/>
  <c r="K499" i="8"/>
  <c r="M499" i="8" s="1"/>
  <c r="J499" i="8"/>
  <c r="L499" i="8" s="1"/>
  <c r="N499" i="8" s="1"/>
  <c r="K2200" i="8"/>
  <c r="M2200" i="8" s="1"/>
  <c r="J2200" i="8"/>
  <c r="L2200" i="8" s="1"/>
  <c r="N2200" i="8" s="1"/>
  <c r="K2199" i="8"/>
  <c r="M2199" i="8" s="1"/>
  <c r="J2199" i="8"/>
  <c r="L2199" i="8" s="1"/>
  <c r="N2199" i="8" s="1"/>
  <c r="J317" i="8"/>
  <c r="L317" i="8" s="1"/>
  <c r="N317" i="8" s="1"/>
  <c r="K317" i="8"/>
  <c r="M317" i="8" s="1"/>
  <c r="J411" i="8"/>
  <c r="L411" i="8" s="1"/>
  <c r="N411" i="8" s="1"/>
  <c r="K411" i="8"/>
  <c r="M411" i="8" s="1"/>
  <c r="K567" i="8"/>
  <c r="M567" i="8" s="1"/>
  <c r="J567" i="8"/>
  <c r="L567" i="8" s="1"/>
  <c r="N567" i="8" s="1"/>
  <c r="K658" i="8"/>
  <c r="M658" i="8" s="1"/>
  <c r="J658" i="8"/>
  <c r="L658" i="8" s="1"/>
  <c r="N658" i="8" s="1"/>
  <c r="J17" i="8"/>
  <c r="L17" i="8" s="1"/>
  <c r="N17" i="8" s="1"/>
  <c r="K17" i="8"/>
  <c r="M17" i="8" s="1"/>
  <c r="K718" i="8"/>
  <c r="M718" i="8" s="1"/>
  <c r="J718" i="8"/>
  <c r="L718" i="8" s="1"/>
  <c r="N718" i="8" s="1"/>
  <c r="K722" i="8"/>
  <c r="M722" i="8" s="1"/>
  <c r="J722" i="8"/>
  <c r="L722" i="8" s="1"/>
  <c r="N722" i="8" s="1"/>
  <c r="K2020" i="8"/>
  <c r="M2020" i="8" s="1"/>
  <c r="J2020" i="8"/>
  <c r="L2020" i="8" s="1"/>
  <c r="N2020" i="8" s="1"/>
  <c r="K29" i="8"/>
  <c r="M29" i="8" s="1"/>
  <c r="J29" i="8"/>
  <c r="L29" i="8" s="1"/>
  <c r="N29" i="8" s="1"/>
  <c r="K754" i="8"/>
  <c r="M754" i="8" s="1"/>
  <c r="J754" i="8"/>
  <c r="L754" i="8" s="1"/>
  <c r="N754" i="8" s="1"/>
  <c r="K758" i="8"/>
  <c r="M758" i="8" s="1"/>
  <c r="J758" i="8"/>
  <c r="L758" i="8" s="1"/>
  <c r="N758" i="8" s="1"/>
  <c r="K877" i="8"/>
  <c r="M877" i="8" s="1"/>
  <c r="J877" i="8"/>
  <c r="L877" i="8" s="1"/>
  <c r="N877" i="8" s="1"/>
  <c r="K944" i="8"/>
  <c r="M944" i="8" s="1"/>
  <c r="J944" i="8"/>
  <c r="L944" i="8" s="1"/>
  <c r="N944" i="8" s="1"/>
  <c r="K934" i="8"/>
  <c r="M934" i="8" s="1"/>
  <c r="J934" i="8"/>
  <c r="L934" i="8" s="1"/>
  <c r="N934" i="8" s="1"/>
  <c r="K1005" i="8"/>
  <c r="M1005" i="8" s="1"/>
  <c r="J1005" i="8"/>
  <c r="L1005" i="8" s="1"/>
  <c r="N1005" i="8" s="1"/>
  <c r="K1036" i="8"/>
  <c r="M1036" i="8" s="1"/>
  <c r="J1036" i="8"/>
  <c r="L1036" i="8" s="1"/>
  <c r="N1036" i="8" s="1"/>
  <c r="K2260" i="8"/>
  <c r="M2260" i="8" s="1"/>
  <c r="J2260" i="8"/>
  <c r="L2260" i="8" s="1"/>
  <c r="N2260" i="8" s="1"/>
  <c r="J1156" i="8"/>
  <c r="L1156" i="8" s="1"/>
  <c r="N1156" i="8" s="1"/>
  <c r="K1156" i="8"/>
  <c r="M1156" i="8" s="1"/>
  <c r="K1189" i="8"/>
  <c r="M1189" i="8" s="1"/>
  <c r="J1189" i="8"/>
  <c r="L1189" i="8" s="1"/>
  <c r="N1189" i="8" s="1"/>
  <c r="K1212" i="8"/>
  <c r="M1212" i="8" s="1"/>
  <c r="J1212" i="8"/>
  <c r="L1212" i="8" s="1"/>
  <c r="N1212" i="8" s="1"/>
  <c r="K70" i="8"/>
  <c r="M70" i="8" s="1"/>
  <c r="J70" i="8"/>
  <c r="L70" i="8" s="1"/>
  <c r="N70" i="8" s="1"/>
  <c r="K1242" i="8"/>
  <c r="M1242" i="8" s="1"/>
  <c r="J1242" i="8"/>
  <c r="L1242" i="8" s="1"/>
  <c r="N1242" i="8" s="1"/>
  <c r="K1268" i="8"/>
  <c r="M1268" i="8" s="1"/>
  <c r="J1268" i="8"/>
  <c r="L1268" i="8" s="1"/>
  <c r="N1268" i="8" s="1"/>
  <c r="K195" i="8"/>
  <c r="M195" i="8" s="1"/>
  <c r="J195" i="8"/>
  <c r="L195" i="8" s="1"/>
  <c r="N195" i="8" s="1"/>
  <c r="K1324" i="8"/>
  <c r="M1324" i="8" s="1"/>
  <c r="J1324" i="8"/>
  <c r="L1324" i="8" s="1"/>
  <c r="N1324" i="8" s="1"/>
  <c r="K1312" i="8"/>
  <c r="M1312" i="8" s="1"/>
  <c r="J1312" i="8"/>
  <c r="L1312" i="8" s="1"/>
  <c r="N1312" i="8" s="1"/>
  <c r="K211" i="8"/>
  <c r="M211" i="8" s="1"/>
  <c r="J211" i="8"/>
  <c r="L211" i="8" s="1"/>
  <c r="N211" i="8" s="1"/>
  <c r="K1403" i="8"/>
  <c r="M1403" i="8" s="1"/>
  <c r="J1403" i="8"/>
  <c r="L1403" i="8" s="1"/>
  <c r="N1403" i="8" s="1"/>
  <c r="K1446" i="8"/>
  <c r="M1446" i="8" s="1"/>
  <c r="J1446" i="8"/>
  <c r="L1446" i="8" s="1"/>
  <c r="N1446" i="8" s="1"/>
  <c r="J1496" i="8"/>
  <c r="L1496" i="8" s="1"/>
  <c r="N1496" i="8" s="1"/>
  <c r="K1496" i="8"/>
  <c r="M1496" i="8" s="1"/>
  <c r="K1561" i="8"/>
  <c r="M1561" i="8" s="1"/>
  <c r="J1561" i="8"/>
  <c r="L1561" i="8" s="1"/>
  <c r="N1561" i="8" s="1"/>
  <c r="K1567" i="8"/>
  <c r="M1567" i="8" s="1"/>
  <c r="J1567" i="8"/>
  <c r="L1567" i="8" s="1"/>
  <c r="N1567" i="8" s="1"/>
  <c r="K1666" i="8"/>
  <c r="M1666" i="8" s="1"/>
  <c r="J1666" i="8"/>
  <c r="L1666" i="8" s="1"/>
  <c r="N1666" i="8" s="1"/>
  <c r="J1623" i="8"/>
  <c r="L1623" i="8" s="1"/>
  <c r="N1623" i="8" s="1"/>
  <c r="K1623" i="8"/>
  <c r="M1623" i="8" s="1"/>
  <c r="K1697" i="8"/>
  <c r="M1697" i="8" s="1"/>
  <c r="J1697" i="8"/>
  <c r="L1697" i="8" s="1"/>
  <c r="N1697" i="8" s="1"/>
  <c r="K2057" i="8"/>
  <c r="M2057" i="8" s="1"/>
  <c r="J2057" i="8"/>
  <c r="L2057" i="8" s="1"/>
  <c r="N2057" i="8" s="1"/>
  <c r="K1876" i="8"/>
  <c r="M1876" i="8" s="1"/>
  <c r="J1876" i="8"/>
  <c r="L1876" i="8" s="1"/>
  <c r="N1876" i="8" s="1"/>
  <c r="K1954" i="8"/>
  <c r="M1954" i="8" s="1"/>
  <c r="J1954" i="8"/>
  <c r="L1954" i="8" s="1"/>
  <c r="N1954" i="8" s="1"/>
  <c r="K1972" i="8"/>
  <c r="M1972" i="8" s="1"/>
  <c r="J1972" i="8"/>
  <c r="L1972" i="8" s="1"/>
  <c r="N1972" i="8" s="1"/>
  <c r="K491" i="8"/>
  <c r="M491" i="8" s="1"/>
  <c r="J491" i="8"/>
  <c r="L491" i="8" s="1"/>
  <c r="N491" i="8" s="1"/>
  <c r="K469" i="8"/>
  <c r="M469" i="8" s="1"/>
  <c r="J469" i="8"/>
  <c r="L469" i="8" s="1"/>
  <c r="N469" i="8" s="1"/>
  <c r="K2207" i="8"/>
  <c r="M2207" i="8" s="1"/>
  <c r="J2207" i="8"/>
  <c r="L2207" i="8" s="1"/>
  <c r="N2207" i="8" s="1"/>
  <c r="K504" i="8"/>
  <c r="M504" i="8" s="1"/>
  <c r="J504" i="8"/>
  <c r="L504" i="8" s="1"/>
  <c r="N504" i="8" s="1"/>
  <c r="K2090" i="8"/>
  <c r="M2090" i="8" s="1"/>
  <c r="J2090" i="8"/>
  <c r="L2090" i="8" s="1"/>
  <c r="N2090" i="8" s="1"/>
  <c r="K634" i="8"/>
  <c r="M634" i="8" s="1"/>
  <c r="J634" i="8"/>
  <c r="L634" i="8" s="1"/>
  <c r="N634" i="8" s="1"/>
  <c r="K654" i="8"/>
  <c r="M654" i="8" s="1"/>
  <c r="J654" i="8"/>
  <c r="L654" i="8" s="1"/>
  <c r="N654" i="8" s="1"/>
  <c r="K827" i="8"/>
  <c r="M827" i="8" s="1"/>
  <c r="J827" i="8"/>
  <c r="L827" i="8" s="1"/>
  <c r="N827" i="8" s="1"/>
  <c r="K896" i="8"/>
  <c r="M896" i="8" s="1"/>
  <c r="J896" i="8"/>
  <c r="L896" i="8" s="1"/>
  <c r="N896" i="8" s="1"/>
  <c r="K1170" i="8"/>
  <c r="M1170" i="8" s="1"/>
  <c r="J1170" i="8"/>
  <c r="L1170" i="8" s="1"/>
  <c r="N1170" i="8" s="1"/>
  <c r="K1163" i="8"/>
  <c r="M1163" i="8" s="1"/>
  <c r="J1163" i="8"/>
  <c r="L1163" i="8" s="1"/>
  <c r="N1163" i="8" s="1"/>
  <c r="K2259" i="8"/>
  <c r="M2259" i="8" s="1"/>
  <c r="J2259" i="8"/>
  <c r="L2259" i="8" s="1"/>
  <c r="N2259" i="8" s="1"/>
  <c r="J796" i="8"/>
  <c r="L796" i="8" s="1"/>
  <c r="N796" i="8" s="1"/>
  <c r="J1408" i="8"/>
  <c r="L1408" i="8" s="1"/>
  <c r="N1408" i="8" s="1"/>
  <c r="K489" i="8"/>
  <c r="M489" i="8" s="1"/>
  <c r="J1679" i="8"/>
  <c r="L1679" i="8" s="1"/>
  <c r="N1679" i="8" s="1"/>
  <c r="J2286" i="8"/>
  <c r="L2286" i="8" s="1"/>
  <c r="N2286" i="8" s="1"/>
  <c r="J413" i="8"/>
  <c r="L413" i="8" s="1"/>
  <c r="N413" i="8" s="1"/>
  <c r="K1276" i="8"/>
  <c r="M1276" i="8" s="1"/>
  <c r="J48" i="8"/>
  <c r="L48" i="8" s="1"/>
  <c r="N48" i="8" s="1"/>
  <c r="J230" i="8"/>
  <c r="L230" i="8" s="1"/>
  <c r="N230" i="8" s="1"/>
  <c r="J1379" i="8"/>
  <c r="L1379" i="8" s="1"/>
  <c r="N1379" i="8" s="1"/>
  <c r="J1983" i="8"/>
  <c r="L1983" i="8" s="1"/>
  <c r="N1983" i="8" s="1"/>
  <c r="J1977" i="8"/>
  <c r="L1977" i="8" s="1"/>
  <c r="N1977" i="8" s="1"/>
  <c r="J88" i="8"/>
  <c r="L88" i="8" s="1"/>
  <c r="N88" i="8" s="1"/>
  <c r="J2034" i="8"/>
  <c r="L2034" i="8" s="1"/>
  <c r="N2034" i="8" s="1"/>
  <c r="J1961" i="8"/>
  <c r="L1961" i="8" s="1"/>
  <c r="N1961" i="8" s="1"/>
  <c r="J1957" i="8"/>
  <c r="L1957" i="8" s="1"/>
  <c r="N1957" i="8" s="1"/>
  <c r="J1949" i="8"/>
  <c r="L1949" i="8" s="1"/>
  <c r="N1949" i="8" s="1"/>
  <c r="J1943" i="8"/>
  <c r="L1943" i="8" s="1"/>
  <c r="N1943" i="8" s="1"/>
  <c r="J275" i="8"/>
  <c r="L275" i="8" s="1"/>
  <c r="N275" i="8" s="1"/>
  <c r="J273" i="8"/>
  <c r="L273" i="8" s="1"/>
  <c r="N273" i="8" s="1"/>
  <c r="J1933" i="8"/>
  <c r="L1933" i="8" s="1"/>
  <c r="N1933" i="8" s="1"/>
  <c r="J1928" i="8"/>
  <c r="L1928" i="8" s="1"/>
  <c r="N1928" i="8" s="1"/>
  <c r="J2134" i="8"/>
  <c r="L2134" i="8" s="1"/>
  <c r="N2134" i="8" s="1"/>
  <c r="J1921" i="8"/>
  <c r="L1921" i="8" s="1"/>
  <c r="N1921" i="8" s="1"/>
  <c r="J1916" i="8"/>
  <c r="L1916" i="8" s="1"/>
  <c r="N1916" i="8" s="1"/>
  <c r="J1912" i="8"/>
  <c r="L1912" i="8" s="1"/>
  <c r="N1912" i="8" s="1"/>
  <c r="J1906" i="8"/>
  <c r="L1906" i="8" s="1"/>
  <c r="N1906" i="8" s="1"/>
  <c r="J2131" i="8"/>
  <c r="L2131" i="8" s="1"/>
  <c r="N2131" i="8" s="1"/>
  <c r="J1900" i="8"/>
  <c r="L1900" i="8" s="1"/>
  <c r="N1900" i="8" s="1"/>
  <c r="J1894" i="8"/>
  <c r="L1894" i="8" s="1"/>
  <c r="N1894" i="8" s="1"/>
  <c r="J1889" i="8"/>
  <c r="L1889" i="8" s="1"/>
  <c r="N1889" i="8" s="1"/>
  <c r="J1880" i="8"/>
  <c r="L1880" i="8" s="1"/>
  <c r="N1880" i="8" s="1"/>
  <c r="J1875" i="8"/>
  <c r="L1875" i="8" s="1"/>
  <c r="N1875" i="8" s="1"/>
  <c r="J1873" i="8"/>
  <c r="L1873" i="8" s="1"/>
  <c r="N1873" i="8" s="1"/>
  <c r="J43" i="8"/>
  <c r="L43" i="8" s="1"/>
  <c r="N43" i="8" s="1"/>
  <c r="J2029" i="8"/>
  <c r="L2029" i="8" s="1"/>
  <c r="N2029" i="8" s="1"/>
  <c r="J1867" i="8"/>
  <c r="L1867" i="8" s="1"/>
  <c r="N1867" i="8" s="1"/>
  <c r="J1864" i="8"/>
  <c r="L1864" i="8" s="1"/>
  <c r="N1864" i="8" s="1"/>
  <c r="J1859" i="8"/>
  <c r="L1859" i="8" s="1"/>
  <c r="N1859" i="8" s="1"/>
  <c r="J263" i="8"/>
  <c r="L263" i="8" s="1"/>
  <c r="N263" i="8" s="1"/>
  <c r="J1850" i="8"/>
  <c r="L1850" i="8" s="1"/>
  <c r="N1850" i="8" s="1"/>
  <c r="J2300" i="8"/>
  <c r="L2300" i="8" s="1"/>
  <c r="N2300" i="8" s="1"/>
  <c r="J1842" i="8"/>
  <c r="L1842" i="8" s="1"/>
  <c r="N1842" i="8" s="1"/>
  <c r="J1836" i="8"/>
  <c r="L1836" i="8" s="1"/>
  <c r="N1836" i="8" s="1"/>
  <c r="J1832" i="8"/>
  <c r="L1832" i="8" s="1"/>
  <c r="N1832" i="8" s="1"/>
  <c r="J1825" i="8"/>
  <c r="L1825" i="8" s="1"/>
  <c r="N1825" i="8" s="1"/>
  <c r="J1819" i="8"/>
  <c r="L1819" i="8" s="1"/>
  <c r="N1819" i="8" s="1"/>
  <c r="J1811" i="8"/>
  <c r="L1811" i="8" s="1"/>
  <c r="N1811" i="8" s="1"/>
  <c r="J1805" i="8"/>
  <c r="L1805" i="8" s="1"/>
  <c r="N1805" i="8" s="1"/>
  <c r="J1797" i="8"/>
  <c r="L1797" i="8" s="1"/>
  <c r="N1797" i="8" s="1"/>
  <c r="J1790" i="8"/>
  <c r="L1790" i="8" s="1"/>
  <c r="N1790" i="8" s="1"/>
  <c r="J1781" i="8"/>
  <c r="L1781" i="8" s="1"/>
  <c r="N1781" i="8" s="1"/>
  <c r="J2297" i="8"/>
  <c r="L2297" i="8" s="1"/>
  <c r="N2297" i="8" s="1"/>
  <c r="J1773" i="8"/>
  <c r="L1773" i="8" s="1"/>
  <c r="N1773" i="8" s="1"/>
  <c r="J258" i="8"/>
  <c r="L258" i="8" s="1"/>
  <c r="N258" i="8" s="1"/>
  <c r="J2295" i="8"/>
  <c r="L2295" i="8" s="1"/>
  <c r="N2295" i="8" s="1"/>
  <c r="J1762" i="8"/>
  <c r="L1762" i="8" s="1"/>
  <c r="N1762" i="8" s="1"/>
  <c r="J1755" i="8"/>
  <c r="L1755" i="8" s="1"/>
  <c r="N1755" i="8" s="1"/>
  <c r="J1744" i="8"/>
  <c r="L1744" i="8" s="1"/>
  <c r="N1744" i="8" s="1"/>
  <c r="J1736" i="8"/>
  <c r="L1736" i="8" s="1"/>
  <c r="N1736" i="8" s="1"/>
  <c r="J1733" i="8"/>
  <c r="L1733" i="8" s="1"/>
  <c r="N1733" i="8" s="1"/>
  <c r="J247" i="8"/>
  <c r="L247" i="8" s="1"/>
  <c r="N247" i="8" s="1"/>
  <c r="J1728" i="8"/>
  <c r="L1728" i="8" s="1"/>
  <c r="N1728" i="8" s="1"/>
  <c r="J1722" i="8"/>
  <c r="L1722" i="8" s="1"/>
  <c r="N1722" i="8" s="1"/>
  <c r="J243" i="8"/>
  <c r="L243" i="8" s="1"/>
  <c r="N243" i="8" s="1"/>
  <c r="J1710" i="8"/>
  <c r="L1710" i="8" s="1"/>
  <c r="N1710" i="8" s="1"/>
  <c r="J240" i="8"/>
  <c r="L240" i="8" s="1"/>
  <c r="N240" i="8" s="1"/>
  <c r="J1702" i="8"/>
  <c r="L1702" i="8" s="1"/>
  <c r="N1702" i="8" s="1"/>
  <c r="J1689" i="8"/>
  <c r="L1689" i="8" s="1"/>
  <c r="N1689" i="8" s="1"/>
  <c r="J1685" i="8"/>
  <c r="L1685" i="8" s="1"/>
  <c r="N1685" i="8" s="1"/>
  <c r="J1675" i="8"/>
  <c r="L1675" i="8" s="1"/>
  <c r="N1675" i="8" s="1"/>
  <c r="J2124" i="8"/>
  <c r="L2124" i="8" s="1"/>
  <c r="N2124" i="8" s="1"/>
  <c r="J1669" i="8"/>
  <c r="L1669" i="8" s="1"/>
  <c r="N1669" i="8" s="1"/>
  <c r="J1650" i="8"/>
  <c r="L1650" i="8" s="1"/>
  <c r="N1650" i="8" s="1"/>
  <c r="J1639" i="8"/>
  <c r="L1639" i="8" s="1"/>
  <c r="N1639" i="8" s="1"/>
  <c r="J1627" i="8"/>
  <c r="L1627" i="8" s="1"/>
  <c r="N1627" i="8" s="1"/>
  <c r="J2119" i="8"/>
  <c r="L2119" i="8" s="1"/>
  <c r="N2119" i="8" s="1"/>
  <c r="J1610" i="8"/>
  <c r="L1610" i="8" s="1"/>
  <c r="N1610" i="8" s="1"/>
  <c r="J1597" i="8"/>
  <c r="L1597" i="8" s="1"/>
  <c r="N1597" i="8" s="1"/>
  <c r="J1582" i="8"/>
  <c r="L1582" i="8" s="1"/>
  <c r="N1582" i="8" s="1"/>
  <c r="J1575" i="8"/>
  <c r="L1575" i="8" s="1"/>
  <c r="N1575" i="8" s="1"/>
  <c r="J2281" i="8"/>
  <c r="L2281" i="8" s="1"/>
  <c r="N2281" i="8" s="1"/>
  <c r="J1554" i="8"/>
  <c r="L1554" i="8" s="1"/>
  <c r="N1554" i="8" s="1"/>
  <c r="J1552" i="8"/>
  <c r="L1552" i="8" s="1"/>
  <c r="N1552" i="8" s="1"/>
  <c r="J1545" i="8"/>
  <c r="L1545" i="8" s="1"/>
  <c r="N1545" i="8" s="1"/>
  <c r="J1540" i="8"/>
  <c r="L1540" i="8" s="1"/>
  <c r="N1540" i="8" s="1"/>
  <c r="J1535" i="8"/>
  <c r="L1535" i="8" s="1"/>
  <c r="N1535" i="8" s="1"/>
  <c r="J1525" i="8"/>
  <c r="L1525" i="8" s="1"/>
  <c r="N1525" i="8" s="1"/>
  <c r="J1516" i="8"/>
  <c r="L1516" i="8" s="1"/>
  <c r="N1516" i="8" s="1"/>
  <c r="J1508" i="8"/>
  <c r="L1508" i="8" s="1"/>
  <c r="N1508" i="8" s="1"/>
  <c r="J2276" i="8"/>
  <c r="L2276" i="8" s="1"/>
  <c r="N2276" i="8" s="1"/>
  <c r="J1490" i="8"/>
  <c r="L1490" i="8" s="1"/>
  <c r="N1490" i="8" s="1"/>
  <c r="J2049" i="8"/>
  <c r="L2049" i="8" s="1"/>
  <c r="N2049" i="8" s="1"/>
  <c r="J221" i="8"/>
  <c r="L221" i="8" s="1"/>
  <c r="N221" i="8" s="1"/>
  <c r="J1485" i="8"/>
  <c r="L1485" i="8" s="1"/>
  <c r="N1485" i="8" s="1"/>
  <c r="J1470" i="8"/>
  <c r="L1470" i="8" s="1"/>
  <c r="N1470" i="8" s="1"/>
  <c r="J1466" i="8"/>
  <c r="L1466" i="8" s="1"/>
  <c r="N1466" i="8" s="1"/>
  <c r="J1460" i="8"/>
  <c r="L1460" i="8" s="1"/>
  <c r="N1460" i="8" s="1"/>
  <c r="J1452" i="8"/>
  <c r="L1452" i="8" s="1"/>
  <c r="N1452" i="8" s="1"/>
  <c r="J219" i="8"/>
  <c r="L219" i="8" s="1"/>
  <c r="N219" i="8" s="1"/>
  <c r="J1435" i="8"/>
  <c r="L1435" i="8" s="1"/>
  <c r="N1435" i="8" s="1"/>
  <c r="J2046" i="8"/>
  <c r="L2046" i="8" s="1"/>
  <c r="N2046" i="8" s="1"/>
  <c r="J1415" i="8"/>
  <c r="L1415" i="8" s="1"/>
  <c r="N1415" i="8" s="1"/>
  <c r="J1398" i="8"/>
  <c r="L1398" i="8" s="1"/>
  <c r="N1398" i="8" s="1"/>
  <c r="J1392" i="8"/>
  <c r="L1392" i="8" s="1"/>
  <c r="N1392" i="8" s="1"/>
  <c r="J1388" i="8"/>
  <c r="L1388" i="8" s="1"/>
  <c r="N1388" i="8" s="1"/>
  <c r="J1378" i="8"/>
  <c r="L1378" i="8" s="1"/>
  <c r="N1378" i="8" s="1"/>
  <c r="J1372" i="8"/>
  <c r="L1372" i="8" s="1"/>
  <c r="N1372" i="8" s="1"/>
  <c r="J1370" i="8"/>
  <c r="L1370" i="8" s="1"/>
  <c r="N1370" i="8" s="1"/>
  <c r="J1366" i="8"/>
  <c r="L1366" i="8" s="1"/>
  <c r="N1366" i="8" s="1"/>
  <c r="J1349" i="8"/>
  <c r="L1349" i="8" s="1"/>
  <c r="N1349" i="8" s="1"/>
  <c r="J1340" i="8"/>
  <c r="L1340" i="8" s="1"/>
  <c r="N1340" i="8" s="1"/>
  <c r="J1333" i="8"/>
  <c r="L1333" i="8" s="1"/>
  <c r="N1333" i="8" s="1"/>
  <c r="J1331" i="8"/>
  <c r="L1331" i="8" s="1"/>
  <c r="N1331" i="8" s="1"/>
  <c r="J1330" i="8"/>
  <c r="L1330" i="8" s="1"/>
  <c r="N1330" i="8" s="1"/>
  <c r="J39" i="8"/>
  <c r="L39" i="8" s="1"/>
  <c r="N39" i="8" s="1"/>
  <c r="J1315" i="8"/>
  <c r="L1315" i="8" s="1"/>
  <c r="N1315" i="8" s="1"/>
  <c r="J72" i="8"/>
  <c r="L72" i="8" s="1"/>
  <c r="N72" i="8" s="1"/>
  <c r="J1307" i="8"/>
  <c r="L1307" i="8" s="1"/>
  <c r="N1307" i="8" s="1"/>
  <c r="J2267" i="8"/>
  <c r="L2267" i="8" s="1"/>
  <c r="N2267" i="8" s="1"/>
  <c r="J1284" i="8"/>
  <c r="L1284" i="8" s="1"/>
  <c r="N1284" i="8" s="1"/>
  <c r="J2114" i="8"/>
  <c r="L2114" i="8" s="1"/>
  <c r="N2114" i="8" s="1"/>
  <c r="J1271" i="8"/>
  <c r="L1271" i="8" s="1"/>
  <c r="N1271" i="8" s="1"/>
  <c r="J1255" i="8"/>
  <c r="L1255" i="8" s="1"/>
  <c r="N1255" i="8" s="1"/>
  <c r="J1247" i="8"/>
  <c r="L1247" i="8" s="1"/>
  <c r="N1247" i="8" s="1"/>
  <c r="J1236" i="8"/>
  <c r="L1236" i="8" s="1"/>
  <c r="N1236" i="8" s="1"/>
  <c r="J1224" i="8"/>
  <c r="L1224" i="8" s="1"/>
  <c r="N1224" i="8" s="1"/>
  <c r="J1216" i="8"/>
  <c r="L1216" i="8" s="1"/>
  <c r="N1216" i="8" s="1"/>
  <c r="J2110" i="8"/>
  <c r="L2110" i="8" s="1"/>
  <c r="N2110" i="8" s="1"/>
  <c r="J188" i="8"/>
  <c r="L188" i="8" s="1"/>
  <c r="N188" i="8" s="1"/>
  <c r="J16" i="8"/>
  <c r="L16" i="8" s="1"/>
  <c r="N16" i="8" s="1"/>
  <c r="J12" i="8"/>
  <c r="L12" i="8" s="1"/>
  <c r="N12" i="8" s="1"/>
  <c r="J1190" i="8"/>
  <c r="L1190" i="8" s="1"/>
  <c r="N1190" i="8" s="1"/>
  <c r="J2009" i="8"/>
  <c r="L2009" i="8" s="1"/>
  <c r="N2009" i="8" s="1"/>
  <c r="J2005" i="8"/>
  <c r="L2005" i="8" s="1"/>
  <c r="N2005" i="8" s="1"/>
  <c r="J1186" i="8"/>
  <c r="L1186" i="8" s="1"/>
  <c r="N1186" i="8" s="1"/>
  <c r="J1185" i="8"/>
  <c r="L1185" i="8" s="1"/>
  <c r="N1185" i="8" s="1"/>
  <c r="J1178" i="8"/>
  <c r="L1178" i="8" s="1"/>
  <c r="N1178" i="8" s="1"/>
  <c r="J1172" i="8"/>
  <c r="L1172" i="8" s="1"/>
  <c r="N1172" i="8" s="1"/>
  <c r="J1166" i="8"/>
  <c r="L1166" i="8" s="1"/>
  <c r="N1166" i="8" s="1"/>
  <c r="J1161" i="8"/>
  <c r="L1161" i="8" s="1"/>
  <c r="N1161" i="8" s="1"/>
  <c r="J1147" i="8"/>
  <c r="L1147" i="8" s="1"/>
  <c r="N1147" i="8" s="1"/>
  <c r="J1142" i="8"/>
  <c r="L1142" i="8" s="1"/>
  <c r="N1142" i="8" s="1"/>
  <c r="J1136" i="8"/>
  <c r="L1136" i="8" s="1"/>
  <c r="N1136" i="8" s="1"/>
  <c r="J1129" i="8"/>
  <c r="L1129" i="8" s="1"/>
  <c r="N1129" i="8" s="1"/>
  <c r="J2264" i="8"/>
  <c r="L2264" i="8" s="1"/>
  <c r="N2264" i="8" s="1"/>
  <c r="J1115" i="8"/>
  <c r="L1115" i="8" s="1"/>
  <c r="N1115" i="8" s="1"/>
  <c r="J1109" i="8"/>
  <c r="L1109" i="8" s="1"/>
  <c r="N1109" i="8" s="1"/>
  <c r="J1102" i="8"/>
  <c r="L1102" i="8" s="1"/>
  <c r="N1102" i="8" s="1"/>
  <c r="J1098" i="8"/>
  <c r="L1098" i="8" s="1"/>
  <c r="N1098" i="8" s="1"/>
  <c r="J1096" i="8"/>
  <c r="L1096" i="8" s="1"/>
  <c r="N1096" i="8" s="1"/>
  <c r="J1093" i="8"/>
  <c r="L1093" i="8" s="1"/>
  <c r="N1093" i="8" s="1"/>
  <c r="J2263" i="8"/>
  <c r="L2263" i="8" s="1"/>
  <c r="N2263" i="8" s="1"/>
  <c r="J1082" i="8"/>
  <c r="L1082" i="8" s="1"/>
  <c r="N1082" i="8" s="1"/>
  <c r="J1076" i="8"/>
  <c r="L1076" i="8" s="1"/>
  <c r="N1076" i="8" s="1"/>
  <c r="J38" i="8"/>
  <c r="L38" i="8" s="1"/>
  <c r="N38" i="8" s="1"/>
  <c r="J1066" i="8"/>
  <c r="L1066" i="8" s="1"/>
  <c r="N1066" i="8" s="1"/>
  <c r="J970" i="8"/>
  <c r="L970" i="8" s="1"/>
  <c r="N970" i="8" s="1"/>
  <c r="J61" i="8"/>
  <c r="L61" i="8" s="1"/>
  <c r="N61" i="8" s="1"/>
  <c r="J101" i="8"/>
  <c r="L101" i="8" s="1"/>
  <c r="N101" i="8" s="1"/>
  <c r="J1883" i="8"/>
  <c r="L1883" i="8" s="1"/>
  <c r="N1883" i="8" s="1"/>
  <c r="K751" i="8"/>
  <c r="M751" i="8" s="1"/>
  <c r="K1279" i="8"/>
  <c r="M1279" i="8" s="1"/>
  <c r="J1289" i="8"/>
  <c r="L1289" i="8" s="1"/>
  <c r="N1289" i="8" s="1"/>
  <c r="J685" i="8"/>
  <c r="L685" i="8" s="1"/>
  <c r="N685" i="8" s="1"/>
  <c r="K403" i="8"/>
  <c r="M403" i="8" s="1"/>
  <c r="J902" i="8"/>
  <c r="L902" i="8" s="1"/>
  <c r="N902" i="8" s="1"/>
  <c r="K1502" i="8"/>
  <c r="M1502" i="8" s="1"/>
  <c r="J1037" i="8"/>
  <c r="L1037" i="8" s="1"/>
  <c r="N1037" i="8" s="1"/>
  <c r="J447" i="8"/>
  <c r="L447" i="8" s="1"/>
  <c r="N447" i="8" s="1"/>
  <c r="K479" i="8"/>
  <c r="M479" i="8" s="1"/>
  <c r="K1681" i="8"/>
  <c r="M1681" i="8" s="1"/>
  <c r="J1975" i="8"/>
  <c r="L1975" i="8" s="1"/>
  <c r="N1975" i="8" s="1"/>
  <c r="J1951" i="8"/>
  <c r="L1951" i="8" s="1"/>
  <c r="N1951" i="8" s="1"/>
  <c r="J1935" i="8"/>
  <c r="L1935" i="8" s="1"/>
  <c r="N1935" i="8" s="1"/>
  <c r="J1902" i="8"/>
  <c r="L1902" i="8" s="1"/>
  <c r="N1902" i="8" s="1"/>
  <c r="J1878" i="8"/>
  <c r="L1878" i="8" s="1"/>
  <c r="N1878" i="8" s="1"/>
  <c r="J2027" i="8"/>
  <c r="L2027" i="8" s="1"/>
  <c r="N2027" i="8" s="1"/>
  <c r="J1985" i="8"/>
  <c r="L1985" i="8" s="1"/>
  <c r="N1985" i="8" s="1"/>
  <c r="J2302" i="8"/>
  <c r="L2302" i="8" s="1"/>
  <c r="N2302" i="8" s="1"/>
  <c r="J1938" i="8"/>
  <c r="L1938" i="8" s="1"/>
  <c r="N1938" i="8" s="1"/>
  <c r="J1923" i="8"/>
  <c r="L1923" i="8" s="1"/>
  <c r="N1923" i="8" s="1"/>
  <c r="J1904" i="8"/>
  <c r="L1904" i="8" s="1"/>
  <c r="N1904" i="8" s="1"/>
  <c r="J1886" i="8"/>
  <c r="L1886" i="8" s="1"/>
  <c r="N1886" i="8" s="1"/>
  <c r="J1871" i="8"/>
  <c r="L1871" i="8" s="1"/>
  <c r="N1871" i="8" s="1"/>
  <c r="J1862" i="8"/>
  <c r="L1862" i="8" s="1"/>
  <c r="N1862" i="8" s="1"/>
  <c r="J1854" i="8"/>
  <c r="L1854" i="8" s="1"/>
  <c r="N1854" i="8" s="1"/>
  <c r="J2299" i="8"/>
  <c r="L2299" i="8" s="1"/>
  <c r="N2299" i="8" s="1"/>
  <c r="J2128" i="8"/>
  <c r="L2128" i="8" s="1"/>
  <c r="N2128" i="8" s="1"/>
  <c r="J1971" i="8"/>
  <c r="L1971" i="8" s="1"/>
  <c r="N1971" i="8" s="1"/>
  <c r="K1971" i="8"/>
  <c r="M1971" i="8" s="1"/>
  <c r="J1588" i="8"/>
  <c r="L1588" i="8" s="1"/>
  <c r="N1588" i="8" s="1"/>
  <c r="K1035" i="8"/>
  <c r="M1035" i="8" s="1"/>
  <c r="K295" i="8"/>
  <c r="M295" i="8" s="1"/>
  <c r="J1338" i="8"/>
  <c r="L1338" i="8" s="1"/>
  <c r="N1338" i="8" s="1"/>
  <c r="J270" i="8"/>
  <c r="L270" i="8" s="1"/>
  <c r="N270" i="8" s="1"/>
  <c r="K1751" i="8"/>
  <c r="M1751" i="8" s="1"/>
  <c r="K1640" i="8"/>
  <c r="M1640" i="8" s="1"/>
  <c r="K1122" i="8"/>
  <c r="M1122" i="8" s="1"/>
  <c r="K1204" i="8"/>
  <c r="M1204" i="8" s="1"/>
  <c r="J438" i="8"/>
  <c r="L438" i="8" s="1"/>
  <c r="N438" i="8" s="1"/>
  <c r="J319" i="8"/>
  <c r="L319" i="8" s="1"/>
  <c r="N319" i="8" s="1"/>
  <c r="J1615" i="8"/>
  <c r="L1615" i="8" s="1"/>
  <c r="N1615" i="8" s="1"/>
  <c r="K279" i="8"/>
  <c r="M279" i="8" s="1"/>
  <c r="J1976" i="8"/>
  <c r="L1976" i="8" s="1"/>
  <c r="N1976" i="8" s="1"/>
  <c r="J87" i="8"/>
  <c r="L87" i="8" s="1"/>
  <c r="N87" i="8" s="1"/>
  <c r="J2033" i="8"/>
  <c r="L2033" i="8" s="1"/>
  <c r="N2033" i="8" s="1"/>
  <c r="J1960" i="8"/>
  <c r="L1960" i="8" s="1"/>
  <c r="N1960" i="8" s="1"/>
  <c r="J1956" i="8"/>
  <c r="L1956" i="8" s="1"/>
  <c r="N1956" i="8" s="1"/>
  <c r="J1948" i="8"/>
  <c r="L1948" i="8" s="1"/>
  <c r="N1948" i="8" s="1"/>
  <c r="J1942" i="8"/>
  <c r="L1942" i="8" s="1"/>
  <c r="N1942" i="8" s="1"/>
  <c r="J1939" i="8"/>
  <c r="L1939" i="8" s="1"/>
  <c r="N1939" i="8" s="1"/>
  <c r="J1936" i="8"/>
  <c r="L1936" i="8" s="1"/>
  <c r="N1936" i="8" s="1"/>
  <c r="J1932" i="8"/>
  <c r="L1932" i="8" s="1"/>
  <c r="N1932" i="8" s="1"/>
  <c r="J1927" i="8"/>
  <c r="L1927" i="8" s="1"/>
  <c r="N1927" i="8" s="1"/>
  <c r="J2133" i="8"/>
  <c r="L2133" i="8" s="1"/>
  <c r="N2133" i="8" s="1"/>
  <c r="J1920" i="8"/>
  <c r="L1920" i="8" s="1"/>
  <c r="N1920" i="8" s="1"/>
  <c r="J1915" i="8"/>
  <c r="L1915" i="8" s="1"/>
  <c r="N1915" i="8" s="1"/>
  <c r="J1907" i="8"/>
  <c r="L1907" i="8" s="1"/>
  <c r="N1907" i="8" s="1"/>
  <c r="J1905" i="8"/>
  <c r="L1905" i="8" s="1"/>
  <c r="N1905" i="8" s="1"/>
  <c r="J1903" i="8"/>
  <c r="L1903" i="8" s="1"/>
  <c r="N1903" i="8" s="1"/>
  <c r="J1898" i="8"/>
  <c r="L1898" i="8" s="1"/>
  <c r="N1898" i="8" s="1"/>
  <c r="J1893" i="8"/>
  <c r="L1893" i="8" s="1"/>
  <c r="N1893" i="8" s="1"/>
  <c r="J1888" i="8"/>
  <c r="L1888" i="8" s="1"/>
  <c r="N1888" i="8" s="1"/>
  <c r="J1879" i="8"/>
  <c r="L1879" i="8" s="1"/>
  <c r="N1879" i="8" s="1"/>
  <c r="J1874" i="8"/>
  <c r="L1874" i="8" s="1"/>
  <c r="N1874" i="8" s="1"/>
  <c r="J1872" i="8"/>
  <c r="L1872" i="8" s="1"/>
  <c r="N1872" i="8" s="1"/>
  <c r="J2028" i="8"/>
  <c r="L2028" i="8" s="1"/>
  <c r="N2028" i="8" s="1"/>
  <c r="J1866" i="8"/>
  <c r="L1866" i="8" s="1"/>
  <c r="N1866" i="8" s="1"/>
  <c r="J1863" i="8"/>
  <c r="L1863" i="8" s="1"/>
  <c r="N1863" i="8" s="1"/>
  <c r="J1858" i="8"/>
  <c r="L1858" i="8" s="1"/>
  <c r="N1858" i="8" s="1"/>
  <c r="J1855" i="8"/>
  <c r="L1855" i="8" s="1"/>
  <c r="N1855" i="8" s="1"/>
  <c r="J1849" i="8"/>
  <c r="L1849" i="8" s="1"/>
  <c r="N1849" i="8" s="1"/>
  <c r="J1845" i="8"/>
  <c r="L1845" i="8" s="1"/>
  <c r="N1845" i="8" s="1"/>
  <c r="J1840" i="8"/>
  <c r="L1840" i="8" s="1"/>
  <c r="N1840" i="8" s="1"/>
  <c r="J1835" i="8"/>
  <c r="L1835" i="8" s="1"/>
  <c r="N1835" i="8" s="1"/>
  <c r="J1829" i="8"/>
  <c r="L1829" i="8" s="1"/>
  <c r="N1829" i="8" s="1"/>
  <c r="J1823" i="8"/>
  <c r="L1823" i="8" s="1"/>
  <c r="N1823" i="8" s="1"/>
  <c r="J1817" i="8"/>
  <c r="L1817" i="8" s="1"/>
  <c r="N1817" i="8" s="1"/>
  <c r="J1809" i="8"/>
  <c r="L1809" i="8" s="1"/>
  <c r="N1809" i="8" s="1"/>
  <c r="J1803" i="8"/>
  <c r="L1803" i="8" s="1"/>
  <c r="N1803" i="8" s="1"/>
  <c r="J1795" i="8"/>
  <c r="L1795" i="8" s="1"/>
  <c r="N1795" i="8" s="1"/>
  <c r="J1789" i="8"/>
  <c r="L1789" i="8" s="1"/>
  <c r="N1789" i="8" s="1"/>
  <c r="J1780" i="8"/>
  <c r="L1780" i="8" s="1"/>
  <c r="N1780" i="8" s="1"/>
  <c r="J1777" i="8"/>
  <c r="L1777" i="8" s="1"/>
  <c r="N1777" i="8" s="1"/>
  <c r="J260" i="8"/>
  <c r="L260" i="8" s="1"/>
  <c r="N260" i="8" s="1"/>
  <c r="J257" i="8"/>
  <c r="L257" i="8" s="1"/>
  <c r="N257" i="8" s="1"/>
  <c r="J1768" i="8"/>
  <c r="L1768" i="8" s="1"/>
  <c r="N1768" i="8" s="1"/>
  <c r="J1760" i="8"/>
  <c r="L1760" i="8" s="1"/>
  <c r="N1760" i="8" s="1"/>
  <c r="J1749" i="8"/>
  <c r="L1749" i="8" s="1"/>
  <c r="N1749" i="8" s="1"/>
  <c r="J1742" i="8"/>
  <c r="L1742" i="8" s="1"/>
  <c r="N1742" i="8" s="1"/>
  <c r="J2292" i="8"/>
  <c r="L2292" i="8" s="1"/>
  <c r="N2292" i="8" s="1"/>
  <c r="J250" i="8"/>
  <c r="L250" i="8" s="1"/>
  <c r="N250" i="8" s="1"/>
  <c r="J1732" i="8"/>
  <c r="L1732" i="8" s="1"/>
  <c r="N1732" i="8" s="1"/>
  <c r="J1727" i="8"/>
  <c r="L1727" i="8" s="1"/>
  <c r="N1727" i="8" s="1"/>
  <c r="J1721" i="8"/>
  <c r="L1721" i="8" s="1"/>
  <c r="N1721" i="8" s="1"/>
  <c r="J1717" i="8"/>
  <c r="L1717" i="8" s="1"/>
  <c r="N1717" i="8" s="1"/>
  <c r="J1709" i="8"/>
  <c r="L1709" i="8" s="1"/>
  <c r="N1709" i="8" s="1"/>
  <c r="J239" i="8"/>
  <c r="L239" i="8" s="1"/>
  <c r="N239" i="8" s="1"/>
  <c r="J1695" i="8"/>
  <c r="L1695" i="8" s="1"/>
  <c r="N1695" i="8" s="1"/>
  <c r="J1688" i="8"/>
  <c r="L1688" i="8" s="1"/>
  <c r="N1688" i="8" s="1"/>
  <c r="J1684" i="8"/>
  <c r="L1684" i="8" s="1"/>
  <c r="N1684" i="8" s="1"/>
  <c r="J1674" i="8"/>
  <c r="L1674" i="8" s="1"/>
  <c r="N1674" i="8" s="1"/>
  <c r="J2123" i="8"/>
  <c r="L2123" i="8" s="1"/>
  <c r="N2123" i="8" s="1"/>
  <c r="J1668" i="8"/>
  <c r="L1668" i="8" s="1"/>
  <c r="N1668" i="8" s="1"/>
  <c r="J1648" i="8"/>
  <c r="L1648" i="8" s="1"/>
  <c r="N1648" i="8" s="1"/>
  <c r="J1632" i="8"/>
  <c r="L1632" i="8" s="1"/>
  <c r="N1632" i="8" s="1"/>
  <c r="J1626" i="8"/>
  <c r="L1626" i="8" s="1"/>
  <c r="N1626" i="8" s="1"/>
  <c r="J234" i="8"/>
  <c r="L234" i="8" s="1"/>
  <c r="N234" i="8" s="1"/>
  <c r="J1609" i="8"/>
  <c r="L1609" i="8" s="1"/>
  <c r="N1609" i="8" s="1"/>
  <c r="J1591" i="8"/>
  <c r="L1591" i="8" s="1"/>
  <c r="N1591" i="8" s="1"/>
  <c r="J1581" i="8"/>
  <c r="L1581" i="8" s="1"/>
  <c r="N1581" i="8" s="1"/>
  <c r="J1563" i="8"/>
  <c r="L1563" i="8" s="1"/>
  <c r="N1563" i="8" s="1"/>
  <c r="J1558" i="8"/>
  <c r="L1558" i="8" s="1"/>
  <c r="N1558" i="8" s="1"/>
  <c r="J1553" i="8"/>
  <c r="L1553" i="8" s="1"/>
  <c r="N1553" i="8" s="1"/>
  <c r="J2052" i="8"/>
  <c r="L2052" i="8" s="1"/>
  <c r="N2052" i="8" s="1"/>
  <c r="J1544" i="8"/>
  <c r="L1544" i="8" s="1"/>
  <c r="N1544" i="8" s="1"/>
  <c r="J1539" i="8"/>
  <c r="L1539" i="8" s="1"/>
  <c r="N1539" i="8" s="1"/>
  <c r="J2277" i="8"/>
  <c r="L2277" i="8" s="1"/>
  <c r="N2277" i="8" s="1"/>
  <c r="J1512" i="8"/>
  <c r="L1512" i="8" s="1"/>
  <c r="N1512" i="8" s="1"/>
  <c r="J1507" i="8"/>
  <c r="L1507" i="8" s="1"/>
  <c r="N1507" i="8" s="1"/>
  <c r="J1504" i="8"/>
  <c r="L1504" i="8" s="1"/>
  <c r="N1504" i="8" s="1"/>
  <c r="J1489" i="8"/>
  <c r="L1489" i="8" s="1"/>
  <c r="N1489" i="8" s="1"/>
  <c r="J2048" i="8"/>
  <c r="L2048" i="8" s="1"/>
  <c r="N2048" i="8" s="1"/>
  <c r="J2273" i="8"/>
  <c r="L2273" i="8" s="1"/>
  <c r="N2273" i="8" s="1"/>
  <c r="J1478" i="8"/>
  <c r="L1478" i="8" s="1"/>
  <c r="N1478" i="8" s="1"/>
  <c r="J1473" i="8"/>
  <c r="L1473" i="8" s="1"/>
  <c r="N1473" i="8" s="1"/>
  <c r="J1469" i="8"/>
  <c r="L1469" i="8" s="1"/>
  <c r="N1469" i="8" s="1"/>
  <c r="J1464" i="8"/>
  <c r="L1464" i="8" s="1"/>
  <c r="N1464" i="8" s="1"/>
  <c r="J1456" i="8"/>
  <c r="L1456" i="8" s="1"/>
  <c r="N1456" i="8" s="1"/>
  <c r="J1451" i="8"/>
  <c r="L1451" i="8" s="1"/>
  <c r="N1451" i="8" s="1"/>
  <c r="J1448" i="8"/>
  <c r="L1448" i="8" s="1"/>
  <c r="N1448" i="8" s="1"/>
  <c r="J1434" i="8"/>
  <c r="L1434" i="8" s="1"/>
  <c r="N1434" i="8" s="1"/>
  <c r="J2045" i="8"/>
  <c r="L2045" i="8" s="1"/>
  <c r="N2045" i="8" s="1"/>
  <c r="J1414" i="8"/>
  <c r="L1414" i="8" s="1"/>
  <c r="N1414" i="8" s="1"/>
  <c r="J1396" i="8"/>
  <c r="L1396" i="8" s="1"/>
  <c r="N1396" i="8" s="1"/>
  <c r="J1391" i="8"/>
  <c r="L1391" i="8" s="1"/>
  <c r="N1391" i="8" s="1"/>
  <c r="J1387" i="8"/>
  <c r="L1387" i="8" s="1"/>
  <c r="N1387" i="8" s="1"/>
  <c r="J1375" i="8"/>
  <c r="L1375" i="8" s="1"/>
  <c r="N1375" i="8" s="1"/>
  <c r="J1371" i="8"/>
  <c r="L1371" i="8" s="1"/>
  <c r="N1371" i="8" s="1"/>
  <c r="J1369" i="8"/>
  <c r="L1369" i="8" s="1"/>
  <c r="N1369" i="8" s="1"/>
  <c r="J1365" i="8"/>
  <c r="L1365" i="8" s="1"/>
  <c r="N1365" i="8" s="1"/>
  <c r="J1348" i="8"/>
  <c r="L1348" i="8" s="1"/>
  <c r="N1348" i="8" s="1"/>
  <c r="J1334" i="8"/>
  <c r="L1334" i="8" s="1"/>
  <c r="N1334" i="8" s="1"/>
  <c r="J2043" i="8"/>
  <c r="L2043" i="8" s="1"/>
  <c r="N2043" i="8" s="1"/>
  <c r="J2269" i="8"/>
  <c r="L2269" i="8" s="1"/>
  <c r="N2269" i="8" s="1"/>
  <c r="J42" i="8"/>
  <c r="L42" i="8" s="1"/>
  <c r="N42" i="8" s="1"/>
  <c r="J1328" i="8"/>
  <c r="L1328" i="8" s="1"/>
  <c r="N1328" i="8" s="1"/>
  <c r="J1311" i="8"/>
  <c r="L1311" i="8" s="1"/>
  <c r="N1311" i="8" s="1"/>
  <c r="J71" i="8"/>
  <c r="L71" i="8" s="1"/>
  <c r="N71" i="8" s="1"/>
  <c r="J1306" i="8"/>
  <c r="L1306" i="8" s="1"/>
  <c r="N1306" i="8" s="1"/>
  <c r="J1291" i="8"/>
  <c r="L1291" i="8" s="1"/>
  <c r="N1291" i="8" s="1"/>
  <c r="J1283" i="8"/>
  <c r="L1283" i="8" s="1"/>
  <c r="N1283" i="8" s="1"/>
  <c r="J2113" i="8"/>
  <c r="L2113" i="8" s="1"/>
  <c r="N2113" i="8" s="1"/>
  <c r="J1258" i="8"/>
  <c r="L1258" i="8" s="1"/>
  <c r="N1258" i="8" s="1"/>
  <c r="J1252" i="8"/>
  <c r="L1252" i="8" s="1"/>
  <c r="N1252" i="8" s="1"/>
  <c r="J1245" i="8"/>
  <c r="L1245" i="8" s="1"/>
  <c r="N1245" i="8" s="1"/>
  <c r="J1234" i="8"/>
  <c r="L1234" i="8" s="1"/>
  <c r="N1234" i="8" s="1"/>
  <c r="J1223" i="8"/>
  <c r="L1223" i="8" s="1"/>
  <c r="N1223" i="8" s="1"/>
  <c r="J1207" i="8"/>
  <c r="L1207" i="8" s="1"/>
  <c r="N1207" i="8" s="1"/>
  <c r="J2109" i="8"/>
  <c r="L2109" i="8" s="1"/>
  <c r="N2109" i="8" s="1"/>
  <c r="J187" i="8"/>
  <c r="L187" i="8" s="1"/>
  <c r="N187" i="8" s="1"/>
  <c r="J15" i="8"/>
  <c r="L15" i="8" s="1"/>
  <c r="N15" i="8" s="1"/>
  <c r="J11" i="8"/>
  <c r="L11" i="8" s="1"/>
  <c r="N11" i="8" s="1"/>
  <c r="J184" i="8"/>
  <c r="L184" i="8" s="1"/>
  <c r="N184" i="8" s="1"/>
  <c r="J2008" i="8"/>
  <c r="L2008" i="8" s="1"/>
  <c r="N2008" i="8" s="1"/>
  <c r="J2004" i="8"/>
  <c r="L2004" i="8" s="1"/>
  <c r="N2004" i="8" s="1"/>
  <c r="J2040" i="8"/>
  <c r="L2040" i="8" s="1"/>
  <c r="N2040" i="8" s="1"/>
  <c r="J1182" i="8"/>
  <c r="L1182" i="8" s="1"/>
  <c r="N1182" i="8" s="1"/>
  <c r="J1177" i="8"/>
  <c r="L1177" i="8" s="1"/>
  <c r="N1177" i="8" s="1"/>
  <c r="J180" i="8"/>
  <c r="L180" i="8" s="1"/>
  <c r="N180" i="8" s="1"/>
  <c r="J1165" i="8"/>
  <c r="L1165" i="8" s="1"/>
  <c r="N1165" i="8" s="1"/>
  <c r="J1155" i="8"/>
  <c r="L1155" i="8" s="1"/>
  <c r="N1155" i="8" s="1"/>
  <c r="J1146" i="8"/>
  <c r="L1146" i="8" s="1"/>
  <c r="N1146" i="8" s="1"/>
  <c r="J1140" i="8"/>
  <c r="L1140" i="8" s="1"/>
  <c r="N1140" i="8" s="1"/>
  <c r="J1134" i="8"/>
  <c r="L1134" i="8" s="1"/>
  <c r="N1134" i="8" s="1"/>
  <c r="J1127" i="8"/>
  <c r="L1127" i="8" s="1"/>
  <c r="N1127" i="8" s="1"/>
  <c r="J1119" i="8"/>
  <c r="L1119" i="8" s="1"/>
  <c r="N1119" i="8" s="1"/>
  <c r="J1113" i="8"/>
  <c r="L1113" i="8" s="1"/>
  <c r="N1113" i="8" s="1"/>
  <c r="J1108" i="8"/>
  <c r="L1108" i="8" s="1"/>
  <c r="N1108" i="8" s="1"/>
  <c r="J1101" i="8"/>
  <c r="L1101" i="8" s="1"/>
  <c r="N1101" i="8" s="1"/>
  <c r="J67" i="8"/>
  <c r="L67" i="8" s="1"/>
  <c r="N67" i="8" s="1"/>
  <c r="J1095" i="8"/>
  <c r="L1095" i="8" s="1"/>
  <c r="N1095" i="8" s="1"/>
  <c r="J1092" i="8"/>
  <c r="L1092" i="8" s="1"/>
  <c r="N1092" i="8" s="1"/>
  <c r="J2262" i="8"/>
  <c r="L2262" i="8" s="1"/>
  <c r="N2262" i="8" s="1"/>
  <c r="J1080" i="8"/>
  <c r="L1080" i="8" s="1"/>
  <c r="N1080" i="8" s="1"/>
  <c r="J1074" i="8"/>
  <c r="L1074" i="8" s="1"/>
  <c r="N1074" i="8" s="1"/>
  <c r="J37" i="8"/>
  <c r="L37" i="8" s="1"/>
  <c r="N37" i="8" s="1"/>
  <c r="J1065" i="8"/>
  <c r="L1065" i="8" s="1"/>
  <c r="N1065" i="8" s="1"/>
  <c r="J1059" i="8"/>
  <c r="L1059" i="8" s="1"/>
  <c r="N1059" i="8" s="1"/>
  <c r="J1055" i="8"/>
  <c r="L1055" i="8" s="1"/>
  <c r="N1055" i="8" s="1"/>
  <c r="J1049" i="8"/>
  <c r="L1049" i="8" s="1"/>
  <c r="N1049" i="8" s="1"/>
  <c r="J1032" i="8"/>
  <c r="L1032" i="8" s="1"/>
  <c r="N1032" i="8" s="1"/>
  <c r="J2258" i="8"/>
  <c r="L2258" i="8" s="1"/>
  <c r="N2258" i="8" s="1"/>
  <c r="J1024" i="8"/>
  <c r="L1024" i="8" s="1"/>
  <c r="N1024" i="8" s="1"/>
  <c r="J1017" i="8"/>
  <c r="L1017" i="8" s="1"/>
  <c r="N1017" i="8" s="1"/>
  <c r="J1009" i="8"/>
  <c r="L1009" i="8" s="1"/>
  <c r="N1009" i="8" s="1"/>
  <c r="J1001" i="8"/>
  <c r="L1001" i="8" s="1"/>
  <c r="N1001" i="8" s="1"/>
  <c r="J2106" i="8"/>
  <c r="L2106" i="8" s="1"/>
  <c r="N2106" i="8" s="1"/>
  <c r="J992" i="8"/>
  <c r="L992" i="8" s="1"/>
  <c r="N992" i="8" s="1"/>
  <c r="J982" i="8"/>
  <c r="L982" i="8" s="1"/>
  <c r="N982" i="8" s="1"/>
  <c r="J978" i="8"/>
  <c r="L978" i="8" s="1"/>
  <c r="N978" i="8" s="1"/>
  <c r="J974" i="8"/>
  <c r="L974" i="8" s="1"/>
  <c r="N974" i="8" s="1"/>
  <c r="J963" i="8"/>
  <c r="L963" i="8" s="1"/>
  <c r="N963" i="8" s="1"/>
  <c r="J952" i="8"/>
  <c r="L952" i="8" s="1"/>
  <c r="N952" i="8" s="1"/>
  <c r="J925" i="8"/>
  <c r="L925" i="8" s="1"/>
  <c r="N925" i="8" s="1"/>
  <c r="J920" i="8"/>
  <c r="L920" i="8" s="1"/>
  <c r="N920" i="8" s="1"/>
  <c r="J910" i="8"/>
  <c r="L910" i="8" s="1"/>
  <c r="N910" i="8" s="1"/>
  <c r="J164" i="8"/>
  <c r="L164" i="8" s="1"/>
  <c r="N164" i="8" s="1"/>
  <c r="J901" i="8"/>
  <c r="L901" i="8" s="1"/>
  <c r="N901" i="8" s="1"/>
  <c r="J890" i="8"/>
  <c r="L890" i="8" s="1"/>
  <c r="N890" i="8" s="1"/>
  <c r="J885" i="8"/>
  <c r="L885" i="8" s="1"/>
  <c r="N885" i="8" s="1"/>
  <c r="J2251" i="8"/>
  <c r="L2251" i="8" s="1"/>
  <c r="N2251" i="8" s="1"/>
  <c r="J872" i="8"/>
  <c r="L872" i="8" s="1"/>
  <c r="N872" i="8" s="1"/>
  <c r="J866" i="8"/>
  <c r="L866" i="8" s="1"/>
  <c r="N866" i="8" s="1"/>
  <c r="J6" i="8"/>
  <c r="L6" i="8" s="1"/>
  <c r="N6" i="8" s="1"/>
  <c r="J161" i="8"/>
  <c r="L161" i="8" s="1"/>
  <c r="N161" i="8" s="1"/>
  <c r="J857" i="8"/>
  <c r="L857" i="8" s="1"/>
  <c r="N857" i="8" s="1"/>
  <c r="J60" i="8"/>
  <c r="L60" i="8" s="1"/>
  <c r="N60" i="8" s="1"/>
  <c r="J2248" i="8"/>
  <c r="L2248" i="8" s="1"/>
  <c r="N2248" i="8" s="1"/>
  <c r="J58" i="8"/>
  <c r="L58" i="8" s="1"/>
  <c r="N58" i="8" s="1"/>
  <c r="J849" i="8"/>
  <c r="L849" i="8" s="1"/>
  <c r="N849" i="8" s="1"/>
  <c r="J1993" i="8"/>
  <c r="L1993" i="8" s="1"/>
  <c r="N1993" i="8" s="1"/>
  <c r="J1989" i="8"/>
  <c r="L1989" i="8" s="1"/>
  <c r="N1989" i="8" s="1"/>
  <c r="J846" i="8"/>
  <c r="L846" i="8" s="1"/>
  <c r="N846" i="8" s="1"/>
  <c r="J33" i="8"/>
  <c r="L33" i="8" s="1"/>
  <c r="N33" i="8" s="1"/>
  <c r="J841" i="8"/>
  <c r="L841" i="8" s="1"/>
  <c r="N841" i="8" s="1"/>
  <c r="J2024" i="8"/>
  <c r="L2024" i="8" s="1"/>
  <c r="N2024" i="8" s="1"/>
  <c r="J838" i="8"/>
  <c r="L838" i="8" s="1"/>
  <c r="N838" i="8" s="1"/>
  <c r="J833" i="8"/>
  <c r="L833" i="8" s="1"/>
  <c r="N833" i="8" s="1"/>
  <c r="J828" i="8"/>
  <c r="L828" i="8" s="1"/>
  <c r="N828" i="8" s="1"/>
  <c r="J824" i="8"/>
  <c r="L824" i="8" s="1"/>
  <c r="N824" i="8" s="1"/>
  <c r="J820" i="8"/>
  <c r="L820" i="8" s="1"/>
  <c r="N820" i="8" s="1"/>
  <c r="J818" i="8"/>
  <c r="L818" i="8" s="1"/>
  <c r="N818" i="8" s="1"/>
  <c r="J155" i="8"/>
  <c r="L155" i="8" s="1"/>
  <c r="N155" i="8" s="1"/>
  <c r="J808" i="8"/>
  <c r="L808" i="8" s="1"/>
  <c r="N808" i="8" s="1"/>
  <c r="J2101" i="8"/>
  <c r="L2101" i="8" s="1"/>
  <c r="N2101" i="8" s="1"/>
  <c r="J793" i="8"/>
  <c r="L793" i="8" s="1"/>
  <c r="N793" i="8" s="1"/>
  <c r="J152" i="8"/>
  <c r="L152" i="8" s="1"/>
  <c r="N152" i="8" s="1"/>
  <c r="J776" i="8"/>
  <c r="L776" i="8" s="1"/>
  <c r="N776" i="8" s="1"/>
  <c r="J768" i="8"/>
  <c r="L768" i="8" s="1"/>
  <c r="N768" i="8" s="1"/>
  <c r="J149" i="8"/>
  <c r="L149" i="8" s="1"/>
  <c r="N149" i="8" s="1"/>
  <c r="J54" i="8"/>
  <c r="L54" i="8" s="1"/>
  <c r="N54" i="8" s="1"/>
  <c r="J148" i="8"/>
  <c r="L148" i="8" s="1"/>
  <c r="N148" i="8" s="1"/>
  <c r="J748" i="8"/>
  <c r="L748" i="8" s="1"/>
  <c r="N748" i="8" s="1"/>
  <c r="J739" i="8"/>
  <c r="L739" i="8" s="1"/>
  <c r="N739" i="8" s="1"/>
  <c r="J2098" i="8"/>
  <c r="L2098" i="8" s="1"/>
  <c r="N2098" i="8" s="1"/>
  <c r="J723" i="8"/>
  <c r="L723" i="8" s="1"/>
  <c r="N723" i="8" s="1"/>
  <c r="J709" i="8"/>
  <c r="L709" i="8" s="1"/>
  <c r="N709" i="8" s="1"/>
  <c r="J144" i="8"/>
  <c r="L144" i="8" s="1"/>
  <c r="N144" i="8" s="1"/>
  <c r="J701" i="8"/>
  <c r="L701" i="8" s="1"/>
  <c r="N701" i="8" s="1"/>
  <c r="J682" i="8"/>
  <c r="L682" i="8" s="1"/>
  <c r="N682" i="8" s="1"/>
  <c r="J675" i="8"/>
  <c r="L675" i="8" s="1"/>
  <c r="N675" i="8" s="1"/>
  <c r="J670" i="8"/>
  <c r="L670" i="8" s="1"/>
  <c r="N670" i="8" s="1"/>
  <c r="J663" i="8"/>
  <c r="L663" i="8" s="1"/>
  <c r="N663" i="8" s="1"/>
  <c r="J653" i="8"/>
  <c r="L653" i="8" s="1"/>
  <c r="N653" i="8" s="1"/>
  <c r="J647" i="8"/>
  <c r="L647" i="8" s="1"/>
  <c r="N647" i="8" s="1"/>
  <c r="J636" i="8"/>
  <c r="L636" i="8" s="1"/>
  <c r="N636" i="8" s="1"/>
  <c r="J628" i="8"/>
  <c r="L628" i="8" s="1"/>
  <c r="N628" i="8" s="1"/>
  <c r="J624" i="8"/>
  <c r="L624" i="8" s="1"/>
  <c r="N624" i="8" s="1"/>
  <c r="J613" i="8"/>
  <c r="L613" i="8" s="1"/>
  <c r="N613" i="8" s="1"/>
  <c r="J591" i="8"/>
  <c r="L591" i="8" s="1"/>
  <c r="N591" i="8" s="1"/>
  <c r="J583" i="8"/>
  <c r="L583" i="8" s="1"/>
  <c r="N583" i="8" s="1"/>
  <c r="J563" i="8"/>
  <c r="L563" i="8" s="1"/>
  <c r="N563" i="8" s="1"/>
  <c r="J558" i="8"/>
  <c r="L558" i="8" s="1"/>
  <c r="N558" i="8" s="1"/>
  <c r="J555" i="8"/>
  <c r="L555" i="8" s="1"/>
  <c r="N555" i="8" s="1"/>
  <c r="J546" i="8"/>
  <c r="L546" i="8" s="1"/>
  <c r="N546" i="8" s="1"/>
  <c r="J544" i="8"/>
  <c r="L544" i="8" s="1"/>
  <c r="N544" i="8" s="1"/>
  <c r="J133" i="8"/>
  <c r="L133" i="8" s="1"/>
  <c r="N133" i="8" s="1"/>
  <c r="J2234" i="8"/>
  <c r="L2234" i="8" s="1"/>
  <c r="N2234" i="8" s="1"/>
  <c r="J2231" i="8"/>
  <c r="L2231" i="8" s="1"/>
  <c r="N2231" i="8" s="1"/>
  <c r="J2086" i="8"/>
  <c r="L2086" i="8" s="1"/>
  <c r="N2086" i="8" s="1"/>
  <c r="J2225" i="8"/>
  <c r="L2225" i="8" s="1"/>
  <c r="N2225" i="8" s="1"/>
  <c r="J2000" i="8"/>
  <c r="L2000" i="8" s="1"/>
  <c r="N2000" i="8" s="1"/>
  <c r="J1996" i="8"/>
  <c r="L1996" i="8" s="1"/>
  <c r="N1996" i="8" s="1"/>
  <c r="J534" i="8"/>
  <c r="L534" i="8" s="1"/>
  <c r="N534" i="8" s="1"/>
  <c r="J529" i="8"/>
  <c r="L529" i="8" s="1"/>
  <c r="N529" i="8" s="1"/>
  <c r="J2213" i="8"/>
  <c r="L2213" i="8" s="1"/>
  <c r="N2213" i="8" s="1"/>
  <c r="J523" i="8"/>
  <c r="L523" i="8" s="1"/>
  <c r="N523" i="8" s="1"/>
  <c r="J50" i="8"/>
  <c r="L50" i="8" s="1"/>
  <c r="N50" i="8" s="1"/>
  <c r="J2205" i="8"/>
  <c r="L2205" i="8" s="1"/>
  <c r="N2205" i="8" s="1"/>
  <c r="J518" i="8"/>
  <c r="L518" i="8" s="1"/>
  <c r="N518" i="8" s="1"/>
  <c r="J2202" i="8"/>
  <c r="L2202" i="8" s="1"/>
  <c r="N2202" i="8" s="1"/>
  <c r="J2078" i="8"/>
  <c r="L2078" i="8" s="1"/>
  <c r="N2078" i="8" s="1"/>
  <c r="J2075" i="8"/>
  <c r="L2075" i="8" s="1"/>
  <c r="N2075" i="8" s="1"/>
  <c r="J505" i="8"/>
  <c r="L505" i="8" s="1"/>
  <c r="N505" i="8" s="1"/>
  <c r="J2192" i="8"/>
  <c r="L2192" i="8" s="1"/>
  <c r="N2192" i="8" s="1"/>
  <c r="J501" i="8"/>
  <c r="L501" i="8" s="1"/>
  <c r="N501" i="8" s="1"/>
  <c r="J498" i="8"/>
  <c r="L498" i="8" s="1"/>
  <c r="N498" i="8" s="1"/>
  <c r="J2188" i="8"/>
  <c r="L2188" i="8" s="1"/>
  <c r="N2188" i="8" s="1"/>
  <c r="J2184" i="8"/>
  <c r="L2184" i="8" s="1"/>
  <c r="N2184" i="8" s="1"/>
  <c r="J122" i="8"/>
  <c r="L122" i="8" s="1"/>
  <c r="N122" i="8" s="1"/>
  <c r="J2182" i="8"/>
  <c r="L2182" i="8" s="1"/>
  <c r="N2182" i="8" s="1"/>
  <c r="J487" i="8"/>
  <c r="L487" i="8" s="1"/>
  <c r="N487" i="8" s="1"/>
  <c r="J120" i="8"/>
  <c r="L120" i="8" s="1"/>
  <c r="N120" i="8" s="1"/>
  <c r="J25" i="8"/>
  <c r="L25" i="8" s="1"/>
  <c r="N25" i="8" s="1"/>
  <c r="J2176" i="8"/>
  <c r="L2176" i="8" s="1"/>
  <c r="N2176" i="8" s="1"/>
  <c r="J478" i="8"/>
  <c r="L478" i="8" s="1"/>
  <c r="N478" i="8" s="1"/>
  <c r="J472" i="8"/>
  <c r="L472" i="8" s="1"/>
  <c r="N472" i="8" s="1"/>
  <c r="J2065" i="8"/>
  <c r="L2065" i="8" s="1"/>
  <c r="N2065" i="8" s="1"/>
  <c r="J2167" i="8"/>
  <c r="L2167" i="8" s="1"/>
  <c r="N2167" i="8" s="1"/>
  <c r="J2160" i="8"/>
  <c r="L2160" i="8" s="1"/>
  <c r="N2160" i="8" s="1"/>
  <c r="J2158" i="8"/>
  <c r="L2158" i="8" s="1"/>
  <c r="N2158" i="8" s="1"/>
  <c r="J2155" i="8"/>
  <c r="L2155" i="8" s="1"/>
  <c r="N2155" i="8" s="1"/>
  <c r="J460" i="8"/>
  <c r="L460" i="8" s="1"/>
  <c r="N460" i="8" s="1"/>
  <c r="J2061" i="8"/>
  <c r="L2061" i="8" s="1"/>
  <c r="N2061" i="8" s="1"/>
  <c r="J2059" i="8"/>
  <c r="L2059" i="8" s="1"/>
  <c r="N2059" i="8" s="1"/>
  <c r="J451" i="8"/>
  <c r="L451" i="8" s="1"/>
  <c r="N451" i="8" s="1"/>
  <c r="J440" i="8"/>
  <c r="L440" i="8" s="1"/>
  <c r="N440" i="8" s="1"/>
  <c r="J427" i="8"/>
  <c r="L427" i="8" s="1"/>
  <c r="N427" i="8" s="1"/>
  <c r="J111" i="8"/>
  <c r="L111" i="8" s="1"/>
  <c r="N111" i="8" s="1"/>
  <c r="J418" i="8"/>
  <c r="L418" i="8" s="1"/>
  <c r="N418" i="8" s="1"/>
  <c r="J109" i="8"/>
  <c r="L109" i="8" s="1"/>
  <c r="N109" i="8" s="1"/>
  <c r="J105" i="8"/>
  <c r="L105" i="8" s="1"/>
  <c r="N105" i="8" s="1"/>
  <c r="J387" i="8"/>
  <c r="L387" i="8" s="1"/>
  <c r="N387" i="8" s="1"/>
  <c r="J2144" i="8"/>
  <c r="L2144" i="8" s="1"/>
  <c r="N2144" i="8" s="1"/>
  <c r="J381" i="8"/>
  <c r="L381" i="8" s="1"/>
  <c r="N381" i="8" s="1"/>
  <c r="J373" i="8"/>
  <c r="L373" i="8" s="1"/>
  <c r="N373" i="8" s="1"/>
  <c r="J365" i="8"/>
  <c r="L365" i="8" s="1"/>
  <c r="N365" i="8" s="1"/>
  <c r="J360" i="8"/>
  <c r="L360" i="8" s="1"/>
  <c r="N360" i="8" s="1"/>
  <c r="J351" i="8"/>
  <c r="L351" i="8" s="1"/>
  <c r="N351" i="8" s="1"/>
  <c r="J99" i="8"/>
  <c r="L99" i="8" s="1"/>
  <c r="N99" i="8" s="1"/>
  <c r="J98" i="8"/>
  <c r="L98" i="8" s="1"/>
  <c r="N98" i="8" s="1"/>
  <c r="J339" i="8"/>
  <c r="L339" i="8" s="1"/>
  <c r="N339" i="8" s="1"/>
  <c r="J2140" i="8"/>
  <c r="L2140" i="8" s="1"/>
  <c r="N2140" i="8" s="1"/>
  <c r="J325" i="8"/>
  <c r="L325" i="8" s="1"/>
  <c r="N325" i="8" s="1"/>
  <c r="J318" i="8"/>
  <c r="L318" i="8" s="1"/>
  <c r="N318" i="8" s="1"/>
  <c r="J94" i="8"/>
  <c r="L94" i="8" s="1"/>
  <c r="N94" i="8" s="1"/>
  <c r="J307" i="8"/>
  <c r="L307" i="8" s="1"/>
  <c r="N307" i="8" s="1"/>
  <c r="J2138" i="8"/>
  <c r="L2138" i="8" s="1"/>
  <c r="N2138" i="8" s="1"/>
  <c r="J296" i="8"/>
  <c r="L296" i="8" s="1"/>
  <c r="N296" i="8" s="1"/>
  <c r="J287" i="8"/>
  <c r="L287" i="8" s="1"/>
  <c r="N287" i="8" s="1"/>
  <c r="J2135" i="8"/>
  <c r="L2135" i="8" s="1"/>
  <c r="N2135" i="8" s="1"/>
  <c r="J1818" i="8"/>
  <c r="L1818" i="8" s="1"/>
  <c r="N1818" i="8" s="1"/>
  <c r="J1782" i="8"/>
  <c r="L1782" i="8" s="1"/>
  <c r="N1782" i="8" s="1"/>
  <c r="J1574" i="8"/>
  <c r="L1574" i="8" s="1"/>
  <c r="N1574" i="8" s="1"/>
  <c r="J1355" i="8"/>
  <c r="L1355" i="8" s="1"/>
  <c r="N1355" i="8" s="1"/>
  <c r="J204" i="8"/>
  <c r="L204" i="8" s="1"/>
  <c r="N204" i="8" s="1"/>
  <c r="J1248" i="8"/>
  <c r="L1248" i="8" s="1"/>
  <c r="N1248" i="8" s="1"/>
  <c r="J1154" i="8"/>
  <c r="L1154" i="8" s="1"/>
  <c r="N1154" i="8" s="1"/>
  <c r="J176" i="8"/>
  <c r="L176" i="8" s="1"/>
  <c r="N176" i="8" s="1"/>
  <c r="J1081" i="8"/>
  <c r="L1081" i="8" s="1"/>
  <c r="N1081" i="8" s="1"/>
  <c r="J973" i="8"/>
  <c r="L973" i="8" s="1"/>
  <c r="N973" i="8" s="1"/>
  <c r="J63" i="8"/>
  <c r="L63" i="8" s="1"/>
  <c r="N63" i="8" s="1"/>
  <c r="J157" i="8"/>
  <c r="L157" i="8" s="1"/>
  <c r="N157" i="8" s="1"/>
  <c r="J153" i="8"/>
  <c r="L153" i="8" s="1"/>
  <c r="N153" i="8" s="1"/>
  <c r="J772" i="8"/>
  <c r="L772" i="8" s="1"/>
  <c r="N772" i="8" s="1"/>
  <c r="J616" i="8"/>
  <c r="L616" i="8" s="1"/>
  <c r="N616" i="8" s="1"/>
  <c r="J605" i="8"/>
  <c r="L605" i="8" s="1"/>
  <c r="N605" i="8" s="1"/>
  <c r="J586" i="8"/>
  <c r="L586" i="8" s="1"/>
  <c r="N586" i="8" s="1"/>
  <c r="J369" i="8"/>
  <c r="L369" i="8" s="1"/>
  <c r="N369" i="8" s="1"/>
  <c r="J321" i="8"/>
  <c r="L321" i="8" s="1"/>
  <c r="N321" i="8" s="1"/>
  <c r="K2198" i="8"/>
  <c r="M2198" i="8" s="1"/>
  <c r="K1716" i="8"/>
  <c r="M1716" i="8" s="1"/>
  <c r="J301" i="8"/>
  <c r="L301" i="8" s="1"/>
  <c r="N301" i="8" s="1"/>
  <c r="J2139" i="8"/>
  <c r="L2139" i="8" s="1"/>
  <c r="N2139" i="8" s="1"/>
  <c r="J92" i="8"/>
  <c r="L92" i="8" s="1"/>
  <c r="N92" i="8" s="1"/>
  <c r="J334" i="8"/>
  <c r="L334" i="8" s="1"/>
  <c r="N334" i="8" s="1"/>
  <c r="J359" i="8"/>
  <c r="L359" i="8" s="1"/>
  <c r="N359" i="8" s="1"/>
  <c r="J2141" i="8"/>
  <c r="L2141" i="8" s="1"/>
  <c r="N2141" i="8" s="1"/>
  <c r="J377" i="8"/>
  <c r="L377" i="8" s="1"/>
  <c r="N377" i="8" s="1"/>
  <c r="J399" i="8"/>
  <c r="L399" i="8" s="1"/>
  <c r="N399" i="8" s="1"/>
  <c r="J415" i="8"/>
  <c r="L415" i="8" s="1"/>
  <c r="N415" i="8" s="1"/>
  <c r="J108" i="8"/>
  <c r="L108" i="8" s="1"/>
  <c r="N108" i="8" s="1"/>
  <c r="J402" i="8"/>
  <c r="L402" i="8" s="1"/>
  <c r="N402" i="8" s="1"/>
  <c r="J456" i="8"/>
  <c r="L456" i="8" s="1"/>
  <c r="N456" i="8" s="1"/>
  <c r="J445" i="8"/>
  <c r="L445" i="8" s="1"/>
  <c r="N445" i="8" s="1"/>
  <c r="J430" i="8"/>
  <c r="L430" i="8" s="1"/>
  <c r="N430" i="8" s="1"/>
  <c r="J2166" i="8"/>
  <c r="L2166" i="8" s="1"/>
  <c r="N2166" i="8" s="1"/>
  <c r="J47" i="8"/>
  <c r="L47" i="8" s="1"/>
  <c r="N47" i="8" s="1"/>
  <c r="J481" i="8"/>
  <c r="L481" i="8" s="1"/>
  <c r="N481" i="8" s="1"/>
  <c r="J476" i="8"/>
  <c r="L476" i="8" s="1"/>
  <c r="N476" i="8" s="1"/>
  <c r="J502" i="8"/>
  <c r="L502" i="8" s="1"/>
  <c r="N502" i="8" s="1"/>
  <c r="J2186" i="8"/>
  <c r="L2186" i="8" s="1"/>
  <c r="N2186" i="8" s="1"/>
  <c r="J128" i="8"/>
  <c r="L128" i="8" s="1"/>
  <c r="N128" i="8" s="1"/>
  <c r="J509" i="8"/>
  <c r="L509" i="8" s="1"/>
  <c r="N509" i="8" s="1"/>
  <c r="K328" i="8"/>
  <c r="M328" i="8" s="1"/>
  <c r="K379" i="8"/>
  <c r="M379" i="8" s="1"/>
  <c r="K419" i="8"/>
  <c r="M419" i="8" s="1"/>
  <c r="J531" i="8"/>
  <c r="L531" i="8" s="1"/>
  <c r="N531" i="8" s="1"/>
  <c r="J526" i="8"/>
  <c r="L526" i="8" s="1"/>
  <c r="N526" i="8" s="1"/>
  <c r="J520" i="8"/>
  <c r="L520" i="8" s="1"/>
  <c r="N520" i="8" s="1"/>
  <c r="J549" i="8"/>
  <c r="L549" i="8" s="1"/>
  <c r="N549" i="8" s="1"/>
  <c r="J565" i="8"/>
  <c r="L565" i="8" s="1"/>
  <c r="N565" i="8" s="1"/>
  <c r="J582" i="8"/>
  <c r="L582" i="8" s="1"/>
  <c r="N582" i="8" s="1"/>
  <c r="J575" i="8"/>
  <c r="L575" i="8" s="1"/>
  <c r="N575" i="8" s="1"/>
  <c r="J598" i="8"/>
  <c r="L598" i="8" s="1"/>
  <c r="N598" i="8" s="1"/>
  <c r="J136" i="8"/>
  <c r="L136" i="8" s="1"/>
  <c r="N136" i="8" s="1"/>
  <c r="J2241" i="8"/>
  <c r="L2241" i="8" s="1"/>
  <c r="N2241" i="8" s="1"/>
  <c r="J609" i="8"/>
  <c r="L609" i="8" s="1"/>
  <c r="N609" i="8" s="1"/>
  <c r="J656" i="8"/>
  <c r="L656" i="8" s="1"/>
  <c r="N656" i="8" s="1"/>
  <c r="J633" i="8"/>
  <c r="L633" i="8" s="1"/>
  <c r="N633" i="8" s="1"/>
  <c r="J660" i="8"/>
  <c r="L660" i="8" s="1"/>
  <c r="N660" i="8" s="1"/>
  <c r="J2015" i="8"/>
  <c r="L2015" i="8" s="1"/>
  <c r="N2015" i="8" s="1"/>
  <c r="J2011" i="8"/>
  <c r="L2011" i="8" s="1"/>
  <c r="N2011" i="8" s="1"/>
  <c r="J679" i="8"/>
  <c r="L679" i="8" s="1"/>
  <c r="N679" i="8" s="1"/>
  <c r="J20" i="8"/>
  <c r="L20" i="8" s="1"/>
  <c r="N20" i="8" s="1"/>
  <c r="J693" i="8"/>
  <c r="L693" i="8" s="1"/>
  <c r="N693" i="8" s="1"/>
  <c r="J704" i="8"/>
  <c r="L704" i="8" s="1"/>
  <c r="N704" i="8" s="1"/>
  <c r="J698" i="8"/>
  <c r="L698" i="8" s="1"/>
  <c r="N698" i="8" s="1"/>
  <c r="J717" i="8"/>
  <c r="L717" i="8" s="1"/>
  <c r="N717" i="8" s="1"/>
  <c r="J146" i="8"/>
  <c r="L146" i="8" s="1"/>
  <c r="N146" i="8" s="1"/>
  <c r="J727" i="8"/>
  <c r="L727" i="8" s="1"/>
  <c r="N727" i="8" s="1"/>
  <c r="J2017" i="8"/>
  <c r="L2017" i="8" s="1"/>
  <c r="N2017" i="8" s="1"/>
  <c r="J731" i="8"/>
  <c r="L731" i="8" s="1"/>
  <c r="N731" i="8" s="1"/>
  <c r="J2019" i="8"/>
  <c r="L2019" i="8" s="1"/>
  <c r="N2019" i="8" s="1"/>
  <c r="J749" i="8"/>
  <c r="L749" i="8" s="1"/>
  <c r="N749" i="8" s="1"/>
  <c r="J757" i="8"/>
  <c r="L757" i="8" s="1"/>
  <c r="N757" i="8" s="1"/>
  <c r="J788" i="8"/>
  <c r="L788" i="8" s="1"/>
  <c r="N788" i="8" s="1"/>
  <c r="J797" i="8"/>
  <c r="L797" i="8" s="1"/>
  <c r="N797" i="8" s="1"/>
  <c r="J860" i="8"/>
  <c r="L860" i="8" s="1"/>
  <c r="N860" i="8" s="1"/>
  <c r="J874" i="8"/>
  <c r="L874" i="8" s="1"/>
  <c r="N874" i="8" s="1"/>
  <c r="J908" i="8"/>
  <c r="L908" i="8" s="1"/>
  <c r="N908" i="8" s="1"/>
  <c r="J923" i="8"/>
  <c r="L923" i="8" s="1"/>
  <c r="N923" i="8" s="1"/>
  <c r="J949" i="8"/>
  <c r="L949" i="8" s="1"/>
  <c r="N949" i="8" s="1"/>
  <c r="J943" i="8"/>
  <c r="L943" i="8" s="1"/>
  <c r="N943" i="8" s="1"/>
  <c r="J933" i="8"/>
  <c r="L933" i="8" s="1"/>
  <c r="N933" i="8" s="1"/>
  <c r="J928" i="8"/>
  <c r="L928" i="8" s="1"/>
  <c r="N928" i="8" s="1"/>
  <c r="J2103" i="8"/>
  <c r="L2103" i="8" s="1"/>
  <c r="N2103" i="8" s="1"/>
  <c r="J958" i="8"/>
  <c r="L958" i="8" s="1"/>
  <c r="N958" i="8" s="1"/>
  <c r="J987" i="8"/>
  <c r="L987" i="8" s="1"/>
  <c r="N987" i="8" s="1"/>
  <c r="J969" i="8"/>
  <c r="L969" i="8" s="1"/>
  <c r="N969" i="8" s="1"/>
  <c r="J1020" i="8"/>
  <c r="L1020" i="8" s="1"/>
  <c r="N1020" i="8" s="1"/>
  <c r="J1002" i="8"/>
  <c r="L1002" i="8" s="1"/>
  <c r="N1002" i="8" s="1"/>
  <c r="J1045" i="8"/>
  <c r="L1045" i="8" s="1"/>
  <c r="N1045" i="8" s="1"/>
  <c r="J1039" i="8"/>
  <c r="L1039" i="8" s="1"/>
  <c r="N1039" i="8" s="1"/>
  <c r="J1034" i="8"/>
  <c r="L1034" i="8" s="1"/>
  <c r="N1034" i="8" s="1"/>
  <c r="J1083" i="8"/>
  <c r="L1083" i="8" s="1"/>
  <c r="N1083" i="8" s="1"/>
  <c r="J1107" i="8"/>
  <c r="L1107" i="8" s="1"/>
  <c r="N1107" i="8" s="1"/>
  <c r="J1162" i="8"/>
  <c r="L1162" i="8" s="1"/>
  <c r="N1162" i="8" s="1"/>
  <c r="J1152" i="8"/>
  <c r="L1152" i="8" s="1"/>
  <c r="N1152" i="8" s="1"/>
  <c r="J1184" i="8"/>
  <c r="L1184" i="8" s="1"/>
  <c r="N1184" i="8" s="1"/>
  <c r="J1205" i="8"/>
  <c r="L1205" i="8" s="1"/>
  <c r="N1205" i="8" s="1"/>
  <c r="J189" i="8"/>
  <c r="L189" i="8" s="1"/>
  <c r="N189" i="8" s="1"/>
  <c r="J1227" i="8"/>
  <c r="L1227" i="8" s="1"/>
  <c r="N1227" i="8" s="1"/>
  <c r="J1215" i="8"/>
  <c r="L1215" i="8" s="1"/>
  <c r="N1215" i="8" s="1"/>
  <c r="J1211" i="8"/>
  <c r="L1211" i="8" s="1"/>
  <c r="N1211" i="8" s="1"/>
  <c r="J2111" i="8"/>
  <c r="L2111" i="8" s="1"/>
  <c r="N2111" i="8" s="1"/>
  <c r="J69" i="8"/>
  <c r="L69" i="8" s="1"/>
  <c r="N69" i="8" s="1"/>
  <c r="J1235" i="8"/>
  <c r="L1235" i="8" s="1"/>
  <c r="N1235" i="8" s="1"/>
  <c r="J193" i="8"/>
  <c r="L193" i="8" s="1"/>
  <c r="N193" i="8" s="1"/>
  <c r="J1267" i="8"/>
  <c r="L1267" i="8" s="1"/>
  <c r="N1267" i="8" s="1"/>
  <c r="J191" i="8"/>
  <c r="L191" i="8" s="1"/>
  <c r="N191" i="8" s="1"/>
  <c r="J1301" i="8"/>
  <c r="L1301" i="8" s="1"/>
  <c r="N1301" i="8" s="1"/>
  <c r="J1294" i="8"/>
  <c r="L1294" i="8" s="1"/>
  <c r="N1294" i="8" s="1"/>
  <c r="J1277" i="8"/>
  <c r="L1277" i="8" s="1"/>
  <c r="N1277" i="8" s="1"/>
  <c r="J1359" i="8"/>
  <c r="L1359" i="8" s="1"/>
  <c r="N1359" i="8" s="1"/>
  <c r="J1352" i="8"/>
  <c r="L1352" i="8" s="1"/>
  <c r="N1352" i="8" s="1"/>
  <c r="J1341" i="8"/>
  <c r="L1341" i="8" s="1"/>
  <c r="N1341" i="8" s="1"/>
  <c r="J1323" i="8"/>
  <c r="L1323" i="8" s="1"/>
  <c r="N1323" i="8" s="1"/>
  <c r="J198" i="8"/>
  <c r="L198" i="8" s="1"/>
  <c r="N198" i="8" s="1"/>
  <c r="J1401" i="8"/>
  <c r="L1401" i="8" s="1"/>
  <c r="N1401" i="8" s="1"/>
  <c r="J1376" i="8"/>
  <c r="L1376" i="8" s="1"/>
  <c r="N1376" i="8" s="1"/>
  <c r="J213" i="8"/>
  <c r="L213" i="8" s="1"/>
  <c r="N213" i="8" s="1"/>
  <c r="J1427" i="8"/>
  <c r="L1427" i="8" s="1"/>
  <c r="N1427" i="8" s="1"/>
  <c r="J75" i="8"/>
  <c r="L75" i="8" s="1"/>
  <c r="N75" i="8" s="1"/>
  <c r="J209" i="8"/>
  <c r="L209" i="8" s="1"/>
  <c r="N209" i="8" s="1"/>
  <c r="J1411" i="8"/>
  <c r="L1411" i="8" s="1"/>
  <c r="N1411" i="8" s="1"/>
  <c r="J1402" i="8"/>
  <c r="L1402" i="8" s="1"/>
  <c r="N1402" i="8" s="1"/>
  <c r="J1458" i="8"/>
  <c r="L1458" i="8" s="1"/>
  <c r="N1458" i="8" s="1"/>
  <c r="J218" i="8"/>
  <c r="L218" i="8" s="1"/>
  <c r="N218" i="8" s="1"/>
  <c r="J216" i="8"/>
  <c r="L216" i="8" s="1"/>
  <c r="N216" i="8" s="1"/>
  <c r="J223" i="8"/>
  <c r="L223" i="8" s="1"/>
  <c r="N223" i="8" s="1"/>
  <c r="J1494" i="8"/>
  <c r="L1494" i="8" s="1"/>
  <c r="N1494" i="8" s="1"/>
  <c r="J229" i="8"/>
  <c r="L229" i="8" s="1"/>
  <c r="N229" i="8" s="1"/>
  <c r="J1559" i="8"/>
  <c r="L1559" i="8" s="1"/>
  <c r="N1559" i="8" s="1"/>
  <c r="J1528" i="8"/>
  <c r="L1528" i="8" s="1"/>
  <c r="N1528" i="8" s="1"/>
  <c r="J1521" i="8"/>
  <c r="L1521" i="8" s="1"/>
  <c r="N1521" i="8" s="1"/>
  <c r="J1607" i="8"/>
  <c r="L1607" i="8" s="1"/>
  <c r="N1607" i="8" s="1"/>
  <c r="J1596" i="8"/>
  <c r="L1596" i="8" s="1"/>
  <c r="N1596" i="8" s="1"/>
  <c r="J1587" i="8"/>
  <c r="L1587" i="8" s="1"/>
  <c r="N1587" i="8" s="1"/>
  <c r="J1576" i="8"/>
  <c r="L1576" i="8" s="1"/>
  <c r="N1576" i="8" s="1"/>
  <c r="J232" i="8"/>
  <c r="L232" i="8" s="1"/>
  <c r="N232" i="8" s="1"/>
  <c r="J1566" i="8"/>
  <c r="L1566" i="8" s="1"/>
  <c r="N1566" i="8" s="1"/>
  <c r="J1656" i="8"/>
  <c r="L1656" i="8" s="1"/>
  <c r="N1656" i="8" s="1"/>
  <c r="J1649" i="8"/>
  <c r="L1649" i="8" s="1"/>
  <c r="N1649" i="8" s="1"/>
  <c r="J1629" i="8"/>
  <c r="L1629" i="8" s="1"/>
  <c r="N1629" i="8" s="1"/>
  <c r="J236" i="8"/>
  <c r="L236" i="8" s="1"/>
  <c r="N236" i="8" s="1"/>
  <c r="J1619" i="8"/>
  <c r="L1619" i="8" s="1"/>
  <c r="N1619" i="8" s="1"/>
  <c r="J84" i="8"/>
  <c r="L84" i="8" s="1"/>
  <c r="N84" i="8" s="1"/>
  <c r="J1724" i="8"/>
  <c r="L1724" i="8" s="1"/>
  <c r="N1724" i="8" s="1"/>
  <c r="J1691" i="8"/>
  <c r="L1691" i="8" s="1"/>
  <c r="N1691" i="8" s="1"/>
  <c r="J2122" i="8"/>
  <c r="L2122" i="8" s="1"/>
  <c r="N2122" i="8" s="1"/>
  <c r="J256" i="8"/>
  <c r="L256" i="8" s="1"/>
  <c r="N256" i="8" s="1"/>
  <c r="J254" i="8"/>
  <c r="L254" i="8" s="1"/>
  <c r="N254" i="8" s="1"/>
  <c r="J252" i="8"/>
  <c r="L252" i="8" s="1"/>
  <c r="N252" i="8" s="1"/>
  <c r="J1799" i="8"/>
  <c r="L1799" i="8" s="1"/>
  <c r="N1799" i="8" s="1"/>
  <c r="J1767" i="8"/>
  <c r="L1767" i="8" s="1"/>
  <c r="N1767" i="8" s="1"/>
  <c r="J1759" i="8"/>
  <c r="L1759" i="8" s="1"/>
  <c r="N1759" i="8" s="1"/>
  <c r="J2056" i="8"/>
  <c r="L2056" i="8" s="1"/>
  <c r="N2056" i="8" s="1"/>
  <c r="K1853" i="8"/>
  <c r="M1853" i="8" s="1"/>
  <c r="J1860" i="8"/>
  <c r="L1860" i="8" s="1"/>
  <c r="N1860" i="8" s="1"/>
  <c r="J1968" i="8"/>
  <c r="L1968" i="8" s="1"/>
  <c r="N1968" i="8" s="1"/>
  <c r="J1952" i="8"/>
  <c r="L1952" i="8" s="1"/>
  <c r="N1952" i="8" s="1"/>
  <c r="J355" i="8"/>
  <c r="L355" i="8" s="1"/>
  <c r="N355" i="8" s="1"/>
  <c r="J305" i="8"/>
  <c r="L305" i="8" s="1"/>
  <c r="N305" i="8" s="1"/>
  <c r="J409" i="8"/>
  <c r="L409" i="8" s="1"/>
  <c r="N409" i="8" s="1"/>
  <c r="J442" i="8"/>
  <c r="L442" i="8" s="1"/>
  <c r="N442" i="8" s="1"/>
  <c r="J2165" i="8"/>
  <c r="L2165" i="8" s="1"/>
  <c r="N2165" i="8" s="1"/>
  <c r="J2228" i="8"/>
  <c r="L2228" i="8" s="1"/>
  <c r="N2228" i="8" s="1"/>
  <c r="J2215" i="8"/>
  <c r="L2215" i="8" s="1"/>
  <c r="N2215" i="8" s="1"/>
  <c r="J521" i="8"/>
  <c r="L521" i="8" s="1"/>
  <c r="N521" i="8" s="1"/>
  <c r="J564" i="8"/>
  <c r="L564" i="8" s="1"/>
  <c r="N564" i="8" s="1"/>
  <c r="J621" i="8"/>
  <c r="L621" i="8" s="1"/>
  <c r="N621" i="8" s="1"/>
  <c r="J619" i="8"/>
  <c r="L619" i="8" s="1"/>
  <c r="N619" i="8" s="1"/>
  <c r="J607" i="8"/>
  <c r="L607" i="8" s="1"/>
  <c r="N607" i="8" s="1"/>
  <c r="J694" i="8"/>
  <c r="L694" i="8" s="1"/>
  <c r="N694" i="8" s="1"/>
  <c r="J142" i="8"/>
  <c r="L142" i="8" s="1"/>
  <c r="N142" i="8" s="1"/>
  <c r="J882" i="8"/>
  <c r="L882" i="8" s="1"/>
  <c r="N882" i="8" s="1"/>
  <c r="J915" i="8"/>
  <c r="L915" i="8" s="1"/>
  <c r="N915" i="8" s="1"/>
  <c r="J1027" i="8"/>
  <c r="L1027" i="8" s="1"/>
  <c r="N1027" i="8" s="1"/>
  <c r="J1040" i="8"/>
  <c r="L1040" i="8" s="1"/>
  <c r="N1040" i="8" s="1"/>
  <c r="J1169" i="8"/>
  <c r="L1169" i="8" s="1"/>
  <c r="N1169" i="8" s="1"/>
  <c r="J1160" i="8"/>
  <c r="L1160" i="8" s="1"/>
  <c r="N1160" i="8" s="1"/>
  <c r="J1068" i="8"/>
  <c r="L1068" i="8" s="1"/>
  <c r="N1068" i="8" s="1"/>
  <c r="J1263" i="8"/>
  <c r="L1263" i="8" s="1"/>
  <c r="N1263" i="8" s="1"/>
  <c r="J1406" i="8"/>
  <c r="L1406" i="8" s="1"/>
  <c r="N1406" i="8" s="1"/>
  <c r="J1480" i="8"/>
  <c r="L1480" i="8" s="1"/>
  <c r="N1480" i="8" s="1"/>
  <c r="J225" i="8"/>
  <c r="L225" i="8" s="1"/>
  <c r="N225" i="8" s="1"/>
  <c r="J1482" i="8"/>
  <c r="L1482" i="8" s="1"/>
  <c r="N1482" i="8" s="1"/>
  <c r="J1531" i="8"/>
  <c r="L1531" i="8" s="1"/>
  <c r="N1531" i="8" s="1"/>
  <c r="J2283" i="8"/>
  <c r="L2283" i="8" s="1"/>
  <c r="N2283" i="8" s="1"/>
  <c r="J1621" i="8"/>
  <c r="L1621" i="8" s="1"/>
  <c r="N1621" i="8" s="1"/>
  <c r="J2118" i="8"/>
  <c r="L2118" i="8" s="1"/>
  <c r="N2118" i="8" s="1"/>
  <c r="J1660" i="8"/>
  <c r="L1660" i="8" s="1"/>
  <c r="N1660" i="8" s="1"/>
  <c r="J2298" i="8"/>
  <c r="L2298" i="8" s="1"/>
  <c r="N2298" i="8" s="1"/>
  <c r="J1882" i="8"/>
  <c r="L1882" i="8" s="1"/>
  <c r="N1882" i="8" s="1"/>
  <c r="J865" i="8"/>
  <c r="L865" i="8" s="1"/>
  <c r="N865" i="8" s="1"/>
  <c r="J1830" i="8"/>
  <c r="L1830" i="8" s="1"/>
  <c r="N1830" i="8" s="1"/>
  <c r="K288" i="8"/>
  <c r="M288" i="8" s="1"/>
  <c r="J706" i="8"/>
  <c r="L706" i="8" s="1"/>
  <c r="N706" i="8" s="1"/>
  <c r="J646" i="8"/>
  <c r="L646" i="8" s="1"/>
  <c r="N646" i="8" s="1"/>
  <c r="J306" i="8"/>
  <c r="L306" i="8" s="1"/>
  <c r="N306" i="8" s="1"/>
  <c r="J884" i="8"/>
  <c r="L884" i="8" s="1"/>
  <c r="N884" i="8" s="1"/>
  <c r="J840" i="8"/>
  <c r="L840" i="8" s="1"/>
  <c r="N840" i="8" s="1"/>
  <c r="J805" i="8"/>
  <c r="L805" i="8" s="1"/>
  <c r="N805" i="8" s="1"/>
  <c r="J1054" i="8"/>
  <c r="L1054" i="8" s="1"/>
  <c r="N1054" i="8" s="1"/>
  <c r="J905" i="8"/>
  <c r="L905" i="8" s="1"/>
  <c r="N905" i="8" s="1"/>
  <c r="J1164" i="8"/>
  <c r="L1164" i="8" s="1"/>
  <c r="N1164" i="8" s="1"/>
  <c r="J1114" i="8"/>
  <c r="L1114" i="8" s="1"/>
  <c r="N1114" i="8" s="1"/>
  <c r="J1449" i="8"/>
  <c r="L1449" i="8" s="1"/>
  <c r="N1449" i="8" s="1"/>
  <c r="J1368" i="8"/>
  <c r="L1368" i="8" s="1"/>
  <c r="N1368" i="8" s="1"/>
  <c r="J1280" i="8"/>
  <c r="L1280" i="8" s="1"/>
  <c r="N1280" i="8" s="1"/>
  <c r="J1543" i="8"/>
  <c r="L1543" i="8" s="1"/>
  <c r="N1543" i="8" s="1"/>
  <c r="J1731" i="8"/>
  <c r="L1731" i="8" s="1"/>
  <c r="N1731" i="8" s="1"/>
  <c r="J1941" i="8"/>
  <c r="L1941" i="8" s="1"/>
  <c r="N1941" i="8" s="1"/>
  <c r="J1826" i="8"/>
  <c r="L1826" i="8" s="1"/>
  <c r="N1826" i="8" s="1"/>
  <c r="J400" i="8"/>
  <c r="L400" i="8" s="1"/>
  <c r="N400" i="8" s="1"/>
  <c r="J756" i="8"/>
  <c r="L756" i="8" s="1"/>
  <c r="N756" i="8" s="1"/>
  <c r="J657" i="8"/>
  <c r="L657" i="8" s="1"/>
  <c r="N657" i="8" s="1"/>
  <c r="J566" i="8"/>
  <c r="L566" i="8" s="1"/>
  <c r="N566" i="8" s="1"/>
  <c r="J956" i="8"/>
  <c r="L956" i="8" s="1"/>
  <c r="N956" i="8" s="1"/>
  <c r="J1042" i="8"/>
  <c r="L1042" i="8" s="1"/>
  <c r="N1042" i="8" s="1"/>
  <c r="J1384" i="8"/>
  <c r="L1384" i="8" s="1"/>
  <c r="N1384" i="8" s="1"/>
  <c r="J1316" i="8"/>
  <c r="L1316" i="8" s="1"/>
  <c r="N1316" i="8" s="1"/>
  <c r="J1565" i="8"/>
  <c r="L1565" i="8" s="1"/>
  <c r="N1565" i="8" s="1"/>
  <c r="J1737" i="8"/>
  <c r="L1737" i="8" s="1"/>
  <c r="N1737" i="8" s="1"/>
  <c r="J862" i="8"/>
  <c r="L862" i="8" s="1"/>
  <c r="N862" i="8" s="1"/>
  <c r="J897" i="8"/>
  <c r="L897" i="8" s="1"/>
  <c r="N897" i="8" s="1"/>
  <c r="J1663" i="8"/>
  <c r="L1663" i="8" s="1"/>
  <c r="N1663" i="8" s="1"/>
  <c r="J1908" i="8"/>
  <c r="L1908" i="8" s="1"/>
  <c r="N1908" i="8" s="1"/>
  <c r="J1641" i="8"/>
  <c r="L1641" i="8" s="1"/>
  <c r="N1641" i="8" s="1"/>
  <c r="J283" i="8"/>
  <c r="L283" i="8" s="1"/>
  <c r="N283" i="8" s="1"/>
  <c r="J311" i="8"/>
  <c r="L311" i="8" s="1"/>
  <c r="N311" i="8" s="1"/>
  <c r="J1483" i="8"/>
  <c r="L1483" i="8" s="1"/>
  <c r="N1483" i="8" s="1"/>
  <c r="J2216" i="8"/>
  <c r="L2216" i="8" s="1"/>
  <c r="N2216" i="8" s="1"/>
  <c r="J1499" i="8"/>
  <c r="L1499" i="8" s="1"/>
  <c r="N1499" i="8" s="1"/>
  <c r="J1377" i="8"/>
  <c r="L1377" i="8" s="1"/>
  <c r="N1377" i="8" s="1"/>
  <c r="J1250" i="8"/>
  <c r="L1250" i="8" s="1"/>
  <c r="N1250" i="8" s="1"/>
  <c r="J141" i="8"/>
  <c r="L141" i="8" s="1"/>
  <c r="N141" i="8" s="1"/>
  <c r="J331" i="8"/>
  <c r="L331" i="8" s="1"/>
  <c r="N331" i="8" s="1"/>
  <c r="J1394" i="8"/>
  <c r="L1394" i="8" s="1"/>
  <c r="N1394" i="8" s="1"/>
  <c r="J1097" i="8"/>
  <c r="L1097" i="8" s="1"/>
  <c r="N1097" i="8" s="1"/>
  <c r="J688" i="8"/>
  <c r="L688" i="8" s="1"/>
  <c r="N688" i="8" s="1"/>
  <c r="K800" i="8"/>
  <c r="M800" i="8" s="1"/>
  <c r="J439" i="8"/>
  <c r="L439" i="8" s="1"/>
  <c r="N439" i="8" s="1"/>
  <c r="J1570" i="8"/>
  <c r="L1570" i="8" s="1"/>
  <c r="N1570" i="8" s="1"/>
  <c r="K1856" i="8"/>
  <c r="M1856" i="8" s="1"/>
  <c r="J1841" i="8"/>
  <c r="L1841" i="8" s="1"/>
  <c r="N1841" i="8" s="1"/>
  <c r="J1646" i="8"/>
  <c r="L1646" i="8" s="1"/>
  <c r="N1646" i="8" s="1"/>
  <c r="K1484" i="8"/>
  <c r="M1484" i="8" s="1"/>
  <c r="K1299" i="8"/>
  <c r="M1299" i="8" s="1"/>
  <c r="J914" i="8"/>
  <c r="L914" i="8" s="1"/>
  <c r="N914" i="8" s="1"/>
  <c r="K631" i="8"/>
  <c r="M631" i="8" s="1"/>
  <c r="K533" i="8"/>
  <c r="M533" i="8" s="1"/>
  <c r="K1" i="8"/>
  <c r="K859" i="8"/>
  <c r="M859" i="8" s="1"/>
  <c r="K856" i="8"/>
  <c r="M856" i="8" s="1"/>
  <c r="K59" i="8"/>
  <c r="M59" i="8" s="1"/>
  <c r="K852" i="8"/>
  <c r="M852" i="8" s="1"/>
  <c r="K57" i="8"/>
  <c r="M57" i="8" s="1"/>
  <c r="K848" i="8"/>
  <c r="M848" i="8" s="1"/>
  <c r="K1992" i="8"/>
  <c r="M1992" i="8" s="1"/>
  <c r="K1988" i="8"/>
  <c r="M1988" i="8" s="1"/>
  <c r="K845" i="8"/>
  <c r="M845" i="8" s="1"/>
  <c r="K32" i="8"/>
  <c r="M32" i="8" s="1"/>
  <c r="K2245" i="8"/>
  <c r="M2245" i="8" s="1"/>
  <c r="K2023" i="8"/>
  <c r="M2023" i="8" s="1"/>
  <c r="K837" i="8"/>
  <c r="M837" i="8" s="1"/>
  <c r="K831" i="8"/>
  <c r="M831" i="8" s="1"/>
  <c r="K160" i="8"/>
  <c r="M160" i="8" s="1"/>
  <c r="K823" i="8"/>
  <c r="M823" i="8" s="1"/>
  <c r="K2037" i="8"/>
  <c r="M2037" i="8" s="1"/>
  <c r="K815" i="8"/>
  <c r="M815" i="8" s="1"/>
  <c r="K812" i="8"/>
  <c r="M812" i="8" s="1"/>
  <c r="K807" i="8"/>
  <c r="M807" i="8" s="1"/>
  <c r="K787" i="8"/>
  <c r="M787" i="8" s="1"/>
  <c r="K151" i="8"/>
  <c r="M151" i="8" s="1"/>
  <c r="K774" i="8"/>
  <c r="M774" i="8" s="1"/>
  <c r="K767" i="8"/>
  <c r="M767" i="8" s="1"/>
  <c r="K765" i="8"/>
  <c r="M765" i="8" s="1"/>
  <c r="K53" i="8"/>
  <c r="M53" i="8" s="1"/>
  <c r="K147" i="8"/>
  <c r="M147" i="8" s="1"/>
  <c r="K747" i="8"/>
  <c r="M747" i="8" s="1"/>
  <c r="K738" i="8"/>
  <c r="M738" i="8" s="1"/>
  <c r="K2097" i="8"/>
  <c r="M2097" i="8" s="1"/>
  <c r="K713" i="8"/>
  <c r="M713" i="8" s="1"/>
  <c r="K708" i="8"/>
  <c r="M708" i="8" s="1"/>
  <c r="K143" i="8"/>
  <c r="M143" i="8" s="1"/>
  <c r="K696" i="8"/>
  <c r="M696" i="8" s="1"/>
  <c r="K681" i="8"/>
  <c r="M681" i="8" s="1"/>
  <c r="K674" i="8"/>
  <c r="M674" i="8" s="1"/>
  <c r="K668" i="8"/>
  <c r="M668" i="8" s="1"/>
  <c r="K662" i="8"/>
  <c r="M662" i="8" s="1"/>
  <c r="K652" i="8"/>
  <c r="M652" i="8" s="1"/>
  <c r="K645" i="8"/>
  <c r="M645" i="8" s="1"/>
  <c r="K632" i="8"/>
  <c r="M632" i="8" s="1"/>
  <c r="K140" i="8"/>
  <c r="M140" i="8" s="1"/>
  <c r="K623" i="8"/>
  <c r="M623" i="8" s="1"/>
  <c r="K604" i="8"/>
  <c r="M604" i="8" s="1"/>
  <c r="K589" i="8"/>
  <c r="M589" i="8" s="1"/>
  <c r="K577" i="8"/>
  <c r="M577" i="8" s="1"/>
  <c r="K562" i="8"/>
  <c r="M562" i="8" s="1"/>
  <c r="K557" i="8"/>
  <c r="M557" i="8" s="1"/>
  <c r="K554" i="8"/>
  <c r="M554" i="8" s="1"/>
  <c r="K545" i="8"/>
  <c r="M545" i="8" s="1"/>
  <c r="K543" i="8"/>
  <c r="M543" i="8" s="1"/>
  <c r="K542" i="8"/>
  <c r="M542" i="8" s="1"/>
  <c r="K540" i="8"/>
  <c r="M540" i="8" s="1"/>
  <c r="K539" i="8"/>
  <c r="M539" i="8" s="1"/>
  <c r="K2085" i="8"/>
  <c r="M2085" i="8" s="1"/>
  <c r="K2224" i="8"/>
  <c r="M2224" i="8" s="1"/>
  <c r="K1999" i="8"/>
  <c r="M1999" i="8" s="1"/>
  <c r="K1995" i="8"/>
  <c r="M1995" i="8" s="1"/>
  <c r="K2084" i="8"/>
  <c r="M2084" i="8" s="1"/>
  <c r="K2210" i="8"/>
  <c r="M2210" i="8" s="1"/>
  <c r="K522" i="8"/>
  <c r="M522" i="8" s="1"/>
  <c r="K2080" i="8"/>
  <c r="M2080" i="8" s="1"/>
  <c r="K515" i="8"/>
  <c r="M515" i="8" s="1"/>
  <c r="K512" i="8"/>
  <c r="M512" i="8" s="1"/>
  <c r="K2077" i="8"/>
  <c r="M2077" i="8" s="1"/>
  <c r="K2197" i="8"/>
  <c r="M2197" i="8" s="1"/>
  <c r="K2195" i="8"/>
  <c r="M2195" i="8" s="1"/>
  <c r="K2072" i="8"/>
  <c r="M2072" i="8" s="1"/>
  <c r="K500" i="8"/>
  <c r="M500" i="8" s="1"/>
  <c r="K2190" i="8"/>
  <c r="M2190" i="8" s="1"/>
  <c r="K2187" i="8"/>
  <c r="M2187" i="8" s="1"/>
  <c r="K490" i="8"/>
  <c r="M490" i="8" s="1"/>
  <c r="K121" i="8"/>
  <c r="M121" i="8" s="1"/>
  <c r="K2181" i="8"/>
  <c r="M2181" i="8" s="1"/>
  <c r="K486" i="8"/>
  <c r="M486" i="8" s="1"/>
  <c r="K119" i="8"/>
  <c r="M119" i="8" s="1"/>
  <c r="K24" i="8"/>
  <c r="M24" i="8" s="1"/>
  <c r="K480" i="8"/>
  <c r="M480" i="8" s="1"/>
  <c r="K477" i="8"/>
  <c r="M477" i="8" s="1"/>
  <c r="K2171" i="8"/>
  <c r="M2171" i="8" s="1"/>
  <c r="K471" i="8"/>
  <c r="M471" i="8" s="1"/>
  <c r="K468" i="8"/>
  <c r="M468" i="8" s="1"/>
  <c r="K454" i="8"/>
  <c r="M454" i="8" s="1"/>
  <c r="K330" i="8"/>
  <c r="M330" i="8" s="1"/>
  <c r="K2164" i="8"/>
  <c r="M2164" i="8" s="1"/>
  <c r="K2179" i="8"/>
  <c r="M2179" i="8" s="1"/>
  <c r="K2074" i="8"/>
  <c r="M2074" i="8" s="1"/>
  <c r="J337" i="8"/>
  <c r="L337" i="8" s="1"/>
  <c r="N337" i="8" s="1"/>
  <c r="J389" i="8"/>
  <c r="L389" i="8" s="1"/>
  <c r="N389" i="8" s="1"/>
  <c r="K2219" i="8"/>
  <c r="M2219" i="8" s="1"/>
  <c r="K2212" i="8"/>
  <c r="M2212" i="8" s="1"/>
  <c r="K2204" i="8"/>
  <c r="M2204" i="8" s="1"/>
  <c r="K581" i="8"/>
  <c r="M581" i="8" s="1"/>
  <c r="K2240" i="8"/>
  <c r="M2240" i="8" s="1"/>
  <c r="K659" i="8"/>
  <c r="M659" i="8" s="1"/>
  <c r="K19" i="8"/>
  <c r="M19" i="8" s="1"/>
  <c r="K740" i="8"/>
  <c r="M740" i="8" s="1"/>
  <c r="K2018" i="8"/>
  <c r="M2018" i="8" s="1"/>
  <c r="K27" i="8"/>
  <c r="M27" i="8" s="1"/>
  <c r="K794" i="8"/>
  <c r="M794" i="8" s="1"/>
  <c r="K968" i="8"/>
  <c r="M968" i="8" s="1"/>
  <c r="K1159" i="8"/>
  <c r="M1159" i="8" s="1"/>
  <c r="K1133" i="8"/>
  <c r="M1133" i="8" s="1"/>
  <c r="K1199" i="8"/>
  <c r="M1199" i="8" s="1"/>
  <c r="K1225" i="8"/>
  <c r="M1225" i="8" s="1"/>
  <c r="K1214" i="8"/>
  <c r="M1214" i="8" s="1"/>
  <c r="K68" i="8"/>
  <c r="M68" i="8" s="1"/>
  <c r="K197" i="8"/>
  <c r="M197" i="8" s="1"/>
  <c r="K1385" i="8"/>
  <c r="M1385" i="8" s="1"/>
  <c r="K1428" i="8"/>
  <c r="M1428" i="8" s="1"/>
  <c r="K1405" i="8"/>
  <c r="M1405" i="8" s="1"/>
  <c r="K1429" i="8"/>
  <c r="M1429" i="8" s="1"/>
  <c r="K1455" i="8"/>
  <c r="M1455" i="8" s="1"/>
  <c r="K1527" i="8"/>
  <c r="M1527" i="8" s="1"/>
  <c r="K1520" i="8"/>
  <c r="M1520" i="8" s="1"/>
  <c r="K1604" i="8"/>
  <c r="M1604" i="8" s="1"/>
  <c r="K1647" i="8"/>
  <c r="M1647" i="8" s="1"/>
  <c r="K1628" i="8"/>
  <c r="M1628" i="8" s="1"/>
  <c r="K83" i="8"/>
  <c r="M83" i="8" s="1"/>
  <c r="K253" i="8"/>
  <c r="M253" i="8" s="1"/>
  <c r="K251" i="8"/>
  <c r="M251" i="8" s="1"/>
  <c r="K1786" i="8"/>
  <c r="M1786" i="8" s="1"/>
  <c r="K1766" i="8"/>
  <c r="M1766" i="8" s="1"/>
  <c r="K1815" i="8"/>
  <c r="M1815" i="8" s="1"/>
  <c r="K1851" i="8"/>
  <c r="M1851" i="8" s="1"/>
  <c r="J1970" i="8"/>
  <c r="L1970" i="8" s="1"/>
  <c r="N1970" i="8" s="1"/>
  <c r="K571" i="8"/>
  <c r="M571" i="8" s="1"/>
  <c r="K620" i="8"/>
  <c r="M620" i="8" s="1"/>
  <c r="K618" i="8"/>
  <c r="M618" i="8" s="1"/>
  <c r="K641" i="8"/>
  <c r="M641" i="8" s="1"/>
  <c r="K940" i="8"/>
  <c r="M940" i="8" s="1"/>
  <c r="K1011" i="8"/>
  <c r="M1011" i="8" s="1"/>
  <c r="K1198" i="8"/>
  <c r="M1198" i="8" s="1"/>
  <c r="K1290" i="8"/>
  <c r="M1290" i="8" s="1"/>
  <c r="K1254" i="8"/>
  <c r="M1254" i="8" s="1"/>
  <c r="K1217" i="8"/>
  <c r="M1217" i="8" s="1"/>
  <c r="K1337" i="8"/>
  <c r="M1337" i="8" s="1"/>
  <c r="K1313" i="8"/>
  <c r="M1313" i="8" s="1"/>
  <c r="K1419" i="8"/>
  <c r="M1419" i="8" s="1"/>
  <c r="K1462" i="8"/>
  <c r="M1462" i="8" s="1"/>
  <c r="K79" i="8"/>
  <c r="M79" i="8" s="1"/>
  <c r="K2280" i="8"/>
  <c r="M2280" i="8" s="1"/>
  <c r="K1530" i="8"/>
  <c r="M1530" i="8" s="1"/>
  <c r="K1637" i="8"/>
  <c r="M1637" i="8" s="1"/>
  <c r="K1599" i="8"/>
  <c r="M1599" i="8" s="1"/>
  <c r="K80" i="8"/>
  <c r="M80" i="8" s="1"/>
  <c r="K2130" i="8"/>
  <c r="M2130" i="8" s="1"/>
  <c r="K1962" i="8"/>
  <c r="M1962" i="8" s="1"/>
  <c r="K1869" i="8"/>
  <c r="M1869" i="8" s="1"/>
  <c r="J1965" i="8"/>
  <c r="L1965" i="8" s="1"/>
  <c r="N1965" i="8" s="1"/>
  <c r="K778" i="8"/>
  <c r="M778" i="8" s="1"/>
  <c r="K650" i="8"/>
  <c r="M650" i="8" s="1"/>
  <c r="K1410" i="8"/>
  <c r="M1410" i="8" s="1"/>
  <c r="K1262" i="8"/>
  <c r="M1262" i="8" s="1"/>
  <c r="K1013" i="8"/>
  <c r="M1013" i="8" s="1"/>
  <c r="K1652" i="8"/>
  <c r="M1652" i="8" s="1"/>
  <c r="J916" i="8"/>
  <c r="L916" i="8" s="1"/>
  <c r="N916" i="8" s="1"/>
  <c r="K775" i="8"/>
  <c r="M775" i="8" s="1"/>
  <c r="K673" i="8"/>
  <c r="M673" i="8" s="1"/>
  <c r="K627" i="8"/>
  <c r="M627" i="8" s="1"/>
  <c r="K297" i="8"/>
  <c r="M297" i="8" s="1"/>
  <c r="K1031" i="8"/>
  <c r="M1031" i="8" s="1"/>
  <c r="K981" i="8"/>
  <c r="M981" i="8" s="1"/>
  <c r="K1222" i="8"/>
  <c r="M1222" i="8" s="1"/>
  <c r="K1144" i="8"/>
  <c r="M1144" i="8" s="1"/>
  <c r="K1110" i="8"/>
  <c r="M1110" i="8" s="1"/>
  <c r="K1075" i="8"/>
  <c r="M1075" i="8" s="1"/>
  <c r="K1726" i="8"/>
  <c r="M1726" i="8" s="1"/>
  <c r="K1693" i="8"/>
  <c r="M1693" i="8" s="1"/>
  <c r="K1810" i="8"/>
  <c r="M1810" i="8" s="1"/>
  <c r="K1775" i="8"/>
  <c r="M1775" i="8" s="1"/>
  <c r="K1979" i="8"/>
  <c r="M1979" i="8" s="1"/>
  <c r="K1937" i="8"/>
  <c r="M1937" i="8" s="1"/>
  <c r="K1914" i="8"/>
  <c r="M1914" i="8" s="1"/>
  <c r="K1821" i="8"/>
  <c r="M1821" i="8" s="1"/>
  <c r="K720" i="8"/>
  <c r="M720" i="8" s="1"/>
  <c r="K599" i="8"/>
  <c r="M599" i="8" s="1"/>
  <c r="K548" i="8"/>
  <c r="M548" i="8" s="1"/>
  <c r="K1358" i="8"/>
  <c r="M1358" i="8" s="1"/>
  <c r="K1300" i="8"/>
  <c r="M1300" i="8" s="1"/>
  <c r="K1226" i="8"/>
  <c r="M1226" i="8" s="1"/>
  <c r="K1522" i="8"/>
  <c r="M1522" i="8" s="1"/>
  <c r="K1437" i="8"/>
  <c r="M1437" i="8" s="1"/>
  <c r="K1969" i="8"/>
  <c r="M1969" i="8" s="1"/>
  <c r="J1157" i="8"/>
  <c r="L1157" i="8" s="1"/>
  <c r="N1157" i="8" s="1"/>
  <c r="J2053" i="8"/>
  <c r="L2053" i="8" s="1"/>
  <c r="N2053" i="8" s="1"/>
  <c r="J1662" i="8"/>
  <c r="L1662" i="8" s="1"/>
  <c r="N1662" i="8" s="1"/>
  <c r="J803" i="8"/>
  <c r="L803" i="8" s="1"/>
  <c r="N803" i="8" s="1"/>
  <c r="J786" i="8"/>
  <c r="L786" i="8" s="1"/>
  <c r="N786" i="8" s="1"/>
  <c r="J781" i="8"/>
  <c r="L781" i="8" s="1"/>
  <c r="N781" i="8" s="1"/>
  <c r="J771" i="8"/>
  <c r="L771" i="8" s="1"/>
  <c r="N771" i="8" s="1"/>
  <c r="J766" i="8"/>
  <c r="L766" i="8" s="1"/>
  <c r="N766" i="8" s="1"/>
  <c r="J764" i="8"/>
  <c r="L764" i="8" s="1"/>
  <c r="N764" i="8" s="1"/>
  <c r="J763" i="8"/>
  <c r="L763" i="8" s="1"/>
  <c r="N763" i="8" s="1"/>
  <c r="J759" i="8"/>
  <c r="L759" i="8" s="1"/>
  <c r="N759" i="8" s="1"/>
  <c r="J746" i="8"/>
  <c r="L746" i="8" s="1"/>
  <c r="N746" i="8" s="1"/>
  <c r="J736" i="8"/>
  <c r="L736" i="8" s="1"/>
  <c r="N736" i="8" s="1"/>
  <c r="J2096" i="8"/>
  <c r="L2096" i="8" s="1"/>
  <c r="N2096" i="8" s="1"/>
  <c r="J712" i="8"/>
  <c r="L712" i="8" s="1"/>
  <c r="N712" i="8" s="1"/>
  <c r="J707" i="8"/>
  <c r="L707" i="8" s="1"/>
  <c r="N707" i="8" s="1"/>
  <c r="J2244" i="8"/>
  <c r="L2244" i="8" s="1"/>
  <c r="N2244" i="8" s="1"/>
  <c r="J684" i="8"/>
  <c r="L684" i="8" s="1"/>
  <c r="N684" i="8" s="1"/>
  <c r="J680" i="8"/>
  <c r="L680" i="8" s="1"/>
  <c r="N680" i="8" s="1"/>
  <c r="J672" i="8"/>
  <c r="L672" i="8" s="1"/>
  <c r="N672" i="8" s="1"/>
  <c r="J665" i="8"/>
  <c r="L665" i="8" s="1"/>
  <c r="N665" i="8" s="1"/>
  <c r="J2094" i="8"/>
  <c r="L2094" i="8" s="1"/>
  <c r="N2094" i="8" s="1"/>
  <c r="J649" i="8"/>
  <c r="L649" i="8" s="1"/>
  <c r="N649" i="8" s="1"/>
  <c r="J2242" i="8"/>
  <c r="L2242" i="8" s="1"/>
  <c r="N2242" i="8" s="1"/>
  <c r="J630" i="8"/>
  <c r="L630" i="8" s="1"/>
  <c r="N630" i="8" s="1"/>
  <c r="J139" i="8"/>
  <c r="L139" i="8" s="1"/>
  <c r="N139" i="8" s="1"/>
  <c r="J617" i="8"/>
  <c r="L617" i="8" s="1"/>
  <c r="N617" i="8" s="1"/>
  <c r="J603" i="8"/>
  <c r="L603" i="8" s="1"/>
  <c r="N603" i="8" s="1"/>
  <c r="J588" i="8"/>
  <c r="L588" i="8" s="1"/>
  <c r="N588" i="8" s="1"/>
  <c r="J574" i="8"/>
  <c r="L574" i="8" s="1"/>
  <c r="N574" i="8" s="1"/>
  <c r="J561" i="8"/>
  <c r="L561" i="8" s="1"/>
  <c r="N561" i="8" s="1"/>
  <c r="J2088" i="8"/>
  <c r="L2088" i="8" s="1"/>
  <c r="N2088" i="8" s="1"/>
  <c r="J552" i="8"/>
  <c r="L552" i="8" s="1"/>
  <c r="N552" i="8" s="1"/>
  <c r="J2238" i="8"/>
  <c r="L2238" i="8" s="1"/>
  <c r="N2238" i="8" s="1"/>
  <c r="J2236" i="8"/>
  <c r="L2236" i="8" s="1"/>
  <c r="N2236" i="8" s="1"/>
  <c r="J2235" i="8"/>
  <c r="L2235" i="8" s="1"/>
  <c r="N2235" i="8" s="1"/>
  <c r="J2233" i="8"/>
  <c r="L2233" i="8" s="1"/>
  <c r="N2233" i="8" s="1"/>
  <c r="J538" i="8"/>
  <c r="L538" i="8" s="1"/>
  <c r="N538" i="8" s="1"/>
  <c r="J2227" i="8"/>
  <c r="L2227" i="8" s="1"/>
  <c r="N2227" i="8" s="1"/>
  <c r="J2002" i="8"/>
  <c r="L2002" i="8" s="1"/>
  <c r="N2002" i="8" s="1"/>
  <c r="J1998" i="8"/>
  <c r="L1998" i="8" s="1"/>
  <c r="N1998" i="8" s="1"/>
  <c r="J2223" i="8"/>
  <c r="L2223" i="8" s="1"/>
  <c r="N2223" i="8" s="1"/>
  <c r="J530" i="8"/>
  <c r="L530" i="8" s="1"/>
  <c r="N530" i="8" s="1"/>
  <c r="J2083" i="8"/>
  <c r="L2083" i="8" s="1"/>
  <c r="N2083" i="8" s="1"/>
  <c r="J2209" i="8"/>
  <c r="L2209" i="8" s="1"/>
  <c r="N2209" i="8" s="1"/>
  <c r="J2206" i="8"/>
  <c r="L2206" i="8" s="1"/>
  <c r="N2206" i="8" s="1"/>
  <c r="J132" i="8"/>
  <c r="L132" i="8" s="1"/>
  <c r="N132" i="8" s="1"/>
  <c r="J2079" i="8"/>
  <c r="L2079" i="8" s="1"/>
  <c r="N2079" i="8" s="1"/>
  <c r="J514" i="8"/>
  <c r="L514" i="8" s="1"/>
  <c r="N514" i="8" s="1"/>
  <c r="J2201" i="8"/>
  <c r="L2201" i="8" s="1"/>
  <c r="N2201" i="8" s="1"/>
  <c r="J508" i="8"/>
  <c r="L508" i="8" s="1"/>
  <c r="N508" i="8" s="1"/>
  <c r="J2193" i="8"/>
  <c r="L2193" i="8" s="1"/>
  <c r="N2193" i="8" s="1"/>
  <c r="J2071" i="8"/>
  <c r="L2071" i="8" s="1"/>
  <c r="N2071" i="8" s="1"/>
  <c r="J124" i="8"/>
  <c r="L124" i="8" s="1"/>
  <c r="N124" i="8" s="1"/>
  <c r="J497" i="8"/>
  <c r="L497" i="8" s="1"/>
  <c r="N497" i="8" s="1"/>
  <c r="J496" i="8"/>
  <c r="L496" i="8" s="1"/>
  <c r="N496" i="8" s="1"/>
  <c r="J2070" i="8"/>
  <c r="L2070" i="8" s="1"/>
  <c r="N2070" i="8" s="1"/>
  <c r="J2068" i="8"/>
  <c r="L2068" i="8" s="1"/>
  <c r="N2068" i="8" s="1"/>
  <c r="J2180" i="8"/>
  <c r="L2180" i="8" s="1"/>
  <c r="N2180" i="8" s="1"/>
  <c r="J485" i="8"/>
  <c r="L485" i="8" s="1"/>
  <c r="N485" i="8" s="1"/>
  <c r="J2178" i="8"/>
  <c r="L2178" i="8" s="1"/>
  <c r="N2178" i="8" s="1"/>
  <c r="J23" i="8"/>
  <c r="L23" i="8" s="1"/>
  <c r="N23" i="8" s="1"/>
  <c r="J2175" i="8"/>
  <c r="L2175" i="8" s="1"/>
  <c r="N2175" i="8" s="1"/>
  <c r="J475" i="8"/>
  <c r="L475" i="8" s="1"/>
  <c r="N475" i="8" s="1"/>
  <c r="J2170" i="8"/>
  <c r="L2170" i="8" s="1"/>
  <c r="N2170" i="8" s="1"/>
  <c r="J2168" i="8"/>
  <c r="L2168" i="8" s="1"/>
  <c r="N2168" i="8" s="1"/>
  <c r="J467" i="8"/>
  <c r="L467" i="8" s="1"/>
  <c r="N467" i="8" s="1"/>
  <c r="J466" i="8"/>
  <c r="L466" i="8" s="1"/>
  <c r="N466" i="8" s="1"/>
  <c r="J115" i="8"/>
  <c r="L115" i="8" s="1"/>
  <c r="N115" i="8" s="1"/>
  <c r="J2154" i="8"/>
  <c r="L2154" i="8" s="1"/>
  <c r="N2154" i="8" s="1"/>
  <c r="J458" i="8"/>
  <c r="L458" i="8" s="1"/>
  <c r="N458" i="8" s="1"/>
  <c r="J2148" i="8"/>
  <c r="L2148" i="8" s="1"/>
  <c r="N2148" i="8" s="1"/>
  <c r="J452" i="8"/>
  <c r="L452" i="8" s="1"/>
  <c r="N452" i="8" s="1"/>
  <c r="J114" i="8"/>
  <c r="L114" i="8" s="1"/>
  <c r="N114" i="8" s="1"/>
  <c r="J431" i="8"/>
  <c r="L431" i="8" s="1"/>
  <c r="N431" i="8" s="1"/>
  <c r="J425" i="8"/>
  <c r="L425" i="8" s="1"/>
  <c r="N425" i="8" s="1"/>
  <c r="J412" i="8"/>
  <c r="L412" i="8" s="1"/>
  <c r="N412" i="8" s="1"/>
  <c r="J397" i="8"/>
  <c r="L397" i="8" s="1"/>
  <c r="N397" i="8" s="1"/>
  <c r="J385" i="8"/>
  <c r="L385" i="8" s="1"/>
  <c r="N385" i="8" s="1"/>
  <c r="J104" i="8"/>
  <c r="L104" i="8" s="1"/>
  <c r="N104" i="8" s="1"/>
  <c r="J2143" i="8"/>
  <c r="L2143" i="8" s="1"/>
  <c r="N2143" i="8" s="1"/>
  <c r="J370" i="8"/>
  <c r="L370" i="8" s="1"/>
  <c r="N370" i="8" s="1"/>
  <c r="J2142" i="8"/>
  <c r="L2142" i="8" s="1"/>
  <c r="N2142" i="8" s="1"/>
  <c r="J357" i="8"/>
  <c r="L357" i="8" s="1"/>
  <c r="N357" i="8" s="1"/>
  <c r="J348" i="8"/>
  <c r="L348" i="8" s="1"/>
  <c r="N348" i="8" s="1"/>
  <c r="J344" i="8"/>
  <c r="L344" i="8" s="1"/>
  <c r="N344" i="8" s="1"/>
  <c r="J341" i="8"/>
  <c r="L341" i="8" s="1"/>
  <c r="N341" i="8" s="1"/>
  <c r="J336" i="8"/>
  <c r="L336" i="8" s="1"/>
  <c r="N336" i="8" s="1"/>
  <c r="J329" i="8"/>
  <c r="L329" i="8" s="1"/>
  <c r="N329" i="8" s="1"/>
  <c r="J320" i="8"/>
  <c r="L320" i="8" s="1"/>
  <c r="N320" i="8" s="1"/>
  <c r="J95" i="8"/>
  <c r="L95" i="8" s="1"/>
  <c r="N95" i="8" s="1"/>
  <c r="J405" i="8"/>
  <c r="L405" i="8" s="1"/>
  <c r="N405" i="8" s="1"/>
  <c r="K396" i="8"/>
  <c r="M396" i="8" s="1"/>
  <c r="J517" i="8"/>
  <c r="L517" i="8" s="1"/>
  <c r="N517" i="8" s="1"/>
  <c r="J550" i="8"/>
  <c r="L550" i="8" s="1"/>
  <c r="N550" i="8" s="1"/>
  <c r="J626" i="8"/>
  <c r="L626" i="8" s="1"/>
  <c r="N626" i="8" s="1"/>
  <c r="J601" i="8"/>
  <c r="L601" i="8" s="1"/>
  <c r="N601" i="8" s="1"/>
  <c r="J22" i="8"/>
  <c r="L22" i="8" s="1"/>
  <c r="N22" i="8" s="1"/>
  <c r="J18" i="8"/>
  <c r="L18" i="8" s="1"/>
  <c r="N18" i="8" s="1"/>
  <c r="J30" i="8"/>
  <c r="L30" i="8" s="1"/>
  <c r="N30" i="8" s="1"/>
  <c r="J165" i="8"/>
  <c r="L165" i="8" s="1"/>
  <c r="N165" i="8" s="1"/>
  <c r="J946" i="8"/>
  <c r="L946" i="8" s="1"/>
  <c r="N946" i="8" s="1"/>
  <c r="J990" i="8"/>
  <c r="L990" i="8" s="1"/>
  <c r="N990" i="8" s="1"/>
  <c r="J977" i="8"/>
  <c r="L977" i="8" s="1"/>
  <c r="N977" i="8" s="1"/>
  <c r="J1043" i="8"/>
  <c r="L1043" i="8" s="1"/>
  <c r="N1043" i="8" s="1"/>
  <c r="J1202" i="8"/>
  <c r="L1202" i="8" s="1"/>
  <c r="N1202" i="8" s="1"/>
  <c r="J1251" i="8"/>
  <c r="L1251" i="8" s="1"/>
  <c r="N1251" i="8" s="1"/>
  <c r="J1298" i="8"/>
  <c r="L1298" i="8" s="1"/>
  <c r="N1298" i="8" s="1"/>
  <c r="J2271" i="8"/>
  <c r="L2271" i="8" s="1"/>
  <c r="N2271" i="8" s="1"/>
  <c r="J1325" i="8"/>
  <c r="L1325" i="8" s="1"/>
  <c r="N1325" i="8" s="1"/>
  <c r="J1314" i="8"/>
  <c r="L1314" i="8" s="1"/>
  <c r="N1314" i="8" s="1"/>
  <c r="J212" i="8"/>
  <c r="L212" i="8" s="1"/>
  <c r="N212" i="8" s="1"/>
  <c r="J214" i="8"/>
  <c r="L214" i="8" s="1"/>
  <c r="N214" i="8" s="1"/>
  <c r="J1501" i="8"/>
  <c r="L1501" i="8" s="1"/>
  <c r="N1501" i="8" s="1"/>
  <c r="J1479" i="8"/>
  <c r="L1479" i="8" s="1"/>
  <c r="N1479" i="8" s="1"/>
  <c r="J1590" i="8"/>
  <c r="L1590" i="8" s="1"/>
  <c r="N1590" i="8" s="1"/>
  <c r="J1653" i="8"/>
  <c r="L1653" i="8" s="1"/>
  <c r="N1653" i="8" s="1"/>
  <c r="J2289" i="8"/>
  <c r="L2289" i="8" s="1"/>
  <c r="N2289" i="8" s="1"/>
  <c r="J1754" i="8"/>
  <c r="L1754" i="8" s="1"/>
  <c r="N1754" i="8" s="1"/>
  <c r="J1746" i="8"/>
  <c r="L1746" i="8" s="1"/>
  <c r="N1746" i="8" s="1"/>
  <c r="J1738" i="8"/>
  <c r="L1738" i="8" s="1"/>
  <c r="N1738" i="8" s="1"/>
  <c r="K2136" i="8"/>
  <c r="M2136" i="8" s="1"/>
  <c r="J570" i="8"/>
  <c r="L570" i="8" s="1"/>
  <c r="N570" i="8" s="1"/>
  <c r="J1171" i="8"/>
  <c r="L1171" i="8" s="1"/>
  <c r="N1171" i="8" s="1"/>
  <c r="J1409" i="8"/>
  <c r="L1409" i="8" s="1"/>
  <c r="N1409" i="8" s="1"/>
  <c r="J1514" i="8"/>
  <c r="L1514" i="8" s="1"/>
  <c r="N1514" i="8" s="1"/>
  <c r="J1606" i="8"/>
  <c r="L1606" i="8" s="1"/>
  <c r="N1606" i="8" s="1"/>
  <c r="J1595" i="8"/>
  <c r="L1595" i="8" s="1"/>
  <c r="N1595" i="8" s="1"/>
  <c r="J1696" i="8"/>
  <c r="L1696" i="8" s="1"/>
  <c r="N1696" i="8" s="1"/>
  <c r="J1664" i="8"/>
  <c r="L1664" i="8" s="1"/>
  <c r="N1664" i="8" s="1"/>
  <c r="J1657" i="8"/>
  <c r="L1657" i="8" s="1"/>
  <c r="N1657" i="8" s="1"/>
  <c r="J1592" i="8"/>
  <c r="L1592" i="8" s="1"/>
  <c r="N1592" i="8" s="1"/>
  <c r="J1719" i="8"/>
  <c r="L1719" i="8" s="1"/>
  <c r="N1719" i="8" s="1"/>
  <c r="J1683" i="8"/>
  <c r="L1683" i="8" s="1"/>
  <c r="N1683" i="8" s="1"/>
  <c r="J1804" i="8"/>
  <c r="L1804" i="8" s="1"/>
  <c r="N1804" i="8" s="1"/>
  <c r="J1771" i="8"/>
  <c r="L1771" i="8" s="1"/>
  <c r="N1771" i="8" s="1"/>
  <c r="J795" i="8"/>
  <c r="L795" i="8" s="1"/>
  <c r="N795" i="8" s="1"/>
  <c r="J715" i="8"/>
  <c r="L715" i="8" s="1"/>
  <c r="N715" i="8" s="1"/>
  <c r="J592" i="8"/>
  <c r="L592" i="8" s="1"/>
  <c r="N592" i="8" s="1"/>
  <c r="J446" i="8"/>
  <c r="L446" i="8" s="1"/>
  <c r="N446" i="8" s="1"/>
  <c r="J1350" i="8"/>
  <c r="L1350" i="8" s="1"/>
  <c r="N1350" i="8" s="1"/>
  <c r="J1273" i="8"/>
  <c r="L1273" i="8" s="1"/>
  <c r="N1273" i="8" s="1"/>
  <c r="J1210" i="8"/>
  <c r="L1210" i="8" s="1"/>
  <c r="N1210" i="8" s="1"/>
  <c r="J1698" i="8"/>
  <c r="L1698" i="8" s="1"/>
  <c r="N1698" i="8" s="1"/>
  <c r="K1322" i="8"/>
  <c r="M1322" i="8" s="1"/>
  <c r="K580" i="8"/>
  <c r="M580" i="8" s="1"/>
  <c r="J1573" i="8"/>
  <c r="L1573" i="8" s="1"/>
  <c r="N1573" i="8" s="1"/>
  <c r="J1329" i="8"/>
  <c r="L1329" i="8" s="1"/>
  <c r="N1329" i="8" s="1"/>
  <c r="K850" i="8"/>
  <c r="M850" i="8" s="1"/>
  <c r="J850" i="8"/>
  <c r="L850" i="8" s="1"/>
  <c r="N850" i="8" s="1"/>
  <c r="K813" i="8"/>
  <c r="M813" i="8" s="1"/>
  <c r="J813" i="8"/>
  <c r="L813" i="8" s="1"/>
  <c r="N813" i="8" s="1"/>
  <c r="K1474" i="8"/>
  <c r="M1474" i="8" s="1"/>
  <c r="J1474" i="8"/>
  <c r="L1474" i="8" s="1"/>
  <c r="N1474" i="8" s="1"/>
  <c r="J917" i="8"/>
  <c r="L917" i="8" s="1"/>
  <c r="N917" i="8" s="1"/>
  <c r="J492" i="8"/>
  <c r="L492" i="8" s="1"/>
  <c r="N492" i="8" s="1"/>
  <c r="K1548" i="8"/>
  <c r="M1548" i="8" s="1"/>
  <c r="J1752" i="8"/>
  <c r="L1752" i="8" s="1"/>
  <c r="N1752" i="8" s="1"/>
  <c r="J1884" i="8"/>
  <c r="L1884" i="8" s="1"/>
  <c r="N1884" i="8" s="1"/>
  <c r="K1743" i="8"/>
  <c r="M1743" i="8" s="1"/>
  <c r="K1673" i="8"/>
  <c r="M1673" i="8" s="1"/>
  <c r="J1056" i="8"/>
  <c r="L1056" i="8" s="1"/>
  <c r="N1056" i="8" s="1"/>
  <c r="J1050" i="8"/>
  <c r="L1050" i="8" s="1"/>
  <c r="N1050" i="8" s="1"/>
  <c r="J1033" i="8"/>
  <c r="L1033" i="8" s="1"/>
  <c r="N1033" i="8" s="1"/>
  <c r="J1026" i="8"/>
  <c r="L1026" i="8" s="1"/>
  <c r="N1026" i="8" s="1"/>
  <c r="J1025" i="8"/>
  <c r="L1025" i="8" s="1"/>
  <c r="N1025" i="8" s="1"/>
  <c r="J1018" i="8"/>
  <c r="L1018" i="8" s="1"/>
  <c r="N1018" i="8" s="1"/>
  <c r="J1010" i="8"/>
  <c r="L1010" i="8" s="1"/>
  <c r="N1010" i="8" s="1"/>
  <c r="J1004" i="8"/>
  <c r="L1004" i="8" s="1"/>
  <c r="N1004" i="8" s="1"/>
  <c r="J2255" i="8"/>
  <c r="L2255" i="8" s="1"/>
  <c r="N2255" i="8" s="1"/>
  <c r="J994" i="8"/>
  <c r="L994" i="8" s="1"/>
  <c r="N994" i="8" s="1"/>
  <c r="J983" i="8"/>
  <c r="L983" i="8" s="1"/>
  <c r="N983" i="8" s="1"/>
  <c r="J979" i="8"/>
  <c r="L979" i="8" s="1"/>
  <c r="N979" i="8" s="1"/>
  <c r="J2253" i="8"/>
  <c r="L2253" i="8" s="1"/>
  <c r="N2253" i="8" s="1"/>
  <c r="J959" i="8"/>
  <c r="L959" i="8" s="1"/>
  <c r="N959" i="8" s="1"/>
  <c r="J926" i="8"/>
  <c r="L926" i="8" s="1"/>
  <c r="N926" i="8" s="1"/>
  <c r="J921" i="8"/>
  <c r="L921" i="8" s="1"/>
  <c r="N921" i="8" s="1"/>
  <c r="J911" i="8"/>
  <c r="L911" i="8" s="1"/>
  <c r="N911" i="8" s="1"/>
  <c r="J906" i="8"/>
  <c r="L906" i="8" s="1"/>
  <c r="N906" i="8" s="1"/>
  <c r="J903" i="8"/>
  <c r="L903" i="8" s="1"/>
  <c r="N903" i="8" s="1"/>
  <c r="J891" i="8"/>
  <c r="L891" i="8" s="1"/>
  <c r="N891" i="8" s="1"/>
  <c r="J886" i="8"/>
  <c r="L886" i="8" s="1"/>
  <c r="N886" i="8" s="1"/>
  <c r="J878" i="8"/>
  <c r="L878" i="8" s="1"/>
  <c r="N878" i="8" s="1"/>
  <c r="J873" i="8"/>
  <c r="L873" i="8" s="1"/>
  <c r="N873" i="8" s="1"/>
  <c r="J868" i="8"/>
  <c r="L868" i="8" s="1"/>
  <c r="N868" i="8" s="1"/>
  <c r="J7" i="8"/>
  <c r="L7" i="8" s="1"/>
  <c r="N7" i="8" s="1"/>
  <c r="J3" i="8"/>
  <c r="L3" i="8" s="1"/>
  <c r="N3" i="8" s="1"/>
  <c r="J162" i="8"/>
  <c r="L162" i="8" s="1"/>
  <c r="N162" i="8" s="1"/>
  <c r="J2249" i="8"/>
  <c r="L2249" i="8" s="1"/>
  <c r="N2249" i="8" s="1"/>
  <c r="J853" i="8"/>
  <c r="L853" i="8" s="1"/>
  <c r="N853" i="8" s="1"/>
  <c r="J851" i="8"/>
  <c r="L851" i="8" s="1"/>
  <c r="N851" i="8" s="1"/>
  <c r="J2246" i="8"/>
  <c r="L2246" i="8" s="1"/>
  <c r="N2246" i="8" s="1"/>
  <c r="J1994" i="8"/>
  <c r="L1994" i="8" s="1"/>
  <c r="N1994" i="8" s="1"/>
  <c r="J1990" i="8"/>
  <c r="L1990" i="8" s="1"/>
  <c r="N1990" i="8" s="1"/>
  <c r="J1986" i="8"/>
  <c r="L1986" i="8" s="1"/>
  <c r="N1986" i="8" s="1"/>
  <c r="J34" i="8"/>
  <c r="L34" i="8" s="1"/>
  <c r="N34" i="8" s="1"/>
  <c r="J842" i="8"/>
  <c r="L842" i="8" s="1"/>
  <c r="N842" i="8" s="1"/>
  <c r="J2025" i="8"/>
  <c r="L2025" i="8" s="1"/>
  <c r="N2025" i="8" s="1"/>
  <c r="J839" i="8"/>
  <c r="L839" i="8" s="1"/>
  <c r="N839" i="8" s="1"/>
  <c r="J834" i="8"/>
  <c r="L834" i="8" s="1"/>
  <c r="N834" i="8" s="1"/>
  <c r="J829" i="8"/>
  <c r="L829" i="8" s="1"/>
  <c r="N829" i="8" s="1"/>
  <c r="J826" i="8"/>
  <c r="L826" i="8" s="1"/>
  <c r="N826" i="8" s="1"/>
  <c r="J821" i="8"/>
  <c r="L821" i="8" s="1"/>
  <c r="N821" i="8" s="1"/>
  <c r="J2035" i="8"/>
  <c r="L2035" i="8" s="1"/>
  <c r="N2035" i="8" s="1"/>
  <c r="J156" i="8"/>
  <c r="L156" i="8" s="1"/>
  <c r="N156" i="8" s="1"/>
  <c r="J809" i="8"/>
  <c r="L809" i="8" s="1"/>
  <c r="N809" i="8" s="1"/>
  <c r="J2102" i="8"/>
  <c r="L2102" i="8" s="1"/>
  <c r="N2102" i="8" s="1"/>
  <c r="J801" i="8"/>
  <c r="L801" i="8" s="1"/>
  <c r="N801" i="8" s="1"/>
  <c r="J785" i="8"/>
  <c r="L785" i="8" s="1"/>
  <c r="N785" i="8" s="1"/>
  <c r="J777" i="8"/>
  <c r="L777" i="8" s="1"/>
  <c r="N777" i="8" s="1"/>
  <c r="J770" i="8"/>
  <c r="L770" i="8" s="1"/>
  <c r="N770" i="8" s="1"/>
  <c r="J150" i="8"/>
  <c r="L150" i="8" s="1"/>
  <c r="N150" i="8" s="1"/>
  <c r="J55" i="8"/>
  <c r="L55" i="8" s="1"/>
  <c r="N55" i="8" s="1"/>
  <c r="J762" i="8"/>
  <c r="L762" i="8" s="1"/>
  <c r="N762" i="8" s="1"/>
  <c r="J750" i="8"/>
  <c r="L750" i="8" s="1"/>
  <c r="N750" i="8" s="1"/>
  <c r="J744" i="8"/>
  <c r="L744" i="8" s="1"/>
  <c r="N744" i="8" s="1"/>
  <c r="J735" i="8"/>
  <c r="L735" i="8" s="1"/>
  <c r="N735" i="8" s="1"/>
  <c r="J2095" i="8"/>
  <c r="L2095" i="8" s="1"/>
  <c r="N2095" i="8" s="1"/>
  <c r="J710" i="8"/>
  <c r="L710" i="8" s="1"/>
  <c r="N710" i="8" s="1"/>
  <c r="J705" i="8"/>
  <c r="L705" i="8" s="1"/>
  <c r="N705" i="8" s="1"/>
  <c r="J702" i="8"/>
  <c r="L702" i="8" s="1"/>
  <c r="N702" i="8" s="1"/>
  <c r="J683" i="8"/>
  <c r="L683" i="8" s="1"/>
  <c r="N683" i="8" s="1"/>
  <c r="J678" i="8"/>
  <c r="L678" i="8" s="1"/>
  <c r="N678" i="8" s="1"/>
  <c r="J671" i="8"/>
  <c r="L671" i="8" s="1"/>
  <c r="N671" i="8" s="1"/>
  <c r="J664" i="8"/>
  <c r="L664" i="8" s="1"/>
  <c r="N664" i="8" s="1"/>
  <c r="J2093" i="8"/>
  <c r="L2093" i="8" s="1"/>
  <c r="N2093" i="8" s="1"/>
  <c r="J648" i="8"/>
  <c r="L648" i="8" s="1"/>
  <c r="N648" i="8" s="1"/>
  <c r="J637" i="8"/>
  <c r="L637" i="8" s="1"/>
  <c r="N637" i="8" s="1"/>
  <c r="J629" i="8"/>
  <c r="L629" i="8" s="1"/>
  <c r="N629" i="8" s="1"/>
  <c r="J625" i="8"/>
  <c r="L625" i="8" s="1"/>
  <c r="N625" i="8" s="1"/>
  <c r="J614" i="8"/>
  <c r="L614" i="8" s="1"/>
  <c r="N614" i="8" s="1"/>
  <c r="J596" i="8"/>
  <c r="L596" i="8" s="1"/>
  <c r="N596" i="8" s="1"/>
  <c r="J587" i="8"/>
  <c r="L587" i="8" s="1"/>
  <c r="N587" i="8" s="1"/>
  <c r="J573" i="8"/>
  <c r="L573" i="8" s="1"/>
  <c r="N573" i="8" s="1"/>
  <c r="J560" i="8"/>
  <c r="L560" i="8" s="1"/>
  <c r="N560" i="8" s="1"/>
  <c r="J2087" i="8"/>
  <c r="L2087" i="8" s="1"/>
  <c r="N2087" i="8" s="1"/>
  <c r="J551" i="8"/>
  <c r="L551" i="8" s="1"/>
  <c r="N551" i="8" s="1"/>
  <c r="J2237" i="8"/>
  <c r="L2237" i="8" s="1"/>
  <c r="N2237" i="8" s="1"/>
  <c r="J134" i="8"/>
  <c r="L134" i="8" s="1"/>
  <c r="N134" i="8" s="1"/>
  <c r="J541" i="8"/>
  <c r="L541" i="8" s="1"/>
  <c r="N541" i="8" s="1"/>
  <c r="J2232" i="8"/>
  <c r="L2232" i="8" s="1"/>
  <c r="N2232" i="8" s="1"/>
  <c r="J537" i="8"/>
  <c r="L537" i="8" s="1"/>
  <c r="N537" i="8" s="1"/>
  <c r="J2001" i="8"/>
  <c r="L2001" i="8" s="1"/>
  <c r="N2001" i="8" s="1"/>
  <c r="J1997" i="8"/>
  <c r="L1997" i="8" s="1"/>
  <c r="N1997" i="8" s="1"/>
  <c r="J536" i="8"/>
  <c r="L536" i="8" s="1"/>
  <c r="N536" i="8" s="1"/>
  <c r="J2220" i="8"/>
  <c r="L2220" i="8" s="1"/>
  <c r="N2220" i="8" s="1"/>
  <c r="J2217" i="8"/>
  <c r="L2217" i="8" s="1"/>
  <c r="N2217" i="8" s="1"/>
  <c r="J2208" i="8"/>
  <c r="L2208" i="8" s="1"/>
  <c r="N2208" i="8" s="1"/>
  <c r="J51" i="8"/>
  <c r="L51" i="8" s="1"/>
  <c r="N51" i="8" s="1"/>
  <c r="J131" i="8"/>
  <c r="L131" i="8" s="1"/>
  <c r="N131" i="8" s="1"/>
  <c r="J2203" i="8"/>
  <c r="L2203" i="8" s="1"/>
  <c r="N2203" i="8" s="1"/>
  <c r="J513" i="8"/>
  <c r="L513" i="8" s="1"/>
  <c r="N513" i="8" s="1"/>
  <c r="J511" i="8"/>
  <c r="L511" i="8" s="1"/>
  <c r="N511" i="8" s="1"/>
  <c r="J2076" i="8"/>
  <c r="L2076" i="8" s="1"/>
  <c r="N2076" i="8" s="1"/>
  <c r="J2196" i="8"/>
  <c r="L2196" i="8" s="1"/>
  <c r="N2196" i="8" s="1"/>
  <c r="J503" i="8"/>
  <c r="L503" i="8" s="1"/>
  <c r="N503" i="8" s="1"/>
  <c r="J2191" i="8"/>
  <c r="L2191" i="8" s="1"/>
  <c r="N2191" i="8" s="1"/>
  <c r="J123" i="8"/>
  <c r="L123" i="8" s="1"/>
  <c r="N123" i="8" s="1"/>
  <c r="J2189" i="8"/>
  <c r="L2189" i="8" s="1"/>
  <c r="N2189" i="8" s="1"/>
  <c r="J495" i="8"/>
  <c r="L495" i="8" s="1"/>
  <c r="N495" i="8" s="1"/>
  <c r="J2069" i="8"/>
  <c r="L2069" i="8" s="1"/>
  <c r="N2069" i="8" s="1"/>
  <c r="J2067" i="8"/>
  <c r="L2067" i="8" s="1"/>
  <c r="N2067" i="8" s="1"/>
  <c r="J488" i="8"/>
  <c r="L488" i="8" s="1"/>
  <c r="N488" i="8" s="1"/>
  <c r="J484" i="8"/>
  <c r="L484" i="8" s="1"/>
  <c r="N484" i="8" s="1"/>
  <c r="J26" i="8"/>
  <c r="L26" i="8" s="1"/>
  <c r="N26" i="8" s="1"/>
  <c r="J2177" i="8"/>
  <c r="L2177" i="8" s="1"/>
  <c r="N2177" i="8" s="1"/>
  <c r="J2174" i="8"/>
  <c r="L2174" i="8" s="1"/>
  <c r="N2174" i="8" s="1"/>
  <c r="J474" i="8"/>
  <c r="L474" i="8" s="1"/>
  <c r="N474" i="8" s="1"/>
  <c r="J2066" i="8"/>
  <c r="L2066" i="8" s="1"/>
  <c r="N2066" i="8" s="1"/>
  <c r="J470" i="8"/>
  <c r="L470" i="8" s="1"/>
  <c r="N470" i="8" s="1"/>
  <c r="J2161" i="8"/>
  <c r="L2161" i="8" s="1"/>
  <c r="N2161" i="8" s="1"/>
  <c r="J465" i="8"/>
  <c r="L465" i="8" s="1"/>
  <c r="N465" i="8" s="1"/>
  <c r="J2156" i="8"/>
  <c r="L2156" i="8" s="1"/>
  <c r="N2156" i="8" s="1"/>
  <c r="J461" i="8"/>
  <c r="L461" i="8" s="1"/>
  <c r="N461" i="8" s="1"/>
  <c r="J2062" i="8"/>
  <c r="L2062" i="8" s="1"/>
  <c r="N2062" i="8" s="1"/>
  <c r="J2060" i="8"/>
  <c r="L2060" i="8" s="1"/>
  <c r="N2060" i="8" s="1"/>
  <c r="J2147" i="8"/>
  <c r="L2147" i="8" s="1"/>
  <c r="N2147" i="8" s="1"/>
  <c r="J113" i="8"/>
  <c r="L113" i="8" s="1"/>
  <c r="N113" i="8" s="1"/>
  <c r="J428" i="8"/>
  <c r="L428" i="8" s="1"/>
  <c r="N428" i="8" s="1"/>
  <c r="J112" i="8"/>
  <c r="L112" i="8" s="1"/>
  <c r="N112" i="8" s="1"/>
  <c r="J420" i="8"/>
  <c r="L420" i="8" s="1"/>
  <c r="N420" i="8" s="1"/>
  <c r="J110" i="8"/>
  <c r="L110" i="8" s="1"/>
  <c r="N110" i="8" s="1"/>
  <c r="J106" i="8"/>
  <c r="L106" i="8" s="1"/>
  <c r="N106" i="8" s="1"/>
  <c r="J388" i="8"/>
  <c r="L388" i="8" s="1"/>
  <c r="N388" i="8" s="1"/>
  <c r="J384" i="8"/>
  <c r="L384" i="8" s="1"/>
  <c r="N384" i="8" s="1"/>
  <c r="J103" i="8"/>
  <c r="L103" i="8" s="1"/>
  <c r="N103" i="8" s="1"/>
  <c r="J374" i="8"/>
  <c r="L374" i="8" s="1"/>
  <c r="N374" i="8" s="1"/>
  <c r="J366" i="8"/>
  <c r="L366" i="8" s="1"/>
  <c r="N366" i="8" s="1"/>
  <c r="J361" i="8"/>
  <c r="L361" i="8" s="1"/>
  <c r="N361" i="8" s="1"/>
  <c r="J356" i="8"/>
  <c r="L356" i="8" s="1"/>
  <c r="N356" i="8" s="1"/>
  <c r="J100" i="8"/>
  <c r="L100" i="8" s="1"/>
  <c r="N100" i="8" s="1"/>
  <c r="J343" i="8"/>
  <c r="L343" i="8" s="1"/>
  <c r="N343" i="8" s="1"/>
  <c r="J340" i="8"/>
  <c r="L340" i="8" s="1"/>
  <c r="N340" i="8" s="1"/>
  <c r="J333" i="8"/>
  <c r="L333" i="8" s="1"/>
  <c r="N333" i="8" s="1"/>
  <c r="J326" i="8"/>
  <c r="L326" i="8" s="1"/>
  <c r="N326" i="8" s="1"/>
  <c r="J314" i="8"/>
  <c r="L314" i="8" s="1"/>
  <c r="N314" i="8" s="1"/>
  <c r="J309" i="8"/>
  <c r="L309" i="8" s="1"/>
  <c r="N309" i="8" s="1"/>
  <c r="J304" i="8"/>
  <c r="L304" i="8" s="1"/>
  <c r="N304" i="8" s="1"/>
  <c r="J298" i="8"/>
  <c r="L298" i="8" s="1"/>
  <c r="N298" i="8" s="1"/>
  <c r="J289" i="8"/>
  <c r="L289" i="8" s="1"/>
  <c r="N289" i="8" s="1"/>
  <c r="J282" i="8"/>
  <c r="L282" i="8" s="1"/>
  <c r="N282" i="8" s="1"/>
  <c r="J1824" i="8"/>
  <c r="L1824" i="8" s="1"/>
  <c r="N1824" i="8" s="1"/>
  <c r="J1784" i="8"/>
  <c r="L1784" i="8" s="1"/>
  <c r="N1784" i="8" s="1"/>
  <c r="J1633" i="8"/>
  <c r="L1633" i="8" s="1"/>
  <c r="N1633" i="8" s="1"/>
  <c r="J1465" i="8"/>
  <c r="L1465" i="8" s="1"/>
  <c r="N1465" i="8" s="1"/>
  <c r="J1343" i="8"/>
  <c r="L1343" i="8" s="1"/>
  <c r="N1343" i="8" s="1"/>
  <c r="J1253" i="8"/>
  <c r="L1253" i="8" s="1"/>
  <c r="N1253" i="8" s="1"/>
  <c r="J1206" i="8"/>
  <c r="L1206" i="8" s="1"/>
  <c r="N1206" i="8" s="1"/>
  <c r="J1125" i="8"/>
  <c r="L1125" i="8" s="1"/>
  <c r="N1125" i="8" s="1"/>
  <c r="J1104" i="8"/>
  <c r="L1104" i="8" s="1"/>
  <c r="N1104" i="8" s="1"/>
  <c r="J999" i="8"/>
  <c r="L999" i="8" s="1"/>
  <c r="N999" i="8" s="1"/>
  <c r="J64" i="8"/>
  <c r="L64" i="8" s="1"/>
  <c r="N64" i="8" s="1"/>
  <c r="J158" i="8"/>
  <c r="L158" i="8" s="1"/>
  <c r="N158" i="8" s="1"/>
  <c r="J154" i="8"/>
  <c r="L154" i="8" s="1"/>
  <c r="N154" i="8" s="1"/>
  <c r="J779" i="8"/>
  <c r="L779" i="8" s="1"/>
  <c r="N779" i="8" s="1"/>
  <c r="J666" i="8"/>
  <c r="L666" i="8" s="1"/>
  <c r="N666" i="8" s="1"/>
  <c r="J137" i="8"/>
  <c r="L137" i="8" s="1"/>
  <c r="N137" i="8" s="1"/>
  <c r="J590" i="8"/>
  <c r="L590" i="8" s="1"/>
  <c r="N590" i="8" s="1"/>
  <c r="J371" i="8"/>
  <c r="L371" i="8" s="1"/>
  <c r="N371" i="8" s="1"/>
  <c r="J332" i="8"/>
  <c r="L332" i="8" s="1"/>
  <c r="N332" i="8" s="1"/>
  <c r="J2081" i="8"/>
  <c r="L2081" i="8" s="1"/>
  <c r="N2081" i="8" s="1"/>
  <c r="J2137" i="8"/>
  <c r="L2137" i="8" s="1"/>
  <c r="N2137" i="8" s="1"/>
  <c r="J308" i="8"/>
  <c r="L308" i="8" s="1"/>
  <c r="N308" i="8" s="1"/>
  <c r="J312" i="8"/>
  <c r="L312" i="8" s="1"/>
  <c r="N312" i="8" s="1"/>
  <c r="J327" i="8"/>
  <c r="L327" i="8" s="1"/>
  <c r="N327" i="8" s="1"/>
  <c r="J378" i="8"/>
  <c r="L378" i="8" s="1"/>
  <c r="N378" i="8" s="1"/>
  <c r="J417" i="8"/>
  <c r="L417" i="8" s="1"/>
  <c r="N417" i="8" s="1"/>
  <c r="J432" i="8"/>
  <c r="L432" i="8" s="1"/>
  <c r="N432" i="8" s="1"/>
  <c r="J2169" i="8"/>
  <c r="L2169" i="8" s="1"/>
  <c r="N2169" i="8" s="1"/>
  <c r="J2194" i="8"/>
  <c r="L2194" i="8" s="1"/>
  <c r="N2194" i="8" s="1"/>
  <c r="K364" i="8"/>
  <c r="M364" i="8" s="1"/>
  <c r="J2221" i="8"/>
  <c r="L2221" i="8" s="1"/>
  <c r="N2221" i="8" s="1"/>
  <c r="J527" i="8"/>
  <c r="L527" i="8" s="1"/>
  <c r="N527" i="8" s="1"/>
  <c r="J524" i="8"/>
  <c r="L524" i="8" s="1"/>
  <c r="N524" i="8" s="1"/>
  <c r="J600" i="8"/>
  <c r="L600" i="8" s="1"/>
  <c r="N600" i="8" s="1"/>
  <c r="J669" i="8"/>
  <c r="L669" i="8" s="1"/>
  <c r="N669" i="8" s="1"/>
  <c r="J711" i="8"/>
  <c r="L711" i="8" s="1"/>
  <c r="N711" i="8" s="1"/>
  <c r="J699" i="8"/>
  <c r="L699" i="8" s="1"/>
  <c r="N699" i="8" s="1"/>
  <c r="J730" i="8"/>
  <c r="L730" i="8" s="1"/>
  <c r="N730" i="8" s="1"/>
  <c r="J732" i="8"/>
  <c r="L732" i="8" s="1"/>
  <c r="N732" i="8" s="1"/>
  <c r="J811" i="8"/>
  <c r="L811" i="8" s="1"/>
  <c r="N811" i="8" s="1"/>
  <c r="J798" i="8"/>
  <c r="L798" i="8" s="1"/>
  <c r="N798" i="8" s="1"/>
  <c r="J929" i="8"/>
  <c r="L929" i="8" s="1"/>
  <c r="N929" i="8" s="1"/>
  <c r="J964" i="8"/>
  <c r="L964" i="8" s="1"/>
  <c r="N964" i="8" s="1"/>
  <c r="J1117" i="8"/>
  <c r="L1117" i="8" s="1"/>
  <c r="N1117" i="8" s="1"/>
  <c r="J1148" i="8"/>
  <c r="L1148" i="8" s="1"/>
  <c r="N1148" i="8" s="1"/>
  <c r="J194" i="8"/>
  <c r="L194" i="8" s="1"/>
  <c r="N194" i="8" s="1"/>
  <c r="J1302" i="8"/>
  <c r="L1302" i="8" s="1"/>
  <c r="N1302" i="8" s="1"/>
  <c r="J1360" i="8"/>
  <c r="L1360" i="8" s="1"/>
  <c r="N1360" i="8" s="1"/>
  <c r="J1601" i="8"/>
  <c r="L1601" i="8" s="1"/>
  <c r="N1601" i="8" s="1"/>
  <c r="J1589" i="8"/>
  <c r="L1589" i="8" s="1"/>
  <c r="N1589" i="8" s="1"/>
  <c r="J1729" i="8"/>
  <c r="L1729" i="8" s="1"/>
  <c r="N1729" i="8" s="1"/>
  <c r="J1741" i="8"/>
  <c r="L1741" i="8" s="1"/>
  <c r="N1741" i="8" s="1"/>
  <c r="J1739" i="8"/>
  <c r="L1739" i="8" s="1"/>
  <c r="N1739" i="8" s="1"/>
  <c r="J1839" i="8"/>
  <c r="L1839" i="8" s="1"/>
  <c r="N1839" i="8" s="1"/>
  <c r="J1899" i="8"/>
  <c r="L1899" i="8" s="1"/>
  <c r="N1899" i="8" s="1"/>
  <c r="J292" i="8"/>
  <c r="L292" i="8" s="1"/>
  <c r="N292" i="8" s="1"/>
  <c r="J463" i="8"/>
  <c r="L463" i="8" s="1"/>
  <c r="N463" i="8" s="1"/>
  <c r="J2091" i="8"/>
  <c r="L2091" i="8" s="1"/>
  <c r="N2091" i="8" s="1"/>
  <c r="J608" i="8"/>
  <c r="L608" i="8" s="1"/>
  <c r="N608" i="8" s="1"/>
  <c r="J643" i="8"/>
  <c r="L643" i="8" s="1"/>
  <c r="N643" i="8" s="1"/>
  <c r="J2100" i="8"/>
  <c r="L2100" i="8" s="1"/>
  <c r="N2100" i="8" s="1"/>
  <c r="J989" i="8"/>
  <c r="L989" i="8" s="1"/>
  <c r="N989" i="8" s="1"/>
  <c r="J1265" i="8"/>
  <c r="L1265" i="8" s="1"/>
  <c r="N1265" i="8" s="1"/>
  <c r="J1239" i="8"/>
  <c r="L1239" i="8" s="1"/>
  <c r="N1239" i="8" s="1"/>
  <c r="J1335" i="8"/>
  <c r="L1335" i="8" s="1"/>
  <c r="N1335" i="8" s="1"/>
  <c r="J1297" i="8"/>
  <c r="L1297" i="8" s="1"/>
  <c r="N1297" i="8" s="1"/>
  <c r="J77" i="8"/>
  <c r="L77" i="8" s="1"/>
  <c r="N77" i="8" s="1"/>
  <c r="J1560" i="8"/>
  <c r="L1560" i="8" s="1"/>
  <c r="N1560" i="8" s="1"/>
  <c r="J1538" i="8"/>
  <c r="L1538" i="8" s="1"/>
  <c r="N1538" i="8" s="1"/>
  <c r="J1526" i="8"/>
  <c r="L1526" i="8" s="1"/>
  <c r="N1526" i="8" s="1"/>
  <c r="J2055" i="8"/>
  <c r="L2055" i="8" s="1"/>
  <c r="N2055" i="8" s="1"/>
  <c r="J1844" i="8"/>
  <c r="L1844" i="8" s="1"/>
  <c r="N1844" i="8" s="1"/>
  <c r="J976" i="8"/>
  <c r="L976" i="8" s="1"/>
  <c r="N976" i="8" s="1"/>
  <c r="J742" i="8"/>
  <c r="L742" i="8" s="1"/>
  <c r="N742" i="8" s="1"/>
  <c r="J410" i="8"/>
  <c r="L410" i="8" s="1"/>
  <c r="N410" i="8" s="1"/>
  <c r="J1286" i="8"/>
  <c r="L1286" i="8" s="1"/>
  <c r="N1286" i="8" s="1"/>
  <c r="J1237" i="8"/>
  <c r="L1237" i="8" s="1"/>
  <c r="N1237" i="8" s="1"/>
  <c r="J745" i="8"/>
  <c r="L745" i="8" s="1"/>
  <c r="N745" i="8" s="1"/>
  <c r="J651" i="8"/>
  <c r="L651" i="8" s="1"/>
  <c r="N651" i="8" s="1"/>
  <c r="J553" i="8"/>
  <c r="L553" i="8" s="1"/>
  <c r="N553" i="8" s="1"/>
  <c r="J1058" i="8"/>
  <c r="L1058" i="8" s="1"/>
  <c r="N1058" i="8" s="1"/>
  <c r="J1007" i="8"/>
  <c r="L1007" i="8" s="1"/>
  <c r="N1007" i="8" s="1"/>
  <c r="J950" i="8"/>
  <c r="L950" i="8" s="1"/>
  <c r="N950" i="8" s="1"/>
  <c r="J1180" i="8"/>
  <c r="L1180" i="8" s="1"/>
  <c r="N1180" i="8" s="1"/>
  <c r="J1130" i="8"/>
  <c r="L1130" i="8" s="1"/>
  <c r="N1130" i="8" s="1"/>
  <c r="J1094" i="8"/>
  <c r="L1094" i="8" s="1"/>
  <c r="N1094" i="8" s="1"/>
  <c r="J1946" i="8"/>
  <c r="L1946" i="8" s="1"/>
  <c r="N1946" i="8" s="1"/>
  <c r="J1924" i="8"/>
  <c r="L1924" i="8" s="1"/>
  <c r="N1924" i="8" s="1"/>
  <c r="J1834" i="8"/>
  <c r="L1834" i="8" s="1"/>
  <c r="N1834" i="8" s="1"/>
  <c r="J1569" i="8"/>
  <c r="L1569" i="8" s="1"/>
  <c r="N1569" i="8" s="1"/>
  <c r="J1495" i="8"/>
  <c r="L1495" i="8" s="1"/>
  <c r="N1495" i="8" s="1"/>
  <c r="J1423" i="8"/>
  <c r="L1423" i="8" s="1"/>
  <c r="N1423" i="8" s="1"/>
  <c r="J2250" i="8"/>
  <c r="L2250" i="8" s="1"/>
  <c r="N2250" i="8" s="1"/>
  <c r="J1407" i="8"/>
  <c r="L1407" i="8" s="1"/>
  <c r="N1407" i="8" s="1"/>
  <c r="J1636" i="8"/>
  <c r="L1636" i="8" s="1"/>
  <c r="N1636" i="8" s="1"/>
  <c r="J967" i="8"/>
  <c r="L967" i="8" s="1"/>
  <c r="N967" i="8" s="1"/>
  <c r="J1700" i="8"/>
  <c r="L1700" i="8" s="1"/>
  <c r="N1700" i="8" s="1"/>
  <c r="J1725" i="8"/>
  <c r="L1725" i="8" s="1"/>
  <c r="N1725" i="8" s="1"/>
  <c r="J1622" i="8"/>
  <c r="L1622" i="8" s="1"/>
  <c r="N1622" i="8" s="1"/>
  <c r="K2159" i="8"/>
  <c r="M2159" i="8" s="1"/>
  <c r="K116" i="8"/>
  <c r="M116" i="8" s="1"/>
  <c r="K462" i="8"/>
  <c r="M462" i="8" s="1"/>
  <c r="K459" i="8"/>
  <c r="M459" i="8" s="1"/>
  <c r="K2151" i="8"/>
  <c r="M2151" i="8" s="1"/>
  <c r="K444" i="8"/>
  <c r="M444" i="8" s="1"/>
  <c r="K433" i="8"/>
  <c r="M433" i="8" s="1"/>
  <c r="K426" i="8"/>
  <c r="M426" i="8" s="1"/>
  <c r="K2146" i="8"/>
  <c r="M2146" i="8" s="1"/>
  <c r="K416" i="8"/>
  <c r="M416" i="8" s="1"/>
  <c r="K398" i="8"/>
  <c r="M398" i="8" s="1"/>
  <c r="K392" i="8"/>
  <c r="M392" i="8" s="1"/>
  <c r="K386" i="8"/>
  <c r="M386" i="8" s="1"/>
  <c r="K383" i="8"/>
  <c r="M383" i="8" s="1"/>
  <c r="K380" i="8"/>
  <c r="M380" i="8" s="1"/>
  <c r="K372" i="8"/>
  <c r="M372" i="8" s="1"/>
  <c r="K363" i="8"/>
  <c r="M363" i="8" s="1"/>
  <c r="K358" i="8"/>
  <c r="M358" i="8" s="1"/>
  <c r="K346" i="8"/>
  <c r="M346" i="8" s="1"/>
  <c r="K97" i="8"/>
  <c r="M97" i="8" s="1"/>
  <c r="K338" i="8"/>
  <c r="M338" i="8" s="1"/>
  <c r="K322" i="8"/>
  <c r="M322" i="8" s="1"/>
  <c r="K96" i="8"/>
  <c r="M96" i="8" s="1"/>
  <c r="K93" i="8"/>
  <c r="M93" i="8" s="1"/>
  <c r="K90" i="8"/>
  <c r="M90" i="8" s="1"/>
  <c r="K300" i="8"/>
  <c r="M300" i="8" s="1"/>
  <c r="K291" i="8"/>
  <c r="M291" i="8" s="1"/>
  <c r="K286" i="8"/>
  <c r="M286" i="8" s="1"/>
  <c r="J1913" i="8"/>
  <c r="L1913" i="8" s="1"/>
  <c r="N1913" i="8" s="1"/>
  <c r="K1808" i="8"/>
  <c r="M1808" i="8" s="1"/>
  <c r="K2126" i="8"/>
  <c r="M2126" i="8" s="1"/>
  <c r="K1546" i="8"/>
  <c r="M1546" i="8" s="1"/>
  <c r="K2270" i="8"/>
  <c r="M2270" i="8" s="1"/>
  <c r="K203" i="8"/>
  <c r="M203" i="8" s="1"/>
  <c r="K1243" i="8"/>
  <c r="M1243" i="8" s="1"/>
  <c r="K1141" i="8"/>
  <c r="M1141" i="8" s="1"/>
  <c r="K175" i="8"/>
  <c r="M175" i="8" s="1"/>
  <c r="K1019" i="8"/>
  <c r="M1019" i="8" s="1"/>
  <c r="K971" i="8"/>
  <c r="M971" i="8" s="1"/>
  <c r="K62" i="8"/>
  <c r="M62" i="8" s="1"/>
  <c r="K817" i="8"/>
  <c r="M817" i="8" s="1"/>
  <c r="K792" i="8"/>
  <c r="M792" i="8" s="1"/>
  <c r="K700" i="8"/>
  <c r="M700" i="8" s="1"/>
  <c r="K615" i="8"/>
  <c r="M615" i="8" s="1"/>
  <c r="K602" i="8"/>
  <c r="M602" i="8" s="1"/>
  <c r="K576" i="8"/>
  <c r="M576" i="8" s="1"/>
  <c r="K368" i="8"/>
  <c r="M368" i="8" s="1"/>
  <c r="K315" i="8"/>
  <c r="M315" i="8" s="1"/>
  <c r="K2222" i="8"/>
  <c r="M2222" i="8" s="1"/>
  <c r="K303" i="8"/>
  <c r="M303" i="8" s="1"/>
  <c r="K316" i="8"/>
  <c r="M316" i="8" s="1"/>
  <c r="K335" i="8"/>
  <c r="M335" i="8" s="1"/>
  <c r="K354" i="8"/>
  <c r="M354" i="8" s="1"/>
  <c r="K347" i="8"/>
  <c r="M347" i="8" s="1"/>
  <c r="K395" i="8"/>
  <c r="M395" i="8" s="1"/>
  <c r="K107" i="8"/>
  <c r="M107" i="8" s="1"/>
  <c r="K455" i="8"/>
  <c r="M455" i="8" s="1"/>
  <c r="K443" i="8"/>
  <c r="M443" i="8" s="1"/>
  <c r="K436" i="8"/>
  <c r="M436" i="8" s="1"/>
  <c r="K429" i="8"/>
  <c r="M429" i="8" s="1"/>
  <c r="K2157" i="8"/>
  <c r="M2157" i="8" s="1"/>
  <c r="K556" i="8"/>
  <c r="M556" i="8" s="1"/>
  <c r="K135" i="8"/>
  <c r="M135" i="8" s="1"/>
  <c r="K572" i="8"/>
  <c r="M572" i="8" s="1"/>
  <c r="K655" i="8"/>
  <c r="M655" i="8" s="1"/>
  <c r="K2014" i="8"/>
  <c r="M2014" i="8" s="1"/>
  <c r="K697" i="8"/>
  <c r="M697" i="8" s="1"/>
  <c r="K703" i="8"/>
  <c r="M703" i="8" s="1"/>
  <c r="K145" i="8"/>
  <c r="M145" i="8" s="1"/>
  <c r="K725" i="8"/>
  <c r="M725" i="8" s="1"/>
  <c r="K734" i="8"/>
  <c r="M734" i="8" s="1"/>
  <c r="K769" i="8"/>
  <c r="M769" i="8" s="1"/>
  <c r="K755" i="8"/>
  <c r="M755" i="8" s="1"/>
  <c r="K782" i="8"/>
  <c r="M782" i="8" s="1"/>
  <c r="K881" i="8"/>
  <c r="M881" i="8" s="1"/>
  <c r="K871" i="8"/>
  <c r="M871" i="8" s="1"/>
  <c r="K900" i="8"/>
  <c r="M900" i="8" s="1"/>
  <c r="K166" i="8"/>
  <c r="M166" i="8" s="1"/>
  <c r="K941" i="8"/>
  <c r="M941" i="8" s="1"/>
  <c r="K931" i="8"/>
  <c r="M931" i="8" s="1"/>
  <c r="K954" i="8"/>
  <c r="M954" i="8" s="1"/>
  <c r="K1015" i="8"/>
  <c r="M1015" i="8" s="1"/>
  <c r="K1000" i="8"/>
  <c r="M1000" i="8" s="1"/>
  <c r="K1038" i="8"/>
  <c r="M1038" i="8" s="1"/>
  <c r="K1030" i="8"/>
  <c r="M1030" i="8" s="1"/>
  <c r="K1106" i="8"/>
  <c r="M1106" i="8" s="1"/>
  <c r="K1264" i="8"/>
  <c r="M1264" i="8" s="1"/>
  <c r="K1357" i="8"/>
  <c r="M1357" i="8" s="1"/>
  <c r="K1321" i="8"/>
  <c r="M1321" i="8" s="1"/>
  <c r="K2116" i="8"/>
  <c r="M2116" i="8" s="1"/>
  <c r="K1418" i="8"/>
  <c r="M1418" i="8" s="1"/>
  <c r="K217" i="8"/>
  <c r="M217" i="8" s="1"/>
  <c r="K1498" i="8"/>
  <c r="M1498" i="8" s="1"/>
  <c r="K1617" i="8"/>
  <c r="M1617" i="8" s="1"/>
  <c r="J1982" i="8"/>
  <c r="L1982" i="8" s="1"/>
  <c r="N1982" i="8" s="1"/>
  <c r="K1747" i="8"/>
  <c r="M1747" i="8" s="1"/>
  <c r="J310" i="8"/>
  <c r="L310" i="8" s="1"/>
  <c r="N310" i="8" s="1"/>
  <c r="J89" i="8"/>
  <c r="L89" i="8" s="1"/>
  <c r="N89" i="8" s="1"/>
  <c r="J299" i="8"/>
  <c r="L299" i="8" s="1"/>
  <c r="N299" i="8" s="1"/>
  <c r="J290" i="8"/>
  <c r="L290" i="8" s="1"/>
  <c r="N290" i="8" s="1"/>
  <c r="J285" i="8"/>
  <c r="L285" i="8" s="1"/>
  <c r="N285" i="8" s="1"/>
  <c r="J1833" i="8"/>
  <c r="L1833" i="8" s="1"/>
  <c r="N1833" i="8" s="1"/>
  <c r="J1787" i="8"/>
  <c r="L1787" i="8" s="1"/>
  <c r="N1787" i="8" s="1"/>
  <c r="J2125" i="8"/>
  <c r="L2125" i="8" s="1"/>
  <c r="N2125" i="8" s="1"/>
  <c r="J2279" i="8"/>
  <c r="L2279" i="8" s="1"/>
  <c r="N2279" i="8" s="1"/>
  <c r="J1345" i="8"/>
  <c r="L1345" i="8" s="1"/>
  <c r="N1345" i="8" s="1"/>
  <c r="J1288" i="8"/>
  <c r="L1288" i="8" s="1"/>
  <c r="N1288" i="8" s="1"/>
  <c r="J1240" i="8"/>
  <c r="L1240" i="8" s="1"/>
  <c r="N1240" i="8" s="1"/>
  <c r="J1126" i="8"/>
  <c r="L1126" i="8" s="1"/>
  <c r="N1126" i="8" s="1"/>
  <c r="J1120" i="8"/>
  <c r="L1120" i="8" s="1"/>
  <c r="N1120" i="8" s="1"/>
  <c r="J1003" i="8"/>
  <c r="L1003" i="8" s="1"/>
  <c r="N1003" i="8" s="1"/>
  <c r="J965" i="8"/>
  <c r="L965" i="8" s="1"/>
  <c r="N965" i="8" s="1"/>
  <c r="J936" i="8"/>
  <c r="L936" i="8" s="1"/>
  <c r="N936" i="8" s="1"/>
  <c r="J816" i="8"/>
  <c r="L816" i="8" s="1"/>
  <c r="N816" i="8" s="1"/>
  <c r="J783" i="8"/>
  <c r="L783" i="8" s="1"/>
  <c r="N783" i="8" s="1"/>
  <c r="J695" i="8"/>
  <c r="L695" i="8" s="1"/>
  <c r="N695" i="8" s="1"/>
  <c r="J138" i="8"/>
  <c r="L138" i="8" s="1"/>
  <c r="N138" i="8" s="1"/>
  <c r="J597" i="8"/>
  <c r="L597" i="8" s="1"/>
  <c r="N597" i="8" s="1"/>
  <c r="J450" i="8"/>
  <c r="L450" i="8" s="1"/>
  <c r="N450" i="8" s="1"/>
  <c r="J362" i="8"/>
  <c r="L362" i="8" s="1"/>
  <c r="N362" i="8" s="1"/>
  <c r="J1718" i="8"/>
  <c r="L1718" i="8" s="1"/>
  <c r="N1718" i="8" s="1"/>
  <c r="J2082" i="8"/>
  <c r="L2082" i="8" s="1"/>
  <c r="N2082" i="8" s="1"/>
  <c r="J302" i="8"/>
  <c r="L302" i="8" s="1"/>
  <c r="N302" i="8" s="1"/>
  <c r="J323" i="8"/>
  <c r="L323" i="8" s="1"/>
  <c r="N323" i="8" s="1"/>
  <c r="J345" i="8"/>
  <c r="L345" i="8" s="1"/>
  <c r="N345" i="8" s="1"/>
  <c r="J353" i="8"/>
  <c r="L353" i="8" s="1"/>
  <c r="N353" i="8" s="1"/>
  <c r="J382" i="8"/>
  <c r="L382" i="8" s="1"/>
  <c r="N382" i="8" s="1"/>
  <c r="J102" i="8"/>
  <c r="L102" i="8" s="1"/>
  <c r="N102" i="8" s="1"/>
  <c r="J423" i="8"/>
  <c r="L423" i="8" s="1"/>
  <c r="N423" i="8" s="1"/>
  <c r="J441" i="8"/>
  <c r="L441" i="8" s="1"/>
  <c r="N441" i="8" s="1"/>
  <c r="J435" i="8"/>
  <c r="L435" i="8" s="1"/>
  <c r="N435" i="8" s="1"/>
  <c r="J424" i="8"/>
  <c r="L424" i="8" s="1"/>
  <c r="N424" i="8" s="1"/>
  <c r="J2153" i="8"/>
  <c r="L2153" i="8" s="1"/>
  <c r="N2153" i="8" s="1"/>
  <c r="J118" i="8"/>
  <c r="L118" i="8" s="1"/>
  <c r="N118" i="8" s="1"/>
  <c r="J612" i="8"/>
  <c r="L612" i="8" s="1"/>
  <c r="N612" i="8" s="1"/>
  <c r="J2013" i="8"/>
  <c r="L2013" i="8" s="1"/>
  <c r="N2013" i="8" s="1"/>
  <c r="J719" i="8"/>
  <c r="L719" i="8" s="1"/>
  <c r="N719" i="8" s="1"/>
  <c r="J714" i="8"/>
  <c r="L714" i="8" s="1"/>
  <c r="N714" i="8" s="1"/>
  <c r="J724" i="8"/>
  <c r="L724" i="8" s="1"/>
  <c r="N724" i="8" s="1"/>
  <c r="J2021" i="8"/>
  <c r="L2021" i="8" s="1"/>
  <c r="N2021" i="8" s="1"/>
  <c r="J773" i="8"/>
  <c r="L773" i="8" s="1"/>
  <c r="N773" i="8" s="1"/>
  <c r="J825" i="8"/>
  <c r="L825" i="8" s="1"/>
  <c r="N825" i="8" s="1"/>
  <c r="J880" i="8"/>
  <c r="L880" i="8" s="1"/>
  <c r="N880" i="8" s="1"/>
  <c r="J895" i="8"/>
  <c r="L895" i="8" s="1"/>
  <c r="N895" i="8" s="1"/>
  <c r="J935" i="8"/>
  <c r="L935" i="8" s="1"/>
  <c r="N935" i="8" s="1"/>
  <c r="J930" i="8"/>
  <c r="L930" i="8" s="1"/>
  <c r="N930" i="8" s="1"/>
  <c r="J955" i="8"/>
  <c r="L955" i="8" s="1"/>
  <c r="N955" i="8" s="1"/>
  <c r="J966" i="8"/>
  <c r="L966" i="8" s="1"/>
  <c r="N966" i="8" s="1"/>
  <c r="J1006" i="8"/>
  <c r="L1006" i="8" s="1"/>
  <c r="N1006" i="8" s="1"/>
  <c r="J1085" i="8"/>
  <c r="L1085" i="8" s="1"/>
  <c r="N1085" i="8" s="1"/>
  <c r="J1073" i="8"/>
  <c r="L1073" i="8" s="1"/>
  <c r="N1073" i="8" s="1"/>
  <c r="J1128" i="8"/>
  <c r="L1128" i="8" s="1"/>
  <c r="N1128" i="8" s="1"/>
  <c r="J1149" i="8"/>
  <c r="L1149" i="8" s="1"/>
  <c r="N1149" i="8" s="1"/>
  <c r="J1176" i="8"/>
  <c r="L1176" i="8" s="1"/>
  <c r="N1176" i="8" s="1"/>
  <c r="J2266" i="8"/>
  <c r="L2266" i="8" s="1"/>
  <c r="N2266" i="8" s="1"/>
  <c r="J1304" i="8"/>
  <c r="L1304" i="8" s="1"/>
  <c r="N1304" i="8" s="1"/>
  <c r="J1275" i="8"/>
  <c r="L1275" i="8" s="1"/>
  <c r="N1275" i="8" s="1"/>
  <c r="J1356" i="8"/>
  <c r="L1356" i="8" s="1"/>
  <c r="N1356" i="8" s="1"/>
  <c r="J2115" i="8"/>
  <c r="L2115" i="8" s="1"/>
  <c r="N2115" i="8" s="1"/>
  <c r="J1417" i="8"/>
  <c r="L1417" i="8" s="1"/>
  <c r="N1417" i="8" s="1"/>
  <c r="J1564" i="8"/>
  <c r="L1564" i="8" s="1"/>
  <c r="N1564" i="8" s="1"/>
  <c r="J1550" i="8"/>
  <c r="L1550" i="8" s="1"/>
  <c r="N1550" i="8" s="1"/>
  <c r="J1568" i="8"/>
  <c r="L1568" i="8" s="1"/>
  <c r="N1568" i="8" s="1"/>
  <c r="J1671" i="8"/>
  <c r="L1671" i="8" s="1"/>
  <c r="N1671" i="8" s="1"/>
  <c r="J1608" i="8"/>
  <c r="L1608" i="8" s="1"/>
  <c r="N1608" i="8" s="1"/>
  <c r="J2290" i="8"/>
  <c r="L2290" i="8" s="1"/>
  <c r="N2290" i="8" s="1"/>
  <c r="J1677" i="8"/>
  <c r="L1677" i="8" s="1"/>
  <c r="N1677" i="8" s="1"/>
  <c r="J2058" i="8"/>
  <c r="L2058" i="8" s="1"/>
  <c r="N2058" i="8" s="1"/>
  <c r="J1887" i="8"/>
  <c r="L1887" i="8" s="1"/>
  <c r="N1887" i="8" s="1"/>
  <c r="J393" i="8"/>
  <c r="L393" i="8" s="1"/>
  <c r="N393" i="8" s="1"/>
  <c r="J404" i="8"/>
  <c r="L404" i="8" s="1"/>
  <c r="N404" i="8" s="1"/>
  <c r="K2150" i="8"/>
  <c r="M2150" i="8" s="1"/>
  <c r="J482" i="8"/>
  <c r="L482" i="8" s="1"/>
  <c r="N482" i="8" s="1"/>
  <c r="J117" i="8"/>
  <c r="L117" i="8" s="1"/>
  <c r="N117" i="8" s="1"/>
  <c r="K547" i="8"/>
  <c r="M547" i="8" s="1"/>
  <c r="J2239" i="8"/>
  <c r="L2239" i="8" s="1"/>
  <c r="N2239" i="8" s="1"/>
  <c r="J578" i="8"/>
  <c r="L578" i="8" s="1"/>
  <c r="N578" i="8" s="1"/>
  <c r="J593" i="8"/>
  <c r="L593" i="8" s="1"/>
  <c r="N593" i="8" s="1"/>
  <c r="J622" i="8"/>
  <c r="L622" i="8" s="1"/>
  <c r="N622" i="8" s="1"/>
  <c r="J611" i="8"/>
  <c r="L611" i="8" s="1"/>
  <c r="N611" i="8" s="1"/>
  <c r="J635" i="8"/>
  <c r="L635" i="8" s="1"/>
  <c r="N635" i="8" s="1"/>
  <c r="J2016" i="8"/>
  <c r="L2016" i="8" s="1"/>
  <c r="N2016" i="8" s="1"/>
  <c r="J2012" i="8"/>
  <c r="L2012" i="8" s="1"/>
  <c r="N2012" i="8" s="1"/>
  <c r="J686" i="8"/>
  <c r="L686" i="8" s="1"/>
  <c r="N686" i="8" s="1"/>
  <c r="J728" i="8"/>
  <c r="L728" i="8" s="1"/>
  <c r="N728" i="8" s="1"/>
  <c r="J843" i="8"/>
  <c r="L843" i="8" s="1"/>
  <c r="N843" i="8" s="1"/>
  <c r="J894" i="8"/>
  <c r="L894" i="8" s="1"/>
  <c r="N894" i="8" s="1"/>
  <c r="J953" i="8"/>
  <c r="L953" i="8" s="1"/>
  <c r="N953" i="8" s="1"/>
  <c r="J2104" i="8"/>
  <c r="L2104" i="8" s="1"/>
  <c r="N2104" i="8" s="1"/>
  <c r="J975" i="8"/>
  <c r="L975" i="8" s="1"/>
  <c r="N975" i="8" s="1"/>
  <c r="J1028" i="8"/>
  <c r="L1028" i="8" s="1"/>
  <c r="N1028" i="8" s="1"/>
  <c r="J1048" i="8"/>
  <c r="L1048" i="8" s="1"/>
  <c r="N1048" i="8" s="1"/>
  <c r="J1041" i="8"/>
  <c r="L1041" i="8" s="1"/>
  <c r="N1041" i="8" s="1"/>
  <c r="J1071" i="8"/>
  <c r="L1071" i="8" s="1"/>
  <c r="N1071" i="8" s="1"/>
  <c r="J1086" i="8"/>
  <c r="L1086" i="8" s="1"/>
  <c r="N1086" i="8" s="1"/>
  <c r="J185" i="8"/>
  <c r="L185" i="8" s="1"/>
  <c r="N185" i="8" s="1"/>
  <c r="J1173" i="8"/>
  <c r="L1173" i="8" s="1"/>
  <c r="N1173" i="8" s="1"/>
  <c r="J190" i="8"/>
  <c r="L190" i="8" s="1"/>
  <c r="N190" i="8" s="1"/>
  <c r="J1219" i="8"/>
  <c r="L1219" i="8" s="1"/>
  <c r="N1219" i="8" s="1"/>
  <c r="J2112" i="8"/>
  <c r="L2112" i="8" s="1"/>
  <c r="N2112" i="8" s="1"/>
  <c r="J192" i="8"/>
  <c r="L192" i="8" s="1"/>
  <c r="N192" i="8" s="1"/>
  <c r="J1296" i="8"/>
  <c r="L1296" i="8" s="1"/>
  <c r="N1296" i="8" s="1"/>
  <c r="J1274" i="8"/>
  <c r="L1274" i="8" s="1"/>
  <c r="N1274" i="8" s="1"/>
  <c r="J1354" i="8"/>
  <c r="L1354" i="8" s="1"/>
  <c r="N1354" i="8" s="1"/>
  <c r="J1399" i="8"/>
  <c r="L1399" i="8" s="1"/>
  <c r="N1399" i="8" s="1"/>
  <c r="J210" i="8"/>
  <c r="L210" i="8" s="1"/>
  <c r="N210" i="8" s="1"/>
  <c r="J1412" i="8"/>
  <c r="L1412" i="8" s="1"/>
  <c r="N1412" i="8" s="1"/>
  <c r="J215" i="8"/>
  <c r="L215" i="8" s="1"/>
  <c r="N215" i="8" s="1"/>
  <c r="J224" i="8"/>
  <c r="L224" i="8" s="1"/>
  <c r="N224" i="8" s="1"/>
  <c r="J1503" i="8"/>
  <c r="L1503" i="8" s="1"/>
  <c r="N1503" i="8" s="1"/>
  <c r="J1577" i="8"/>
  <c r="L1577" i="8" s="1"/>
  <c r="N1577" i="8" s="1"/>
  <c r="J1651" i="8"/>
  <c r="L1651" i="8" s="1"/>
  <c r="N1651" i="8" s="1"/>
  <c r="J1634" i="8"/>
  <c r="L1634" i="8" s="1"/>
  <c r="N1634" i="8" s="1"/>
  <c r="J1800" i="8"/>
  <c r="L1800" i="8" s="1"/>
  <c r="N1800" i="8" s="1"/>
  <c r="J1769" i="8"/>
  <c r="L1769" i="8" s="1"/>
  <c r="N1769" i="8" s="1"/>
  <c r="J1763" i="8"/>
  <c r="L1763" i="8" s="1"/>
  <c r="N1763" i="8" s="1"/>
  <c r="J1831" i="8"/>
  <c r="L1831" i="8" s="1"/>
  <c r="N1831" i="8" s="1"/>
  <c r="J277" i="8"/>
  <c r="L277" i="8" s="1"/>
  <c r="N277" i="8" s="1"/>
</calcChain>
</file>

<file path=xl/connections.xml><?xml version="1.0" encoding="utf-8"?>
<connections xmlns="http://schemas.openxmlformats.org/spreadsheetml/2006/main">
  <connection id="1" name="common" type="6" refreshedVersion="4" deleted="1" background="1" refreshOnLoad="1">
    <textPr prompt="0" codePage="866" sourceFile="C:\Users\ADAR\Documents\Python Projects\BTC-E\Scripts\Cripto_arb\Cripto_arb\common.csv" decimal="," thousands=" " comma="1">
      <textFields count="6"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<sst xmlns="http://schemas.openxmlformats.org/spreadsheetml/2006/main" count="13290" uniqueCount="8922">
  <si>
    <t>btc-e</t>
  </si>
  <si>
    <t>poloniex</t>
  </si>
  <si>
    <t>bittrex</t>
  </si>
  <si>
    <t>kraken</t>
  </si>
  <si>
    <t>hitbtc</t>
  </si>
  <si>
    <t>yobit</t>
  </si>
  <si>
    <t>cexio</t>
  </si>
  <si>
    <t>exmo</t>
  </si>
  <si>
    <t>PPCUSD</t>
  </si>
  <si>
    <t>NVCBTC</t>
  </si>
  <si>
    <t>NMCBTC</t>
  </si>
  <si>
    <t>DSHUSD</t>
  </si>
  <si>
    <t>156</t>
  </si>
  <si>
    <t>ETHLTC</t>
  </si>
  <si>
    <t>NMCUSD</t>
  </si>
  <si>
    <t>BTCUSD</t>
  </si>
  <si>
    <t>ETHBTC</t>
  </si>
  <si>
    <t>LTCBTC</t>
  </si>
  <si>
    <t>DSHBTC</t>
  </si>
  <si>
    <t>DSHLTC</t>
  </si>
  <si>
    <t>PPCBTC</t>
  </si>
  <si>
    <t>LTCUSD</t>
  </si>
  <si>
    <t>ETHUSD</t>
  </si>
  <si>
    <t>BTCRUR</t>
  </si>
  <si>
    <t>141500</t>
  </si>
  <si>
    <t>DSHETH</t>
  </si>
  <si>
    <t>NVCUSD</t>
  </si>
  <si>
    <t>bitfinex</t>
  </si>
  <si>
    <t>ETCBTC</t>
  </si>
  <si>
    <t>ETCUSD</t>
  </si>
  <si>
    <t>RRTUSD</t>
  </si>
  <si>
    <t>RRTBTC</t>
  </si>
  <si>
    <t>ZECUSD</t>
  </si>
  <si>
    <t>ZECBTC</t>
  </si>
  <si>
    <t>XMRUSD</t>
  </si>
  <si>
    <t>XMRBTC</t>
  </si>
  <si>
    <t>BCCBTC</t>
  </si>
  <si>
    <t>BCUBTC</t>
  </si>
  <si>
    <t>BCCUSD</t>
  </si>
  <si>
    <t>BCUUSD</t>
  </si>
  <si>
    <t>XRPUSD</t>
  </si>
  <si>
    <t>XRPBTC</t>
  </si>
  <si>
    <t>IOTUSD</t>
  </si>
  <si>
    <t>IOTBTC</t>
  </si>
  <si>
    <t>USDTREP</t>
  </si>
  <si>
    <t>BTCXVC</t>
  </si>
  <si>
    <t>BTCPINK</t>
  </si>
  <si>
    <t>BTCSYS</t>
  </si>
  <si>
    <t>BTCEMC2</t>
  </si>
  <si>
    <t>BTCRADS</t>
  </si>
  <si>
    <t>BTCSC</t>
  </si>
  <si>
    <t>BTCMAID</t>
  </si>
  <si>
    <t>BTCGNT</t>
  </si>
  <si>
    <t>BTCBCN</t>
  </si>
  <si>
    <t>BTCREP</t>
  </si>
  <si>
    <t>BTCBCY</t>
  </si>
  <si>
    <t>BTCGNO</t>
  </si>
  <si>
    <t>XMRNXT</t>
  </si>
  <si>
    <t>USDTZEC</t>
  </si>
  <si>
    <t>BTCFCT</t>
  </si>
  <si>
    <t>USDTETH</t>
  </si>
  <si>
    <t>USDTBTC</t>
  </si>
  <si>
    <t>BTCLBC</t>
  </si>
  <si>
    <t>BTCDCR</t>
  </si>
  <si>
    <t>USDTETC</t>
  </si>
  <si>
    <t>BTCAMP</t>
  </si>
  <si>
    <t>BTCXPM</t>
  </si>
  <si>
    <t>BTCNXT</t>
  </si>
  <si>
    <t>BTCVTC</t>
  </si>
  <si>
    <t>ETHSTEEM</t>
  </si>
  <si>
    <t>XMRBLK</t>
  </si>
  <si>
    <t>BTCPASC</t>
  </si>
  <si>
    <t>XMRZEC</t>
  </si>
  <si>
    <t>BTCGRC</t>
  </si>
  <si>
    <t>BTCNXC</t>
  </si>
  <si>
    <t>BTCBTCD</t>
  </si>
  <si>
    <t>BTCLTC</t>
  </si>
  <si>
    <t>BTCDASH</t>
  </si>
  <si>
    <t>BTCNAUT</t>
  </si>
  <si>
    <t>BTCDOGE</t>
  </si>
  <si>
    <t>BTCPPC</t>
  </si>
  <si>
    <t>BTCFTC</t>
  </si>
  <si>
    <t>BTCRDD</t>
  </si>
  <si>
    <t>BTCPOT</t>
  </si>
  <si>
    <t>5e-05</t>
  </si>
  <si>
    <t>BTCBLK</t>
  </si>
  <si>
    <t>BTCMYR</t>
  </si>
  <si>
    <t>BTCAUR</t>
  </si>
  <si>
    <t>BTCEFL</t>
  </si>
  <si>
    <t>BTCGLD</t>
  </si>
  <si>
    <t>BTCSLR</t>
  </si>
  <si>
    <t>BTCPTC</t>
  </si>
  <si>
    <t>BTCGRS</t>
  </si>
  <si>
    <t>BTCNLG</t>
  </si>
  <si>
    <t>BTCRBY</t>
  </si>
  <si>
    <t>BTCXWC</t>
  </si>
  <si>
    <t>5e-06</t>
  </si>
  <si>
    <t>BTCMONA</t>
  </si>
  <si>
    <t>BTCTHC</t>
  </si>
  <si>
    <t>BTCENRG</t>
  </si>
  <si>
    <t>BTCERC</t>
  </si>
  <si>
    <t>BTCVRC</t>
  </si>
  <si>
    <t>BTCCURE</t>
  </si>
  <si>
    <t>BTCXBB</t>
  </si>
  <si>
    <t>BTCXMR</t>
  </si>
  <si>
    <t>BTCCLOAK</t>
  </si>
  <si>
    <t>BTCSTART</t>
  </si>
  <si>
    <t>BTCKORE</t>
  </si>
  <si>
    <t>BTCXDN</t>
  </si>
  <si>
    <t>BTCQTL</t>
  </si>
  <si>
    <t>BTCTRUST</t>
  </si>
  <si>
    <t>BTCNAV</t>
  </si>
  <si>
    <t>BTCXST</t>
  </si>
  <si>
    <t>BTCVIA</t>
  </si>
  <si>
    <t>BTCUNO</t>
  </si>
  <si>
    <t>BTCIOC</t>
  </si>
  <si>
    <t>BTCCANN</t>
  </si>
  <si>
    <t>BTCNEOS</t>
  </si>
  <si>
    <t>BTCDGB</t>
  </si>
  <si>
    <t>BTCBURST</t>
  </si>
  <si>
    <t>BTCEXCL</t>
  </si>
  <si>
    <t>9e-05</t>
  </si>
  <si>
    <t>BTCSWIFT</t>
  </si>
  <si>
    <t>BTCDOPE</t>
  </si>
  <si>
    <t>BTCBLOCK</t>
  </si>
  <si>
    <t>BTCABY</t>
  </si>
  <si>
    <t>BTCBYC</t>
  </si>
  <si>
    <t>BTCXMG</t>
  </si>
  <si>
    <t>BTCBLITZ</t>
  </si>
  <si>
    <t>BTCBAY</t>
  </si>
  <si>
    <t>BTCBTS</t>
  </si>
  <si>
    <t>BTCFAIR</t>
  </si>
  <si>
    <t>BTCSPR</t>
  </si>
  <si>
    <t>BTCVTR</t>
  </si>
  <si>
    <t>BTCXRP</t>
  </si>
  <si>
    <t>BTCGAME</t>
  </si>
  <si>
    <t>BTCCOVAL</t>
  </si>
  <si>
    <t>BTCNXS</t>
  </si>
  <si>
    <t>BTCXCP</t>
  </si>
  <si>
    <t>BTCSJCX</t>
  </si>
  <si>
    <t>BTCBITB</t>
  </si>
  <si>
    <t>BTCGEO</t>
  </si>
  <si>
    <t>BTCFLDC</t>
  </si>
  <si>
    <t>BTCFLO</t>
  </si>
  <si>
    <t>BTCNBT</t>
  </si>
  <si>
    <t>BTCMUE</t>
  </si>
  <si>
    <t>BTCXEM</t>
  </si>
  <si>
    <t>BTC8BIT</t>
  </si>
  <si>
    <t>BTCCLAM</t>
  </si>
  <si>
    <t>BTCDMD</t>
  </si>
  <si>
    <t>BTCGAM</t>
  </si>
  <si>
    <t>BTCSPHR</t>
  </si>
  <si>
    <t>BTCOK</t>
  </si>
  <si>
    <t>BTCSNRG</t>
  </si>
  <si>
    <t>BTCPKB</t>
  </si>
  <si>
    <t>BTCCPC</t>
  </si>
  <si>
    <t>BTCAEON</t>
  </si>
  <si>
    <t>BTCETH</t>
  </si>
  <si>
    <t>BTCGCR</t>
  </si>
  <si>
    <t>BTCTX</t>
  </si>
  <si>
    <t>BTCEXP</t>
  </si>
  <si>
    <t>BTCINFX</t>
  </si>
  <si>
    <t>BTCOMNI</t>
  </si>
  <si>
    <t>BTCAGRS</t>
  </si>
  <si>
    <t>BTCXLM</t>
  </si>
  <si>
    <t>BTCBTA</t>
  </si>
  <si>
    <t>BITCNYBTC</t>
  </si>
  <si>
    <t>BTCCLUB</t>
  </si>
  <si>
    <t>BTCVOX</t>
  </si>
  <si>
    <t>BTCEMC</t>
  </si>
  <si>
    <t>BTCEGC</t>
  </si>
  <si>
    <t>BTCSLS</t>
  </si>
  <si>
    <t>BTCSEC</t>
  </si>
  <si>
    <t>BTCBSD</t>
  </si>
  <si>
    <t>BTCXVG</t>
  </si>
  <si>
    <t>BTCPIVX</t>
  </si>
  <si>
    <t>BTCMEME</t>
  </si>
  <si>
    <t>BTCSTEEM</t>
  </si>
  <si>
    <t>BTC2GIVE</t>
  </si>
  <si>
    <t>BTCLSK</t>
  </si>
  <si>
    <t>BTCPDC</t>
  </si>
  <si>
    <t>BTCBRK</t>
  </si>
  <si>
    <t>BTCDGD</t>
  </si>
  <si>
    <t>ETHDGD</t>
  </si>
  <si>
    <t>BTCWAVES</t>
  </si>
  <si>
    <t>BTCRISE</t>
  </si>
  <si>
    <t>BTCSBD</t>
  </si>
  <si>
    <t>BTCBRX</t>
  </si>
  <si>
    <t>BTCDRACO</t>
  </si>
  <si>
    <t>BTCETC</t>
  </si>
  <si>
    <t>ETHETC</t>
  </si>
  <si>
    <t>BTCSTRAT</t>
  </si>
  <si>
    <t>BTCUNB</t>
  </si>
  <si>
    <t>BTCSYNX</t>
  </si>
  <si>
    <t>BTCTRIG</t>
  </si>
  <si>
    <t>BTCEBST</t>
  </si>
  <si>
    <t>BTCVRM</t>
  </si>
  <si>
    <t>BTCSEQ</t>
  </si>
  <si>
    <t>BTCXAUR</t>
  </si>
  <si>
    <t>BTCSNGLS</t>
  </si>
  <si>
    <t>BTCJWL</t>
  </si>
  <si>
    <t>BTCSHIFT</t>
  </si>
  <si>
    <t>BTCARDR</t>
  </si>
  <si>
    <t>BTCXZC</t>
  </si>
  <si>
    <t>BTCANS</t>
  </si>
  <si>
    <t>BTCZEC</t>
  </si>
  <si>
    <t>BTCZCL</t>
  </si>
  <si>
    <t>BTCIOP</t>
  </si>
  <si>
    <t>BTCDAR</t>
  </si>
  <si>
    <t>BTCGOLOS</t>
  </si>
  <si>
    <t>BTCHKG</t>
  </si>
  <si>
    <t>BTCUBQ</t>
  </si>
  <si>
    <t>BTCKMD</t>
  </si>
  <si>
    <t>BTCGBG</t>
  </si>
  <si>
    <t>BTCSIB</t>
  </si>
  <si>
    <t>BTCION</t>
  </si>
  <si>
    <t>BTCLMC</t>
  </si>
  <si>
    <t>BTCQWARK</t>
  </si>
  <si>
    <t>BTCCRW</t>
  </si>
  <si>
    <t>BTCSWT</t>
  </si>
  <si>
    <t>BTCTIME</t>
  </si>
  <si>
    <t>BTCMLN</t>
  </si>
  <si>
    <t>BTCARK</t>
  </si>
  <si>
    <t>BTCDYN</t>
  </si>
  <si>
    <t>BTCTKS</t>
  </si>
  <si>
    <t>BTCMUSIC</t>
  </si>
  <si>
    <t>BTCDTB</t>
  </si>
  <si>
    <t>BTCINCNT</t>
  </si>
  <si>
    <t>BTCGBYTE</t>
  </si>
  <si>
    <t>BTCEDG</t>
  </si>
  <si>
    <t>BTCLGD</t>
  </si>
  <si>
    <t>BTCTRST</t>
  </si>
  <si>
    <t>ETHGNT</t>
  </si>
  <si>
    <t>ETHREP</t>
  </si>
  <si>
    <t>ETHWINGS</t>
  </si>
  <si>
    <t>BTCWINGS</t>
  </si>
  <si>
    <t>BTCRLC</t>
  </si>
  <si>
    <t>BTCGUP</t>
  </si>
  <si>
    <t>BTCLUN</t>
  </si>
  <si>
    <t>ETHGUP</t>
  </si>
  <si>
    <t>ETHRLC</t>
  </si>
  <si>
    <t>ETHLUN</t>
  </si>
  <si>
    <t>ETHSNGLS</t>
  </si>
  <si>
    <t>ETHGNO</t>
  </si>
  <si>
    <t>BTCAPX</t>
  </si>
  <si>
    <t>BTCTKN</t>
  </si>
  <si>
    <t>ETHTKN</t>
  </si>
  <si>
    <t>BTCHMQ</t>
  </si>
  <si>
    <t>ETHHMQ</t>
  </si>
  <si>
    <t>BTCANT</t>
  </si>
  <si>
    <t>ETHTRST</t>
  </si>
  <si>
    <t>ETHANT</t>
  </si>
  <si>
    <t>ETHBAT</t>
  </si>
  <si>
    <t>BTCBAT</t>
  </si>
  <si>
    <t>BTCZEN</t>
  </si>
  <si>
    <t>BTC1ST</t>
  </si>
  <si>
    <t>BTCQRL</t>
  </si>
  <si>
    <t>ETH1ST</t>
  </si>
  <si>
    <t>ETHQRL</t>
  </si>
  <si>
    <t>BTCMGO</t>
  </si>
  <si>
    <t>ETHMGO</t>
  </si>
  <si>
    <t>BTCCRB</t>
  </si>
  <si>
    <t>ETHCRB</t>
  </si>
  <si>
    <t>BTCCAD</t>
  </si>
  <si>
    <t>XMREUR</t>
  </si>
  <si>
    <t>GNOEUR</t>
  </si>
  <si>
    <t>XLMUSD</t>
  </si>
  <si>
    <t>MLNETH</t>
  </si>
  <si>
    <t>DASHBTC</t>
  </si>
  <si>
    <t>ETHJPY</t>
  </si>
  <si>
    <t>ZECEUR</t>
  </si>
  <si>
    <t>GNOBTC</t>
  </si>
  <si>
    <t>XLMEUR</t>
  </si>
  <si>
    <t>REPBTC</t>
  </si>
  <si>
    <t>REPETH</t>
  </si>
  <si>
    <t>BTCGBP</t>
  </si>
  <si>
    <t>ETHCAD</t>
  </si>
  <si>
    <t>ETHGBP</t>
  </si>
  <si>
    <t>XDGBTC</t>
  </si>
  <si>
    <t>LTCEUR</t>
  </si>
  <si>
    <t>ETCETH</t>
  </si>
  <si>
    <t>XRPCAD</t>
  </si>
  <si>
    <t>BTCJPY</t>
  </si>
  <si>
    <t>GNOETH</t>
  </si>
  <si>
    <t>ETHEUR</t>
  </si>
  <si>
    <t>ICNBTC</t>
  </si>
  <si>
    <t>XLMBTC</t>
  </si>
  <si>
    <t>ETCEUR</t>
  </si>
  <si>
    <t>MLNBTC</t>
  </si>
  <si>
    <t>ICNETH</t>
  </si>
  <si>
    <t>REPUSD</t>
  </si>
  <si>
    <t>XRPEUR</t>
  </si>
  <si>
    <t>DASHEUR</t>
  </si>
  <si>
    <t>BTCEUR</t>
  </si>
  <si>
    <t>XRPJPY</t>
  </si>
  <si>
    <t>REPEUR</t>
  </si>
  <si>
    <t>GNOUSD</t>
  </si>
  <si>
    <t>DASHUSD</t>
  </si>
  <si>
    <t>USDTUSD</t>
  </si>
  <si>
    <t>ZRCBTC</t>
  </si>
  <si>
    <t>NXCBTC</t>
  </si>
  <si>
    <t>TIMEBTC</t>
  </si>
  <si>
    <t>SBDBTC</t>
  </si>
  <si>
    <t>MAIDBTC</t>
  </si>
  <si>
    <t>1STBTC</t>
  </si>
  <si>
    <t>QCNBTC</t>
  </si>
  <si>
    <t>DOGEUSD</t>
  </si>
  <si>
    <t>GUPBTC</t>
  </si>
  <si>
    <t>RLCBTC</t>
  </si>
  <si>
    <t>AEONBTC</t>
  </si>
  <si>
    <t>SNGLSBTC</t>
  </si>
  <si>
    <t>8e-05</t>
  </si>
  <si>
    <t>EMCBTC</t>
  </si>
  <si>
    <t>TRSTBTC</t>
  </si>
  <si>
    <t>FCNBTC</t>
  </si>
  <si>
    <t>BCNUSD</t>
  </si>
  <si>
    <t>MAIDUSD</t>
  </si>
  <si>
    <t>STEEMEUR</t>
  </si>
  <si>
    <t>TAASBTC</t>
  </si>
  <si>
    <t>SWTBTC</t>
  </si>
  <si>
    <t>WINGSBTC</t>
  </si>
  <si>
    <t>SCBTC</t>
  </si>
  <si>
    <t>BNTBTC</t>
  </si>
  <si>
    <t>XEMUSD</t>
  </si>
  <si>
    <t>BTUBTC</t>
  </si>
  <si>
    <t>CFIBTC</t>
  </si>
  <si>
    <t>LSKEUR</t>
  </si>
  <si>
    <t>XDNCOBTC</t>
  </si>
  <si>
    <t>6e-06</t>
  </si>
  <si>
    <t>2e-06</t>
  </si>
  <si>
    <t>BCNBTC</t>
  </si>
  <si>
    <t>BOSBTC</t>
  </si>
  <si>
    <t>LUNBTC</t>
  </si>
  <si>
    <t>DCTBTC</t>
  </si>
  <si>
    <t>NXTBTC</t>
  </si>
  <si>
    <t>XLCBTC</t>
  </si>
  <si>
    <t>TKNBTC</t>
  </si>
  <si>
    <t>WTTBTC</t>
  </si>
  <si>
    <t>XEMBTC</t>
  </si>
  <si>
    <t>PLUBTC</t>
  </si>
  <si>
    <t>LSKBTC</t>
  </si>
  <si>
    <t>PTOYBTC</t>
  </si>
  <si>
    <t>XDNBTC</t>
  </si>
  <si>
    <t>ARDRBTC</t>
  </si>
  <si>
    <t>NXTUSD</t>
  </si>
  <si>
    <t>AEBTC</t>
  </si>
  <si>
    <t>DOGEBTC</t>
  </si>
  <si>
    <t>STEEMBTC</t>
  </si>
  <si>
    <t>PLBTBTC</t>
  </si>
  <si>
    <t>WAVESBTC</t>
  </si>
  <si>
    <t>XDNUSD</t>
  </si>
  <si>
    <t>AMPBTC</t>
  </si>
  <si>
    <t>XAURBTC</t>
  </si>
  <si>
    <t>DGDBTC</t>
  </si>
  <si>
    <t>DBLKBTC</t>
  </si>
  <si>
    <t>9e-08</t>
  </si>
  <si>
    <t>6e-08</t>
  </si>
  <si>
    <t>MRBBTC</t>
  </si>
  <si>
    <t>PSYBTC</t>
  </si>
  <si>
    <t>PONZIBTC</t>
  </si>
  <si>
    <t>TAKBTC</t>
  </si>
  <si>
    <t>2e-08</t>
  </si>
  <si>
    <t>1e-08</t>
  </si>
  <si>
    <t>VENEBTC</t>
  </si>
  <si>
    <t>0</t>
  </si>
  <si>
    <t>POWERBTC</t>
  </si>
  <si>
    <t>SHELLBTC</t>
  </si>
  <si>
    <t>DISKBTC</t>
  </si>
  <si>
    <t>2e-07</t>
  </si>
  <si>
    <t>OMGBTC</t>
  </si>
  <si>
    <t>CRNKBTC</t>
  </si>
  <si>
    <t>SUPERBTC</t>
  </si>
  <si>
    <t>MNDBTC</t>
  </si>
  <si>
    <t>RUBITBTC</t>
  </si>
  <si>
    <t>3e-07</t>
  </si>
  <si>
    <t>GREBTC</t>
  </si>
  <si>
    <t>CSBTC</t>
  </si>
  <si>
    <t>SICBTC</t>
  </si>
  <si>
    <t>RINGBTC</t>
  </si>
  <si>
    <t>PUREBTC</t>
  </si>
  <si>
    <t>5e-08</t>
  </si>
  <si>
    <t>4e-08</t>
  </si>
  <si>
    <t>RPCBTC</t>
  </si>
  <si>
    <t>MCRNBTC</t>
  </si>
  <si>
    <t>3e-08</t>
  </si>
  <si>
    <t>PXIBTC</t>
  </si>
  <si>
    <t>SXCBTC</t>
  </si>
  <si>
    <t>NEVABTC</t>
  </si>
  <si>
    <t>AECCBTC</t>
  </si>
  <si>
    <t>SSTCBTC</t>
  </si>
  <si>
    <t>NTRNBTC</t>
  </si>
  <si>
    <t>XCEBTC</t>
  </si>
  <si>
    <t>SHRMBTC</t>
  </si>
  <si>
    <t>IECBTC</t>
  </si>
  <si>
    <t>CRIMEBTC</t>
  </si>
  <si>
    <t>KURTBTC</t>
  </si>
  <si>
    <t>VAPORBTC</t>
  </si>
  <si>
    <t>LVGBTC</t>
  </si>
  <si>
    <t>JPCBTC</t>
  </si>
  <si>
    <t>SIBRUR</t>
  </si>
  <si>
    <t>C2BTC</t>
  </si>
  <si>
    <t>5e-07</t>
  </si>
  <si>
    <t>OCOWBTC</t>
  </si>
  <si>
    <t>8e-07</t>
  </si>
  <si>
    <t>EVOBTC</t>
  </si>
  <si>
    <t>DPAYBTC</t>
  </si>
  <si>
    <t>ZIRKBTC</t>
  </si>
  <si>
    <t>CHRGBTC</t>
  </si>
  <si>
    <t>GAKHBTC</t>
  </si>
  <si>
    <t>6e-07</t>
  </si>
  <si>
    <t>KGCBTC</t>
  </si>
  <si>
    <t>FLXBTC</t>
  </si>
  <si>
    <t>BABBTC</t>
  </si>
  <si>
    <t>DGMSBTC</t>
  </si>
  <si>
    <t>EDR2RUR</t>
  </si>
  <si>
    <t>BOSONBTC</t>
  </si>
  <si>
    <t>MMBTC</t>
  </si>
  <si>
    <t>MERGECBTC</t>
  </si>
  <si>
    <t>RICEBTC</t>
  </si>
  <si>
    <t>EXBBTC</t>
  </si>
  <si>
    <t>OPESBTC</t>
  </si>
  <si>
    <t>4e-07</t>
  </si>
  <si>
    <t>BXTBTC</t>
  </si>
  <si>
    <t>STARBTC</t>
  </si>
  <si>
    <t>PINKXBTC</t>
  </si>
  <si>
    <t>PENBTC</t>
  </si>
  <si>
    <t>XOCBTC</t>
  </si>
  <si>
    <t>GBITBTC</t>
  </si>
  <si>
    <t>NICBTC</t>
  </si>
  <si>
    <t>ACIDBTC</t>
  </si>
  <si>
    <t>TCNBTC</t>
  </si>
  <si>
    <t>EVILBTC</t>
  </si>
  <si>
    <t>AURBTC</t>
  </si>
  <si>
    <t>DTTBTC</t>
  </si>
  <si>
    <t>BILLBTC</t>
  </si>
  <si>
    <t>7e-08</t>
  </si>
  <si>
    <t>NKTBTC</t>
  </si>
  <si>
    <t>PRXBTC</t>
  </si>
  <si>
    <t>CRPSBTC</t>
  </si>
  <si>
    <t>CNTBTC</t>
  </si>
  <si>
    <t>INFXBTC</t>
  </si>
  <si>
    <t>ITIBTC</t>
  </si>
  <si>
    <t>DCYPBTC</t>
  </si>
  <si>
    <t>MPROBTC</t>
  </si>
  <si>
    <t>PSBBTC</t>
  </si>
  <si>
    <t>BONBTC</t>
  </si>
  <si>
    <t>LGBTQBTC</t>
  </si>
  <si>
    <t>EQMBTC</t>
  </si>
  <si>
    <t>STKBTC</t>
  </si>
  <si>
    <t>RIOBTC</t>
  </si>
  <si>
    <t>DCBTC</t>
  </si>
  <si>
    <t>SLFIBTC</t>
  </si>
  <si>
    <t>COINBTC</t>
  </si>
  <si>
    <t>CLICKBTC</t>
  </si>
  <si>
    <t>LUNABTC</t>
  </si>
  <si>
    <t>GLOBTC</t>
  </si>
  <si>
    <t>EABTC</t>
  </si>
  <si>
    <t>ANALBTC</t>
  </si>
  <si>
    <t>BLUBTC</t>
  </si>
  <si>
    <t>PHRBTC</t>
  </si>
  <si>
    <t>XMSBTC</t>
  </si>
  <si>
    <t>BTABTC</t>
  </si>
  <si>
    <t>CCXBTC</t>
  </si>
  <si>
    <t>CPCBTC</t>
  </si>
  <si>
    <t>PCMBTC</t>
  </si>
  <si>
    <t>XRABTC</t>
  </si>
  <si>
    <t>TXBTC</t>
  </si>
  <si>
    <t>XJOBTC</t>
  </si>
  <si>
    <t>CYPBTC</t>
  </si>
  <si>
    <t>MVRBTC</t>
  </si>
  <si>
    <t>L7SBTC</t>
  </si>
  <si>
    <t>FISTBTC</t>
  </si>
  <si>
    <t>XVEBTC</t>
  </si>
  <si>
    <t>RICHXBTC</t>
  </si>
  <si>
    <t>XDBBTC</t>
  </si>
  <si>
    <t>SLINGBTC</t>
  </si>
  <si>
    <t>STALINBTC</t>
  </si>
  <si>
    <t>DBGBTC</t>
  </si>
  <si>
    <t>LDOGEBTC</t>
  </si>
  <si>
    <t>TIABTC</t>
  </si>
  <si>
    <t>GSYBTC</t>
  </si>
  <si>
    <t>XPYBTC</t>
  </si>
  <si>
    <t>ARGUSBTC</t>
  </si>
  <si>
    <t>SSCBTC</t>
  </si>
  <si>
    <t>NLGBTC</t>
  </si>
  <si>
    <t>PNCBTC</t>
  </si>
  <si>
    <t>PLANETBTC</t>
  </si>
  <si>
    <t>LIZIBTC</t>
  </si>
  <si>
    <t>OS76BTC</t>
  </si>
  <si>
    <t>BTTFBTC</t>
  </si>
  <si>
    <t>TEKBTC</t>
  </si>
  <si>
    <t>EGCBTC</t>
  </si>
  <si>
    <t>FREBTC</t>
  </si>
  <si>
    <t>CRABBTC</t>
  </si>
  <si>
    <t>FAZZBTC</t>
  </si>
  <si>
    <t>ALEXBTC</t>
  </si>
  <si>
    <t>VISIOBTC</t>
  </si>
  <si>
    <t>GREEDBTC</t>
  </si>
  <si>
    <t>WINEBTC</t>
  </si>
  <si>
    <t>UNIBTC</t>
  </si>
  <si>
    <t>CAMBTC</t>
  </si>
  <si>
    <t>HAWKBTC</t>
  </si>
  <si>
    <t>ZET2BTC</t>
  </si>
  <si>
    <t>TECBTC</t>
  </si>
  <si>
    <t>INSANEBTC</t>
  </si>
  <si>
    <t>DRACOBTC</t>
  </si>
  <si>
    <t>KARMABTC</t>
  </si>
  <si>
    <t>BTSBTC</t>
  </si>
  <si>
    <t>P7CBTC</t>
  </si>
  <si>
    <t>RADBTC</t>
  </si>
  <si>
    <t>LUMIBTC</t>
  </si>
  <si>
    <t>BOTBTC</t>
  </si>
  <si>
    <t>IVZBTC</t>
  </si>
  <si>
    <t>GEOBTC</t>
  </si>
  <si>
    <t>HEDGBTC</t>
  </si>
  <si>
    <t>CBXBTC</t>
  </si>
  <si>
    <t>ZOOMBTC</t>
  </si>
  <si>
    <t>AMSBTC</t>
  </si>
  <si>
    <t>DUBBTC</t>
  </si>
  <si>
    <t>GENBTC</t>
  </si>
  <si>
    <t>7e-07</t>
  </si>
  <si>
    <t>CYTBTC</t>
  </si>
  <si>
    <t>LOOTBTC</t>
  </si>
  <si>
    <t>CTLBTC</t>
  </si>
  <si>
    <t>RIDEBTC</t>
  </si>
  <si>
    <t>ACOINBTC</t>
  </si>
  <si>
    <t>GIGBTC</t>
  </si>
  <si>
    <t>AMBERBTC</t>
  </si>
  <si>
    <t>1e-06</t>
  </si>
  <si>
    <t>CFCBTC</t>
  </si>
  <si>
    <t>BNBBTC</t>
  </si>
  <si>
    <t>XTBTC</t>
  </si>
  <si>
    <t>BTCRBTC</t>
  </si>
  <si>
    <t>SONGBTC</t>
  </si>
  <si>
    <t>TWERKBTC</t>
  </si>
  <si>
    <t>NXEBTC</t>
  </si>
  <si>
    <t>B2BTC</t>
  </si>
  <si>
    <t>TBBTC</t>
  </si>
  <si>
    <t>DGCSBTC</t>
  </si>
  <si>
    <t>1e-07</t>
  </si>
  <si>
    <t>8e-08</t>
  </si>
  <si>
    <t>DFTBTC</t>
  </si>
  <si>
    <t>ADCBTC</t>
  </si>
  <si>
    <t>VCOINBTC</t>
  </si>
  <si>
    <t>TOOLBTC</t>
  </si>
  <si>
    <t>ROSBTC</t>
  </si>
  <si>
    <t>DXCBTC</t>
  </si>
  <si>
    <t>ORLYBTC</t>
  </si>
  <si>
    <t>RADIBTC</t>
  </si>
  <si>
    <t>NETKOBTC</t>
  </si>
  <si>
    <t>SPORTBTC</t>
  </si>
  <si>
    <t>ISLBTC</t>
  </si>
  <si>
    <t>USDRUR</t>
  </si>
  <si>
    <t>VIABTC</t>
  </si>
  <si>
    <t>CJCBTC</t>
  </si>
  <si>
    <t>YAYBTC</t>
  </si>
  <si>
    <t>TEAMBTC</t>
  </si>
  <si>
    <t>XVGBTC</t>
  </si>
  <si>
    <t>GEBTC</t>
  </si>
  <si>
    <t>BIOSBTC</t>
  </si>
  <si>
    <t>DOGERUR</t>
  </si>
  <si>
    <t>HMPBTC</t>
  </si>
  <si>
    <t>CARBONBTC</t>
  </si>
  <si>
    <t>MNMBTC</t>
  </si>
  <si>
    <t>VPNBTC</t>
  </si>
  <si>
    <t>TRONBTC</t>
  </si>
  <si>
    <t>GHSBTC</t>
  </si>
  <si>
    <t>RNCBTC</t>
  </si>
  <si>
    <t>STONKBTC</t>
  </si>
  <si>
    <t>SRNDBTC</t>
  </si>
  <si>
    <t>VPRCBTC</t>
  </si>
  <si>
    <t>HVCOBTC</t>
  </si>
  <si>
    <t>GLCBTC</t>
  </si>
  <si>
    <t>ALTCBTC</t>
  </si>
  <si>
    <t>WARPBTC</t>
  </si>
  <si>
    <t>XAVBTC</t>
  </si>
  <si>
    <t>NKCBTC</t>
  </si>
  <si>
    <t>NOCBTC</t>
  </si>
  <si>
    <t>GRFBTC</t>
  </si>
  <si>
    <t>UAEBTC</t>
  </si>
  <si>
    <t>CCCBTC</t>
  </si>
  <si>
    <t>PALBTC</t>
  </si>
  <si>
    <t>XQNBTC</t>
  </si>
  <si>
    <t>PRMBTC</t>
  </si>
  <si>
    <t>ZLQBTC</t>
  </si>
  <si>
    <t>IONBTC</t>
  </si>
  <si>
    <t>CDBTC</t>
  </si>
  <si>
    <t>QTZBTC</t>
  </si>
  <si>
    <t>VIDZBTC</t>
  </si>
  <si>
    <t>VTNBTC</t>
  </si>
  <si>
    <t>TESBTC</t>
  </si>
  <si>
    <t>XPROBTC</t>
  </si>
  <si>
    <t>CRAFTBTC</t>
  </si>
  <si>
    <t>FFCBTC</t>
  </si>
  <si>
    <t>GCRBTC</t>
  </si>
  <si>
    <t>XBUBTC</t>
  </si>
  <si>
    <t>TRUMPBTC</t>
  </si>
  <si>
    <t>CORALBTC</t>
  </si>
  <si>
    <t>INBTC</t>
  </si>
  <si>
    <t>2BACCOBTC</t>
  </si>
  <si>
    <t>FRDCBTC</t>
  </si>
  <si>
    <t>FOREXBTC</t>
  </si>
  <si>
    <t>RBITBTC</t>
  </si>
  <si>
    <t>SIGUBTC</t>
  </si>
  <si>
    <t>OPBTC</t>
  </si>
  <si>
    <t>CMTBTC</t>
  </si>
  <si>
    <t>ETHRUR</t>
  </si>
  <si>
    <t>EDR2LTC</t>
  </si>
  <si>
    <t>YACBTC</t>
  </si>
  <si>
    <t>BODBTC</t>
  </si>
  <si>
    <t>XAUBTC</t>
  </si>
  <si>
    <t>BSCBTC</t>
  </si>
  <si>
    <t>XBTSBTC</t>
  </si>
  <si>
    <t>TNGBTC</t>
  </si>
  <si>
    <t>GENIUSBTC</t>
  </si>
  <si>
    <t>INVBTC</t>
  </si>
  <si>
    <t>BUBBTC</t>
  </si>
  <si>
    <t>LTDBTC</t>
  </si>
  <si>
    <t>CXTBTC</t>
  </si>
  <si>
    <t>GIFTBTC</t>
  </si>
  <si>
    <t>SLSBTC</t>
  </si>
  <si>
    <t>ARMBTC</t>
  </si>
  <si>
    <t>JOBSBTC</t>
  </si>
  <si>
    <t>NOTEBTC</t>
  </si>
  <si>
    <t>PNKBTC</t>
  </si>
  <si>
    <t>DESBTC</t>
  </si>
  <si>
    <t>ZURBTC</t>
  </si>
  <si>
    <t>WISCBTC</t>
  </si>
  <si>
    <t>CV2BTC</t>
  </si>
  <si>
    <t>PARTYBTC</t>
  </si>
  <si>
    <t>XPSBTC</t>
  </si>
  <si>
    <t>MLNCBTC</t>
  </si>
  <si>
    <t>BACBTC</t>
  </si>
  <si>
    <t>PAYBTC</t>
  </si>
  <si>
    <t>CHOOFBTC</t>
  </si>
  <si>
    <t>ACPBTC</t>
  </si>
  <si>
    <t>XPCBTC</t>
  </si>
  <si>
    <t>BTCUBTC</t>
  </si>
  <si>
    <t>ARCXBTC</t>
  </si>
  <si>
    <t>PUTINBTC</t>
  </si>
  <si>
    <t>CFBTC</t>
  </si>
  <si>
    <t>CLAMBTC</t>
  </si>
  <si>
    <t>PWRBTC</t>
  </si>
  <si>
    <t>BVCBTC</t>
  </si>
  <si>
    <t>DBBTC</t>
  </si>
  <si>
    <t>404BTC</t>
  </si>
  <si>
    <t>TRABTC</t>
  </si>
  <si>
    <t>B3BTC</t>
  </si>
  <si>
    <t>CYGBTC</t>
  </si>
  <si>
    <t>WEALTHBTC</t>
  </si>
  <si>
    <t>UISBTC</t>
  </si>
  <si>
    <t>8BITBTC</t>
  </si>
  <si>
    <t>EXITBTC</t>
  </si>
  <si>
    <t>UNITSBTC</t>
  </si>
  <si>
    <t>EDCBTC</t>
  </si>
  <si>
    <t>PONZ2BTC</t>
  </si>
  <si>
    <t>MAPCBTC</t>
  </si>
  <si>
    <t>CHATBTC</t>
  </si>
  <si>
    <t>SHBTC</t>
  </si>
  <si>
    <t>NETCBTC</t>
  </si>
  <si>
    <t>NANASBTC</t>
  </si>
  <si>
    <t>HEELBTC</t>
  </si>
  <si>
    <t>DRZBTC</t>
  </si>
  <si>
    <t>TCXBTC</t>
  </si>
  <si>
    <t>SIBBTC</t>
  </si>
  <si>
    <t>N2OBTC</t>
  </si>
  <si>
    <t>CABBTC</t>
  </si>
  <si>
    <t>CYCBTC</t>
  </si>
  <si>
    <t>SPCBTC</t>
  </si>
  <si>
    <t>IOCBTC</t>
  </si>
  <si>
    <t>BREBTC</t>
  </si>
  <si>
    <t>PNDBTC</t>
  </si>
  <si>
    <t>LUXBTC</t>
  </si>
  <si>
    <t>LAZBTC</t>
  </si>
  <si>
    <t>SCRTBTC</t>
  </si>
  <si>
    <t>PUPABTC</t>
  </si>
  <si>
    <t>HPCBTC</t>
  </si>
  <si>
    <t>DKCBTC</t>
  </si>
  <si>
    <t>DLISKBTC</t>
  </si>
  <si>
    <t>DCREBTC</t>
  </si>
  <si>
    <t>TLEXBTC</t>
  </si>
  <si>
    <t>NICEBTC</t>
  </si>
  <si>
    <t>MYSTICBTC</t>
  </si>
  <si>
    <t>WAYBTC</t>
  </si>
  <si>
    <t>SDPBTC</t>
  </si>
  <si>
    <t>C0C0BTC</t>
  </si>
  <si>
    <t>LIMXBTC</t>
  </si>
  <si>
    <t>MXTBTC</t>
  </si>
  <si>
    <t>TTCBTC</t>
  </si>
  <si>
    <t>ICASHBTC</t>
  </si>
  <si>
    <t>MCOINBTC</t>
  </si>
  <si>
    <t>XSPBTC</t>
  </si>
  <si>
    <t>4e-06</t>
  </si>
  <si>
    <t>TAOBTC</t>
  </si>
  <si>
    <t>LOCBTC</t>
  </si>
  <si>
    <t>GAMEBTC</t>
  </si>
  <si>
    <t>GOBTC</t>
  </si>
  <si>
    <t>SCTBTC</t>
  </si>
  <si>
    <t>NANOXBTC</t>
  </si>
  <si>
    <t>BSHBTC</t>
  </si>
  <si>
    <t>PLNCBTC</t>
  </si>
  <si>
    <t>MSTBTC</t>
  </si>
  <si>
    <t>VEGBTC</t>
  </si>
  <si>
    <t>BIT16BTC</t>
  </si>
  <si>
    <t>IXCBTC</t>
  </si>
  <si>
    <t>VALBTC</t>
  </si>
  <si>
    <t>PEXBTC</t>
  </si>
  <si>
    <t>DECBTC</t>
  </si>
  <si>
    <t>ARTCBTC</t>
  </si>
  <si>
    <t>SCASHBTC</t>
  </si>
  <si>
    <t>EGGBTC</t>
  </si>
  <si>
    <t>EAGSBTC</t>
  </si>
  <si>
    <t>METALBTC</t>
  </si>
  <si>
    <t>NIXONBTC</t>
  </si>
  <si>
    <t>ICOBBTC</t>
  </si>
  <si>
    <t>SPMBTC</t>
  </si>
  <si>
    <t>GTBTC</t>
  </si>
  <si>
    <t>CGBTC</t>
  </si>
  <si>
    <t>FRKBTC</t>
  </si>
  <si>
    <t>4e-05</t>
  </si>
  <si>
    <t>SPKTRBTC</t>
  </si>
  <si>
    <t>EOCBTC</t>
  </si>
  <si>
    <t>ADZBTC</t>
  </si>
  <si>
    <t>CMEBTC</t>
  </si>
  <si>
    <t>WMCBTC</t>
  </si>
  <si>
    <t>NODCBTC</t>
  </si>
  <si>
    <t>ETCOBTC</t>
  </si>
  <si>
    <t>LOOKBTC</t>
  </si>
  <si>
    <t>LTCRUR</t>
  </si>
  <si>
    <t>SMFBTC</t>
  </si>
  <si>
    <t>DETHBTC</t>
  </si>
  <si>
    <t>GRAVBTC</t>
  </si>
  <si>
    <t>LEAFBTC</t>
  </si>
  <si>
    <t>CBBTC</t>
  </si>
  <si>
    <t>NATBTC</t>
  </si>
  <si>
    <t>DCKBTC</t>
  </si>
  <si>
    <t>FIREBTC</t>
  </si>
  <si>
    <t>M1BTC</t>
  </si>
  <si>
    <t>TCRBTC</t>
  </si>
  <si>
    <t>AVBTC</t>
  </si>
  <si>
    <t>HIFUNBTC</t>
  </si>
  <si>
    <t>MOONDBTC</t>
  </si>
  <si>
    <t>POSWBTC</t>
  </si>
  <si>
    <t>SIXBTC</t>
  </si>
  <si>
    <t>PIVXBTC</t>
  </si>
  <si>
    <t>THOMBTC</t>
  </si>
  <si>
    <t>EDR2USD</t>
  </si>
  <si>
    <t>RMSBTC</t>
  </si>
  <si>
    <t>JIFBTC</t>
  </si>
  <si>
    <t>ELCOBTC</t>
  </si>
  <si>
    <t>FSNBTC</t>
  </si>
  <si>
    <t>CMCBTC</t>
  </si>
  <si>
    <t>MARVBTC</t>
  </si>
  <si>
    <t>XVSBTC</t>
  </si>
  <si>
    <t>VEC2BTC</t>
  </si>
  <si>
    <t>DBTCBTC</t>
  </si>
  <si>
    <t>RCXBTC</t>
  </si>
  <si>
    <t>GCCBTC</t>
  </si>
  <si>
    <t>GSMBTC</t>
  </si>
  <si>
    <t>ILMBTC</t>
  </si>
  <si>
    <t>CKSBTC</t>
  </si>
  <si>
    <t>HODLBTC</t>
  </si>
  <si>
    <t>DOGETHBTC</t>
  </si>
  <si>
    <t>CNNCBTC</t>
  </si>
  <si>
    <t>7e-06</t>
  </si>
  <si>
    <t>SCANBTC</t>
  </si>
  <si>
    <t>SPXBTC</t>
  </si>
  <si>
    <t>KATBTC</t>
  </si>
  <si>
    <t>RUSTBTC</t>
  </si>
  <si>
    <t>LEPENBTC</t>
  </si>
  <si>
    <t>MILOBTC</t>
  </si>
  <si>
    <t>LANABTC</t>
  </si>
  <si>
    <t>SCSBTC</t>
  </si>
  <si>
    <t>URCBTC</t>
  </si>
  <si>
    <t>DCRBTC</t>
  </si>
  <si>
    <t>POSTBTC</t>
  </si>
  <si>
    <t>ARTABTC</t>
  </si>
  <si>
    <t>ATMBTC</t>
  </si>
  <si>
    <t>JANEBTC</t>
  </si>
  <si>
    <t>PSIBTC</t>
  </si>
  <si>
    <t>COXBTC</t>
  </si>
  <si>
    <t>CWXTBTC</t>
  </si>
  <si>
    <t>ZYDBTC</t>
  </si>
  <si>
    <t>BITSBTC</t>
  </si>
  <si>
    <t>N7BTC</t>
  </si>
  <si>
    <t>ADCNBTC</t>
  </si>
  <si>
    <t>VOLBTC</t>
  </si>
  <si>
    <t>ABYBTC</t>
  </si>
  <si>
    <t>IMSBTC</t>
  </si>
  <si>
    <t>TRAPBTC</t>
  </si>
  <si>
    <t>ECLIBTC</t>
  </si>
  <si>
    <t>PXLBTC</t>
  </si>
  <si>
    <t>BUCKSBTC</t>
  </si>
  <si>
    <t>MOTOBTC</t>
  </si>
  <si>
    <t>CHESSBTC</t>
  </si>
  <si>
    <t>SPEXBTC</t>
  </si>
  <si>
    <t>NLC2BTC</t>
  </si>
  <si>
    <t>ETRUSTBTC</t>
  </si>
  <si>
    <t>CLUDBTC</t>
  </si>
  <si>
    <t>PTYBTC</t>
  </si>
  <si>
    <t>CTKBTC</t>
  </si>
  <si>
    <t>VIPBTC</t>
  </si>
  <si>
    <t>TSEBTC</t>
  </si>
  <si>
    <t>TENNETBTC</t>
  </si>
  <si>
    <t>GUMBTC</t>
  </si>
  <si>
    <t>ALIENBTC</t>
  </si>
  <si>
    <t>UNITBTC</t>
  </si>
  <si>
    <t>ZMCBTC</t>
  </si>
  <si>
    <t>BTZBTC</t>
  </si>
  <si>
    <t>MAZEBTC</t>
  </si>
  <si>
    <t>VTCBTC</t>
  </si>
  <si>
    <t>ARPABTC</t>
  </si>
  <si>
    <t>GIZBTC</t>
  </si>
  <si>
    <t>MAYBTC</t>
  </si>
  <si>
    <t>DASHSBTC</t>
  </si>
  <si>
    <t>ESCBTC</t>
  </si>
  <si>
    <t>STVBTC</t>
  </si>
  <si>
    <t>888BTC</t>
  </si>
  <si>
    <t>TDFBBTC</t>
  </si>
  <si>
    <t>CURVESBTC</t>
  </si>
  <si>
    <t>XLTCGBTC</t>
  </si>
  <si>
    <t>DUSTBTC</t>
  </si>
  <si>
    <t>EPCBTC</t>
  </si>
  <si>
    <t>SPRBTC</t>
  </si>
  <si>
    <t>GREENFBTC</t>
  </si>
  <si>
    <t>CBDBTC</t>
  </si>
  <si>
    <t>BERNBTC</t>
  </si>
  <si>
    <t>SFEBTC</t>
  </si>
  <si>
    <t>EMPCBTC</t>
  </si>
  <si>
    <t>EMBBTC</t>
  </si>
  <si>
    <t>BPOKBTC</t>
  </si>
  <si>
    <t>DROPBTC</t>
  </si>
  <si>
    <t>KASHHBTC</t>
  </si>
  <si>
    <t>EMPBTC</t>
  </si>
  <si>
    <t>SOULBTC</t>
  </si>
  <si>
    <t>OKBTC</t>
  </si>
  <si>
    <t>DGOREBTC</t>
  </si>
  <si>
    <t>GBBTC</t>
  </si>
  <si>
    <t>STOBTC</t>
  </si>
  <si>
    <t>EKOBTC</t>
  </si>
  <si>
    <t>WBBBTC</t>
  </si>
  <si>
    <t>XHIBTC</t>
  </si>
  <si>
    <t>MONETABTC</t>
  </si>
  <si>
    <t>NODESBTC</t>
  </si>
  <si>
    <t>XBYBTC</t>
  </si>
  <si>
    <t>BPCBTC</t>
  </si>
  <si>
    <t>DRABTC</t>
  </si>
  <si>
    <t>LEABTC</t>
  </si>
  <si>
    <t>ASTBTC</t>
  </si>
  <si>
    <t>XPTXBTC</t>
  </si>
  <si>
    <t>IMPSBTC</t>
  </si>
  <si>
    <t>TODAYBTC</t>
  </si>
  <si>
    <t>OMCBTC</t>
  </si>
  <si>
    <t>BATLBTC</t>
  </si>
  <si>
    <t>DRMBTC</t>
  </si>
  <si>
    <t>OPTIONBTC</t>
  </si>
  <si>
    <t>SMBRBTC</t>
  </si>
  <si>
    <t>CREDITBTC</t>
  </si>
  <si>
    <t>APTBTC</t>
  </si>
  <si>
    <t>FXBTC</t>
  </si>
  <si>
    <t>CREVABTC</t>
  </si>
  <si>
    <t>ELEBTC</t>
  </si>
  <si>
    <t>ACPRBTC</t>
  </si>
  <si>
    <t>BITONBTC</t>
  </si>
  <si>
    <t>BOMBBTC</t>
  </si>
  <si>
    <t>TAMBTC</t>
  </si>
  <si>
    <t>CONBTC</t>
  </si>
  <si>
    <t>CSMICBTC</t>
  </si>
  <si>
    <t>UTLEBTC</t>
  </si>
  <si>
    <t>BDCBTC</t>
  </si>
  <si>
    <t>LTHBTC</t>
  </si>
  <si>
    <t>NZCBTC</t>
  </si>
  <si>
    <t>BLAZRBTC</t>
  </si>
  <si>
    <t>XSYBTC</t>
  </si>
  <si>
    <t>F16BTC</t>
  </si>
  <si>
    <t>SWEETBTC</t>
  </si>
  <si>
    <t>GLUCKBTC</t>
  </si>
  <si>
    <t>UNFBTC</t>
  </si>
  <si>
    <t>RISEBTC</t>
  </si>
  <si>
    <t>MENTALBTC</t>
  </si>
  <si>
    <t>DOXBTC</t>
  </si>
  <si>
    <t>JACKBTC</t>
  </si>
  <si>
    <t>BABTC</t>
  </si>
  <si>
    <t>CCBTC</t>
  </si>
  <si>
    <t>MOJOBTC</t>
  </si>
  <si>
    <t>9e-07</t>
  </si>
  <si>
    <t>GPBTC</t>
  </si>
  <si>
    <t>COXSTBTC</t>
  </si>
  <si>
    <t>BSTYBTC</t>
  </si>
  <si>
    <t>IBITSBTC</t>
  </si>
  <si>
    <t>NBITBTC</t>
  </si>
  <si>
    <t>TLEBTC</t>
  </si>
  <si>
    <t>POLYBTC</t>
  </si>
  <si>
    <t>XSSXBTC</t>
  </si>
  <si>
    <t>UROBTC</t>
  </si>
  <si>
    <t>FLYBTC</t>
  </si>
  <si>
    <t>RDDBTC</t>
  </si>
  <si>
    <t>CRAVEBTC</t>
  </si>
  <si>
    <t>SKBBTC</t>
  </si>
  <si>
    <t>XDE2BTC</t>
  </si>
  <si>
    <t>NODXBTC</t>
  </si>
  <si>
    <t>SPBTC</t>
  </si>
  <si>
    <t>SHREKBTC</t>
  </si>
  <si>
    <t>GSXBTC</t>
  </si>
  <si>
    <t>OPALBTC</t>
  </si>
  <si>
    <t>CORGBTC</t>
  </si>
  <si>
    <t>NDOGEBTC</t>
  </si>
  <si>
    <t>EXTBTC</t>
  </si>
  <si>
    <t>NKABTC</t>
  </si>
  <si>
    <t>KRAKBTC</t>
  </si>
  <si>
    <t>CHEMXBTC</t>
  </si>
  <si>
    <t>CSTBTC</t>
  </si>
  <si>
    <t>BRAINBTC</t>
  </si>
  <si>
    <t>BITZBTC</t>
  </si>
  <si>
    <t>VERSBTC</t>
  </si>
  <si>
    <t>ALBTC</t>
  </si>
  <si>
    <t>DEMBTC</t>
  </si>
  <si>
    <t>SNRGBTC</t>
  </si>
  <si>
    <t>BITBBTC</t>
  </si>
  <si>
    <t>DUOBTC</t>
  </si>
  <si>
    <t>256BTC</t>
  </si>
  <si>
    <t>DCCBTC</t>
  </si>
  <si>
    <t>IBANKBTC</t>
  </si>
  <si>
    <t>ROYALBTC</t>
  </si>
  <si>
    <t>PROCBTC</t>
  </si>
  <si>
    <t>AIBBTC</t>
  </si>
  <si>
    <t>007BTC</t>
  </si>
  <si>
    <t>32BITBTC</t>
  </si>
  <si>
    <t>FADEBTC</t>
  </si>
  <si>
    <t>HZTBTC</t>
  </si>
  <si>
    <t>EURCBTC</t>
  </si>
  <si>
    <t>VOLTBTC</t>
  </si>
  <si>
    <t>DECRBTC</t>
  </si>
  <si>
    <t>XTRBTC</t>
  </si>
  <si>
    <t>TELLBTC</t>
  </si>
  <si>
    <t>IWBTC</t>
  </si>
  <si>
    <t>LENINBTC</t>
  </si>
  <si>
    <t>YBCBTC</t>
  </si>
  <si>
    <t>KRBTC</t>
  </si>
  <si>
    <t>FLVRBTC</t>
  </si>
  <si>
    <t>POKEBTC</t>
  </si>
  <si>
    <t>CONXBTC</t>
  </si>
  <si>
    <t>LKCBTC</t>
  </si>
  <si>
    <t>ECOBTC</t>
  </si>
  <si>
    <t>DLCBTC</t>
  </si>
  <si>
    <t>AIRBTC</t>
  </si>
  <si>
    <t>NAVBTC</t>
  </si>
  <si>
    <t>GBTBTC</t>
  </si>
  <si>
    <t>GRAMBTC</t>
  </si>
  <si>
    <t>TRICKBTC</t>
  </si>
  <si>
    <t>OBSBTC</t>
  </si>
  <si>
    <t>TAGRBTC</t>
  </si>
  <si>
    <t>EDR2BTC</t>
  </si>
  <si>
    <t>TECHBTC</t>
  </si>
  <si>
    <t>PAYPBTC</t>
  </si>
  <si>
    <t>KTKBTC</t>
  </si>
  <si>
    <t>JOKBTC</t>
  </si>
  <si>
    <t>SYSBTC</t>
  </si>
  <si>
    <t>HAMSBTC</t>
  </si>
  <si>
    <t>TAJBTC</t>
  </si>
  <si>
    <t>TP1BTC</t>
  </si>
  <si>
    <t>QBCBTC</t>
  </si>
  <si>
    <t>XBTC21BTC</t>
  </si>
  <si>
    <t>CRYBTC</t>
  </si>
  <si>
    <t>AUMBTC</t>
  </si>
  <si>
    <t>VLTBTC</t>
  </si>
  <si>
    <t>VTYBTC</t>
  </si>
  <si>
    <t>COVBTC</t>
  </si>
  <si>
    <t>365BTC</t>
  </si>
  <si>
    <t>EBONUSBTC</t>
  </si>
  <si>
    <t>KIDSBTC</t>
  </si>
  <si>
    <t>BRONZBTC</t>
  </si>
  <si>
    <t>VTXBTC</t>
  </si>
  <si>
    <t>GENEBTC</t>
  </si>
  <si>
    <t>EGOBTC</t>
  </si>
  <si>
    <t>OZCBTC</t>
  </si>
  <si>
    <t>LIVBTC</t>
  </si>
  <si>
    <t>XMINEBTC</t>
  </si>
  <si>
    <t>TAKEBTC</t>
  </si>
  <si>
    <t>XCREBTC</t>
  </si>
  <si>
    <t>TURBTC</t>
  </si>
  <si>
    <t>JWBTC</t>
  </si>
  <si>
    <t>ARHBTC</t>
  </si>
  <si>
    <t>ECNBTC</t>
  </si>
  <si>
    <t>XPDBTC</t>
  </si>
  <si>
    <t>INCPBTC</t>
  </si>
  <si>
    <t>BUZZBTC</t>
  </si>
  <si>
    <t>TABBTC</t>
  </si>
  <si>
    <t>CCBBTC</t>
  </si>
  <si>
    <t>HCCBTC</t>
  </si>
  <si>
    <t>FCASHBTC</t>
  </si>
  <si>
    <t>EDRCBTC</t>
  </si>
  <si>
    <t>UBIQBTC</t>
  </si>
  <si>
    <t>GOATBTC</t>
  </si>
  <si>
    <t>STHRBTC</t>
  </si>
  <si>
    <t>USCBTC</t>
  </si>
  <si>
    <t>SPECBTC</t>
  </si>
  <si>
    <t>ACLRBTC</t>
  </si>
  <si>
    <t>MONEYBTC</t>
  </si>
  <si>
    <t>FRNBTC</t>
  </si>
  <si>
    <t>DEABTC</t>
  </si>
  <si>
    <t>COCBTC</t>
  </si>
  <si>
    <t>PREBTC</t>
  </si>
  <si>
    <t>3e-06</t>
  </si>
  <si>
    <t>NPCBTC</t>
  </si>
  <si>
    <t>SEDBTC</t>
  </si>
  <si>
    <t>SHORTYBTC</t>
  </si>
  <si>
    <t>FINDBTC</t>
  </si>
  <si>
    <t>RBIESBTC</t>
  </si>
  <si>
    <t>ALLBTC</t>
  </si>
  <si>
    <t>EDR2DASH</t>
  </si>
  <si>
    <t>EPYBTC</t>
  </si>
  <si>
    <t>AMBTC</t>
  </si>
  <si>
    <t>6e-05</t>
  </si>
  <si>
    <t>HTCBTC</t>
  </si>
  <si>
    <t>TITBTC</t>
  </si>
  <si>
    <t>NUBISBTC</t>
  </si>
  <si>
    <t>STARTBTC</t>
  </si>
  <si>
    <t>HSPBTC</t>
  </si>
  <si>
    <t>ENTERBTC</t>
  </si>
  <si>
    <t>EQUALBTC</t>
  </si>
  <si>
    <t>MBITBTC</t>
  </si>
  <si>
    <t>BASHBTC</t>
  </si>
  <si>
    <t>BOOMBTC</t>
  </si>
  <si>
    <t>XNXBTC</t>
  </si>
  <si>
    <t>SMSRBTC</t>
  </si>
  <si>
    <t>STRBBTC</t>
  </si>
  <si>
    <t>MARXBTC</t>
  </si>
  <si>
    <t>DRKTBTC</t>
  </si>
  <si>
    <t>CAPTBTC</t>
  </si>
  <si>
    <t>VECBTC</t>
  </si>
  <si>
    <t>GOTBTC</t>
  </si>
  <si>
    <t>INCBTC</t>
  </si>
  <si>
    <t>YMCBTC</t>
  </si>
  <si>
    <t>BIGUPBTC</t>
  </si>
  <si>
    <t>TOKENBTC</t>
  </si>
  <si>
    <t>FUZZBTC</t>
  </si>
  <si>
    <t>ACESBTC</t>
  </si>
  <si>
    <t>TRANSFBTC</t>
  </si>
  <si>
    <t>MOINBTC</t>
  </si>
  <si>
    <t>XDEBTC</t>
  </si>
  <si>
    <t>GMLBTC</t>
  </si>
  <si>
    <t>PACBTC</t>
  </si>
  <si>
    <t>FJCBTC</t>
  </si>
  <si>
    <t>ZETBTC</t>
  </si>
  <si>
    <t>BTCRYBTC</t>
  </si>
  <si>
    <t>BHCBTC</t>
  </si>
  <si>
    <t>ONXBTC</t>
  </si>
  <si>
    <t>AXIOMBTC</t>
  </si>
  <si>
    <t>MUUBTC</t>
  </si>
  <si>
    <t>CLOAKBTC</t>
  </si>
  <si>
    <t>LTCRBTC</t>
  </si>
  <si>
    <t>BTCOBTC</t>
  </si>
  <si>
    <t>BBCCBTC</t>
  </si>
  <si>
    <t>SEEDSBTC</t>
  </si>
  <si>
    <t>ZENIBTC</t>
  </si>
  <si>
    <t>BLUSBTC</t>
  </si>
  <si>
    <t>BAMBTC</t>
  </si>
  <si>
    <t>RATIOBTC</t>
  </si>
  <si>
    <t>CLUBBTC</t>
  </si>
  <si>
    <t>PIOBTC</t>
  </si>
  <si>
    <t>TWOBTC</t>
  </si>
  <si>
    <t>NUMBTC</t>
  </si>
  <si>
    <t>BSTBTC</t>
  </si>
  <si>
    <t>TMRWBTC</t>
  </si>
  <si>
    <t>GOONBTC</t>
  </si>
  <si>
    <t>DIRTBTC</t>
  </si>
  <si>
    <t>XBSBTC</t>
  </si>
  <si>
    <t>TALKBTC</t>
  </si>
  <si>
    <t>BANBTC</t>
  </si>
  <si>
    <t>AREBTC</t>
  </si>
  <si>
    <t>TWISTBTC</t>
  </si>
  <si>
    <t>MDTBTC</t>
  </si>
  <si>
    <t>MMXVIBTC</t>
  </si>
  <si>
    <t>ALCBTC</t>
  </si>
  <si>
    <t>CZECOBTC</t>
  </si>
  <si>
    <t>X2BTC</t>
  </si>
  <si>
    <t>STABTC</t>
  </si>
  <si>
    <t>RBTBTC</t>
  </si>
  <si>
    <t>LTSBTC</t>
  </si>
  <si>
    <t>GAINBTC</t>
  </si>
  <si>
    <t>STSBTC</t>
  </si>
  <si>
    <t>MCARBTC</t>
  </si>
  <si>
    <t>HTML5BTC</t>
  </si>
  <si>
    <t>ERRBTC</t>
  </si>
  <si>
    <t>LHCBTC</t>
  </si>
  <si>
    <t>RCNBTC</t>
  </si>
  <si>
    <t>HXXBTC</t>
  </si>
  <si>
    <t>BOLIBTC</t>
  </si>
  <si>
    <t>GPUBTC</t>
  </si>
  <si>
    <t>BEEZBTC</t>
  </si>
  <si>
    <t>TIDEBTC</t>
  </si>
  <si>
    <t>MATBTC</t>
  </si>
  <si>
    <t>LUCKYBTC</t>
  </si>
  <si>
    <t>XPOBTC</t>
  </si>
  <si>
    <t>CAIDBTC</t>
  </si>
  <si>
    <t>PTABTC</t>
  </si>
  <si>
    <t>MADBTC</t>
  </si>
  <si>
    <t>OMABTC</t>
  </si>
  <si>
    <t>SPACEBTC</t>
  </si>
  <si>
    <t>PKBBTC</t>
  </si>
  <si>
    <t>GREXITBTC</t>
  </si>
  <si>
    <t>ESPBTC</t>
  </si>
  <si>
    <t>RONINBTC</t>
  </si>
  <si>
    <t>SUBBTC</t>
  </si>
  <si>
    <t>SBITBTC</t>
  </si>
  <si>
    <t>ANTIBTC</t>
  </si>
  <si>
    <t>NUKEBTC</t>
  </si>
  <si>
    <t>LCBTC</t>
  </si>
  <si>
    <t>BTPBTC</t>
  </si>
  <si>
    <t>HAZEBTC</t>
  </si>
  <si>
    <t>XFCXBTC</t>
  </si>
  <si>
    <t>DBICBTC</t>
  </si>
  <si>
    <t>XNGBTC</t>
  </si>
  <si>
    <t>SJWBTC</t>
  </si>
  <si>
    <t>HIREBTC</t>
  </si>
  <si>
    <t>NRCBTC</t>
  </si>
  <si>
    <t>ARCOBTC</t>
  </si>
  <si>
    <t>TAPBTC</t>
  </si>
  <si>
    <t>ZECDBTC</t>
  </si>
  <si>
    <t>ATOMBTC</t>
  </si>
  <si>
    <t>EXPBTC</t>
  </si>
  <si>
    <t>ICONBTC</t>
  </si>
  <si>
    <t>NEFBTC</t>
  </si>
  <si>
    <t>2GIVEBTC</t>
  </si>
  <si>
    <t>FRSTBTC</t>
  </si>
  <si>
    <t>SWINGBTC</t>
  </si>
  <si>
    <t>EUCBTC</t>
  </si>
  <si>
    <t>2015BTC</t>
  </si>
  <si>
    <t>KUBOBTC</t>
  </si>
  <si>
    <t>ASAFEBTC</t>
  </si>
  <si>
    <t>ZNEBTC</t>
  </si>
  <si>
    <t>YOVIBTC</t>
  </si>
  <si>
    <t>SAKBTC</t>
  </si>
  <si>
    <t>SYNXBTC</t>
  </si>
  <si>
    <t>PARABTC</t>
  </si>
  <si>
    <t>MUEBTC</t>
  </si>
  <si>
    <t>SMCBTC</t>
  </si>
  <si>
    <t>STPBTC</t>
  </si>
  <si>
    <t>DIMEBTC</t>
  </si>
  <si>
    <t>DGBBTC</t>
  </si>
  <si>
    <t>SPTBTC</t>
  </si>
  <si>
    <t>PULSEBTC</t>
  </si>
  <si>
    <t>ODNTBTC</t>
  </si>
  <si>
    <t>OLYMPBTC</t>
  </si>
  <si>
    <t>1337BTC</t>
  </si>
  <si>
    <t>BIOBBTC</t>
  </si>
  <si>
    <t>HALLOBTC</t>
  </si>
  <si>
    <t>PAKBTC</t>
  </si>
  <si>
    <t>IFLTBTC</t>
  </si>
  <si>
    <t>BSTKBTC</t>
  </si>
  <si>
    <t>PEOBTC</t>
  </si>
  <si>
    <t>STRPBTC</t>
  </si>
  <si>
    <t>PXBTC</t>
  </si>
  <si>
    <t>FONZBTC</t>
  </si>
  <si>
    <t>MRPBTC</t>
  </si>
  <si>
    <t>WASHBTC</t>
  </si>
  <si>
    <t>GMCXBTC</t>
  </si>
  <si>
    <t>1e-05</t>
  </si>
  <si>
    <t>EDR2DOGE</t>
  </si>
  <si>
    <t>SEVBTC</t>
  </si>
  <si>
    <t>FURYBTC</t>
  </si>
  <si>
    <t>VTLBTC</t>
  </si>
  <si>
    <t>ENTBTC</t>
  </si>
  <si>
    <t>DASHRUR</t>
  </si>
  <si>
    <t>STEPSBTC</t>
  </si>
  <si>
    <t>CJBTC</t>
  </si>
  <si>
    <t>NEBUBTC</t>
  </si>
  <si>
    <t>SDCBTC</t>
  </si>
  <si>
    <t>BOSSBTC</t>
  </si>
  <si>
    <t>UXCBTC</t>
  </si>
  <si>
    <t>CLINTBTC</t>
  </si>
  <si>
    <t>MLITEBTC</t>
  </si>
  <si>
    <t>BITOKBTC</t>
  </si>
  <si>
    <t>SANDGBTC</t>
  </si>
  <si>
    <t>GTFOBTC</t>
  </si>
  <si>
    <t>KCBTC</t>
  </si>
  <si>
    <t>REEBTC</t>
  </si>
  <si>
    <t>CRWBTC</t>
  </si>
  <si>
    <t>PIPRBTC</t>
  </si>
  <si>
    <t>TPGBTC</t>
  </si>
  <si>
    <t>JWLBTC</t>
  </si>
  <si>
    <t>KOBOBTC</t>
  </si>
  <si>
    <t>MAVROBTC</t>
  </si>
  <si>
    <t>CRXBTC</t>
  </si>
  <si>
    <t>XMTBTC</t>
  </si>
  <si>
    <t>EVABTC</t>
  </si>
  <si>
    <t>XUPBTC</t>
  </si>
  <si>
    <t>BLRYBTC</t>
  </si>
  <si>
    <t>TBCXBTC</t>
  </si>
  <si>
    <t>DUXBTC</t>
  </si>
  <si>
    <t>ZEITBTC</t>
  </si>
  <si>
    <t>VOYABTC</t>
  </si>
  <si>
    <t>LIRBTC</t>
  </si>
  <si>
    <t>GROWBTC</t>
  </si>
  <si>
    <t>FGZBTC</t>
  </si>
  <si>
    <t>EDR2ETH</t>
  </si>
  <si>
    <t>SCRPTBTC</t>
  </si>
  <si>
    <t>GOTXBTC</t>
  </si>
  <si>
    <t>CUBEBTC</t>
  </si>
  <si>
    <t>BRDDBTC</t>
  </si>
  <si>
    <t>SOLOBTC</t>
  </si>
  <si>
    <t>CIRCBTC</t>
  </si>
  <si>
    <t>SENBTC</t>
  </si>
  <si>
    <t>BSBTC</t>
  </si>
  <si>
    <t>ENEBTC</t>
  </si>
  <si>
    <t>ARBBTC</t>
  </si>
  <si>
    <t>BSTARBTC</t>
  </si>
  <si>
    <t>BEEPBTC</t>
  </si>
  <si>
    <t>BESTBTC</t>
  </si>
  <si>
    <t>SCITWBTC</t>
  </si>
  <si>
    <t>CANNBTC</t>
  </si>
  <si>
    <t>KUSHBTC</t>
  </si>
  <si>
    <t>MISBTC</t>
  </si>
  <si>
    <t>UBTC</t>
  </si>
  <si>
    <t>VNTXBTC</t>
  </si>
  <si>
    <t>BTDBTC</t>
  </si>
  <si>
    <t>FRWCBTC</t>
  </si>
  <si>
    <t>SQLBTC</t>
  </si>
  <si>
    <t>TOTBTC</t>
  </si>
  <si>
    <t>CTICBTC</t>
  </si>
  <si>
    <t>CHIPBTC</t>
  </si>
  <si>
    <t>LSDBTC</t>
  </si>
  <si>
    <t>ETHSBTC</t>
  </si>
  <si>
    <t>XCOBTC</t>
  </si>
  <si>
    <t>YESBTC</t>
  </si>
  <si>
    <t>ECCHIBTC</t>
  </si>
  <si>
    <t>MTLMC3BTC</t>
  </si>
  <si>
    <t>WITCHBTC</t>
  </si>
  <si>
    <t>XINBTC</t>
  </si>
  <si>
    <t>ASNBTC</t>
  </si>
  <si>
    <t>NOOBTC</t>
  </si>
  <si>
    <t>BTCRUB</t>
  </si>
  <si>
    <t>DASHRUB</t>
  </si>
  <si>
    <t>USDRUB</t>
  </si>
  <si>
    <t>BTCUAH</t>
  </si>
  <si>
    <t>ETHRUB</t>
  </si>
  <si>
    <t>LTCRUB</t>
  </si>
  <si>
    <t>1801</t>
  </si>
  <si>
    <t>livecoin</t>
  </si>
  <si>
    <t>EURUSD</t>
  </si>
  <si>
    <t>RURUSD</t>
  </si>
  <si>
    <t>EMCUSD</t>
  </si>
  <si>
    <t>EMCRUR</t>
  </si>
  <si>
    <t>EMCDASH</t>
  </si>
  <si>
    <t>EMCETH</t>
  </si>
  <si>
    <t>EMCXMR</t>
  </si>
  <si>
    <t>MONABTC</t>
  </si>
  <si>
    <t>CUREBTC</t>
  </si>
  <si>
    <t>ADZUSD</t>
  </si>
  <si>
    <t>FSTUSD</t>
  </si>
  <si>
    <t>FSTBTC</t>
  </si>
  <si>
    <t>BSDBTC</t>
  </si>
  <si>
    <t>VOXBTC</t>
  </si>
  <si>
    <t>CRBITBTC</t>
  </si>
  <si>
    <t>CRBITETH</t>
  </si>
  <si>
    <t>CRBITLEO</t>
  </si>
  <si>
    <t>SHIFTBTC</t>
  </si>
  <si>
    <t>YOCUSD</t>
  </si>
  <si>
    <t>YOCBTC</t>
  </si>
  <si>
    <t>YOCRUR</t>
  </si>
  <si>
    <t>LSKUSD</t>
  </si>
  <si>
    <t>ELUSD</t>
  </si>
  <si>
    <t>ELBTC</t>
  </si>
  <si>
    <t>ELRUR</t>
  </si>
  <si>
    <t>HNCBTC</t>
  </si>
  <si>
    <t>BLUUSD</t>
  </si>
  <si>
    <t>LEOUSD</t>
  </si>
  <si>
    <t>LEOBTC</t>
  </si>
  <si>
    <t>LEORUR</t>
  </si>
  <si>
    <t>LEOETH</t>
  </si>
  <si>
    <t>SLRBTC</t>
  </si>
  <si>
    <t>BLKBTC</t>
  </si>
  <si>
    <t>VRCBTC</t>
  </si>
  <si>
    <t>THSUSD</t>
  </si>
  <si>
    <t>THSBTC</t>
  </si>
  <si>
    <t>THSETH</t>
  </si>
  <si>
    <t>GYCBTC</t>
  </si>
  <si>
    <t>CLOAKUSD</t>
  </si>
  <si>
    <t>CLOAKEUR</t>
  </si>
  <si>
    <t>VRMBTC</t>
  </si>
  <si>
    <t>VRMVRC</t>
  </si>
  <si>
    <t>ARCUSD</t>
  </si>
  <si>
    <t>ARCBTC</t>
  </si>
  <si>
    <t>ARCRUR</t>
  </si>
  <si>
    <t>ARCETH</t>
  </si>
  <si>
    <t>ATXBTC</t>
  </si>
  <si>
    <t>POSTETH</t>
  </si>
  <si>
    <t>BURSTBTC</t>
  </si>
  <si>
    <t>EDRUSD</t>
  </si>
  <si>
    <t>EDRBTC</t>
  </si>
  <si>
    <t>EDRRUR</t>
  </si>
  <si>
    <t>KRBUSD</t>
  </si>
  <si>
    <t>KRBBTC</t>
  </si>
  <si>
    <t>KRBRUR</t>
  </si>
  <si>
    <t>ODBTC</t>
  </si>
  <si>
    <t>DMCUSD</t>
  </si>
  <si>
    <t>DMCBTC</t>
  </si>
  <si>
    <t>VRSUSD</t>
  </si>
  <si>
    <t>VRSBTC</t>
  </si>
  <si>
    <t>XRCBTC</t>
  </si>
  <si>
    <t>BITBTC</t>
  </si>
  <si>
    <t>DOLLARBTC</t>
  </si>
  <si>
    <t>GOLOSBTC</t>
  </si>
  <si>
    <t>VLTCBTC</t>
  </si>
  <si>
    <t>CCRBBTC</t>
  </si>
  <si>
    <t>CCRBETH</t>
  </si>
  <si>
    <t>UNCBTC</t>
  </si>
  <si>
    <t>VSLBTC</t>
  </si>
  <si>
    <t>XTOBTC</t>
  </si>
  <si>
    <t>DIMEUSD</t>
  </si>
  <si>
    <t>DIMEEUR</t>
  </si>
  <si>
    <t>DIMERUR</t>
  </si>
  <si>
    <t>7e-05</t>
  </si>
  <si>
    <t>PRESBTC</t>
  </si>
  <si>
    <t>ZBCUSD</t>
  </si>
  <si>
    <t>ZBCEUR</t>
  </si>
  <si>
    <t>ZBCBTC</t>
  </si>
  <si>
    <t>ZBCRUR</t>
  </si>
  <si>
    <t>ZBCETH</t>
  </si>
  <si>
    <t>ZBCXMR</t>
  </si>
  <si>
    <t>DIBCUSD</t>
  </si>
  <si>
    <t>DIBCBTC</t>
  </si>
  <si>
    <t>DIBCETH</t>
  </si>
  <si>
    <t>ABNBTC</t>
  </si>
  <si>
    <t>XSPECBTC</t>
  </si>
  <si>
    <t>ACNBTC</t>
  </si>
  <si>
    <t>LDCBTC</t>
  </si>
  <si>
    <t>MSCNUSD</t>
  </si>
  <si>
    <t>MSCNEUR</t>
  </si>
  <si>
    <t>MSCNBTC</t>
  </si>
  <si>
    <t>MSCNRUR</t>
  </si>
  <si>
    <t>MSCNETH</t>
  </si>
  <si>
    <t>POSWUSD</t>
  </si>
  <si>
    <t>POSWEUR</t>
  </si>
  <si>
    <t>POSWLTC</t>
  </si>
  <si>
    <t>POSWRUR</t>
  </si>
  <si>
    <t>POSWDASH</t>
  </si>
  <si>
    <t>POSWETH</t>
  </si>
  <si>
    <t>POSWCRBIT</t>
  </si>
  <si>
    <t>POSWXMR</t>
  </si>
  <si>
    <t>POSWICN</t>
  </si>
  <si>
    <t>OBITSUSD</t>
  </si>
  <si>
    <t>OBITSEUR</t>
  </si>
  <si>
    <t>OBITSBTC</t>
  </si>
  <si>
    <t>OBITSETH</t>
  </si>
  <si>
    <t>OBITSBTS</t>
  </si>
  <si>
    <t>INCNTBTC</t>
  </si>
  <si>
    <t>DANCUSD</t>
  </si>
  <si>
    <t>DANCBTC</t>
  </si>
  <si>
    <t>DANCZBC</t>
  </si>
  <si>
    <t>DBIXBTC</t>
  </si>
  <si>
    <t>TAASUSD</t>
  </si>
  <si>
    <t>SOARBTC</t>
  </si>
  <si>
    <t>FUNCUSD</t>
  </si>
  <si>
    <t>FUNCBTC</t>
  </si>
  <si>
    <t>FUNCETH</t>
  </si>
  <si>
    <t>PIVXUSD</t>
  </si>
  <si>
    <t>PIVXEUR</t>
  </si>
  <si>
    <t>PIVXRUR</t>
  </si>
  <si>
    <t>PIVXDASH</t>
  </si>
  <si>
    <t>PIVXETH</t>
  </si>
  <si>
    <t>PIVXXMR</t>
  </si>
  <si>
    <t>ITIEUR</t>
  </si>
  <si>
    <t>ITIRUR</t>
  </si>
  <si>
    <t>ITIETH</t>
  </si>
  <si>
    <t>PUTUSD</t>
  </si>
  <si>
    <t>PUTBTC</t>
  </si>
  <si>
    <t>PUTETH</t>
  </si>
  <si>
    <t>GUPETH</t>
  </si>
  <si>
    <t>MNEBTC</t>
  </si>
  <si>
    <t>MNEETH</t>
  </si>
  <si>
    <t>WINGSETH</t>
  </si>
  <si>
    <t>UNRCUSD</t>
  </si>
  <si>
    <t>UNRCBTC</t>
  </si>
  <si>
    <t>RLTUSD</t>
  </si>
  <si>
    <t>RLTBTC</t>
  </si>
  <si>
    <t>RLTRUR</t>
  </si>
  <si>
    <t>RLTETH</t>
  </si>
  <si>
    <t>UNYUSD</t>
  </si>
  <si>
    <t>UNYBTC</t>
  </si>
  <si>
    <t>UNYLTC</t>
  </si>
  <si>
    <t>UNYETH</t>
  </si>
  <si>
    <t>STRATUSD</t>
  </si>
  <si>
    <t>STRATBTC</t>
  </si>
  <si>
    <t>STRATETH</t>
  </si>
  <si>
    <t>OTXUSD</t>
  </si>
  <si>
    <t>OTXBTC</t>
  </si>
  <si>
    <t>3e-05</t>
  </si>
  <si>
    <t>OTXETH</t>
  </si>
  <si>
    <t>FORTYTWOUSD</t>
  </si>
  <si>
    <t>FORTYTWOBTC</t>
  </si>
  <si>
    <t>FORTYTWOETH</t>
  </si>
  <si>
    <t>INSNUSD</t>
  </si>
  <si>
    <t>INSNBTC</t>
  </si>
  <si>
    <t>INSNETH</t>
  </si>
  <si>
    <t>QAUUSD</t>
  </si>
  <si>
    <t>QAUBTC</t>
  </si>
  <si>
    <t>QAUETH</t>
  </si>
  <si>
    <t>TRUMPETH</t>
  </si>
  <si>
    <t>FNCUSD</t>
  </si>
  <si>
    <t>FNCBTC</t>
  </si>
  <si>
    <t>FNCETH</t>
  </si>
  <si>
    <t>ccex</t>
  </si>
  <si>
    <t>USDBTC</t>
  </si>
  <si>
    <t>611BTC</t>
  </si>
  <si>
    <t>9COINBTC</t>
  </si>
  <si>
    <t>ABCBTC</t>
  </si>
  <si>
    <t>ALTBTC</t>
  </si>
  <si>
    <t>APCBTC</t>
  </si>
  <si>
    <t>AVCBTC</t>
  </si>
  <si>
    <t>BAYBTC</t>
  </si>
  <si>
    <t>BEEBTC</t>
  </si>
  <si>
    <t>2e-05</t>
  </si>
  <si>
    <t>BIGCBTC</t>
  </si>
  <si>
    <t>BIZBTC</t>
  </si>
  <si>
    <t>BOSTBTC</t>
  </si>
  <si>
    <t>BRITBTC</t>
  </si>
  <si>
    <t>BTCHCBTC</t>
  </si>
  <si>
    <t>BTLCBTC</t>
  </si>
  <si>
    <t>BTXBTC</t>
  </si>
  <si>
    <t>BTCSBTC</t>
  </si>
  <si>
    <t>BTQBTC</t>
  </si>
  <si>
    <t>BURNBTC</t>
  </si>
  <si>
    <t>CALCBTC</t>
  </si>
  <si>
    <t>CESCBTC</t>
  </si>
  <si>
    <t>CRCBTC</t>
  </si>
  <si>
    <t>CREBTC</t>
  </si>
  <si>
    <t>CRPCBTC</t>
  </si>
  <si>
    <t>CTOBTC</t>
  </si>
  <si>
    <t>DDCBTC</t>
  </si>
  <si>
    <t>DESHBTC</t>
  </si>
  <si>
    <t>DEUSBTC</t>
  </si>
  <si>
    <t>DOVBTC</t>
  </si>
  <si>
    <t>DRM8BTC</t>
  </si>
  <si>
    <t>GABCBTC</t>
  </si>
  <si>
    <t>GACCBTC</t>
  </si>
  <si>
    <t>GACBTC</t>
  </si>
  <si>
    <t>EB3BTC</t>
  </si>
  <si>
    <t>ECBTC</t>
  </si>
  <si>
    <t>ECONBTC</t>
  </si>
  <si>
    <t>ERYBTC</t>
  </si>
  <si>
    <t>ETXBTC</t>
  </si>
  <si>
    <t>FCHBTC</t>
  </si>
  <si>
    <t>FCPBTC</t>
  </si>
  <si>
    <t>FIRSTBTC</t>
  </si>
  <si>
    <t>FITBTC</t>
  </si>
  <si>
    <t>FUTCBTC</t>
  </si>
  <si>
    <t>G1TAOBTC</t>
  </si>
  <si>
    <t>GARYBTC</t>
  </si>
  <si>
    <t>GBCBTC</t>
  </si>
  <si>
    <t>GBRCBTC</t>
  </si>
  <si>
    <t>GLDBTC</t>
  </si>
  <si>
    <t>GLTCBTC</t>
  </si>
  <si>
    <t>GMXBTC</t>
  </si>
  <si>
    <t>GRCBTC</t>
  </si>
  <si>
    <t>GUCBTC</t>
  </si>
  <si>
    <t>HEATBTC</t>
  </si>
  <si>
    <t>HILLBTC</t>
  </si>
  <si>
    <t>HTSBTC</t>
  </si>
  <si>
    <t>IBCBTC</t>
  </si>
  <si>
    <t>ILCBTC</t>
  </si>
  <si>
    <t>IOPBTC</t>
  </si>
  <si>
    <t>JIOBTC</t>
  </si>
  <si>
    <t>JNSBTC</t>
  </si>
  <si>
    <t>PCSHBTC</t>
  </si>
  <si>
    <t>KLCBTC</t>
  </si>
  <si>
    <t>KPLBTC</t>
  </si>
  <si>
    <t>KRCBTC</t>
  </si>
  <si>
    <t>LDCNBTC</t>
  </si>
  <si>
    <t>LOGBTC</t>
  </si>
  <si>
    <t>LVPSBTC</t>
  </si>
  <si>
    <t>MALCBTC</t>
  </si>
  <si>
    <t>MBLBTC</t>
  </si>
  <si>
    <t>MCAPBTC</t>
  </si>
  <si>
    <t>MCOBTC</t>
  </si>
  <si>
    <t>MIBTC</t>
  </si>
  <si>
    <t>MIUBTC</t>
  </si>
  <si>
    <t>MOONBTC</t>
  </si>
  <si>
    <t>NEWBBTC</t>
  </si>
  <si>
    <t>NTCCBTC</t>
  </si>
  <si>
    <t>OMNIBTC</t>
  </si>
  <si>
    <t>OPNCBTC</t>
  </si>
  <si>
    <t>OROBTC</t>
  </si>
  <si>
    <t>PRIMEBTC</t>
  </si>
  <si>
    <t>PCSBTC</t>
  </si>
  <si>
    <t>PIEBTC</t>
  </si>
  <si>
    <t>PIZZABTC</t>
  </si>
  <si>
    <t>PRCBTC</t>
  </si>
  <si>
    <t>9e-06</t>
  </si>
  <si>
    <t>QRZBTC</t>
  </si>
  <si>
    <t>REVBTC</t>
  </si>
  <si>
    <t>RHFCBTC</t>
  </si>
  <si>
    <t>RYCNBTC</t>
  </si>
  <si>
    <t>TESLABTC</t>
  </si>
  <si>
    <t>SFTBTC</t>
  </si>
  <si>
    <t>SSUCBTC</t>
  </si>
  <si>
    <t>STPCBTC</t>
  </si>
  <si>
    <t>SVCBTC</t>
  </si>
  <si>
    <t>SWCOBTC</t>
  </si>
  <si>
    <t>TCASHBTC</t>
  </si>
  <si>
    <t>TCOINBTC</t>
  </si>
  <si>
    <t>TERABTC</t>
  </si>
  <si>
    <t>TERRABTC</t>
  </si>
  <si>
    <t>TORBTC</t>
  </si>
  <si>
    <t>TRCBTC</t>
  </si>
  <si>
    <t>TSCBTC</t>
  </si>
  <si>
    <t>UNOBTC</t>
  </si>
  <si>
    <t>UTABTC</t>
  </si>
  <si>
    <t>VTABTC</t>
  </si>
  <si>
    <t>WABTC</t>
  </si>
  <si>
    <t>WCNBTC</t>
  </si>
  <si>
    <t>WEXBTC</t>
  </si>
  <si>
    <t>WOPBTC</t>
  </si>
  <si>
    <t>X2CBTC</t>
  </si>
  <si>
    <t>XBBTC</t>
  </si>
  <si>
    <t>XBGBTC</t>
  </si>
  <si>
    <t>XBPBTC</t>
  </si>
  <si>
    <t>XFCBTC</t>
  </si>
  <si>
    <t>XGBBTC</t>
  </si>
  <si>
    <t>XIDBTC</t>
  </si>
  <si>
    <t>XNCBTC</t>
  </si>
  <si>
    <t>XODUSBTC</t>
  </si>
  <si>
    <t>XONBTC</t>
  </si>
  <si>
    <t>XOTBTC</t>
  </si>
  <si>
    <t>XTPBTC</t>
  </si>
  <si>
    <t>XZABTC</t>
  </si>
  <si>
    <t>YOGBTC</t>
  </si>
  <si>
    <t>ZAPBTC</t>
  </si>
  <si>
    <t>ZBCNBTC</t>
  </si>
  <si>
    <t>ZCLBTC</t>
  </si>
  <si>
    <t>ZCOINBTC</t>
  </si>
  <si>
    <t>ZNYBTC</t>
  </si>
  <si>
    <t>611USD</t>
  </si>
  <si>
    <t>9COINUSD</t>
  </si>
  <si>
    <t>ABCUSD</t>
  </si>
  <si>
    <t>ACPUSD</t>
  </si>
  <si>
    <t>ADCNUSD</t>
  </si>
  <si>
    <t>AIBUSD</t>
  </si>
  <si>
    <t>ALTUSD</t>
  </si>
  <si>
    <t>APCUSD</t>
  </si>
  <si>
    <t>AVCUSD</t>
  </si>
  <si>
    <t>BASHUSD</t>
  </si>
  <si>
    <t>BAYUSD</t>
  </si>
  <si>
    <t>BEEUSD</t>
  </si>
  <si>
    <t>BHCUSD</t>
  </si>
  <si>
    <t>BIGCUSD</t>
  </si>
  <si>
    <t>BIOSUSD</t>
  </si>
  <si>
    <t>BITUSD</t>
  </si>
  <si>
    <t>BIZUSD</t>
  </si>
  <si>
    <t>BOSTUSD</t>
  </si>
  <si>
    <t>BRITUSD</t>
  </si>
  <si>
    <t>BTCHCUSD</t>
  </si>
  <si>
    <t>BTLCUSD</t>
  </si>
  <si>
    <t>BTXUSD</t>
  </si>
  <si>
    <t>BTCSUSD</t>
  </si>
  <si>
    <t>BTQUSD</t>
  </si>
  <si>
    <t>BURNUSD</t>
  </si>
  <si>
    <t>BURSTUSD</t>
  </si>
  <si>
    <t>CALCUSD</t>
  </si>
  <si>
    <t>CCRBUSD</t>
  </si>
  <si>
    <t>CESCUSD</t>
  </si>
  <si>
    <t>CNTUSD</t>
  </si>
  <si>
    <t>CJUSD</t>
  </si>
  <si>
    <t>CRCUSD</t>
  </si>
  <si>
    <t>CREUSD</t>
  </si>
  <si>
    <t>CRPCUSD</t>
  </si>
  <si>
    <t>CRWUSD</t>
  </si>
  <si>
    <t>CTOUSD</t>
  </si>
  <si>
    <t>DDCUSD</t>
  </si>
  <si>
    <t>DESHUSD</t>
  </si>
  <si>
    <t>DEUSUSD</t>
  </si>
  <si>
    <t>DOVUSD</t>
  </si>
  <si>
    <t>DRACOUSD</t>
  </si>
  <si>
    <t>DRM8USD</t>
  </si>
  <si>
    <t>DRZUSD</t>
  </si>
  <si>
    <t>GABCUSD</t>
  </si>
  <si>
    <t>GACCUSD</t>
  </si>
  <si>
    <t>GACUSD</t>
  </si>
  <si>
    <t>EB3USD</t>
  </si>
  <si>
    <t>ECUSD</t>
  </si>
  <si>
    <t>ECNUSD</t>
  </si>
  <si>
    <t>ECONUSD</t>
  </si>
  <si>
    <t>EGCUSD</t>
  </si>
  <si>
    <t>ELEUSD</t>
  </si>
  <si>
    <t>ERYUSD</t>
  </si>
  <si>
    <t>ETXUSD</t>
  </si>
  <si>
    <t>FCHUSD</t>
  </si>
  <si>
    <t>FCPUSD</t>
  </si>
  <si>
    <t>FIRSTUSD</t>
  </si>
  <si>
    <t>FITUSD</t>
  </si>
  <si>
    <t>FJCUSD</t>
  </si>
  <si>
    <t>FUTCUSD</t>
  </si>
  <si>
    <t>G1TAOUSD</t>
  </si>
  <si>
    <t>GARYUSD</t>
  </si>
  <si>
    <t>GBUSD</t>
  </si>
  <si>
    <t>GBCUSD</t>
  </si>
  <si>
    <t>GBRCUSD</t>
  </si>
  <si>
    <t>GLDUSD</t>
  </si>
  <si>
    <t>GLTCUSD</t>
  </si>
  <si>
    <t>GMXUSD</t>
  </si>
  <si>
    <t>GRCUSD</t>
  </si>
  <si>
    <t>GUCUSD</t>
  </si>
  <si>
    <t>HEATUSD</t>
  </si>
  <si>
    <t>HCCUSD</t>
  </si>
  <si>
    <t>HILLUSD</t>
  </si>
  <si>
    <t>HTSUSD</t>
  </si>
  <si>
    <t>HXXUSD</t>
  </si>
  <si>
    <t>IBCUSD</t>
  </si>
  <si>
    <t>ILCUSD</t>
  </si>
  <si>
    <t>IOPUSD</t>
  </si>
  <si>
    <t>ISLUSD</t>
  </si>
  <si>
    <t>ITIUSD</t>
  </si>
  <si>
    <t>JIOUSD</t>
  </si>
  <si>
    <t>JNSUSD</t>
  </si>
  <si>
    <t>PCSHUSD</t>
  </si>
  <si>
    <t>KCUSD</t>
  </si>
  <si>
    <t>KLCUSD</t>
  </si>
  <si>
    <t>KPLUSD</t>
  </si>
  <si>
    <t>KRCUSD</t>
  </si>
  <si>
    <t>LDCNUSD</t>
  </si>
  <si>
    <t>LEPENUSD</t>
  </si>
  <si>
    <t>LOGUSD</t>
  </si>
  <si>
    <t>LTSUSD</t>
  </si>
  <si>
    <t>LTCRUSD</t>
  </si>
  <si>
    <t>LVPSUSD</t>
  </si>
  <si>
    <t>MALCUSD</t>
  </si>
  <si>
    <t>MBLUSD</t>
  </si>
  <si>
    <t>MCAPUSD</t>
  </si>
  <si>
    <t>MCOUSD</t>
  </si>
  <si>
    <t>MIUSD</t>
  </si>
  <si>
    <t>MIUUSD</t>
  </si>
  <si>
    <t>MOINUSD</t>
  </si>
  <si>
    <t>MOONUSD</t>
  </si>
  <si>
    <t>MUEUSD</t>
  </si>
  <si>
    <t>NEWBUSD</t>
  </si>
  <si>
    <t>NOTEUSD</t>
  </si>
  <si>
    <t>NTCCUSD</t>
  </si>
  <si>
    <t>ODUSD</t>
  </si>
  <si>
    <t>OMNIUSD</t>
  </si>
  <si>
    <t>OPNCUSD</t>
  </si>
  <si>
    <t>OROUSD</t>
  </si>
  <si>
    <t>PRIMEUSD</t>
  </si>
  <si>
    <t>PCSUSD</t>
  </si>
  <si>
    <t>PIEUSD</t>
  </si>
  <si>
    <t>PIZZAUSD</t>
  </si>
  <si>
    <t>PRCUSD</t>
  </si>
  <si>
    <t>PRESUSD</t>
  </si>
  <si>
    <t>PROCUSD</t>
  </si>
  <si>
    <t>PSBUSD</t>
  </si>
  <si>
    <t>QRZUSD</t>
  </si>
  <si>
    <t>RBIESUSD</t>
  </si>
  <si>
    <t>REVUSD</t>
  </si>
  <si>
    <t>RHFCUSD</t>
  </si>
  <si>
    <t>RIDEUSD</t>
  </si>
  <si>
    <t>ROYALUSD</t>
  </si>
  <si>
    <t>RYCNUSD</t>
  </si>
  <si>
    <t>TESLAUSD</t>
  </si>
  <si>
    <t>SFTUSD</t>
  </si>
  <si>
    <t>SIBUSD</t>
  </si>
  <si>
    <t>SOARUSD</t>
  </si>
  <si>
    <t>SONGUSD</t>
  </si>
  <si>
    <t>SSUCUSD</t>
  </si>
  <si>
    <t>STPCUSD</t>
  </si>
  <si>
    <t>SVCUSD</t>
  </si>
  <si>
    <t>SWCOUSD</t>
  </si>
  <si>
    <t>TCASHUSD</t>
  </si>
  <si>
    <t>TCOINUSD</t>
  </si>
  <si>
    <t>TERAUSD</t>
  </si>
  <si>
    <t>TERRAUSD</t>
  </si>
  <si>
    <t>TLEUSD</t>
  </si>
  <si>
    <t>TSEUSD</t>
  </si>
  <si>
    <t>TORUSD</t>
  </si>
  <si>
    <t>TRCUSD</t>
  </si>
  <si>
    <t>TRUMPUSD</t>
  </si>
  <si>
    <t>TSCUSD</t>
  </si>
  <si>
    <t>UUSD</t>
  </si>
  <si>
    <t>UNCUSD</t>
  </si>
  <si>
    <t>UNOUSD</t>
  </si>
  <si>
    <t>UTAUSD</t>
  </si>
  <si>
    <t>VEC2USD</t>
  </si>
  <si>
    <t>VTAUSD</t>
  </si>
  <si>
    <t>WAUSD</t>
  </si>
  <si>
    <t>WCNUSD</t>
  </si>
  <si>
    <t>WEXUSD</t>
  </si>
  <si>
    <t>WOPUSD</t>
  </si>
  <si>
    <t>X2CUSD</t>
  </si>
  <si>
    <t>XAURUSD</t>
  </si>
  <si>
    <t>XBUSD</t>
  </si>
  <si>
    <t>XBGUSD</t>
  </si>
  <si>
    <t>XBPUSD</t>
  </si>
  <si>
    <t>XBYUSD</t>
  </si>
  <si>
    <t>XFCUSD</t>
  </si>
  <si>
    <t>XGBUSD</t>
  </si>
  <si>
    <t>XHIUSD</t>
  </si>
  <si>
    <t>XIDUSD</t>
  </si>
  <si>
    <t>XNCUSD</t>
  </si>
  <si>
    <t>XODUSUSD</t>
  </si>
  <si>
    <t>XONUSD</t>
  </si>
  <si>
    <t>XOTUSD</t>
  </si>
  <si>
    <t>XSPECUSD</t>
  </si>
  <si>
    <t>XTOUSD</t>
  </si>
  <si>
    <t>XTPUSD</t>
  </si>
  <si>
    <t>XVGUSD</t>
  </si>
  <si>
    <t>XZAUSD</t>
  </si>
  <si>
    <t>YOGUSD</t>
  </si>
  <si>
    <t>ZAPUSD</t>
  </si>
  <si>
    <t>ZBCNUSD</t>
  </si>
  <si>
    <t>ZCLUSD</t>
  </si>
  <si>
    <t>ZCOINUSD</t>
  </si>
  <si>
    <t>ZENIUSD</t>
  </si>
  <si>
    <t>ZNYUSD</t>
  </si>
  <si>
    <t>611LTC</t>
  </si>
  <si>
    <t>9COINLTC</t>
  </si>
  <si>
    <t>ABCLTC</t>
  </si>
  <si>
    <t>ACPLTC</t>
  </si>
  <si>
    <t>ADCNLTC</t>
  </si>
  <si>
    <t>AIBLTC</t>
  </si>
  <si>
    <t>ALTLTC</t>
  </si>
  <si>
    <t>APCLTC</t>
  </si>
  <si>
    <t>ARCLTC</t>
  </si>
  <si>
    <t>AVCLTC</t>
  </si>
  <si>
    <t>BASHLTC</t>
  </si>
  <si>
    <t>BAYLTC</t>
  </si>
  <si>
    <t>BEELTC</t>
  </si>
  <si>
    <t>BHCLTC</t>
  </si>
  <si>
    <t>BIGCLTC</t>
  </si>
  <si>
    <t>BIOSLTC</t>
  </si>
  <si>
    <t>BITLTC</t>
  </si>
  <si>
    <t>BIZLTC</t>
  </si>
  <si>
    <t>BOSTLTC</t>
  </si>
  <si>
    <t>BRITLTC</t>
  </si>
  <si>
    <t>BTCHCLTC</t>
  </si>
  <si>
    <t>BTLCLTC</t>
  </si>
  <si>
    <t>BTXLTC</t>
  </si>
  <si>
    <t>BTCSLTC</t>
  </si>
  <si>
    <t>BTQLTC</t>
  </si>
  <si>
    <t>BURNLTC</t>
  </si>
  <si>
    <t>BURSTLTC</t>
  </si>
  <si>
    <t>CALCLTC</t>
  </si>
  <si>
    <t>CCRBLTC</t>
  </si>
  <si>
    <t>CESCLTC</t>
  </si>
  <si>
    <t>CNTLTC</t>
  </si>
  <si>
    <t>CJLTC</t>
  </si>
  <si>
    <t>CRCLTC</t>
  </si>
  <si>
    <t>CRELTC</t>
  </si>
  <si>
    <t>CRPCLTC</t>
  </si>
  <si>
    <t>CRWLTC</t>
  </si>
  <si>
    <t>CTOLTC</t>
  </si>
  <si>
    <t>DASHLTC</t>
  </si>
  <si>
    <t>DDCLTC</t>
  </si>
  <si>
    <t>DESHLTC</t>
  </si>
  <si>
    <t>DEUSLTC</t>
  </si>
  <si>
    <t>DOGELTC</t>
  </si>
  <si>
    <t>DOVLTC</t>
  </si>
  <si>
    <t>DRACOLTC</t>
  </si>
  <si>
    <t>DRM8LTC</t>
  </si>
  <si>
    <t>DRZLTC</t>
  </si>
  <si>
    <t>GABCLTC</t>
  </si>
  <si>
    <t>GACCLTC</t>
  </si>
  <si>
    <t>GACLTC</t>
  </si>
  <si>
    <t>EB3LTC</t>
  </si>
  <si>
    <t>ECLTC</t>
  </si>
  <si>
    <t>ECNLTC</t>
  </si>
  <si>
    <t>ECONLTC</t>
  </si>
  <si>
    <t>EGCLTC</t>
  </si>
  <si>
    <t>ELLTC</t>
  </si>
  <si>
    <t>ELELTC</t>
  </si>
  <si>
    <t>ERYLTC</t>
  </si>
  <si>
    <t>ETCLTC</t>
  </si>
  <si>
    <t>ETXLTC</t>
  </si>
  <si>
    <t>FCHLTC</t>
  </si>
  <si>
    <t>FCPLTC</t>
  </si>
  <si>
    <t>FIRSTLTC</t>
  </si>
  <si>
    <t>FITLTC</t>
  </si>
  <si>
    <t>FJCLTC</t>
  </si>
  <si>
    <t>FUTCLTC</t>
  </si>
  <si>
    <t>G1TAOLTC</t>
  </si>
  <si>
    <t>GARYLTC</t>
  </si>
  <si>
    <t>GBLTC</t>
  </si>
  <si>
    <t>GBCLTC</t>
  </si>
  <si>
    <t>GBRCLTC</t>
  </si>
  <si>
    <t>GLDLTC</t>
  </si>
  <si>
    <t>GLTCLTC</t>
  </si>
  <si>
    <t>GMXLTC</t>
  </si>
  <si>
    <t>GRCLTC</t>
  </si>
  <si>
    <t>GUCLTC</t>
  </si>
  <si>
    <t>HEATLTC</t>
  </si>
  <si>
    <t>HCCLTC</t>
  </si>
  <si>
    <t>HILLLTC</t>
  </si>
  <si>
    <t>HTSLTC</t>
  </si>
  <si>
    <t>HXXLTC</t>
  </si>
  <si>
    <t>IBCLTC</t>
  </si>
  <si>
    <t>ILCLTC</t>
  </si>
  <si>
    <t>IOPLTC</t>
  </si>
  <si>
    <t>ISLLTC</t>
  </si>
  <si>
    <t>ITILTC</t>
  </si>
  <si>
    <t>JIOLTC</t>
  </si>
  <si>
    <t>JNSLTC</t>
  </si>
  <si>
    <t>PCSHLTC</t>
  </si>
  <si>
    <t>KCLTC</t>
  </si>
  <si>
    <t>KLCLTC</t>
  </si>
  <si>
    <t>KPLLTC</t>
  </si>
  <si>
    <t>KRCLTC</t>
  </si>
  <si>
    <t>LDCNLTC</t>
  </si>
  <si>
    <t>LEPENLTC</t>
  </si>
  <si>
    <t>LOGLTC</t>
  </si>
  <si>
    <t>LTSLTC</t>
  </si>
  <si>
    <t>LEOLTC</t>
  </si>
  <si>
    <t>LTCRLTC</t>
  </si>
  <si>
    <t>LVPSLTC</t>
  </si>
  <si>
    <t>MALCLTC</t>
  </si>
  <si>
    <t>MBLLTC</t>
  </si>
  <si>
    <t>MCAPLTC</t>
  </si>
  <si>
    <t>MCOLTC</t>
  </si>
  <si>
    <t>MILTC</t>
  </si>
  <si>
    <t>MIULTC</t>
  </si>
  <si>
    <t>MOINLTC</t>
  </si>
  <si>
    <t>MOONLTC</t>
  </si>
  <si>
    <t>MSCNLTC</t>
  </si>
  <si>
    <t>MUELTC</t>
  </si>
  <si>
    <t>NEWBLTC</t>
  </si>
  <si>
    <t>NOTELTC</t>
  </si>
  <si>
    <t>NTCCLTC</t>
  </si>
  <si>
    <t>NVCLTC</t>
  </si>
  <si>
    <t>NXTLTC</t>
  </si>
  <si>
    <t>ODLTC</t>
  </si>
  <si>
    <t>OMNILTC</t>
  </si>
  <si>
    <t>OPNCLTC</t>
  </si>
  <si>
    <t>OROLTC</t>
  </si>
  <si>
    <t>OTXLTC</t>
  </si>
  <si>
    <t>PRIMELTC</t>
  </si>
  <si>
    <t>PCSLTC</t>
  </si>
  <si>
    <t>PIELTC</t>
  </si>
  <si>
    <t>PIZZALTC</t>
  </si>
  <si>
    <t>PRCLTC</t>
  </si>
  <si>
    <t>PRESLTC</t>
  </si>
  <si>
    <t>PROCLTC</t>
  </si>
  <si>
    <t>PSBLTC</t>
  </si>
  <si>
    <t>QRZLTC</t>
  </si>
  <si>
    <t>RBIESLTC</t>
  </si>
  <si>
    <t>REVLTC</t>
  </si>
  <si>
    <t>RHFCLTC</t>
  </si>
  <si>
    <t>RIDELTC</t>
  </si>
  <si>
    <t>ROYALLTC</t>
  </si>
  <si>
    <t>RYCNLTC</t>
  </si>
  <si>
    <t>TESLALTC</t>
  </si>
  <si>
    <t>SFTLTC</t>
  </si>
  <si>
    <t>SIBLTC</t>
  </si>
  <si>
    <t>SOARLTC</t>
  </si>
  <si>
    <t>SONGLTC</t>
  </si>
  <si>
    <t>SSUCLTC</t>
  </si>
  <si>
    <t>STPCLTC</t>
  </si>
  <si>
    <t>SVCLTC</t>
  </si>
  <si>
    <t>SWCOLTC</t>
  </si>
  <si>
    <t>TCASHLTC</t>
  </si>
  <si>
    <t>TCOINLTC</t>
  </si>
  <si>
    <t>TERALTC</t>
  </si>
  <si>
    <t>TERRALTC</t>
  </si>
  <si>
    <t>TLELTC</t>
  </si>
  <si>
    <t>TSELTC</t>
  </si>
  <si>
    <t>TORLTC</t>
  </si>
  <si>
    <t>TRCLTC</t>
  </si>
  <si>
    <t>TRUMPLTC</t>
  </si>
  <si>
    <t>TSCLTC</t>
  </si>
  <si>
    <t>ULTC</t>
  </si>
  <si>
    <t>UNCLTC</t>
  </si>
  <si>
    <t>UNOLTC</t>
  </si>
  <si>
    <t>USDTLTC</t>
  </si>
  <si>
    <t>UTALTC</t>
  </si>
  <si>
    <t>VEC2LTC</t>
  </si>
  <si>
    <t>VRSLTC</t>
  </si>
  <si>
    <t>VTALTC</t>
  </si>
  <si>
    <t>WALTC</t>
  </si>
  <si>
    <t>WCNLTC</t>
  </si>
  <si>
    <t>WEXLTC</t>
  </si>
  <si>
    <t>WOPLTC</t>
  </si>
  <si>
    <t>X2CLTC</t>
  </si>
  <si>
    <t>XAURLTC</t>
  </si>
  <si>
    <t>XBLTC</t>
  </si>
  <si>
    <t>XBGLTC</t>
  </si>
  <si>
    <t>XBPLTC</t>
  </si>
  <si>
    <t>XBYLTC</t>
  </si>
  <si>
    <t>XFCLTC</t>
  </si>
  <si>
    <t>XGBLTC</t>
  </si>
  <si>
    <t>XHILTC</t>
  </si>
  <si>
    <t>XIDLTC</t>
  </si>
  <si>
    <t>XNCLTC</t>
  </si>
  <si>
    <t>XODUSLTC</t>
  </si>
  <si>
    <t>XONLTC</t>
  </si>
  <si>
    <t>XOTLTC</t>
  </si>
  <si>
    <t>XSPECLTC</t>
  </si>
  <si>
    <t>XTOLTC</t>
  </si>
  <si>
    <t>XTPLTC</t>
  </si>
  <si>
    <t>XVGLTC</t>
  </si>
  <si>
    <t>XZALTC</t>
  </si>
  <si>
    <t>YOCLTC</t>
  </si>
  <si>
    <t>YOGLTC</t>
  </si>
  <si>
    <t>ZAPLTC</t>
  </si>
  <si>
    <t>ZBCNLTC</t>
  </si>
  <si>
    <t>ZCLLTC</t>
  </si>
  <si>
    <t>ZCOINLTC</t>
  </si>
  <si>
    <t>ZENILTC</t>
  </si>
  <si>
    <t>ZNYLTC</t>
  </si>
  <si>
    <t>611DOGE</t>
  </si>
  <si>
    <t>9COINDOGE</t>
  </si>
  <si>
    <t>ABCDOGE</t>
  </si>
  <si>
    <t>ACPDOGE</t>
  </si>
  <si>
    <t>ADCNDOGE</t>
  </si>
  <si>
    <t>AIBDOGE</t>
  </si>
  <si>
    <t>ALTDOGE</t>
  </si>
  <si>
    <t>APCDOGE</t>
  </si>
  <si>
    <t>ARCDOGE</t>
  </si>
  <si>
    <t>AVCDOGE</t>
  </si>
  <si>
    <t>BASHDOGE</t>
  </si>
  <si>
    <t>BAYDOGE</t>
  </si>
  <si>
    <t>BEEDOGE</t>
  </si>
  <si>
    <t>BHCDOGE</t>
  </si>
  <si>
    <t>BIGCDOGE</t>
  </si>
  <si>
    <t>BIOSDOGE</t>
  </si>
  <si>
    <t>BITDOGE</t>
  </si>
  <si>
    <t>BIZDOGE</t>
  </si>
  <si>
    <t>BOSTDOGE</t>
  </si>
  <si>
    <t>BRITDOGE</t>
  </si>
  <si>
    <t>BTCHCDOGE</t>
  </si>
  <si>
    <t>BTLCDOGE</t>
  </si>
  <si>
    <t>BTXDOGE</t>
  </si>
  <si>
    <t>BTCSDOGE</t>
  </si>
  <si>
    <t>BTQDOGE</t>
  </si>
  <si>
    <t>BURNDOGE</t>
  </si>
  <si>
    <t>BURSTDOGE</t>
  </si>
  <si>
    <t>CALCDOGE</t>
  </si>
  <si>
    <t>CCRBDOGE</t>
  </si>
  <si>
    <t>CESCDOGE</t>
  </si>
  <si>
    <t>CNTDOGE</t>
  </si>
  <si>
    <t>CJDOGE</t>
  </si>
  <si>
    <t>CRCDOGE</t>
  </si>
  <si>
    <t>CREDOGE</t>
  </si>
  <si>
    <t>CRPCDOGE</t>
  </si>
  <si>
    <t>CRWDOGE</t>
  </si>
  <si>
    <t>CTODOGE</t>
  </si>
  <si>
    <t>DASHDOGE</t>
  </si>
  <si>
    <t>DDCDOGE</t>
  </si>
  <si>
    <t>DESHDOGE</t>
  </si>
  <si>
    <t>DEUSDOGE</t>
  </si>
  <si>
    <t>DOVDOGE</t>
  </si>
  <si>
    <t>DRACODOGE</t>
  </si>
  <si>
    <t>DRM8DOGE</t>
  </si>
  <si>
    <t>DRZDOGE</t>
  </si>
  <si>
    <t>GABCDOGE</t>
  </si>
  <si>
    <t>GACCDOGE</t>
  </si>
  <si>
    <t>GACDOGE</t>
  </si>
  <si>
    <t>EB3DOGE</t>
  </si>
  <si>
    <t>ECDOGE</t>
  </si>
  <si>
    <t>ECNDOGE</t>
  </si>
  <si>
    <t>ECONDOGE</t>
  </si>
  <si>
    <t>EGCDOGE</t>
  </si>
  <si>
    <t>ELDOGE</t>
  </si>
  <si>
    <t>ELEDOGE</t>
  </si>
  <si>
    <t>ERYDOGE</t>
  </si>
  <si>
    <t>ETCDOGE</t>
  </si>
  <si>
    <t>ETHDOGE</t>
  </si>
  <si>
    <t>ETXDOGE</t>
  </si>
  <si>
    <t>FCHDOGE</t>
  </si>
  <si>
    <t>FCPDOGE</t>
  </si>
  <si>
    <t>FIRSTDOGE</t>
  </si>
  <si>
    <t>FITDOGE</t>
  </si>
  <si>
    <t>FJCDOGE</t>
  </si>
  <si>
    <t>FUTCDOGE</t>
  </si>
  <si>
    <t>G1TAODOGE</t>
  </si>
  <si>
    <t>GARYDOGE</t>
  </si>
  <si>
    <t>GBDOGE</t>
  </si>
  <si>
    <t>GBCDOGE</t>
  </si>
  <si>
    <t>GBRCDOGE</t>
  </si>
  <si>
    <t>GLDDOGE</t>
  </si>
  <si>
    <t>GLTCDOGE</t>
  </si>
  <si>
    <t>GMXDOGE</t>
  </si>
  <si>
    <t>GRCDOGE</t>
  </si>
  <si>
    <t>GUCDOGE</t>
  </si>
  <si>
    <t>HEATDOGE</t>
  </si>
  <si>
    <t>HCCDOGE</t>
  </si>
  <si>
    <t>HILLDOGE</t>
  </si>
  <si>
    <t>HTSDOGE</t>
  </si>
  <si>
    <t>HXXDOGE</t>
  </si>
  <si>
    <t>IBCDOGE</t>
  </si>
  <si>
    <t>ILCDOGE</t>
  </si>
  <si>
    <t>IOPDOGE</t>
  </si>
  <si>
    <t>ISLDOGE</t>
  </si>
  <si>
    <t>ITIDOGE</t>
  </si>
  <si>
    <t>JIODOGE</t>
  </si>
  <si>
    <t>JNSDOGE</t>
  </si>
  <si>
    <t>PCSHDOGE</t>
  </si>
  <si>
    <t>KCDOGE</t>
  </si>
  <si>
    <t>KLCDOGE</t>
  </si>
  <si>
    <t>KPLDOGE</t>
  </si>
  <si>
    <t>KRCDOGE</t>
  </si>
  <si>
    <t>LDCNDOGE</t>
  </si>
  <si>
    <t>LEPENDOGE</t>
  </si>
  <si>
    <t>LOGDOGE</t>
  </si>
  <si>
    <t>LTSDOGE</t>
  </si>
  <si>
    <t>LEODOGE</t>
  </si>
  <si>
    <t>LTCRDOGE</t>
  </si>
  <si>
    <t>LVPSDOGE</t>
  </si>
  <si>
    <t>MALCDOGE</t>
  </si>
  <si>
    <t>MBLDOGE</t>
  </si>
  <si>
    <t>MCAPDOGE</t>
  </si>
  <si>
    <t>MCODOGE</t>
  </si>
  <si>
    <t>MIDOGE</t>
  </si>
  <si>
    <t>MIUDOGE</t>
  </si>
  <si>
    <t>MOINDOGE</t>
  </si>
  <si>
    <t>MOONDOGE</t>
  </si>
  <si>
    <t>MSCNDOGE</t>
  </si>
  <si>
    <t>MUEDOGE</t>
  </si>
  <si>
    <t>NEWBDOGE</t>
  </si>
  <si>
    <t>NOTEDOGE</t>
  </si>
  <si>
    <t>NTCCDOGE</t>
  </si>
  <si>
    <t>NVCDOGE</t>
  </si>
  <si>
    <t>NXTDOGE</t>
  </si>
  <si>
    <t>ODDOGE</t>
  </si>
  <si>
    <t>OMNIDOGE</t>
  </si>
  <si>
    <t>OPNCDOGE</t>
  </si>
  <si>
    <t>ORODOGE</t>
  </si>
  <si>
    <t>OTXDOGE</t>
  </si>
  <si>
    <t>PRIMEDOGE</t>
  </si>
  <si>
    <t>PCSDOGE</t>
  </si>
  <si>
    <t>PIEDOGE</t>
  </si>
  <si>
    <t>PIZZADOGE</t>
  </si>
  <si>
    <t>POSWDOGE</t>
  </si>
  <si>
    <t>PRCDOGE</t>
  </si>
  <si>
    <t>PRESDOGE</t>
  </si>
  <si>
    <t>PROCDOGE</t>
  </si>
  <si>
    <t>PSBDOGE</t>
  </si>
  <si>
    <t>QRZDOGE</t>
  </si>
  <si>
    <t>RBIESDOGE</t>
  </si>
  <si>
    <t>REVDOGE</t>
  </si>
  <si>
    <t>RHFCDOGE</t>
  </si>
  <si>
    <t>RIDEDOGE</t>
  </si>
  <si>
    <t>ROYALDOGE</t>
  </si>
  <si>
    <t>RYCNDOGE</t>
  </si>
  <si>
    <t>TESLADOGE</t>
  </si>
  <si>
    <t>SFTDOGE</t>
  </si>
  <si>
    <t>SIBDOGE</t>
  </si>
  <si>
    <t>SOARDOGE</t>
  </si>
  <si>
    <t>SONGDOGE</t>
  </si>
  <si>
    <t>SSUCDOGE</t>
  </si>
  <si>
    <t>STPCDOGE</t>
  </si>
  <si>
    <t>SVCDOGE</t>
  </si>
  <si>
    <t>SWCODOGE</t>
  </si>
  <si>
    <t>TCASHDOGE</t>
  </si>
  <si>
    <t>TCOINDOGE</t>
  </si>
  <si>
    <t>TERADOGE</t>
  </si>
  <si>
    <t>TERRADOGE</t>
  </si>
  <si>
    <t>TLEDOGE</t>
  </si>
  <si>
    <t>TSEDOGE</t>
  </si>
  <si>
    <t>TORDOGE</t>
  </si>
  <si>
    <t>TRCDOGE</t>
  </si>
  <si>
    <t>TRUMPDOGE</t>
  </si>
  <si>
    <t>TSCDOGE</t>
  </si>
  <si>
    <t>UDOGE</t>
  </si>
  <si>
    <t>UNCDOGE</t>
  </si>
  <si>
    <t>UNODOGE</t>
  </si>
  <si>
    <t>UNYDOGE</t>
  </si>
  <si>
    <t>USDTDOGE</t>
  </si>
  <si>
    <t>UTADOGE</t>
  </si>
  <si>
    <t>VEC2DOGE</t>
  </si>
  <si>
    <t>VRSDOGE</t>
  </si>
  <si>
    <t>VTADOGE</t>
  </si>
  <si>
    <t>WADOGE</t>
  </si>
  <si>
    <t>WCNDOGE</t>
  </si>
  <si>
    <t>WEXDOGE</t>
  </si>
  <si>
    <t>WOPDOGE</t>
  </si>
  <si>
    <t>X2CDOGE</t>
  </si>
  <si>
    <t>XAURDOGE</t>
  </si>
  <si>
    <t>XBDOGE</t>
  </si>
  <si>
    <t>XBGDOGE</t>
  </si>
  <si>
    <t>XBPDOGE</t>
  </si>
  <si>
    <t>XBYDOGE</t>
  </si>
  <si>
    <t>XFCDOGE</t>
  </si>
  <si>
    <t>XGBDOGE</t>
  </si>
  <si>
    <t>XHIDOGE</t>
  </si>
  <si>
    <t>XIDDOGE</t>
  </si>
  <si>
    <t>XNCDOGE</t>
  </si>
  <si>
    <t>XODUSDOGE</t>
  </si>
  <si>
    <t>XONDOGE</t>
  </si>
  <si>
    <t>XOTDOGE</t>
  </si>
  <si>
    <t>XSPECDOGE</t>
  </si>
  <si>
    <t>XTODOGE</t>
  </si>
  <si>
    <t>XTPDOGE</t>
  </si>
  <si>
    <t>XVGDOGE</t>
  </si>
  <si>
    <t>XZADOGE</t>
  </si>
  <si>
    <t>YOCDOGE</t>
  </si>
  <si>
    <t>YOGDOGE</t>
  </si>
  <si>
    <t>ZAPDOGE</t>
  </si>
  <si>
    <t>ZBCNDOGE</t>
  </si>
  <si>
    <t>ZCLDOGE</t>
  </si>
  <si>
    <t>ZCOINDOGE</t>
  </si>
  <si>
    <t>ZENIDOGE</t>
  </si>
  <si>
    <t>ZNYDOGE</t>
  </si>
  <si>
    <t>BTC</t>
  </si>
  <si>
    <t>ETH</t>
  </si>
  <si>
    <t>USD</t>
  </si>
  <si>
    <t>LTC</t>
  </si>
  <si>
    <t>DASH</t>
  </si>
  <si>
    <t>DOGE</t>
  </si>
  <si>
    <t>ETC</t>
  </si>
  <si>
    <t>EUR</t>
  </si>
  <si>
    <t>ICN</t>
  </si>
  <si>
    <t>NVC</t>
  </si>
  <si>
    <t>XMR</t>
  </si>
  <si>
    <t>ZEC</t>
  </si>
  <si>
    <t>BTCD</t>
  </si>
  <si>
    <t>RUR</t>
  </si>
  <si>
    <t>DBTC</t>
  </si>
  <si>
    <t>DSH</t>
  </si>
  <si>
    <t>EMC</t>
  </si>
  <si>
    <t>GB</t>
  </si>
  <si>
    <t>ITI</t>
  </si>
  <si>
    <t>LSK</t>
  </si>
  <si>
    <t>MOIN</t>
  </si>
  <si>
    <t>NMC</t>
  </si>
  <si>
    <t>NXT</t>
  </si>
  <si>
    <t>POSW</t>
  </si>
  <si>
    <t>PPC</t>
  </si>
  <si>
    <t>RBIES</t>
  </si>
  <si>
    <t>REP</t>
  </si>
  <si>
    <t>SIB</t>
  </si>
  <si>
    <t>TRUMP</t>
  </si>
  <si>
    <t>USDT</t>
  </si>
  <si>
    <t>WAVES</t>
  </si>
  <si>
    <t>XAUR</t>
  </si>
  <si>
    <t>ACP</t>
  </si>
  <si>
    <t>ADCN</t>
  </si>
  <si>
    <t>ADZ</t>
  </si>
  <si>
    <t>AIB</t>
  </si>
  <si>
    <t>ARC</t>
  </si>
  <si>
    <t>BASH</t>
  </si>
  <si>
    <t>BCC</t>
  </si>
  <si>
    <t>BHC</t>
  </si>
  <si>
    <t>BIOS</t>
  </si>
  <si>
    <t>BIT</t>
  </si>
  <si>
    <t>BLU</t>
  </si>
  <si>
    <t>BPC</t>
  </si>
  <si>
    <t>BTA</t>
  </si>
  <si>
    <t>AMP</t>
  </si>
  <si>
    <t>BCY</t>
  </si>
  <si>
    <t>DCR</t>
  </si>
  <si>
    <t>EMC2</t>
  </si>
  <si>
    <t>FCT</t>
  </si>
  <si>
    <t>GNO</t>
  </si>
  <si>
    <t>GNT</t>
  </si>
  <si>
    <t>GRC</t>
  </si>
  <si>
    <t>LBC</t>
  </si>
  <si>
    <t>MAID</t>
  </si>
  <si>
    <t>NAUT</t>
  </si>
  <si>
    <t>NXC</t>
  </si>
  <si>
    <t>PINK</t>
  </si>
  <si>
    <t>RADS</t>
  </si>
  <si>
    <t>RUB</t>
  </si>
  <si>
    <t>SC</t>
  </si>
  <si>
    <t>SYS</t>
  </si>
  <si>
    <t>VTC</t>
  </si>
  <si>
    <t>XVC</t>
  </si>
  <si>
    <t>BTS</t>
  </si>
  <si>
    <t>BURST</t>
  </si>
  <si>
    <t>CCRB</t>
  </si>
  <si>
    <t>CJ</t>
  </si>
  <si>
    <t>CLOAK</t>
  </si>
  <si>
    <t>CNT</t>
  </si>
  <si>
    <t>CREVA</t>
  </si>
  <si>
    <t>CRW</t>
  </si>
  <si>
    <t>DCT</t>
  </si>
  <si>
    <t>DGB</t>
  </si>
  <si>
    <t>DGD</t>
  </si>
  <si>
    <t>DIME</t>
  </si>
  <si>
    <t>DRACO</t>
  </si>
  <si>
    <t>DRZ</t>
  </si>
  <si>
    <t>ECN</t>
  </si>
  <si>
    <t>EGC</t>
  </si>
  <si>
    <t>EL</t>
  </si>
  <si>
    <t>ELE</t>
  </si>
  <si>
    <t>ENT</t>
  </si>
  <si>
    <t>FJC</t>
  </si>
  <si>
    <t>FRST</t>
  </si>
  <si>
    <t>GAME</t>
  </si>
  <si>
    <t>GHS</t>
  </si>
  <si>
    <t>GUP</t>
  </si>
  <si>
    <t>HCC</t>
  </si>
  <si>
    <t>HXX</t>
  </si>
  <si>
    <t>ISL</t>
  </si>
  <si>
    <t>KC</t>
  </si>
  <si>
    <t>LEO</t>
  </si>
  <si>
    <t>LEPEN</t>
  </si>
  <si>
    <t>LTCR</t>
  </si>
  <si>
    <t>LTS</t>
  </si>
  <si>
    <t>LUNA</t>
  </si>
  <si>
    <t>LUN</t>
  </si>
  <si>
    <t>MOJO</t>
  </si>
  <si>
    <t>MSCN</t>
  </si>
  <si>
    <t>MUE</t>
  </si>
  <si>
    <t>NOTE</t>
  </si>
  <si>
    <t>OD</t>
  </si>
  <si>
    <t>OTX</t>
  </si>
  <si>
    <t>PIVX</t>
  </si>
  <si>
    <t>POST</t>
  </si>
  <si>
    <t>PRES</t>
  </si>
  <si>
    <t>PROC</t>
  </si>
  <si>
    <t>PSB</t>
  </si>
  <si>
    <t>REE</t>
  </si>
  <si>
    <t>RIDE</t>
  </si>
  <si>
    <t>ROYAL</t>
  </si>
  <si>
    <t>SOAR</t>
  </si>
  <si>
    <t>SONG</t>
  </si>
  <si>
    <t>STEEM</t>
  </si>
  <si>
    <t>SXC</t>
  </si>
  <si>
    <t>TAAS</t>
  </si>
  <si>
    <t>TIME</t>
  </si>
  <si>
    <t>TKN</t>
  </si>
  <si>
    <t>TLE</t>
  </si>
  <si>
    <t>TSE</t>
  </si>
  <si>
    <t>TX</t>
  </si>
  <si>
    <t>U</t>
  </si>
  <si>
    <t>UNC</t>
  </si>
  <si>
    <t>UNY</t>
  </si>
  <si>
    <t>VEC2</t>
  </si>
  <si>
    <t>VRS</t>
  </si>
  <si>
    <t>WINGS</t>
  </si>
  <si>
    <t>XBY</t>
  </si>
  <si>
    <t>XHI</t>
  </si>
  <si>
    <t>XMS</t>
  </si>
  <si>
    <t>XRP</t>
  </si>
  <si>
    <t>XSPEC</t>
  </si>
  <si>
    <t>XTO</t>
  </si>
  <si>
    <t>XVG</t>
  </si>
  <si>
    <t>YOC</t>
  </si>
  <si>
    <t>ZENI</t>
  </si>
  <si>
    <t>007</t>
  </si>
  <si>
    <t>1337</t>
  </si>
  <si>
    <t>1ST</t>
  </si>
  <si>
    <t>2015</t>
  </si>
  <si>
    <t>256</t>
  </si>
  <si>
    <t>2BACCO</t>
  </si>
  <si>
    <t>2GIVE</t>
  </si>
  <si>
    <t>32BIT</t>
  </si>
  <si>
    <t>365</t>
  </si>
  <si>
    <t>404</t>
  </si>
  <si>
    <t>611</t>
  </si>
  <si>
    <t>888</t>
  </si>
  <si>
    <t>8BIT</t>
  </si>
  <si>
    <t>9COIN</t>
  </si>
  <si>
    <t>ABC</t>
  </si>
  <si>
    <t>ABN</t>
  </si>
  <si>
    <t>ABY</t>
  </si>
  <si>
    <t>ACES</t>
  </si>
  <si>
    <t>ACID</t>
  </si>
  <si>
    <t>ACLR</t>
  </si>
  <si>
    <t>ACN</t>
  </si>
  <si>
    <t>ACOIN</t>
  </si>
  <si>
    <t>ACPR</t>
  </si>
  <si>
    <t>ADC</t>
  </si>
  <si>
    <t>AE</t>
  </si>
  <si>
    <t>AECC</t>
  </si>
  <si>
    <t>AEON</t>
  </si>
  <si>
    <t>AIR</t>
  </si>
  <si>
    <t>AL</t>
  </si>
  <si>
    <t>ALC</t>
  </si>
  <si>
    <t>ALEX</t>
  </si>
  <si>
    <t>ALIEN</t>
  </si>
  <si>
    <t>ALL</t>
  </si>
  <si>
    <t>ALT</t>
  </si>
  <si>
    <t>ALTC</t>
  </si>
  <si>
    <t>AMBER</t>
  </si>
  <si>
    <t>AM</t>
  </si>
  <si>
    <t>AMS</t>
  </si>
  <si>
    <t>ANAL</t>
  </si>
  <si>
    <t>ANTI</t>
  </si>
  <si>
    <t>APC</t>
  </si>
  <si>
    <t>APT</t>
  </si>
  <si>
    <t>ARB</t>
  </si>
  <si>
    <t>ARCO</t>
  </si>
  <si>
    <t>ARCX</t>
  </si>
  <si>
    <t>ARDR</t>
  </si>
  <si>
    <t>ARE</t>
  </si>
  <si>
    <t>ARGUS</t>
  </si>
  <si>
    <t>ARH</t>
  </si>
  <si>
    <t>ARM</t>
  </si>
  <si>
    <t>ARPA</t>
  </si>
  <si>
    <t>ARTA</t>
  </si>
  <si>
    <t>ARTC</t>
  </si>
  <si>
    <t>ASAFE</t>
  </si>
  <si>
    <t>ASN</t>
  </si>
  <si>
    <t>AST</t>
  </si>
  <si>
    <t>ATM</t>
  </si>
  <si>
    <t>ATOM</t>
  </si>
  <si>
    <t>ATX</t>
  </si>
  <si>
    <t>AUM</t>
  </si>
  <si>
    <t>AUR</t>
  </si>
  <si>
    <t>AV</t>
  </si>
  <si>
    <t>AVC</t>
  </si>
  <si>
    <t>AXIOM</t>
  </si>
  <si>
    <t>B2</t>
  </si>
  <si>
    <t>B3</t>
  </si>
  <si>
    <t>BAB</t>
  </si>
  <si>
    <t>BA</t>
  </si>
  <si>
    <t>BAC</t>
  </si>
  <si>
    <t>BAM</t>
  </si>
  <si>
    <t>BAN</t>
  </si>
  <si>
    <t>BATL</t>
  </si>
  <si>
    <t>BAY</t>
  </si>
  <si>
    <t>BBCC</t>
  </si>
  <si>
    <t>BCN</t>
  </si>
  <si>
    <t>BCU</t>
  </si>
  <si>
    <t>BDC</t>
  </si>
  <si>
    <t>BEE</t>
  </si>
  <si>
    <t>BEEP</t>
  </si>
  <si>
    <t>BEEZ</t>
  </si>
  <si>
    <t>BERN</t>
  </si>
  <si>
    <t>BEST</t>
  </si>
  <si>
    <t>BIGC</t>
  </si>
  <si>
    <t>BIGUP</t>
  </si>
  <si>
    <t>BILL</t>
  </si>
  <si>
    <t>BIOB</t>
  </si>
  <si>
    <t>BIT16</t>
  </si>
  <si>
    <t>BITB</t>
  </si>
  <si>
    <t>BITCNY</t>
  </si>
  <si>
    <t>BITOK</t>
  </si>
  <si>
    <t>BITON</t>
  </si>
  <si>
    <t>BITS</t>
  </si>
  <si>
    <t>BITZ</t>
  </si>
  <si>
    <t>BIZ</t>
  </si>
  <si>
    <t>BLAZR</t>
  </si>
  <si>
    <t>BLK</t>
  </si>
  <si>
    <t>BLRY</t>
  </si>
  <si>
    <t>BLUS</t>
  </si>
  <si>
    <t>BNB</t>
  </si>
  <si>
    <t>BNT</t>
  </si>
  <si>
    <t>BOD</t>
  </si>
  <si>
    <t>BOLI</t>
  </si>
  <si>
    <t>BOMB</t>
  </si>
  <si>
    <t>BON</t>
  </si>
  <si>
    <t>BOOM</t>
  </si>
  <si>
    <t>BOS</t>
  </si>
  <si>
    <t>BOSON</t>
  </si>
  <si>
    <t>BOSS</t>
  </si>
  <si>
    <t>BOST</t>
  </si>
  <si>
    <t>BOT</t>
  </si>
  <si>
    <t>BPOK</t>
  </si>
  <si>
    <t>BRAIN</t>
  </si>
  <si>
    <t>BRDD</t>
  </si>
  <si>
    <t>BRE</t>
  </si>
  <si>
    <t>BRIT</t>
  </si>
  <si>
    <t>BRONZ</t>
  </si>
  <si>
    <t>BS</t>
  </si>
  <si>
    <t>BSC</t>
  </si>
  <si>
    <t>BSD</t>
  </si>
  <si>
    <t>BSH</t>
  </si>
  <si>
    <t>BSTAR</t>
  </si>
  <si>
    <t>BST</t>
  </si>
  <si>
    <t>BSTK</t>
  </si>
  <si>
    <t>BSTY</t>
  </si>
  <si>
    <t>AGRS</t>
  </si>
  <si>
    <t>ANS</t>
  </si>
  <si>
    <t>ANT</t>
  </si>
  <si>
    <t>APX</t>
  </si>
  <si>
    <t>ARK</t>
  </si>
  <si>
    <t>BAT</t>
  </si>
  <si>
    <t>BLITZ</t>
  </si>
  <si>
    <t>BLOCK</t>
  </si>
  <si>
    <t>BRK</t>
  </si>
  <si>
    <t>BRX</t>
  </si>
  <si>
    <t>BYC</t>
  </si>
  <si>
    <t>CAD</t>
  </si>
  <si>
    <t>CANN</t>
  </si>
  <si>
    <t>CLAM</t>
  </si>
  <si>
    <t>CLUB</t>
  </si>
  <si>
    <t>COVAL</t>
  </si>
  <si>
    <t>CPC</t>
  </si>
  <si>
    <t>CRB</t>
  </si>
  <si>
    <t>CURE</t>
  </si>
  <si>
    <t>DAR</t>
  </si>
  <si>
    <t>DMD</t>
  </si>
  <si>
    <t>DOPE</t>
  </si>
  <si>
    <t>DTB</t>
  </si>
  <si>
    <t>DYN</t>
  </si>
  <si>
    <t>EBST</t>
  </si>
  <si>
    <t>EDG</t>
  </si>
  <si>
    <t>EFL</t>
  </si>
  <si>
    <t>ENRG</t>
  </si>
  <si>
    <t>ERC</t>
  </si>
  <si>
    <t>EXCL</t>
  </si>
  <si>
    <t>EXP</t>
  </si>
  <si>
    <t>FAIR</t>
  </si>
  <si>
    <t>FLDC</t>
  </si>
  <si>
    <t>FLO</t>
  </si>
  <si>
    <t>FTC</t>
  </si>
  <si>
    <t>GAM</t>
  </si>
  <si>
    <t>GBG</t>
  </si>
  <si>
    <t>GBP</t>
  </si>
  <si>
    <t>GBYTE</t>
  </si>
  <si>
    <t>GCR</t>
  </si>
  <si>
    <t>GEO</t>
  </si>
  <si>
    <t>GLD</t>
  </si>
  <si>
    <t>GOLOS</t>
  </si>
  <si>
    <t>GRS</t>
  </si>
  <si>
    <t>HCBTC</t>
  </si>
  <si>
    <t>BTCHC</t>
  </si>
  <si>
    <t>HCLTC</t>
  </si>
  <si>
    <t>HCUSD</t>
  </si>
  <si>
    <t>HKG</t>
  </si>
  <si>
    <t>HMQ</t>
  </si>
  <si>
    <t>INCNT</t>
  </si>
  <si>
    <t>INFX</t>
  </si>
  <si>
    <t>IOC</t>
  </si>
  <si>
    <t>ION</t>
  </si>
  <si>
    <t>IOP</t>
  </si>
  <si>
    <t>JPY</t>
  </si>
  <si>
    <t>JWL</t>
  </si>
  <si>
    <t>KMD</t>
  </si>
  <si>
    <t>KORE</t>
  </si>
  <si>
    <t>LGD</t>
  </si>
  <si>
    <t>LMC</t>
  </si>
  <si>
    <t>MEME</t>
  </si>
  <si>
    <t>MGO</t>
  </si>
  <si>
    <t>MLN</t>
  </si>
  <si>
    <t>MONA</t>
  </si>
  <si>
    <t>MUSIC</t>
  </si>
  <si>
    <t>MYR</t>
  </si>
  <si>
    <t>NAV</t>
  </si>
  <si>
    <t>NBT</t>
  </si>
  <si>
    <t>NEOS</t>
  </si>
  <si>
    <t>NLG</t>
  </si>
  <si>
    <t>NXS</t>
  </si>
  <si>
    <t>OBTC</t>
  </si>
  <si>
    <t>OK</t>
  </si>
  <si>
    <t>OMNI</t>
  </si>
  <si>
    <t>PASC</t>
  </si>
  <si>
    <t>PDC</t>
  </si>
  <si>
    <t>PKB</t>
  </si>
  <si>
    <t>POT</t>
  </si>
  <si>
    <t>PTC</t>
  </si>
  <si>
    <t>QRL</t>
  </si>
  <si>
    <t>QTL</t>
  </si>
  <si>
    <t>QWARK</t>
  </si>
  <si>
    <t>RBTC</t>
  </si>
  <si>
    <t>RBY</t>
  </si>
  <si>
    <t>RDD</t>
  </si>
  <si>
    <t>RISE</t>
  </si>
  <si>
    <t>RLC</t>
  </si>
  <si>
    <t>RYBTC</t>
  </si>
  <si>
    <t>SBD</t>
  </si>
  <si>
    <t>SBTC</t>
  </si>
  <si>
    <t>SDOGE</t>
  </si>
  <si>
    <t>SEC</t>
  </si>
  <si>
    <t>SEQ</t>
  </si>
  <si>
    <t>SHIFT</t>
  </si>
  <si>
    <t>SJCX</t>
  </si>
  <si>
    <t>SLR</t>
  </si>
  <si>
    <t>SLS</t>
  </si>
  <si>
    <t>SLTC</t>
  </si>
  <si>
    <t>SNGLS</t>
  </si>
  <si>
    <t>SNRG</t>
  </si>
  <si>
    <t>SPHR</t>
  </si>
  <si>
    <t>SPR</t>
  </si>
  <si>
    <t>START</t>
  </si>
  <si>
    <t>STRAT</t>
  </si>
  <si>
    <t>SUSD</t>
  </si>
  <si>
    <t>SWIFT</t>
  </si>
  <si>
    <t>SWT</t>
  </si>
  <si>
    <t>SYNX</t>
  </si>
  <si>
    <t>THC</t>
  </si>
  <si>
    <t>TKS</t>
  </si>
  <si>
    <t>TRIG</t>
  </si>
  <si>
    <t>TRST</t>
  </si>
  <si>
    <t>TRUST</t>
  </si>
  <si>
    <t>UAH</t>
  </si>
  <si>
    <t>UBQ</t>
  </si>
  <si>
    <t>UNB</t>
  </si>
  <si>
    <t>UNO</t>
  </si>
  <si>
    <t>VIA</t>
  </si>
  <si>
    <t>VOX</t>
  </si>
  <si>
    <t>VRC</t>
  </si>
  <si>
    <t>VRM</t>
  </si>
  <si>
    <t>VTR</t>
  </si>
  <si>
    <t>XBB</t>
  </si>
  <si>
    <t>XCP</t>
  </si>
  <si>
    <t>XDN</t>
  </si>
  <si>
    <t>XEM</t>
  </si>
  <si>
    <t>XLM</t>
  </si>
  <si>
    <t>XMG</t>
  </si>
  <si>
    <t>XPM</t>
  </si>
  <si>
    <t>XST</t>
  </si>
  <si>
    <t>XWC</t>
  </si>
  <si>
    <t>XZC</t>
  </si>
  <si>
    <t>ZCL</t>
  </si>
  <si>
    <t>ZEN</t>
  </si>
  <si>
    <t>BTD</t>
  </si>
  <si>
    <t>BTLC</t>
  </si>
  <si>
    <t>BTP</t>
  </si>
  <si>
    <t>BTQ</t>
  </si>
  <si>
    <t>BTTF</t>
  </si>
  <si>
    <t>BTU</t>
  </si>
  <si>
    <t>BTX</t>
  </si>
  <si>
    <t>BTZ</t>
  </si>
  <si>
    <t>BUB</t>
  </si>
  <si>
    <t>BUCKS</t>
  </si>
  <si>
    <t>BURN</t>
  </si>
  <si>
    <t>BUZZ</t>
  </si>
  <si>
    <t>BVC</t>
  </si>
  <si>
    <t>BXT</t>
  </si>
  <si>
    <t>C0C0</t>
  </si>
  <si>
    <t>C2</t>
  </si>
  <si>
    <t>CAB</t>
  </si>
  <si>
    <t>CAID</t>
  </si>
  <si>
    <t>CALC</t>
  </si>
  <si>
    <t>CAM</t>
  </si>
  <si>
    <t>CAPT</t>
  </si>
  <si>
    <t>CARBON</t>
  </si>
  <si>
    <t>CB</t>
  </si>
  <si>
    <t>CBD</t>
  </si>
  <si>
    <t>CBX</t>
  </si>
  <si>
    <t>CCB</t>
  </si>
  <si>
    <t>CC</t>
  </si>
  <si>
    <t>CCC</t>
  </si>
  <si>
    <t>CCX</t>
  </si>
  <si>
    <t>CD</t>
  </si>
  <si>
    <t>CESC</t>
  </si>
  <si>
    <t>CF</t>
  </si>
  <si>
    <t>CFC</t>
  </si>
  <si>
    <t>CFI</t>
  </si>
  <si>
    <t>CG</t>
  </si>
  <si>
    <t>CHAT</t>
  </si>
  <si>
    <t>CHEMX</t>
  </si>
  <si>
    <t>CHESS</t>
  </si>
  <si>
    <t>CHIP</t>
  </si>
  <si>
    <t>CHOOF</t>
  </si>
  <si>
    <t>CHRG</t>
  </si>
  <si>
    <t>CIRC</t>
  </si>
  <si>
    <t>CJC</t>
  </si>
  <si>
    <t>CJD</t>
  </si>
  <si>
    <t>CKS</t>
  </si>
  <si>
    <t>CLICK</t>
  </si>
  <si>
    <t>CLINT</t>
  </si>
  <si>
    <t>CLUD</t>
  </si>
  <si>
    <t>CMC</t>
  </si>
  <si>
    <t>CME</t>
  </si>
  <si>
    <t>CMT</t>
  </si>
  <si>
    <t>CNNC</t>
  </si>
  <si>
    <t>COC</t>
  </si>
  <si>
    <t>COIN</t>
  </si>
  <si>
    <t>CON</t>
  </si>
  <si>
    <t>CONX</t>
  </si>
  <si>
    <t>CORAL</t>
  </si>
  <si>
    <t>CORG</t>
  </si>
  <si>
    <t>COV</t>
  </si>
  <si>
    <t>COX</t>
  </si>
  <si>
    <t>COXST</t>
  </si>
  <si>
    <t>CRAB</t>
  </si>
  <si>
    <t>CRAFT</t>
  </si>
  <si>
    <t>CRAVE</t>
  </si>
  <si>
    <t>CRBIT</t>
  </si>
  <si>
    <t>CRC</t>
  </si>
  <si>
    <t>CRE</t>
  </si>
  <si>
    <t>CREDIT</t>
  </si>
  <si>
    <t>CRIME</t>
  </si>
  <si>
    <t>CRNK</t>
  </si>
  <si>
    <t>CRPC</t>
  </si>
  <si>
    <t>CRPS</t>
  </si>
  <si>
    <t>CRX</t>
  </si>
  <si>
    <t>CRY</t>
  </si>
  <si>
    <t>CS</t>
  </si>
  <si>
    <t>CSMIC</t>
  </si>
  <si>
    <t>CST</t>
  </si>
  <si>
    <t>CTIC</t>
  </si>
  <si>
    <t>CTK</t>
  </si>
  <si>
    <t>CTL</t>
  </si>
  <si>
    <t>CTO</t>
  </si>
  <si>
    <t>CUBE</t>
  </si>
  <si>
    <t>CURVES</t>
  </si>
  <si>
    <t>CV2</t>
  </si>
  <si>
    <t>CWXT</t>
  </si>
  <si>
    <t>CXT</t>
  </si>
  <si>
    <t>CYC</t>
  </si>
  <si>
    <t>CYG</t>
  </si>
  <si>
    <t>CYP</t>
  </si>
  <si>
    <t>CYT</t>
  </si>
  <si>
    <t>CZECO</t>
  </si>
  <si>
    <t>DANC</t>
  </si>
  <si>
    <t>ZBC</t>
  </si>
  <si>
    <t>DASHS</t>
  </si>
  <si>
    <t>DB</t>
  </si>
  <si>
    <t>DBG</t>
  </si>
  <si>
    <t>DBIC</t>
  </si>
  <si>
    <t>DBIX</t>
  </si>
  <si>
    <t>DBLK</t>
  </si>
  <si>
    <t>DC</t>
  </si>
  <si>
    <t>DCC</t>
  </si>
  <si>
    <t>DCK</t>
  </si>
  <si>
    <t>DCRE</t>
  </si>
  <si>
    <t>DCYP</t>
  </si>
  <si>
    <t>DDC</t>
  </si>
  <si>
    <t>DEA</t>
  </si>
  <si>
    <t>DEC</t>
  </si>
  <si>
    <t>DECR</t>
  </si>
  <si>
    <t>DEM</t>
  </si>
  <si>
    <t>DES</t>
  </si>
  <si>
    <t>DESH</t>
  </si>
  <si>
    <t>DETH</t>
  </si>
  <si>
    <t>DEUS</t>
  </si>
  <si>
    <t>DFT</t>
  </si>
  <si>
    <t>DGCS</t>
  </si>
  <si>
    <t>DGMS</t>
  </si>
  <si>
    <t>DGORE</t>
  </si>
  <si>
    <t>DIBC</t>
  </si>
  <si>
    <t>DIRT</t>
  </si>
  <si>
    <t>DISK</t>
  </si>
  <si>
    <t>DKC</t>
  </si>
  <si>
    <t>DLC</t>
  </si>
  <si>
    <t>DLISK</t>
  </si>
  <si>
    <t>DMC</t>
  </si>
  <si>
    <t>DOGETH</t>
  </si>
  <si>
    <t>DOLLAR</t>
  </si>
  <si>
    <t>DOV</t>
  </si>
  <si>
    <t>DOX</t>
  </si>
  <si>
    <t>DPAY</t>
  </si>
  <si>
    <t>DRA</t>
  </si>
  <si>
    <t>DRKT</t>
  </si>
  <si>
    <t>DRM8</t>
  </si>
  <si>
    <t>DRM</t>
  </si>
  <si>
    <t>DROP</t>
  </si>
  <si>
    <t>DTT</t>
  </si>
  <si>
    <t>DUB</t>
  </si>
  <si>
    <t>DUO</t>
  </si>
  <si>
    <t>DUST</t>
  </si>
  <si>
    <t>DUX</t>
  </si>
  <si>
    <t>DXC</t>
  </si>
  <si>
    <t>EA</t>
  </si>
  <si>
    <t>EAGS</t>
  </si>
  <si>
    <t>EB3</t>
  </si>
  <si>
    <t>EBONUS</t>
  </si>
  <si>
    <t>EC</t>
  </si>
  <si>
    <t>ECCHI</t>
  </si>
  <si>
    <t>ECD</t>
  </si>
  <si>
    <t>ECLI</t>
  </si>
  <si>
    <t>ECO</t>
  </si>
  <si>
    <t>ECON</t>
  </si>
  <si>
    <t>EDC</t>
  </si>
  <si>
    <t>EDR2</t>
  </si>
  <si>
    <t>EDR</t>
  </si>
  <si>
    <t>EDRC</t>
  </si>
  <si>
    <t>EGG</t>
  </si>
  <si>
    <t>EGO</t>
  </si>
  <si>
    <t>EKO</t>
  </si>
  <si>
    <t>ELCO</t>
  </si>
  <si>
    <t>ELD</t>
  </si>
  <si>
    <t>EMB</t>
  </si>
  <si>
    <t>EMP</t>
  </si>
  <si>
    <t>EMPC</t>
  </si>
  <si>
    <t>ENE</t>
  </si>
  <si>
    <t>ENTER</t>
  </si>
  <si>
    <t>EOC</t>
  </si>
  <si>
    <t>EPC</t>
  </si>
  <si>
    <t>EPY</t>
  </si>
  <si>
    <t>EQM</t>
  </si>
  <si>
    <t>EQUAL</t>
  </si>
  <si>
    <t>ERR</t>
  </si>
  <si>
    <t>ERY</t>
  </si>
  <si>
    <t>ESC</t>
  </si>
  <si>
    <t>ESP</t>
  </si>
  <si>
    <t>ETCO</t>
  </si>
  <si>
    <t>ETHS</t>
  </si>
  <si>
    <t>ETRUST</t>
  </si>
  <si>
    <t>ETX</t>
  </si>
  <si>
    <t>EUC</t>
  </si>
  <si>
    <t>EURC</t>
  </si>
  <si>
    <t>EVA</t>
  </si>
  <si>
    <t>EVIL</t>
  </si>
  <si>
    <t>EVO</t>
  </si>
  <si>
    <t>EXB</t>
  </si>
  <si>
    <t>EXIT</t>
  </si>
  <si>
    <t>EXT</t>
  </si>
  <si>
    <t>F16</t>
  </si>
  <si>
    <t>FADE</t>
  </si>
  <si>
    <t>FAZZ</t>
  </si>
  <si>
    <t>FCASH</t>
  </si>
  <si>
    <t>FCH</t>
  </si>
  <si>
    <t>FCN</t>
  </si>
  <si>
    <t>FCP</t>
  </si>
  <si>
    <t>FFC</t>
  </si>
  <si>
    <t>FGZ</t>
  </si>
  <si>
    <t>FIND</t>
  </si>
  <si>
    <t>FIRE</t>
  </si>
  <si>
    <t>FIRST</t>
  </si>
  <si>
    <t>FIST</t>
  </si>
  <si>
    <t>FIT</t>
  </si>
  <si>
    <t>FLVR</t>
  </si>
  <si>
    <t>FLX</t>
  </si>
  <si>
    <t>FLY</t>
  </si>
  <si>
    <t>FNC</t>
  </si>
  <si>
    <t>FONZ</t>
  </si>
  <si>
    <t>FOREX</t>
  </si>
  <si>
    <t>FORTYTWO</t>
  </si>
  <si>
    <t>FRDC</t>
  </si>
  <si>
    <t>FRE</t>
  </si>
  <si>
    <t>FRK</t>
  </si>
  <si>
    <t>FRN</t>
  </si>
  <si>
    <t>FRWC</t>
  </si>
  <si>
    <t>FSN</t>
  </si>
  <si>
    <t>FST</t>
  </si>
  <si>
    <t>FUNC</t>
  </si>
  <si>
    <t>FURY</t>
  </si>
  <si>
    <t>FUTC</t>
  </si>
  <si>
    <t>FUZZ</t>
  </si>
  <si>
    <t>FX</t>
  </si>
  <si>
    <t>G1TAO</t>
  </si>
  <si>
    <t>GABC</t>
  </si>
  <si>
    <t>GAC</t>
  </si>
  <si>
    <t>GACC</t>
  </si>
  <si>
    <t>GAIN</t>
  </si>
  <si>
    <t>GAKH</t>
  </si>
  <si>
    <t>GARY</t>
  </si>
  <si>
    <t>GBC</t>
  </si>
  <si>
    <t>GBD</t>
  </si>
  <si>
    <t>GBIT</t>
  </si>
  <si>
    <t>GBRC</t>
  </si>
  <si>
    <t>GBT</t>
  </si>
  <si>
    <t>GCC</t>
  </si>
  <si>
    <t>GE</t>
  </si>
  <si>
    <t>GEN</t>
  </si>
  <si>
    <t>GENE</t>
  </si>
  <si>
    <t>GENIUS</t>
  </si>
  <si>
    <t>GIFT</t>
  </si>
  <si>
    <t>GIG</t>
  </si>
  <si>
    <t>GIZ</t>
  </si>
  <si>
    <t>GLC</t>
  </si>
  <si>
    <t>GLO</t>
  </si>
  <si>
    <t>GLTC</t>
  </si>
  <si>
    <t>GLUCK</t>
  </si>
  <si>
    <t>GMCX</t>
  </si>
  <si>
    <t>GML</t>
  </si>
  <si>
    <t>GMX</t>
  </si>
  <si>
    <t>GOAT</t>
  </si>
  <si>
    <t>GO</t>
  </si>
  <si>
    <t>GOON</t>
  </si>
  <si>
    <t>GOT</t>
  </si>
  <si>
    <t>GOTX</t>
  </si>
  <si>
    <t>GP</t>
  </si>
  <si>
    <t>GPU</t>
  </si>
  <si>
    <t>GRAM</t>
  </si>
  <si>
    <t>GRAV</t>
  </si>
  <si>
    <t>GRE</t>
  </si>
  <si>
    <t>GREED</t>
  </si>
  <si>
    <t>GREENF</t>
  </si>
  <si>
    <t>GREXIT</t>
  </si>
  <si>
    <t>GRF</t>
  </si>
  <si>
    <t>GROW</t>
  </si>
  <si>
    <t>GSM</t>
  </si>
  <si>
    <t>GSX</t>
  </si>
  <si>
    <t>GSY</t>
  </si>
  <si>
    <t>GT</t>
  </si>
  <si>
    <t>GTFO</t>
  </si>
  <si>
    <t>GUC</t>
  </si>
  <si>
    <t>GUM</t>
  </si>
  <si>
    <t>GYC</t>
  </si>
  <si>
    <t>HALLO</t>
  </si>
  <si>
    <t>HAMS</t>
  </si>
  <si>
    <t>HAWK</t>
  </si>
  <si>
    <t>HAZE</t>
  </si>
  <si>
    <t>HEAT</t>
  </si>
  <si>
    <t>HEDG</t>
  </si>
  <si>
    <t>HEEL</t>
  </si>
  <si>
    <t>HIFUN</t>
  </si>
  <si>
    <t>HILL</t>
  </si>
  <si>
    <t>HIRE</t>
  </si>
  <si>
    <t>HMP</t>
  </si>
  <si>
    <t>HNC</t>
  </si>
  <si>
    <t>HODL</t>
  </si>
  <si>
    <t>HPC</t>
  </si>
  <si>
    <t>HSP</t>
  </si>
  <si>
    <t>HTC</t>
  </si>
  <si>
    <t>HTML5</t>
  </si>
  <si>
    <t>HTS</t>
  </si>
  <si>
    <t>HVCO</t>
  </si>
  <si>
    <t>HZT</t>
  </si>
  <si>
    <t>IBANK</t>
  </si>
  <si>
    <t>IBC</t>
  </si>
  <si>
    <t>IBITS</t>
  </si>
  <si>
    <t>ICASH</t>
  </si>
  <si>
    <t>ICOB</t>
  </si>
  <si>
    <t>ICON</t>
  </si>
  <si>
    <t>IEC</t>
  </si>
  <si>
    <t>IFLT</t>
  </si>
  <si>
    <t>ILC</t>
  </si>
  <si>
    <t>ILM</t>
  </si>
  <si>
    <t>IMPS</t>
  </si>
  <si>
    <t>IMS</t>
  </si>
  <si>
    <t>IN</t>
  </si>
  <si>
    <t>INC</t>
  </si>
  <si>
    <t>INCP</t>
  </si>
  <si>
    <t>INSANE</t>
  </si>
  <si>
    <t>INSN</t>
  </si>
  <si>
    <t>INV</t>
  </si>
  <si>
    <t>IOT</t>
  </si>
  <si>
    <t>IVZ</t>
  </si>
  <si>
    <t>IW</t>
  </si>
  <si>
    <t>IXC</t>
  </si>
  <si>
    <t>JACK</t>
  </si>
  <si>
    <t>JANE</t>
  </si>
  <si>
    <t>JIF</t>
  </si>
  <si>
    <t>JIO</t>
  </si>
  <si>
    <t>JNS</t>
  </si>
  <si>
    <t>JOBS</t>
  </si>
  <si>
    <t>JOK</t>
  </si>
  <si>
    <t>JPC</t>
  </si>
  <si>
    <t>JW</t>
  </si>
  <si>
    <t>KARMA</t>
  </si>
  <si>
    <t>KASHH</t>
  </si>
  <si>
    <t>KAT</t>
  </si>
  <si>
    <t>KCD</t>
  </si>
  <si>
    <t>KGC</t>
  </si>
  <si>
    <t>KIDS</t>
  </si>
  <si>
    <t>KLC</t>
  </si>
  <si>
    <t>KOBO</t>
  </si>
  <si>
    <t>KPL</t>
  </si>
  <si>
    <t>KRAK</t>
  </si>
  <si>
    <t>KRB</t>
  </si>
  <si>
    <t>KR</t>
  </si>
  <si>
    <t>KRC</t>
  </si>
  <si>
    <t>KTK</t>
  </si>
  <si>
    <t>KUBO</t>
  </si>
  <si>
    <t>KURT</t>
  </si>
  <si>
    <t>KUSH</t>
  </si>
  <si>
    <t>L7S</t>
  </si>
  <si>
    <t>LANA</t>
  </si>
  <si>
    <t>LAZ</t>
  </si>
  <si>
    <t>LC</t>
  </si>
  <si>
    <t>LDC</t>
  </si>
  <si>
    <t>LDCN</t>
  </si>
  <si>
    <t>LDOGE</t>
  </si>
  <si>
    <t>LEA</t>
  </si>
  <si>
    <t>LEAF</t>
  </si>
  <si>
    <t>LENIN</t>
  </si>
  <si>
    <t>LGBTQ</t>
  </si>
  <si>
    <t>LHC</t>
  </si>
  <si>
    <t>LIMX</t>
  </si>
  <si>
    <t>LIR</t>
  </si>
  <si>
    <t>LIV</t>
  </si>
  <si>
    <t>LIZI</t>
  </si>
  <si>
    <t>LKC</t>
  </si>
  <si>
    <t>LOC</t>
  </si>
  <si>
    <t>LOG</t>
  </si>
  <si>
    <t>LOOK</t>
  </si>
  <si>
    <t>LOOT</t>
  </si>
  <si>
    <t>LSD</t>
  </si>
  <si>
    <t>LTD</t>
  </si>
  <si>
    <t>LTH</t>
  </si>
  <si>
    <t>LUCKY</t>
  </si>
  <si>
    <t>LUMI</t>
  </si>
  <si>
    <t>LUX</t>
  </si>
  <si>
    <t>LVG</t>
  </si>
  <si>
    <t>LVPS</t>
  </si>
  <si>
    <t>M1</t>
  </si>
  <si>
    <t>MAD</t>
  </si>
  <si>
    <t>MALC</t>
  </si>
  <si>
    <t>MAPC</t>
  </si>
  <si>
    <t>MARV</t>
  </si>
  <si>
    <t>MARX</t>
  </si>
  <si>
    <t>MAT</t>
  </si>
  <si>
    <t>MAVRO</t>
  </si>
  <si>
    <t>MAY</t>
  </si>
  <si>
    <t>MAZE</t>
  </si>
  <si>
    <t>MBIT</t>
  </si>
  <si>
    <t>MBL</t>
  </si>
  <si>
    <t>MCAP</t>
  </si>
  <si>
    <t>MCAR</t>
  </si>
  <si>
    <t>MCO</t>
  </si>
  <si>
    <t>MCOIN</t>
  </si>
  <si>
    <t>MCRN</t>
  </si>
  <si>
    <t>MDT</t>
  </si>
  <si>
    <t>MENTAL</t>
  </si>
  <si>
    <t>MERGEC</t>
  </si>
  <si>
    <t>METAL</t>
  </si>
  <si>
    <t>MI</t>
  </si>
  <si>
    <t>MID</t>
  </si>
  <si>
    <t>MILO</t>
  </si>
  <si>
    <t>MIS</t>
  </si>
  <si>
    <t>MIU</t>
  </si>
  <si>
    <t>MLITE</t>
  </si>
  <si>
    <t>MLNC</t>
  </si>
  <si>
    <t>MM</t>
  </si>
  <si>
    <t>MMXVI</t>
  </si>
  <si>
    <t>MND</t>
  </si>
  <si>
    <t>MNE</t>
  </si>
  <si>
    <t>MNM</t>
  </si>
  <si>
    <t>MONETA</t>
  </si>
  <si>
    <t>MONEY</t>
  </si>
  <si>
    <t>MOON</t>
  </si>
  <si>
    <t>MOOND</t>
  </si>
  <si>
    <t>MOTO</t>
  </si>
  <si>
    <t>MPRO</t>
  </si>
  <si>
    <t>MRB</t>
  </si>
  <si>
    <t>MRP</t>
  </si>
  <si>
    <t>MST</t>
  </si>
  <si>
    <t>MTLMC3</t>
  </si>
  <si>
    <t>MUU</t>
  </si>
  <si>
    <t>MVR</t>
  </si>
  <si>
    <t>MXT</t>
  </si>
  <si>
    <t>MYSTIC</t>
  </si>
  <si>
    <t>N2O</t>
  </si>
  <si>
    <t>N7</t>
  </si>
  <si>
    <t>NANAS</t>
  </si>
  <si>
    <t>NANOX</t>
  </si>
  <si>
    <t>NAT</t>
  </si>
  <si>
    <t>NBIT</t>
  </si>
  <si>
    <t>NDOGE</t>
  </si>
  <si>
    <t>NEBU</t>
  </si>
  <si>
    <t>NEF</t>
  </si>
  <si>
    <t>NETC</t>
  </si>
  <si>
    <t>NETKO</t>
  </si>
  <si>
    <t>NEVA</t>
  </si>
  <si>
    <t>NEWB</t>
  </si>
  <si>
    <t>NIC</t>
  </si>
  <si>
    <t>NICE</t>
  </si>
  <si>
    <t>NIXON</t>
  </si>
  <si>
    <t>NKA</t>
  </si>
  <si>
    <t>NKC</t>
  </si>
  <si>
    <t>NKT</t>
  </si>
  <si>
    <t>NLC2</t>
  </si>
  <si>
    <t>NOC</t>
  </si>
  <si>
    <t>NODC</t>
  </si>
  <si>
    <t>NODES</t>
  </si>
  <si>
    <t>NODX</t>
  </si>
  <si>
    <t>NOO</t>
  </si>
  <si>
    <t>NPC</t>
  </si>
  <si>
    <t>NRC</t>
  </si>
  <si>
    <t>NTCC</t>
  </si>
  <si>
    <t>NTRN</t>
  </si>
  <si>
    <t>NUBIS</t>
  </si>
  <si>
    <t>NUKE</t>
  </si>
  <si>
    <t>NUM</t>
  </si>
  <si>
    <t>NXE</t>
  </si>
  <si>
    <t>NZC</t>
  </si>
  <si>
    <t>OBITS</t>
  </si>
  <si>
    <t>OBS</t>
  </si>
  <si>
    <t>OCOW</t>
  </si>
  <si>
    <t>ODD</t>
  </si>
  <si>
    <t>ODNT</t>
  </si>
  <si>
    <t>OLYMP</t>
  </si>
  <si>
    <t>OMA</t>
  </si>
  <si>
    <t>OMC</t>
  </si>
  <si>
    <t>OMG</t>
  </si>
  <si>
    <t>ONX</t>
  </si>
  <si>
    <t>OPAL</t>
  </si>
  <si>
    <t>OP</t>
  </si>
  <si>
    <t>OPES</t>
  </si>
  <si>
    <t>OPNC</t>
  </si>
  <si>
    <t>OPTION</t>
  </si>
  <si>
    <t>ORLY</t>
  </si>
  <si>
    <t>ORO</t>
  </si>
  <si>
    <t>OS76</t>
  </si>
  <si>
    <t>OZC</t>
  </si>
  <si>
    <t>P7C</t>
  </si>
  <si>
    <t>PAC</t>
  </si>
  <si>
    <t>PAK</t>
  </si>
  <si>
    <t>PAL</t>
  </si>
  <si>
    <t>PARA</t>
  </si>
  <si>
    <t>PARTY</t>
  </si>
  <si>
    <t>PAY</t>
  </si>
  <si>
    <t>PAYP</t>
  </si>
  <si>
    <t>PCM</t>
  </si>
  <si>
    <t>PCS</t>
  </si>
  <si>
    <t>PCSH</t>
  </si>
  <si>
    <t>PEN</t>
  </si>
  <si>
    <t>PEO</t>
  </si>
  <si>
    <t>PEX</t>
  </si>
  <si>
    <t>PHR</t>
  </si>
  <si>
    <t>PIE</t>
  </si>
  <si>
    <t>PINKX</t>
  </si>
  <si>
    <t>PIO</t>
  </si>
  <si>
    <t>PIPR</t>
  </si>
  <si>
    <t>PIZZA</t>
  </si>
  <si>
    <t>PLANET</t>
  </si>
  <si>
    <t>PLBT</t>
  </si>
  <si>
    <t>PLNC</t>
  </si>
  <si>
    <t>PLU</t>
  </si>
  <si>
    <t>PNC</t>
  </si>
  <si>
    <t>PND</t>
  </si>
  <si>
    <t>PNK</t>
  </si>
  <si>
    <t>POKE</t>
  </si>
  <si>
    <t>POLY</t>
  </si>
  <si>
    <t>PONZ2</t>
  </si>
  <si>
    <t>PONZI</t>
  </si>
  <si>
    <t>POSWCR</t>
  </si>
  <si>
    <t>POWER</t>
  </si>
  <si>
    <t>PRC</t>
  </si>
  <si>
    <t>PRE</t>
  </si>
  <si>
    <t>PRIME</t>
  </si>
  <si>
    <t>PRM</t>
  </si>
  <si>
    <t>PRX</t>
  </si>
  <si>
    <t>PSI</t>
  </si>
  <si>
    <t>PSY</t>
  </si>
  <si>
    <t>PTA</t>
  </si>
  <si>
    <t>PTOY</t>
  </si>
  <si>
    <t>PTY</t>
  </si>
  <si>
    <t>PULSE</t>
  </si>
  <si>
    <t>PUPA</t>
  </si>
  <si>
    <t>PURE</t>
  </si>
  <si>
    <t>PUT</t>
  </si>
  <si>
    <t>PUTIN</t>
  </si>
  <si>
    <t>PWR</t>
  </si>
  <si>
    <t>PX</t>
  </si>
  <si>
    <t>PXI</t>
  </si>
  <si>
    <t>PXL</t>
  </si>
  <si>
    <t>QAU</t>
  </si>
  <si>
    <t>QBC</t>
  </si>
  <si>
    <t>QCN</t>
  </si>
  <si>
    <t>QRZ</t>
  </si>
  <si>
    <t>QTZ</t>
  </si>
  <si>
    <t>RAD</t>
  </si>
  <si>
    <t>RADI</t>
  </si>
  <si>
    <t>RATIO</t>
  </si>
  <si>
    <t>RBIT</t>
  </si>
  <si>
    <t>RBT</t>
  </si>
  <si>
    <t>RCN</t>
  </si>
  <si>
    <t>RCX</t>
  </si>
  <si>
    <t>REV</t>
  </si>
  <si>
    <t>RHFC</t>
  </si>
  <si>
    <t>RICE</t>
  </si>
  <si>
    <t>RICHX</t>
  </si>
  <si>
    <t>RING</t>
  </si>
  <si>
    <t>RIO</t>
  </si>
  <si>
    <t>RLT</t>
  </si>
  <si>
    <t>RMS</t>
  </si>
  <si>
    <t>RNC</t>
  </si>
  <si>
    <t>RONIN</t>
  </si>
  <si>
    <t>ROS</t>
  </si>
  <si>
    <t>RPC</t>
  </si>
  <si>
    <t>RRT</t>
  </si>
  <si>
    <t>RUBIT</t>
  </si>
  <si>
    <t>RUST</t>
  </si>
  <si>
    <t>RYCN</t>
  </si>
  <si>
    <t>SAK</t>
  </si>
  <si>
    <t>SANDG</t>
  </si>
  <si>
    <t>SBIT</t>
  </si>
  <si>
    <t>SCAN</t>
  </si>
  <si>
    <t>SCASH</t>
  </si>
  <si>
    <t>SCITW</t>
  </si>
  <si>
    <t>SCRPT</t>
  </si>
  <si>
    <t>SCRT</t>
  </si>
  <si>
    <t>SCS</t>
  </si>
  <si>
    <t>SCT</t>
  </si>
  <si>
    <t>SDC</t>
  </si>
  <si>
    <t>SDP</t>
  </si>
  <si>
    <t>SED</t>
  </si>
  <si>
    <t>SEEDS</t>
  </si>
  <si>
    <t>SEN</t>
  </si>
  <si>
    <t>SEV</t>
  </si>
  <si>
    <t>SFE</t>
  </si>
  <si>
    <t>SFT</t>
  </si>
  <si>
    <t>SH</t>
  </si>
  <si>
    <t>SHELL</t>
  </si>
  <si>
    <t>SHORTY</t>
  </si>
  <si>
    <t>SHREK</t>
  </si>
  <si>
    <t>SHRM</t>
  </si>
  <si>
    <t>SIC</t>
  </si>
  <si>
    <t>SIGU</t>
  </si>
  <si>
    <t>SIX</t>
  </si>
  <si>
    <t>SJW</t>
  </si>
  <si>
    <t>SKB</t>
  </si>
  <si>
    <t>SLFI</t>
  </si>
  <si>
    <t>SLING</t>
  </si>
  <si>
    <t>SMBR</t>
  </si>
  <si>
    <t>SMC</t>
  </si>
  <si>
    <t>SMF</t>
  </si>
  <si>
    <t>SMSR</t>
  </si>
  <si>
    <t>SOLO</t>
  </si>
  <si>
    <t>SOUL</t>
  </si>
  <si>
    <t>SPACE</t>
  </si>
  <si>
    <t>SP</t>
  </si>
  <si>
    <t>SPC</t>
  </si>
  <si>
    <t>SPEC</t>
  </si>
  <si>
    <t>SPEX</t>
  </si>
  <si>
    <t>SPKTR</t>
  </si>
  <si>
    <t>SPM</t>
  </si>
  <si>
    <t>SPORT</t>
  </si>
  <si>
    <t>SPT</t>
  </si>
  <si>
    <t>SPX</t>
  </si>
  <si>
    <t>SQL</t>
  </si>
  <si>
    <t>SRND</t>
  </si>
  <si>
    <t>SSC</t>
  </si>
  <si>
    <t>SSTC</t>
  </si>
  <si>
    <t>SSUC</t>
  </si>
  <si>
    <t>STA</t>
  </si>
  <si>
    <t>STALIN</t>
  </si>
  <si>
    <t>STAR</t>
  </si>
  <si>
    <t>STEPS</t>
  </si>
  <si>
    <t>STHR</t>
  </si>
  <si>
    <t>STK</t>
  </si>
  <si>
    <t>STO</t>
  </si>
  <si>
    <t>STONK</t>
  </si>
  <si>
    <t>STP</t>
  </si>
  <si>
    <t>STPC</t>
  </si>
  <si>
    <t>STRB</t>
  </si>
  <si>
    <t>STRP</t>
  </si>
  <si>
    <t>STS</t>
  </si>
  <si>
    <t>STV</t>
  </si>
  <si>
    <t>SUB</t>
  </si>
  <si>
    <t>SUPER</t>
  </si>
  <si>
    <t>SVC</t>
  </si>
  <si>
    <t>SWCO</t>
  </si>
  <si>
    <t>SWEET</t>
  </si>
  <si>
    <t>SWING</t>
  </si>
  <si>
    <t>TAB</t>
  </si>
  <si>
    <t>TAGR</t>
  </si>
  <si>
    <t>TAJ</t>
  </si>
  <si>
    <t>TAK</t>
  </si>
  <si>
    <t>TAKE</t>
  </si>
  <si>
    <t>TALK</t>
  </si>
  <si>
    <t>TAM</t>
  </si>
  <si>
    <t>TAO</t>
  </si>
  <si>
    <t>TAP</t>
  </si>
  <si>
    <t>TB</t>
  </si>
  <si>
    <t>TBCX</t>
  </si>
  <si>
    <t>TCASH</t>
  </si>
  <si>
    <t>TCN</t>
  </si>
  <si>
    <t>TCOIN</t>
  </si>
  <si>
    <t>TCR</t>
  </si>
  <si>
    <t>TCX</t>
  </si>
  <si>
    <t>TDFB</t>
  </si>
  <si>
    <t>TEAM</t>
  </si>
  <si>
    <t>TEC</t>
  </si>
  <si>
    <t>TECH</t>
  </si>
  <si>
    <t>TEK</t>
  </si>
  <si>
    <t>TELL</t>
  </si>
  <si>
    <t>TENNET</t>
  </si>
  <si>
    <t>TERA</t>
  </si>
  <si>
    <t>TERRA</t>
  </si>
  <si>
    <t>TES</t>
  </si>
  <si>
    <t>TESLA</t>
  </si>
  <si>
    <t>THOM</t>
  </si>
  <si>
    <t>THS</t>
  </si>
  <si>
    <t>TIA</t>
  </si>
  <si>
    <t>TIDE</t>
  </si>
  <si>
    <t>TIT</t>
  </si>
  <si>
    <t>TLEX</t>
  </si>
  <si>
    <t>TMRW</t>
  </si>
  <si>
    <t>TNG</t>
  </si>
  <si>
    <t>TODAY</t>
  </si>
  <si>
    <t>TOKEN</t>
  </si>
  <si>
    <t>TOOL</t>
  </si>
  <si>
    <t>TOR</t>
  </si>
  <si>
    <t>TOT</t>
  </si>
  <si>
    <t>TP1</t>
  </si>
  <si>
    <t>TPG</t>
  </si>
  <si>
    <t>TRA</t>
  </si>
  <si>
    <t>TRANSF</t>
  </si>
  <si>
    <t>TRAP</t>
  </si>
  <si>
    <t>TRC</t>
  </si>
  <si>
    <t>TRICK</t>
  </si>
  <si>
    <t>TRON</t>
  </si>
  <si>
    <t>TSC</t>
  </si>
  <si>
    <t>TTC</t>
  </si>
  <si>
    <t>TUR</t>
  </si>
  <si>
    <t>TWERK</t>
  </si>
  <si>
    <t>TWIST</t>
  </si>
  <si>
    <t>TWO</t>
  </si>
  <si>
    <t>UAE</t>
  </si>
  <si>
    <t>UBIQ</t>
  </si>
  <si>
    <t>UIS</t>
  </si>
  <si>
    <t>UNF</t>
  </si>
  <si>
    <t>UNI</t>
  </si>
  <si>
    <t>UNIT</t>
  </si>
  <si>
    <t>UNITS</t>
  </si>
  <si>
    <t>UNRC</t>
  </si>
  <si>
    <t>URC</t>
  </si>
  <si>
    <t>URO</t>
  </si>
  <si>
    <t>USC</t>
  </si>
  <si>
    <t>UTA</t>
  </si>
  <si>
    <t>UTLE</t>
  </si>
  <si>
    <t>UXC</t>
  </si>
  <si>
    <t>VAL</t>
  </si>
  <si>
    <t>VAPOR</t>
  </si>
  <si>
    <t>VCOIN</t>
  </si>
  <si>
    <t>VEC</t>
  </si>
  <si>
    <t>VEG</t>
  </si>
  <si>
    <t>VENE</t>
  </si>
  <si>
    <t>VERS</t>
  </si>
  <si>
    <t>VIDZ</t>
  </si>
  <si>
    <t>VIP</t>
  </si>
  <si>
    <t>VISIO</t>
  </si>
  <si>
    <t>VLT</t>
  </si>
  <si>
    <t>VLTC</t>
  </si>
  <si>
    <t>VNTX</t>
  </si>
  <si>
    <t>VOL</t>
  </si>
  <si>
    <t>VOLT</t>
  </si>
  <si>
    <t>VOYA</t>
  </si>
  <si>
    <t>VPN</t>
  </si>
  <si>
    <t>VPRC</t>
  </si>
  <si>
    <t>VSL</t>
  </si>
  <si>
    <t>VTA</t>
  </si>
  <si>
    <t>VTL</t>
  </si>
  <si>
    <t>VTN</t>
  </si>
  <si>
    <t>VTX</t>
  </si>
  <si>
    <t>VTY</t>
  </si>
  <si>
    <t>WA</t>
  </si>
  <si>
    <t>WAD</t>
  </si>
  <si>
    <t>WARP</t>
  </si>
  <si>
    <t>WASH</t>
  </si>
  <si>
    <t>WAY</t>
  </si>
  <si>
    <t>WBB</t>
  </si>
  <si>
    <t>WCN</t>
  </si>
  <si>
    <t>WEALTH</t>
  </si>
  <si>
    <t>WEX</t>
  </si>
  <si>
    <t>WINE</t>
  </si>
  <si>
    <t>WISC</t>
  </si>
  <si>
    <t>WITCH</t>
  </si>
  <si>
    <t>WMC</t>
  </si>
  <si>
    <t>WOP</t>
  </si>
  <si>
    <t>WTT</t>
  </si>
  <si>
    <t>X2</t>
  </si>
  <si>
    <t>X2C</t>
  </si>
  <si>
    <t>XAU</t>
  </si>
  <si>
    <t>XAV</t>
  </si>
  <si>
    <t>XB</t>
  </si>
  <si>
    <t>XBD</t>
  </si>
  <si>
    <t>XBG</t>
  </si>
  <si>
    <t>XBP</t>
  </si>
  <si>
    <t>XBS</t>
  </si>
  <si>
    <t>XBTC21</t>
  </si>
  <si>
    <t>XBTS</t>
  </si>
  <si>
    <t>XBU</t>
  </si>
  <si>
    <t>XCE</t>
  </si>
  <si>
    <t>XCO</t>
  </si>
  <si>
    <t>XCRE</t>
  </si>
  <si>
    <t>XDB</t>
  </si>
  <si>
    <t>XDE2</t>
  </si>
  <si>
    <t>XDE</t>
  </si>
  <si>
    <t>XDG</t>
  </si>
  <si>
    <t>XDNCO</t>
  </si>
  <si>
    <t>XFC</t>
  </si>
  <si>
    <t>XFCX</t>
  </si>
  <si>
    <t>XGB</t>
  </si>
  <si>
    <t>XID</t>
  </si>
  <si>
    <t>XIN</t>
  </si>
  <si>
    <t>XJO</t>
  </si>
  <si>
    <t>XLC</t>
  </si>
  <si>
    <t>XLTCG</t>
  </si>
  <si>
    <t>XMINE</t>
  </si>
  <si>
    <t>XMT</t>
  </si>
  <si>
    <t>XNC</t>
  </si>
  <si>
    <t>XNG</t>
  </si>
  <si>
    <t>XNX</t>
  </si>
  <si>
    <t>XOC</t>
  </si>
  <si>
    <t>XODUS</t>
  </si>
  <si>
    <t>XON</t>
  </si>
  <si>
    <t>XOT</t>
  </si>
  <si>
    <t>XPC</t>
  </si>
  <si>
    <t>XPD</t>
  </si>
  <si>
    <t>XPO</t>
  </si>
  <si>
    <t>XPRO</t>
  </si>
  <si>
    <t>XPS</t>
  </si>
  <si>
    <t>XPTX</t>
  </si>
  <si>
    <t>XPY</t>
  </si>
  <si>
    <t>XQN</t>
  </si>
  <si>
    <t>XRA</t>
  </si>
  <si>
    <t>XRC</t>
  </si>
  <si>
    <t>XSP</t>
  </si>
  <si>
    <t>XSSX</t>
  </si>
  <si>
    <t>XSY</t>
  </si>
  <si>
    <t>XT</t>
  </si>
  <si>
    <t>XTP</t>
  </si>
  <si>
    <t>XTR</t>
  </si>
  <si>
    <t>XUP</t>
  </si>
  <si>
    <t>XVE</t>
  </si>
  <si>
    <t>XVS</t>
  </si>
  <si>
    <t>XZA</t>
  </si>
  <si>
    <t>YAC</t>
  </si>
  <si>
    <t>YAY</t>
  </si>
  <si>
    <t>YBC</t>
  </si>
  <si>
    <t>YES</t>
  </si>
  <si>
    <t>YMC</t>
  </si>
  <si>
    <t>YOG</t>
  </si>
  <si>
    <t>YOVI</t>
  </si>
  <si>
    <t>ZAP</t>
  </si>
  <si>
    <t>ZBCN</t>
  </si>
  <si>
    <t>ZCOIN</t>
  </si>
  <si>
    <t>ZECD</t>
  </si>
  <si>
    <t>ZEIT</t>
  </si>
  <si>
    <t>ZET2</t>
  </si>
  <si>
    <t>ZET</t>
  </si>
  <si>
    <t>ZIRK</t>
  </si>
  <si>
    <t>ZLQ</t>
  </si>
  <si>
    <t>ZMC</t>
  </si>
  <si>
    <t>ZNE</t>
  </si>
  <si>
    <t>ZNY</t>
  </si>
  <si>
    <t>ZOOM</t>
  </si>
  <si>
    <t>ZRC</t>
  </si>
  <si>
    <t>ZUR</t>
  </si>
  <si>
    <t>ZYD</t>
  </si>
  <si>
    <t>1ST_BTC</t>
  </si>
  <si>
    <t>1ST_USD</t>
  </si>
  <si>
    <t>1ST_LTC</t>
  </si>
  <si>
    <t>1ST_DOGE</t>
  </si>
  <si>
    <t>1ST_ETH</t>
  </si>
  <si>
    <t>1ST_EUR</t>
  </si>
  <si>
    <t>1ST_RUR</t>
  </si>
  <si>
    <t>1ST_DASH</t>
  </si>
  <si>
    <t>1ST_XMR</t>
  </si>
  <si>
    <t>1ST_ETC</t>
  </si>
  <si>
    <t>1ST_POSW</t>
  </si>
  <si>
    <t>1ST_USDT</t>
  </si>
  <si>
    <t>1ST_ZEC</t>
  </si>
  <si>
    <t>1ST_NXT</t>
  </si>
  <si>
    <t>1ST_REP</t>
  </si>
  <si>
    <t>BTC_1ST</t>
  </si>
  <si>
    <t>USD_1ST</t>
  </si>
  <si>
    <t>LTC_1ST</t>
  </si>
  <si>
    <t>DOGE_1ST</t>
  </si>
  <si>
    <t>ETH_1ST</t>
  </si>
  <si>
    <t>EUR_1ST</t>
  </si>
  <si>
    <t>RUR_1ST</t>
  </si>
  <si>
    <t>DASH_1ST</t>
  </si>
  <si>
    <t>XMR_1ST</t>
  </si>
  <si>
    <t>ETC_1ST</t>
  </si>
  <si>
    <t>POSW_1ST</t>
  </si>
  <si>
    <t>USDT_1ST</t>
  </si>
  <si>
    <t>ZEC_1ST</t>
  </si>
  <si>
    <t>NXT_1ST</t>
  </si>
  <si>
    <t>REP_1ST</t>
  </si>
  <si>
    <t>2GIVE_BTC</t>
  </si>
  <si>
    <t>2GIVE_USD</t>
  </si>
  <si>
    <t>2GIVE_LTC</t>
  </si>
  <si>
    <t>2GIVE_DOGE</t>
  </si>
  <si>
    <t>2GIVE_ETH</t>
  </si>
  <si>
    <t>2GIVE_EUR</t>
  </si>
  <si>
    <t>2GIVE_RUR</t>
  </si>
  <si>
    <t>2GIVE_DASH</t>
  </si>
  <si>
    <t>2GIVE_XMR</t>
  </si>
  <si>
    <t>2GIVE_ETC</t>
  </si>
  <si>
    <t>2GIVE_POSW</t>
  </si>
  <si>
    <t>2GIVE_USDT</t>
  </si>
  <si>
    <t>2GIVE_ZEC</t>
  </si>
  <si>
    <t>2GIVE_NXT</t>
  </si>
  <si>
    <t>2GIVE_REP</t>
  </si>
  <si>
    <t>BTC_2GIVE</t>
  </si>
  <si>
    <t>USD_2GIVE</t>
  </si>
  <si>
    <t>LTC_2GIVE</t>
  </si>
  <si>
    <t>DOGE_2GIVE</t>
  </si>
  <si>
    <t>ETH_2GIVE</t>
  </si>
  <si>
    <t>EUR_2GIVE</t>
  </si>
  <si>
    <t>RUR_2GIVE</t>
  </si>
  <si>
    <t>DASH_2GIVE</t>
  </si>
  <si>
    <t>XMR_2GIVE</t>
  </si>
  <si>
    <t>ETC_2GIVE</t>
  </si>
  <si>
    <t>POSW_2GIVE</t>
  </si>
  <si>
    <t>USDT_2GIVE</t>
  </si>
  <si>
    <t>ZEC_2GIVE</t>
  </si>
  <si>
    <t>NXT_2GIVE</t>
  </si>
  <si>
    <t>REP_2GIVE</t>
  </si>
  <si>
    <t>8BIT_BTC</t>
  </si>
  <si>
    <t>8BIT_USD</t>
  </si>
  <si>
    <t>8BIT_LTC</t>
  </si>
  <si>
    <t>8BIT_DOGE</t>
  </si>
  <si>
    <t>8BIT_ETH</t>
  </si>
  <si>
    <t>8BIT_EUR</t>
  </si>
  <si>
    <t>8BIT_RUR</t>
  </si>
  <si>
    <t>8BIT_DASH</t>
  </si>
  <si>
    <t>8BIT_XMR</t>
  </si>
  <si>
    <t>8BIT_ETC</t>
  </si>
  <si>
    <t>8BIT_POSW</t>
  </si>
  <si>
    <t>8BIT_USDT</t>
  </si>
  <si>
    <t>8BIT_ZEC</t>
  </si>
  <si>
    <t>8BIT_NXT</t>
  </si>
  <si>
    <t>8BIT_REP</t>
  </si>
  <si>
    <t>BTC_8BIT</t>
  </si>
  <si>
    <t>USD_8BIT</t>
  </si>
  <si>
    <t>LTC_8BIT</t>
  </si>
  <si>
    <t>DOGE_8BIT</t>
  </si>
  <si>
    <t>ETH_8BIT</t>
  </si>
  <si>
    <t>EUR_8BIT</t>
  </si>
  <si>
    <t>RUR_8BIT</t>
  </si>
  <si>
    <t>DASH_8BIT</t>
  </si>
  <si>
    <t>XMR_8BIT</t>
  </si>
  <si>
    <t>ETC_8BIT</t>
  </si>
  <si>
    <t>POSW_8BIT</t>
  </si>
  <si>
    <t>USDT_8BIT</t>
  </si>
  <si>
    <t>ZEC_8BIT</t>
  </si>
  <si>
    <t>NXT_8BIT</t>
  </si>
  <si>
    <t>REP_8BIT</t>
  </si>
  <si>
    <t>ABY_BTC</t>
  </si>
  <si>
    <t>ABY_USD</t>
  </si>
  <si>
    <t>ABY_LTC</t>
  </si>
  <si>
    <t>ABY_DOGE</t>
  </si>
  <si>
    <t>ABY_ETH</t>
  </si>
  <si>
    <t>ABY_EUR</t>
  </si>
  <si>
    <t>ABY_RUR</t>
  </si>
  <si>
    <t>ABY_DASH</t>
  </si>
  <si>
    <t>ABY_XMR</t>
  </si>
  <si>
    <t>ABY_ETC</t>
  </si>
  <si>
    <t>ABY_POSW</t>
  </si>
  <si>
    <t>ABY_USDT</t>
  </si>
  <si>
    <t>ABY_ZEC</t>
  </si>
  <si>
    <t>ABY_NXT</t>
  </si>
  <si>
    <t>ABY_REP</t>
  </si>
  <si>
    <t>BTC_ABY</t>
  </si>
  <si>
    <t>USD_ABY</t>
  </si>
  <si>
    <t>LTC_ABY</t>
  </si>
  <si>
    <t>DOGE_ABY</t>
  </si>
  <si>
    <t>ETH_ABY</t>
  </si>
  <si>
    <t>EUR_ABY</t>
  </si>
  <si>
    <t>RUR_ABY</t>
  </si>
  <si>
    <t>DASH_ABY</t>
  </si>
  <si>
    <t>XMR_ABY</t>
  </si>
  <si>
    <t>ETC_ABY</t>
  </si>
  <si>
    <t>POSW_ABY</t>
  </si>
  <si>
    <t>USDT_ABY</t>
  </si>
  <si>
    <t>ZEC_ABY</t>
  </si>
  <si>
    <t>NXT_ABY</t>
  </si>
  <si>
    <t>REP_ABY</t>
  </si>
  <si>
    <t>ACP_BTC</t>
  </si>
  <si>
    <t>ACP_USD</t>
  </si>
  <si>
    <t>ACP_LTC</t>
  </si>
  <si>
    <t>ACP_DOGE</t>
  </si>
  <si>
    <t>ACP_ETH</t>
  </si>
  <si>
    <t>ACP_EUR</t>
  </si>
  <si>
    <t>ACP_RUR</t>
  </si>
  <si>
    <t>ACP_DASH</t>
  </si>
  <si>
    <t>ACP_XMR</t>
  </si>
  <si>
    <t>ACP_ETC</t>
  </si>
  <si>
    <t>ACP_POSW</t>
  </si>
  <si>
    <t>ACP_USDT</t>
  </si>
  <si>
    <t>ACP_ZEC</t>
  </si>
  <si>
    <t>ACP_NXT</t>
  </si>
  <si>
    <t>ACP_REP</t>
  </si>
  <si>
    <t>BTC_ACP</t>
  </si>
  <si>
    <t>USD_ACP</t>
  </si>
  <si>
    <t>LTC_ACP</t>
  </si>
  <si>
    <t>DOGE_ACP</t>
  </si>
  <si>
    <t>ETH_ACP</t>
  </si>
  <si>
    <t>EUR_ACP</t>
  </si>
  <si>
    <t>RUR_ACP</t>
  </si>
  <si>
    <t>DASH_ACP</t>
  </si>
  <si>
    <t>XMR_ACP</t>
  </si>
  <si>
    <t>ETC_ACP</t>
  </si>
  <si>
    <t>POSW_ACP</t>
  </si>
  <si>
    <t>USDT_ACP</t>
  </si>
  <si>
    <t>ZEC_ACP</t>
  </si>
  <si>
    <t>NXT_ACP</t>
  </si>
  <si>
    <t>REP_ACP</t>
  </si>
  <si>
    <t>ADCN_BTC</t>
  </si>
  <si>
    <t>ADCN_USD</t>
  </si>
  <si>
    <t>ADCN_LTC</t>
  </si>
  <si>
    <t>ADCN_DOGE</t>
  </si>
  <si>
    <t>ADCN_ETH</t>
  </si>
  <si>
    <t>ADCN_EUR</t>
  </si>
  <si>
    <t>ADCN_RUR</t>
  </si>
  <si>
    <t>ADCN_DASH</t>
  </si>
  <si>
    <t>ADCN_XMR</t>
  </si>
  <si>
    <t>ADCN_ETC</t>
  </si>
  <si>
    <t>ADCN_POSW</t>
  </si>
  <si>
    <t>ADCN_USDT</t>
  </si>
  <si>
    <t>ADCN_ZEC</t>
  </si>
  <si>
    <t>ADCN_NXT</t>
  </si>
  <si>
    <t>ADCN_REP</t>
  </si>
  <si>
    <t>BTC_ADCN</t>
  </si>
  <si>
    <t>USD_ADCN</t>
  </si>
  <si>
    <t>LTC_ADCN</t>
  </si>
  <si>
    <t>DOGE_ADCN</t>
  </si>
  <si>
    <t>ETH_ADCN</t>
  </si>
  <si>
    <t>EUR_ADCN</t>
  </si>
  <si>
    <t>RUR_ADCN</t>
  </si>
  <si>
    <t>DASH_ADCN</t>
  </si>
  <si>
    <t>XMR_ADCN</t>
  </si>
  <si>
    <t>ETC_ADCN</t>
  </si>
  <si>
    <t>POSW_ADCN</t>
  </si>
  <si>
    <t>USDT_ADCN</t>
  </si>
  <si>
    <t>ZEC_ADCN</t>
  </si>
  <si>
    <t>NXT_ADCN</t>
  </si>
  <si>
    <t>REP_ADCN</t>
  </si>
  <si>
    <t>ADZ_BTC</t>
  </si>
  <si>
    <t>ADZ_USD</t>
  </si>
  <si>
    <t>ADZ_LTC</t>
  </si>
  <si>
    <t>ADZ_DOGE</t>
  </si>
  <si>
    <t>ADZ_ETH</t>
  </si>
  <si>
    <t>ADZ_EUR</t>
  </si>
  <si>
    <t>ADZ_RUR</t>
  </si>
  <si>
    <t>ADZ_DASH</t>
  </si>
  <si>
    <t>ADZ_XMR</t>
  </si>
  <si>
    <t>ADZ_ETC</t>
  </si>
  <si>
    <t>ADZ_POSW</t>
  </si>
  <si>
    <t>ADZ_USDT</t>
  </si>
  <si>
    <t>ADZ_ZEC</t>
  </si>
  <si>
    <t>ADZ_NXT</t>
  </si>
  <si>
    <t>ADZ_REP</t>
  </si>
  <si>
    <t>BTC_ADZ</t>
  </si>
  <si>
    <t>USD_ADZ</t>
  </si>
  <si>
    <t>LTC_ADZ</t>
  </si>
  <si>
    <t>DOGE_ADZ</t>
  </si>
  <si>
    <t>ETH_ADZ</t>
  </si>
  <si>
    <t>EUR_ADZ</t>
  </si>
  <si>
    <t>RUR_ADZ</t>
  </si>
  <si>
    <t>DASH_ADZ</t>
  </si>
  <si>
    <t>XMR_ADZ</t>
  </si>
  <si>
    <t>ETC_ADZ</t>
  </si>
  <si>
    <t>POSW_ADZ</t>
  </si>
  <si>
    <t>USDT_ADZ</t>
  </si>
  <si>
    <t>ZEC_ADZ</t>
  </si>
  <si>
    <t>NXT_ADZ</t>
  </si>
  <si>
    <t>REP_ADZ</t>
  </si>
  <si>
    <t>AEON_BTC</t>
  </si>
  <si>
    <t>AEON_USD</t>
  </si>
  <si>
    <t>AEON_LTC</t>
  </si>
  <si>
    <t>AEON_DOGE</t>
  </si>
  <si>
    <t>AEON_ETH</t>
  </si>
  <si>
    <t>AEON_EUR</t>
  </si>
  <si>
    <t>AEON_RUR</t>
  </si>
  <si>
    <t>AEON_DASH</t>
  </si>
  <si>
    <t>AEON_XMR</t>
  </si>
  <si>
    <t>AEON_ETC</t>
  </si>
  <si>
    <t>AEON_POSW</t>
  </si>
  <si>
    <t>AEON_USDT</t>
  </si>
  <si>
    <t>AEON_ZEC</t>
  </si>
  <si>
    <t>AEON_NXT</t>
  </si>
  <si>
    <t>AEON_REP</t>
  </si>
  <si>
    <t>BTC_AEON</t>
  </si>
  <si>
    <t>USD_AEON</t>
  </si>
  <si>
    <t>LTC_AEON</t>
  </si>
  <si>
    <t>DOGE_AEON</t>
  </si>
  <si>
    <t>ETH_AEON</t>
  </si>
  <si>
    <t>EUR_AEON</t>
  </si>
  <si>
    <t>RUR_AEON</t>
  </si>
  <si>
    <t>DASH_AEON</t>
  </si>
  <si>
    <t>XMR_AEON</t>
  </si>
  <si>
    <t>ETC_AEON</t>
  </si>
  <si>
    <t>POSW_AEON</t>
  </si>
  <si>
    <t>USDT_AEON</t>
  </si>
  <si>
    <t>ZEC_AEON</t>
  </si>
  <si>
    <t>NXT_AEON</t>
  </si>
  <si>
    <t>REP_AEON</t>
  </si>
  <si>
    <t>AIB_BTC</t>
  </si>
  <si>
    <t>AIB_USD</t>
  </si>
  <si>
    <t>AIB_LTC</t>
  </si>
  <si>
    <t>AIB_DOGE</t>
  </si>
  <si>
    <t>AIB_ETH</t>
  </si>
  <si>
    <t>AIB_EUR</t>
  </si>
  <si>
    <t>AIB_RUR</t>
  </si>
  <si>
    <t>AIB_DASH</t>
  </si>
  <si>
    <t>AIB_XMR</t>
  </si>
  <si>
    <t>AIB_ETC</t>
  </si>
  <si>
    <t>AIB_POSW</t>
  </si>
  <si>
    <t>AIB_USDT</t>
  </si>
  <si>
    <t>AIB_ZEC</t>
  </si>
  <si>
    <t>AIB_NXT</t>
  </si>
  <si>
    <t>AIB_REP</t>
  </si>
  <si>
    <t>BTC_AIB</t>
  </si>
  <si>
    <t>USD_AIB</t>
  </si>
  <si>
    <t>LTC_AIB</t>
  </si>
  <si>
    <t>DOGE_AIB</t>
  </si>
  <si>
    <t>ETH_AIB</t>
  </si>
  <si>
    <t>EUR_AIB</t>
  </si>
  <si>
    <t>RUR_AIB</t>
  </si>
  <si>
    <t>DASH_AIB</t>
  </si>
  <si>
    <t>XMR_AIB</t>
  </si>
  <si>
    <t>ETC_AIB</t>
  </si>
  <si>
    <t>POSW_AIB</t>
  </si>
  <si>
    <t>USDT_AIB</t>
  </si>
  <si>
    <t>ZEC_AIB</t>
  </si>
  <si>
    <t>NXT_AIB</t>
  </si>
  <si>
    <t>REP_AIB</t>
  </si>
  <si>
    <t>AMP_BTC</t>
  </si>
  <si>
    <t>AMP_USD</t>
  </si>
  <si>
    <t>AMP_LTC</t>
  </si>
  <si>
    <t>AMP_DOGE</t>
  </si>
  <si>
    <t>AMP_ETH</t>
  </si>
  <si>
    <t>AMP_EUR</t>
  </si>
  <si>
    <t>AMP_RUR</t>
  </si>
  <si>
    <t>AMP_DASH</t>
  </si>
  <si>
    <t>AMP_XMR</t>
  </si>
  <si>
    <t>AMP_ETC</t>
  </si>
  <si>
    <t>AMP_POSW</t>
  </si>
  <si>
    <t>AMP_USDT</t>
  </si>
  <si>
    <t>AMP_ZEC</t>
  </si>
  <si>
    <t>AMP_NXT</t>
  </si>
  <si>
    <t>AMP_REP</t>
  </si>
  <si>
    <t>BTC_AMP</t>
  </si>
  <si>
    <t>USD_AMP</t>
  </si>
  <si>
    <t>LTC_AMP</t>
  </si>
  <si>
    <t>DOGE_AMP</t>
  </si>
  <si>
    <t>ETH_AMP</t>
  </si>
  <si>
    <t>EUR_AMP</t>
  </si>
  <si>
    <t>RUR_AMP</t>
  </si>
  <si>
    <t>DASH_AMP</t>
  </si>
  <si>
    <t>XMR_AMP</t>
  </si>
  <si>
    <t>ETC_AMP</t>
  </si>
  <si>
    <t>POSW_AMP</t>
  </si>
  <si>
    <t>USDT_AMP</t>
  </si>
  <si>
    <t>ZEC_AMP</t>
  </si>
  <si>
    <t>NXT_AMP</t>
  </si>
  <si>
    <t>REP_AMP</t>
  </si>
  <si>
    <t>ARC_BTC</t>
  </si>
  <si>
    <t>ARC_USD</t>
  </si>
  <si>
    <t>ARC_LTC</t>
  </si>
  <si>
    <t>ARC_DOGE</t>
  </si>
  <si>
    <t>ARC_ETH</t>
  </si>
  <si>
    <t>ARC_EUR</t>
  </si>
  <si>
    <t>ARC_RUR</t>
  </si>
  <si>
    <t>ARC_DASH</t>
  </si>
  <si>
    <t>ARC_XMR</t>
  </si>
  <si>
    <t>ARC_ETC</t>
  </si>
  <si>
    <t>ARC_POSW</t>
  </si>
  <si>
    <t>ARC_USDT</t>
  </si>
  <si>
    <t>ARC_ZEC</t>
  </si>
  <si>
    <t>ARC_NXT</t>
  </si>
  <si>
    <t>ARC_REP</t>
  </si>
  <si>
    <t>BTC_ARC</t>
  </si>
  <si>
    <t>USD_ARC</t>
  </si>
  <si>
    <t>LTC_ARC</t>
  </si>
  <si>
    <t>DOGE_ARC</t>
  </si>
  <si>
    <t>ETH_ARC</t>
  </si>
  <si>
    <t>EUR_ARC</t>
  </si>
  <si>
    <t>RUR_ARC</t>
  </si>
  <si>
    <t>DASH_ARC</t>
  </si>
  <si>
    <t>XMR_ARC</t>
  </si>
  <si>
    <t>ETC_ARC</t>
  </si>
  <si>
    <t>POSW_ARC</t>
  </si>
  <si>
    <t>USDT_ARC</t>
  </si>
  <si>
    <t>ZEC_ARC</t>
  </si>
  <si>
    <t>NXT_ARC</t>
  </si>
  <si>
    <t>REP_ARC</t>
  </si>
  <si>
    <t>ARDR_BTC</t>
  </si>
  <si>
    <t>ARDR_USD</t>
  </si>
  <si>
    <t>ARDR_LTC</t>
  </si>
  <si>
    <t>ARDR_DOGE</t>
  </si>
  <si>
    <t>ARDR_ETH</t>
  </si>
  <si>
    <t>ARDR_EUR</t>
  </si>
  <si>
    <t>ARDR_RUR</t>
  </si>
  <si>
    <t>ARDR_DASH</t>
  </si>
  <si>
    <t>ARDR_XMR</t>
  </si>
  <si>
    <t>ARDR_ETC</t>
  </si>
  <si>
    <t>ARDR_POSW</t>
  </si>
  <si>
    <t>ARDR_USDT</t>
  </si>
  <si>
    <t>ARDR_ZEC</t>
  </si>
  <si>
    <t>ARDR_NXT</t>
  </si>
  <si>
    <t>ARDR_REP</t>
  </si>
  <si>
    <t>BTC_ARDR</t>
  </si>
  <si>
    <t>USD_ARDR</t>
  </si>
  <si>
    <t>LTC_ARDR</t>
  </si>
  <si>
    <t>DOGE_ARDR</t>
  </si>
  <si>
    <t>ETH_ARDR</t>
  </si>
  <si>
    <t>EUR_ARDR</t>
  </si>
  <si>
    <t>RUR_ARDR</t>
  </si>
  <si>
    <t>DASH_ARDR</t>
  </si>
  <si>
    <t>XMR_ARDR</t>
  </si>
  <si>
    <t>ETC_ARDR</t>
  </si>
  <si>
    <t>POSW_ARDR</t>
  </si>
  <si>
    <t>USDT_ARDR</t>
  </si>
  <si>
    <t>ZEC_ARDR</t>
  </si>
  <si>
    <t>NXT_ARDR</t>
  </si>
  <si>
    <t>REP_ARDR</t>
  </si>
  <si>
    <t>AUR_BTC</t>
  </si>
  <si>
    <t>AUR_USD</t>
  </si>
  <si>
    <t>AUR_LTC</t>
  </si>
  <si>
    <t>AUR_DOGE</t>
  </si>
  <si>
    <t>AUR_ETH</t>
  </si>
  <si>
    <t>AUR_EUR</t>
  </si>
  <si>
    <t>AUR_RUR</t>
  </si>
  <si>
    <t>AUR_DASH</t>
  </si>
  <si>
    <t>AUR_XMR</t>
  </si>
  <si>
    <t>AUR_ETC</t>
  </si>
  <si>
    <t>AUR_POSW</t>
  </si>
  <si>
    <t>AUR_USDT</t>
  </si>
  <si>
    <t>AUR_ZEC</t>
  </si>
  <si>
    <t>AUR_NXT</t>
  </si>
  <si>
    <t>AUR_REP</t>
  </si>
  <si>
    <t>BTC_AUR</t>
  </si>
  <si>
    <t>USD_AUR</t>
  </si>
  <si>
    <t>LTC_AUR</t>
  </si>
  <si>
    <t>DOGE_AUR</t>
  </si>
  <si>
    <t>ETH_AUR</t>
  </si>
  <si>
    <t>EUR_AUR</t>
  </si>
  <si>
    <t>RUR_AUR</t>
  </si>
  <si>
    <t>DASH_AUR</t>
  </si>
  <si>
    <t>XMR_AUR</t>
  </si>
  <si>
    <t>ETC_AUR</t>
  </si>
  <si>
    <t>POSW_AUR</t>
  </si>
  <si>
    <t>USDT_AUR</t>
  </si>
  <si>
    <t>ZEC_AUR</t>
  </si>
  <si>
    <t>NXT_AUR</t>
  </si>
  <si>
    <t>REP_AUR</t>
  </si>
  <si>
    <t>BASH_BTC</t>
  </si>
  <si>
    <t>BASH_USD</t>
  </si>
  <si>
    <t>BASH_LTC</t>
  </si>
  <si>
    <t>BASH_DOGE</t>
  </si>
  <si>
    <t>BASH_ETH</t>
  </si>
  <si>
    <t>BASH_EUR</t>
  </si>
  <si>
    <t>BASH_RUR</t>
  </si>
  <si>
    <t>BASH_DASH</t>
  </si>
  <si>
    <t>BASH_XMR</t>
  </si>
  <si>
    <t>BASH_ETC</t>
  </si>
  <si>
    <t>BASH_POSW</t>
  </si>
  <si>
    <t>BASH_USDT</t>
  </si>
  <si>
    <t>BASH_ZEC</t>
  </si>
  <si>
    <t>BASH_NXT</t>
  </si>
  <si>
    <t>BASH_REP</t>
  </si>
  <si>
    <t>BTC_BASH</t>
  </si>
  <si>
    <t>USD_BASH</t>
  </si>
  <si>
    <t>LTC_BASH</t>
  </si>
  <si>
    <t>DOGE_BASH</t>
  </si>
  <si>
    <t>ETH_BASH</t>
  </si>
  <si>
    <t>EUR_BASH</t>
  </si>
  <si>
    <t>RUR_BASH</t>
  </si>
  <si>
    <t>DASH_BASH</t>
  </si>
  <si>
    <t>XMR_BASH</t>
  </si>
  <si>
    <t>ETC_BASH</t>
  </si>
  <si>
    <t>POSW_BASH</t>
  </si>
  <si>
    <t>USDT_BASH</t>
  </si>
  <si>
    <t>ZEC_BASH</t>
  </si>
  <si>
    <t>NXT_BASH</t>
  </si>
  <si>
    <t>REP_BASH</t>
  </si>
  <si>
    <t>BAY_BTC</t>
  </si>
  <si>
    <t>BAY_USD</t>
  </si>
  <si>
    <t>BAY_LTC</t>
  </si>
  <si>
    <t>BAY_DOGE</t>
  </si>
  <si>
    <t>BAY_ETH</t>
  </si>
  <si>
    <t>BAY_EUR</t>
  </si>
  <si>
    <t>BAY_RUR</t>
  </si>
  <si>
    <t>BAY_DASH</t>
  </si>
  <si>
    <t>BAY_XMR</t>
  </si>
  <si>
    <t>BAY_ETC</t>
  </si>
  <si>
    <t>BAY_POSW</t>
  </si>
  <si>
    <t>BAY_USDT</t>
  </si>
  <si>
    <t>BAY_ZEC</t>
  </si>
  <si>
    <t>BAY_NXT</t>
  </si>
  <si>
    <t>BAY_REP</t>
  </si>
  <si>
    <t>BTC_BAY</t>
  </si>
  <si>
    <t>USD_BAY</t>
  </si>
  <si>
    <t>LTC_BAY</t>
  </si>
  <si>
    <t>DOGE_BAY</t>
  </si>
  <si>
    <t>ETH_BAY</t>
  </si>
  <si>
    <t>EUR_BAY</t>
  </si>
  <si>
    <t>RUR_BAY</t>
  </si>
  <si>
    <t>DASH_BAY</t>
  </si>
  <si>
    <t>XMR_BAY</t>
  </si>
  <si>
    <t>ETC_BAY</t>
  </si>
  <si>
    <t>POSW_BAY</t>
  </si>
  <si>
    <t>USDT_BAY</t>
  </si>
  <si>
    <t>ZEC_BAY</t>
  </si>
  <si>
    <t>NXT_BAY</t>
  </si>
  <si>
    <t>REP_BAY</t>
  </si>
  <si>
    <t>BCC_BTC</t>
  </si>
  <si>
    <t>BCC_USD</t>
  </si>
  <si>
    <t>BCC_LTC</t>
  </si>
  <si>
    <t>BCC_DOGE</t>
  </si>
  <si>
    <t>BCC_ETH</t>
  </si>
  <si>
    <t>BCC_EUR</t>
  </si>
  <si>
    <t>BCC_RUR</t>
  </si>
  <si>
    <t>BCC_DASH</t>
  </si>
  <si>
    <t>BCC_XMR</t>
  </si>
  <si>
    <t>BCC_ETC</t>
  </si>
  <si>
    <t>BCC_POSW</t>
  </si>
  <si>
    <t>BCC_USDT</t>
  </si>
  <si>
    <t>BCC_ZEC</t>
  </si>
  <si>
    <t>BCC_NXT</t>
  </si>
  <si>
    <t>BCC_REP</t>
  </si>
  <si>
    <t>BTC_BCC</t>
  </si>
  <si>
    <t>USD_BCC</t>
  </si>
  <si>
    <t>LTC_BCC</t>
  </si>
  <si>
    <t>DOGE_BCC</t>
  </si>
  <si>
    <t>ETH_BCC</t>
  </si>
  <si>
    <t>EUR_BCC</t>
  </si>
  <si>
    <t>RUR_BCC</t>
  </si>
  <si>
    <t>DASH_BCC</t>
  </si>
  <si>
    <t>XMR_BCC</t>
  </si>
  <si>
    <t>ETC_BCC</t>
  </si>
  <si>
    <t>POSW_BCC</t>
  </si>
  <si>
    <t>USDT_BCC</t>
  </si>
  <si>
    <t>ZEC_BCC</t>
  </si>
  <si>
    <t>NXT_BCC</t>
  </si>
  <si>
    <t>REP_BCC</t>
  </si>
  <si>
    <t>BCN_BTC</t>
  </si>
  <si>
    <t>BCN_USD</t>
  </si>
  <si>
    <t>BCN_LTC</t>
  </si>
  <si>
    <t>BCN_DOGE</t>
  </si>
  <si>
    <t>BCN_ETH</t>
  </si>
  <si>
    <t>BCN_EUR</t>
  </si>
  <si>
    <t>BCN_RUR</t>
  </si>
  <si>
    <t>BCN_DASH</t>
  </si>
  <si>
    <t>BCN_XMR</t>
  </si>
  <si>
    <t>BCN_ETC</t>
  </si>
  <si>
    <t>BCN_POSW</t>
  </si>
  <si>
    <t>BCN_USDT</t>
  </si>
  <si>
    <t>BCN_ZEC</t>
  </si>
  <si>
    <t>BCN_NXT</t>
  </si>
  <si>
    <t>BCN_REP</t>
  </si>
  <si>
    <t>BTC_BCN</t>
  </si>
  <si>
    <t>USD_BCN</t>
  </si>
  <si>
    <t>LTC_BCN</t>
  </si>
  <si>
    <t>DOGE_BCN</t>
  </si>
  <si>
    <t>ETH_BCN</t>
  </si>
  <si>
    <t>EUR_BCN</t>
  </si>
  <si>
    <t>RUR_BCN</t>
  </si>
  <si>
    <t>DASH_BCN</t>
  </si>
  <si>
    <t>XMR_BCN</t>
  </si>
  <si>
    <t>ETC_BCN</t>
  </si>
  <si>
    <t>POSW_BCN</t>
  </si>
  <si>
    <t>USDT_BCN</t>
  </si>
  <si>
    <t>ZEC_BCN</t>
  </si>
  <si>
    <t>NXT_BCN</t>
  </si>
  <si>
    <t>REP_BCN</t>
  </si>
  <si>
    <t>BCY_BTC</t>
  </si>
  <si>
    <t>BCY_USD</t>
  </si>
  <si>
    <t>BCY_LTC</t>
  </si>
  <si>
    <t>BCY_DOGE</t>
  </si>
  <si>
    <t>BCY_ETH</t>
  </si>
  <si>
    <t>BCY_EUR</t>
  </si>
  <si>
    <t>BCY_RUR</t>
  </si>
  <si>
    <t>BCY_DASH</t>
  </si>
  <si>
    <t>BCY_XMR</t>
  </si>
  <si>
    <t>BCY_ETC</t>
  </si>
  <si>
    <t>BCY_POSW</t>
  </si>
  <si>
    <t>BCY_USDT</t>
  </si>
  <si>
    <t>BCY_ZEC</t>
  </si>
  <si>
    <t>BCY_NXT</t>
  </si>
  <si>
    <t>BCY_REP</t>
  </si>
  <si>
    <t>BTC_BCY</t>
  </si>
  <si>
    <t>USD_BCY</t>
  </si>
  <si>
    <t>LTC_BCY</t>
  </si>
  <si>
    <t>DOGE_BCY</t>
  </si>
  <si>
    <t>ETH_BCY</t>
  </si>
  <si>
    <t>EUR_BCY</t>
  </si>
  <si>
    <t>RUR_BCY</t>
  </si>
  <si>
    <t>DASH_BCY</t>
  </si>
  <si>
    <t>XMR_BCY</t>
  </si>
  <si>
    <t>ETC_BCY</t>
  </si>
  <si>
    <t>POSW_BCY</t>
  </si>
  <si>
    <t>USDT_BCY</t>
  </si>
  <si>
    <t>ZEC_BCY</t>
  </si>
  <si>
    <t>NXT_BCY</t>
  </si>
  <si>
    <t>REP_BCY</t>
  </si>
  <si>
    <t>BHC_BTC</t>
  </si>
  <si>
    <t>BHC_USD</t>
  </si>
  <si>
    <t>BHC_LTC</t>
  </si>
  <si>
    <t>BHC_DOGE</t>
  </si>
  <si>
    <t>BHC_ETH</t>
  </si>
  <si>
    <t>BHC_EUR</t>
  </si>
  <si>
    <t>BHC_RUR</t>
  </si>
  <si>
    <t>BHC_DASH</t>
  </si>
  <si>
    <t>BHC_XMR</t>
  </si>
  <si>
    <t>BHC_ETC</t>
  </si>
  <si>
    <t>BHC_POSW</t>
  </si>
  <si>
    <t>BHC_USDT</t>
  </si>
  <si>
    <t>BHC_ZEC</t>
  </si>
  <si>
    <t>BHC_NXT</t>
  </si>
  <si>
    <t>BHC_REP</t>
  </si>
  <si>
    <t>BTC_BHC</t>
  </si>
  <si>
    <t>USD_BHC</t>
  </si>
  <si>
    <t>LTC_BHC</t>
  </si>
  <si>
    <t>DOGE_BHC</t>
  </si>
  <si>
    <t>ETH_BHC</t>
  </si>
  <si>
    <t>EUR_BHC</t>
  </si>
  <si>
    <t>RUR_BHC</t>
  </si>
  <si>
    <t>DASH_BHC</t>
  </si>
  <si>
    <t>XMR_BHC</t>
  </si>
  <si>
    <t>ETC_BHC</t>
  </si>
  <si>
    <t>POSW_BHC</t>
  </si>
  <si>
    <t>USDT_BHC</t>
  </si>
  <si>
    <t>ZEC_BHC</t>
  </si>
  <si>
    <t>NXT_BHC</t>
  </si>
  <si>
    <t>REP_BHC</t>
  </si>
  <si>
    <t>BIOS_BTC</t>
  </si>
  <si>
    <t>BIOS_USD</t>
  </si>
  <si>
    <t>BIOS_LTC</t>
  </si>
  <si>
    <t>BIOS_DOGE</t>
  </si>
  <si>
    <t>BIOS_ETH</t>
  </si>
  <si>
    <t>BIOS_EUR</t>
  </si>
  <si>
    <t>BIOS_RUR</t>
  </si>
  <si>
    <t>BIOS_DASH</t>
  </si>
  <si>
    <t>BIOS_XMR</t>
  </si>
  <si>
    <t>BIOS_ETC</t>
  </si>
  <si>
    <t>BIOS_POSW</t>
  </si>
  <si>
    <t>BIOS_USDT</t>
  </si>
  <si>
    <t>BIOS_ZEC</t>
  </si>
  <si>
    <t>BIOS_NXT</t>
  </si>
  <si>
    <t>BIOS_REP</t>
  </si>
  <si>
    <t>BTC_BIOS</t>
  </si>
  <si>
    <t>USD_BIOS</t>
  </si>
  <si>
    <t>LTC_BIOS</t>
  </si>
  <si>
    <t>DOGE_BIOS</t>
  </si>
  <si>
    <t>ETH_BIOS</t>
  </si>
  <si>
    <t>EUR_BIOS</t>
  </si>
  <si>
    <t>RUR_BIOS</t>
  </si>
  <si>
    <t>DASH_BIOS</t>
  </si>
  <si>
    <t>XMR_BIOS</t>
  </si>
  <si>
    <t>ETC_BIOS</t>
  </si>
  <si>
    <t>POSW_BIOS</t>
  </si>
  <si>
    <t>USDT_BIOS</t>
  </si>
  <si>
    <t>ZEC_BIOS</t>
  </si>
  <si>
    <t>NXT_BIOS</t>
  </si>
  <si>
    <t>REP_BIOS</t>
  </si>
  <si>
    <t>BIT_BTC</t>
  </si>
  <si>
    <t>BIT_USD</t>
  </si>
  <si>
    <t>BIT_LTC</t>
  </si>
  <si>
    <t>BIT_DOGE</t>
  </si>
  <si>
    <t>BIT_ETH</t>
  </si>
  <si>
    <t>BIT_EUR</t>
  </si>
  <si>
    <t>BIT_RUR</t>
  </si>
  <si>
    <t>BIT_DASH</t>
  </si>
  <si>
    <t>BIT_XMR</t>
  </si>
  <si>
    <t>BIT_ETC</t>
  </si>
  <si>
    <t>BIT_POSW</t>
  </si>
  <si>
    <t>BIT_USDT</t>
  </si>
  <si>
    <t>BIT_ZEC</t>
  </si>
  <si>
    <t>BIT_NXT</t>
  </si>
  <si>
    <t>BIT_REP</t>
  </si>
  <si>
    <t>BTC_BIT</t>
  </si>
  <si>
    <t>USD_BIT</t>
  </si>
  <si>
    <t>LTC_BIT</t>
  </si>
  <si>
    <t>DOGE_BIT</t>
  </si>
  <si>
    <t>ETH_BIT</t>
  </si>
  <si>
    <t>EUR_BIT</t>
  </si>
  <si>
    <t>RUR_BIT</t>
  </si>
  <si>
    <t>DASH_BIT</t>
  </si>
  <si>
    <t>XMR_BIT</t>
  </si>
  <si>
    <t>ETC_BIT</t>
  </si>
  <si>
    <t>POSW_BIT</t>
  </si>
  <si>
    <t>USDT_BIT</t>
  </si>
  <si>
    <t>ZEC_BIT</t>
  </si>
  <si>
    <t>NXT_BIT</t>
  </si>
  <si>
    <t>REP_BIT</t>
  </si>
  <si>
    <t>BITB_BTC</t>
  </si>
  <si>
    <t>BITB_USD</t>
  </si>
  <si>
    <t>BITB_LTC</t>
  </si>
  <si>
    <t>BITB_DOGE</t>
  </si>
  <si>
    <t>BITB_ETH</t>
  </si>
  <si>
    <t>BITB_EUR</t>
  </si>
  <si>
    <t>BITB_RUR</t>
  </si>
  <si>
    <t>BITB_DASH</t>
  </si>
  <si>
    <t>BITB_XMR</t>
  </si>
  <si>
    <t>BITB_ETC</t>
  </si>
  <si>
    <t>BITB_POSW</t>
  </si>
  <si>
    <t>BITB_USDT</t>
  </si>
  <si>
    <t>BITB_ZEC</t>
  </si>
  <si>
    <t>BITB_NXT</t>
  </si>
  <si>
    <t>BITB_REP</t>
  </si>
  <si>
    <t>BTC_BITB</t>
  </si>
  <si>
    <t>USD_BITB</t>
  </si>
  <si>
    <t>LTC_BITB</t>
  </si>
  <si>
    <t>DOGE_BITB</t>
  </si>
  <si>
    <t>ETH_BITB</t>
  </si>
  <si>
    <t>EUR_BITB</t>
  </si>
  <si>
    <t>RUR_BITB</t>
  </si>
  <si>
    <t>DASH_BITB</t>
  </si>
  <si>
    <t>XMR_BITB</t>
  </si>
  <si>
    <t>ETC_BITB</t>
  </si>
  <si>
    <t>POSW_BITB</t>
  </si>
  <si>
    <t>USDT_BITB</t>
  </si>
  <si>
    <t>ZEC_BITB</t>
  </si>
  <si>
    <t>NXT_BITB</t>
  </si>
  <si>
    <t>REP_BITB</t>
  </si>
  <si>
    <t>BLK_BTC</t>
  </si>
  <si>
    <t>BLK_USD</t>
  </si>
  <si>
    <t>BLK_LTC</t>
  </si>
  <si>
    <t>BLK_DOGE</t>
  </si>
  <si>
    <t>BLK_ETH</t>
  </si>
  <si>
    <t>BLK_EUR</t>
  </si>
  <si>
    <t>BLK_RUR</t>
  </si>
  <si>
    <t>BLK_DASH</t>
  </si>
  <si>
    <t>BLK_XMR</t>
  </si>
  <si>
    <t>BLK_ETC</t>
  </si>
  <si>
    <t>BLK_POSW</t>
  </si>
  <si>
    <t>BLK_USDT</t>
  </si>
  <si>
    <t>BLK_ZEC</t>
  </si>
  <si>
    <t>BLK_NXT</t>
  </si>
  <si>
    <t>BLK_REP</t>
  </si>
  <si>
    <t>BTC_BLK</t>
  </si>
  <si>
    <t>USD_BLK</t>
  </si>
  <si>
    <t>LTC_BLK</t>
  </si>
  <si>
    <t>DOGE_BLK</t>
  </si>
  <si>
    <t>ETH_BLK</t>
  </si>
  <si>
    <t>EUR_BLK</t>
  </si>
  <si>
    <t>RUR_BLK</t>
  </si>
  <si>
    <t>DASH_BLK</t>
  </si>
  <si>
    <t>XMR_BLK</t>
  </si>
  <si>
    <t>ETC_BLK</t>
  </si>
  <si>
    <t>POSW_BLK</t>
  </si>
  <si>
    <t>USDT_BLK</t>
  </si>
  <si>
    <t>ZEC_BLK</t>
  </si>
  <si>
    <t>NXT_BLK</t>
  </si>
  <si>
    <t>REP_BLK</t>
  </si>
  <si>
    <t>BLU_BTC</t>
  </si>
  <si>
    <t>BLU_USD</t>
  </si>
  <si>
    <t>BLU_LTC</t>
  </si>
  <si>
    <t>BLU_DOGE</t>
  </si>
  <si>
    <t>BLU_ETH</t>
  </si>
  <si>
    <t>BLU_EUR</t>
  </si>
  <si>
    <t>BLU_RUR</t>
  </si>
  <si>
    <t>BLU_DASH</t>
  </si>
  <si>
    <t>BLU_XMR</t>
  </si>
  <si>
    <t>BLU_ETC</t>
  </si>
  <si>
    <t>BLU_POSW</t>
  </si>
  <si>
    <t>BLU_USDT</t>
  </si>
  <si>
    <t>BLU_ZEC</t>
  </si>
  <si>
    <t>BLU_NXT</t>
  </si>
  <si>
    <t>BLU_REP</t>
  </si>
  <si>
    <t>BTC_BLU</t>
  </si>
  <si>
    <t>USD_BLU</t>
  </si>
  <si>
    <t>LTC_BLU</t>
  </si>
  <si>
    <t>DOGE_BLU</t>
  </si>
  <si>
    <t>ETH_BLU</t>
  </si>
  <si>
    <t>EUR_BLU</t>
  </si>
  <si>
    <t>RUR_BLU</t>
  </si>
  <si>
    <t>DASH_BLU</t>
  </si>
  <si>
    <t>XMR_BLU</t>
  </si>
  <si>
    <t>ETC_BLU</t>
  </si>
  <si>
    <t>POSW_BLU</t>
  </si>
  <si>
    <t>USDT_BLU</t>
  </si>
  <si>
    <t>ZEC_BLU</t>
  </si>
  <si>
    <t>NXT_BLU</t>
  </si>
  <si>
    <t>REP_BLU</t>
  </si>
  <si>
    <t>BPC_BTC</t>
  </si>
  <si>
    <t>BPC_USD</t>
  </si>
  <si>
    <t>BPC_LTC</t>
  </si>
  <si>
    <t>BPC_DOGE</t>
  </si>
  <si>
    <t>BPC_ETH</t>
  </si>
  <si>
    <t>BPC_EUR</t>
  </si>
  <si>
    <t>BPC_RUR</t>
  </si>
  <si>
    <t>BPC_DASH</t>
  </si>
  <si>
    <t>BPC_XMR</t>
  </si>
  <si>
    <t>BPC_ETC</t>
  </si>
  <si>
    <t>BPC_POSW</t>
  </si>
  <si>
    <t>BPC_USDT</t>
  </si>
  <si>
    <t>BPC_ZEC</t>
  </si>
  <si>
    <t>BPC_NXT</t>
  </si>
  <si>
    <t>BPC_REP</t>
  </si>
  <si>
    <t>BTC_BPC</t>
  </si>
  <si>
    <t>USD_BPC</t>
  </si>
  <si>
    <t>LTC_BPC</t>
  </si>
  <si>
    <t>DOGE_BPC</t>
  </si>
  <si>
    <t>ETH_BPC</t>
  </si>
  <si>
    <t>EUR_BPC</t>
  </si>
  <si>
    <t>RUR_BPC</t>
  </si>
  <si>
    <t>DASH_BPC</t>
  </si>
  <si>
    <t>XMR_BPC</t>
  </si>
  <si>
    <t>ETC_BPC</t>
  </si>
  <si>
    <t>POSW_BPC</t>
  </si>
  <si>
    <t>USDT_BPC</t>
  </si>
  <si>
    <t>ZEC_BPC</t>
  </si>
  <si>
    <t>NXT_BPC</t>
  </si>
  <si>
    <t>REP_BPC</t>
  </si>
  <si>
    <t>BSD_BTC</t>
  </si>
  <si>
    <t>BSD_USD</t>
  </si>
  <si>
    <t>BSD_LTC</t>
  </si>
  <si>
    <t>BSD_DOGE</t>
  </si>
  <si>
    <t>BSD_ETH</t>
  </si>
  <si>
    <t>BSD_EUR</t>
  </si>
  <si>
    <t>BSD_RUR</t>
  </si>
  <si>
    <t>BSD_DASH</t>
  </si>
  <si>
    <t>BSD_XMR</t>
  </si>
  <si>
    <t>BSD_ETC</t>
  </si>
  <si>
    <t>BSD_POSW</t>
  </si>
  <si>
    <t>BSD_USDT</t>
  </si>
  <si>
    <t>BSD_ZEC</t>
  </si>
  <si>
    <t>BSD_NXT</t>
  </si>
  <si>
    <t>BSD_REP</t>
  </si>
  <si>
    <t>BTC_BSD</t>
  </si>
  <si>
    <t>USD_BSD</t>
  </si>
  <si>
    <t>LTC_BSD</t>
  </si>
  <si>
    <t>DOGE_BSD</t>
  </si>
  <si>
    <t>ETH_BSD</t>
  </si>
  <si>
    <t>EUR_BSD</t>
  </si>
  <si>
    <t>RUR_BSD</t>
  </si>
  <si>
    <t>DASH_BSD</t>
  </si>
  <si>
    <t>XMR_BSD</t>
  </si>
  <si>
    <t>ETC_BSD</t>
  </si>
  <si>
    <t>POSW_BSD</t>
  </si>
  <si>
    <t>USDT_BSD</t>
  </si>
  <si>
    <t>ZEC_BSD</t>
  </si>
  <si>
    <t>NXT_BSD</t>
  </si>
  <si>
    <t>REP_BSD</t>
  </si>
  <si>
    <t>BTA_BTC</t>
  </si>
  <si>
    <t>BTA_USD</t>
  </si>
  <si>
    <t>BTA_LTC</t>
  </si>
  <si>
    <t>BTA_DOGE</t>
  </si>
  <si>
    <t>BTA_ETH</t>
  </si>
  <si>
    <t>BTA_EUR</t>
  </si>
  <si>
    <t>BTA_RUR</t>
  </si>
  <si>
    <t>BTA_DASH</t>
  </si>
  <si>
    <t>BTA_XMR</t>
  </si>
  <si>
    <t>BTA_ETC</t>
  </si>
  <si>
    <t>BTA_POSW</t>
  </si>
  <si>
    <t>BTA_USDT</t>
  </si>
  <si>
    <t>BTA_ZEC</t>
  </si>
  <si>
    <t>BTA_NXT</t>
  </si>
  <si>
    <t>BTA_REP</t>
  </si>
  <si>
    <t>BTC_BTA</t>
  </si>
  <si>
    <t>USD_BTA</t>
  </si>
  <si>
    <t>LTC_BTA</t>
  </si>
  <si>
    <t>DOGE_BTA</t>
  </si>
  <si>
    <t>ETH_BTA</t>
  </si>
  <si>
    <t>EUR_BTA</t>
  </si>
  <si>
    <t>RUR_BTA</t>
  </si>
  <si>
    <t>DASH_BTA</t>
  </si>
  <si>
    <t>XMR_BTA</t>
  </si>
  <si>
    <t>ETC_BTA</t>
  </si>
  <si>
    <t>POSW_BTA</t>
  </si>
  <si>
    <t>USDT_BTA</t>
  </si>
  <si>
    <t>ZEC_BTA</t>
  </si>
  <si>
    <t>NXT_BTA</t>
  </si>
  <si>
    <t>REP_BTA</t>
  </si>
  <si>
    <t>BTC_BTC</t>
  </si>
  <si>
    <t>BTC_USD</t>
  </si>
  <si>
    <t>BTC_LTC</t>
  </si>
  <si>
    <t>BTC_DOGE</t>
  </si>
  <si>
    <t>BTC_ETH</t>
  </si>
  <si>
    <t>BTC_EUR</t>
  </si>
  <si>
    <t>BTC_RUR</t>
  </si>
  <si>
    <t>BTC_DASH</t>
  </si>
  <si>
    <t>BTC_XMR</t>
  </si>
  <si>
    <t>BTC_ETC</t>
  </si>
  <si>
    <t>BTC_POSW</t>
  </si>
  <si>
    <t>BTC_USDT</t>
  </si>
  <si>
    <t>BTC_ZEC</t>
  </si>
  <si>
    <t>BTC_NXT</t>
  </si>
  <si>
    <t>BTC_REP</t>
  </si>
  <si>
    <t>USD_BTC</t>
  </si>
  <si>
    <t>LTC_BTC</t>
  </si>
  <si>
    <t>DOGE_BTC</t>
  </si>
  <si>
    <t>ETH_BTC</t>
  </si>
  <si>
    <t>EUR_BTC</t>
  </si>
  <si>
    <t>RUR_BTC</t>
  </si>
  <si>
    <t>DASH_BTC</t>
  </si>
  <si>
    <t>XMR_BTC</t>
  </si>
  <si>
    <t>ETC_BTC</t>
  </si>
  <si>
    <t>POSW_BTC</t>
  </si>
  <si>
    <t>USDT_BTC</t>
  </si>
  <si>
    <t>ZEC_BTC</t>
  </si>
  <si>
    <t>NXT_BTC</t>
  </si>
  <si>
    <t>REP_BTC</t>
  </si>
  <si>
    <t>BTCD_BTC</t>
  </si>
  <si>
    <t>BTCD_USD</t>
  </si>
  <si>
    <t>BTCD_LTC</t>
  </si>
  <si>
    <t>BTCD_DOGE</t>
  </si>
  <si>
    <t>BTCD_ETH</t>
  </si>
  <si>
    <t>BTCD_EUR</t>
  </si>
  <si>
    <t>BTCD_RUR</t>
  </si>
  <si>
    <t>BTCD_DASH</t>
  </si>
  <si>
    <t>BTCD_XMR</t>
  </si>
  <si>
    <t>BTCD_ETC</t>
  </si>
  <si>
    <t>BTCD_POSW</t>
  </si>
  <si>
    <t>BTCD_USDT</t>
  </si>
  <si>
    <t>BTCD_ZEC</t>
  </si>
  <si>
    <t>BTCD_NXT</t>
  </si>
  <si>
    <t>BTCD_REP</t>
  </si>
  <si>
    <t>BTC_BTCD</t>
  </si>
  <si>
    <t>USD_BTCD</t>
  </si>
  <si>
    <t>LTC_BTCD</t>
  </si>
  <si>
    <t>DOGE_BTCD</t>
  </si>
  <si>
    <t>ETH_BTCD</t>
  </si>
  <si>
    <t>EUR_BTCD</t>
  </si>
  <si>
    <t>RUR_BTCD</t>
  </si>
  <si>
    <t>DASH_BTCD</t>
  </si>
  <si>
    <t>XMR_BTCD</t>
  </si>
  <si>
    <t>ETC_BTCD</t>
  </si>
  <si>
    <t>POSW_BTCD</t>
  </si>
  <si>
    <t>USDT_BTCD</t>
  </si>
  <si>
    <t>ZEC_BTCD</t>
  </si>
  <si>
    <t>NXT_BTCD</t>
  </si>
  <si>
    <t>REP_BTCD</t>
  </si>
  <si>
    <t>BTS_BTC</t>
  </si>
  <si>
    <t>BTS_USD</t>
  </si>
  <si>
    <t>BTS_LTC</t>
  </si>
  <si>
    <t>BTS_DOGE</t>
  </si>
  <si>
    <t>BTS_ETH</t>
  </si>
  <si>
    <t>BTS_EUR</t>
  </si>
  <si>
    <t>BTS_RUR</t>
  </si>
  <si>
    <t>BTS_DASH</t>
  </si>
  <si>
    <t>BTS_XMR</t>
  </si>
  <si>
    <t>BTS_ETC</t>
  </si>
  <si>
    <t>BTS_POSW</t>
  </si>
  <si>
    <t>BTS_USDT</t>
  </si>
  <si>
    <t>BTS_ZEC</t>
  </si>
  <si>
    <t>BTS_NXT</t>
  </si>
  <si>
    <t>BTS_REP</t>
  </si>
  <si>
    <t>BTC_BTS</t>
  </si>
  <si>
    <t>USD_BTS</t>
  </si>
  <si>
    <t>LTC_BTS</t>
  </si>
  <si>
    <t>DOGE_BTS</t>
  </si>
  <si>
    <t>ETH_BTS</t>
  </si>
  <si>
    <t>EUR_BTS</t>
  </si>
  <si>
    <t>RUR_BTS</t>
  </si>
  <si>
    <t>DASH_BTS</t>
  </si>
  <si>
    <t>XMR_BTS</t>
  </si>
  <si>
    <t>ETC_BTS</t>
  </si>
  <si>
    <t>POSW_BTS</t>
  </si>
  <si>
    <t>USDT_BTS</t>
  </si>
  <si>
    <t>ZEC_BTS</t>
  </si>
  <si>
    <t>NXT_BTS</t>
  </si>
  <si>
    <t>REP_BTS</t>
  </si>
  <si>
    <t>BURST_BTC</t>
  </si>
  <si>
    <t>BURST_USD</t>
  </si>
  <si>
    <t>BURST_LTC</t>
  </si>
  <si>
    <t>BURST_DOGE</t>
  </si>
  <si>
    <t>BURST_ETH</t>
  </si>
  <si>
    <t>BURST_EUR</t>
  </si>
  <si>
    <t>BURST_RUR</t>
  </si>
  <si>
    <t>BURST_DASH</t>
  </si>
  <si>
    <t>BURST_XMR</t>
  </si>
  <si>
    <t>BURST_ETC</t>
  </si>
  <si>
    <t>BURST_POSW</t>
  </si>
  <si>
    <t>BURST_USDT</t>
  </si>
  <si>
    <t>BURST_ZEC</t>
  </si>
  <si>
    <t>BURST_NXT</t>
  </si>
  <si>
    <t>BURST_REP</t>
  </si>
  <si>
    <t>BTC_BURST</t>
  </si>
  <si>
    <t>USD_BURST</t>
  </si>
  <si>
    <t>LTC_BURST</t>
  </si>
  <si>
    <t>DOGE_BURST</t>
  </si>
  <si>
    <t>ETH_BURST</t>
  </si>
  <si>
    <t>EUR_BURST</t>
  </si>
  <si>
    <t>RUR_BURST</t>
  </si>
  <si>
    <t>DASH_BURST</t>
  </si>
  <si>
    <t>XMR_BURST</t>
  </si>
  <si>
    <t>ETC_BURST</t>
  </si>
  <si>
    <t>POSW_BURST</t>
  </si>
  <si>
    <t>USDT_BURST</t>
  </si>
  <si>
    <t>ZEC_BURST</t>
  </si>
  <si>
    <t>NXT_BURST</t>
  </si>
  <si>
    <t>REP_BURST</t>
  </si>
  <si>
    <t>CANN_BTC</t>
  </si>
  <si>
    <t>CANN_USD</t>
  </si>
  <si>
    <t>CANN_LTC</t>
  </si>
  <si>
    <t>CANN_DOGE</t>
  </si>
  <si>
    <t>CANN_ETH</t>
  </si>
  <si>
    <t>CANN_EUR</t>
  </si>
  <si>
    <t>CANN_RUR</t>
  </si>
  <si>
    <t>CANN_DASH</t>
  </si>
  <si>
    <t>CANN_XMR</t>
  </si>
  <si>
    <t>CANN_ETC</t>
  </si>
  <si>
    <t>CANN_POSW</t>
  </si>
  <si>
    <t>CANN_USDT</t>
  </si>
  <si>
    <t>CANN_ZEC</t>
  </si>
  <si>
    <t>CANN_NXT</t>
  </si>
  <si>
    <t>CANN_REP</t>
  </si>
  <si>
    <t>BTC_CANN</t>
  </si>
  <si>
    <t>USD_CANN</t>
  </si>
  <si>
    <t>LTC_CANN</t>
  </si>
  <si>
    <t>DOGE_CANN</t>
  </si>
  <si>
    <t>ETH_CANN</t>
  </si>
  <si>
    <t>EUR_CANN</t>
  </si>
  <si>
    <t>RUR_CANN</t>
  </si>
  <si>
    <t>DASH_CANN</t>
  </si>
  <si>
    <t>XMR_CANN</t>
  </si>
  <si>
    <t>ETC_CANN</t>
  </si>
  <si>
    <t>POSW_CANN</t>
  </si>
  <si>
    <t>USDT_CANN</t>
  </si>
  <si>
    <t>ZEC_CANN</t>
  </si>
  <si>
    <t>NXT_CANN</t>
  </si>
  <si>
    <t>REP_CANN</t>
  </si>
  <si>
    <t>CCRB_BTC</t>
  </si>
  <si>
    <t>CCRB_USD</t>
  </si>
  <si>
    <t>CCRB_LTC</t>
  </si>
  <si>
    <t>CCRB_DOGE</t>
  </si>
  <si>
    <t>CCRB_ETH</t>
  </si>
  <si>
    <t>CCRB_EUR</t>
  </si>
  <si>
    <t>CCRB_RUR</t>
  </si>
  <si>
    <t>CCRB_DASH</t>
  </si>
  <si>
    <t>CCRB_XMR</t>
  </si>
  <si>
    <t>CCRB_ETC</t>
  </si>
  <si>
    <t>CCRB_POSW</t>
  </si>
  <si>
    <t>CCRB_USDT</t>
  </si>
  <si>
    <t>CCRB_ZEC</t>
  </si>
  <si>
    <t>CCRB_NXT</t>
  </si>
  <si>
    <t>CCRB_REP</t>
  </si>
  <si>
    <t>BTC_CCRB</t>
  </si>
  <si>
    <t>USD_CCRB</t>
  </si>
  <si>
    <t>LTC_CCRB</t>
  </si>
  <si>
    <t>DOGE_CCRB</t>
  </si>
  <si>
    <t>ETH_CCRB</t>
  </si>
  <si>
    <t>EUR_CCRB</t>
  </si>
  <si>
    <t>RUR_CCRB</t>
  </si>
  <si>
    <t>DASH_CCRB</t>
  </si>
  <si>
    <t>XMR_CCRB</t>
  </si>
  <si>
    <t>ETC_CCRB</t>
  </si>
  <si>
    <t>POSW_CCRB</t>
  </si>
  <si>
    <t>USDT_CCRB</t>
  </si>
  <si>
    <t>ZEC_CCRB</t>
  </si>
  <si>
    <t>NXT_CCRB</t>
  </si>
  <si>
    <t>REP_CCRB</t>
  </si>
  <si>
    <t>CJ_BTC</t>
  </si>
  <si>
    <t>CJ_USD</t>
  </si>
  <si>
    <t>CJ_LTC</t>
  </si>
  <si>
    <t>CJ_DOGE</t>
  </si>
  <si>
    <t>CJ_ETH</t>
  </si>
  <si>
    <t>CJ_EUR</t>
  </si>
  <si>
    <t>CJ_RUR</t>
  </si>
  <si>
    <t>CJ_DASH</t>
  </si>
  <si>
    <t>CJ_XMR</t>
  </si>
  <si>
    <t>CJ_ETC</t>
  </si>
  <si>
    <t>CJ_POSW</t>
  </si>
  <si>
    <t>CJ_USDT</t>
  </si>
  <si>
    <t>CJ_ZEC</t>
  </si>
  <si>
    <t>CJ_NXT</t>
  </si>
  <si>
    <t>CJ_REP</t>
  </si>
  <si>
    <t>BTC_CJ</t>
  </si>
  <si>
    <t>USD_CJ</t>
  </si>
  <si>
    <t>LTC_CJ</t>
  </si>
  <si>
    <t>DOGE_CJ</t>
  </si>
  <si>
    <t>ETH_CJ</t>
  </si>
  <si>
    <t>EUR_CJ</t>
  </si>
  <si>
    <t>RUR_CJ</t>
  </si>
  <si>
    <t>DASH_CJ</t>
  </si>
  <si>
    <t>XMR_CJ</t>
  </si>
  <si>
    <t>ETC_CJ</t>
  </si>
  <si>
    <t>POSW_CJ</t>
  </si>
  <si>
    <t>USDT_CJ</t>
  </si>
  <si>
    <t>ZEC_CJ</t>
  </si>
  <si>
    <t>NXT_CJ</t>
  </si>
  <si>
    <t>REP_CJ</t>
  </si>
  <si>
    <t>CLAM_BTC</t>
  </si>
  <si>
    <t>CLAM_USD</t>
  </si>
  <si>
    <t>CLAM_LTC</t>
  </si>
  <si>
    <t>CLAM_DOGE</t>
  </si>
  <si>
    <t>CLAM_ETH</t>
  </si>
  <si>
    <t>CLAM_EUR</t>
  </si>
  <si>
    <t>CLAM_RUR</t>
  </si>
  <si>
    <t>CLAM_DASH</t>
  </si>
  <si>
    <t>CLAM_XMR</t>
  </si>
  <si>
    <t>CLAM_ETC</t>
  </si>
  <si>
    <t>CLAM_POSW</t>
  </si>
  <si>
    <t>CLAM_USDT</t>
  </si>
  <si>
    <t>CLAM_ZEC</t>
  </si>
  <si>
    <t>CLAM_NXT</t>
  </si>
  <si>
    <t>CLAM_REP</t>
  </si>
  <si>
    <t>BTC_CLAM</t>
  </si>
  <si>
    <t>USD_CLAM</t>
  </si>
  <si>
    <t>LTC_CLAM</t>
  </si>
  <si>
    <t>DOGE_CLAM</t>
  </si>
  <si>
    <t>ETH_CLAM</t>
  </si>
  <si>
    <t>EUR_CLAM</t>
  </si>
  <si>
    <t>RUR_CLAM</t>
  </si>
  <si>
    <t>DASH_CLAM</t>
  </si>
  <si>
    <t>XMR_CLAM</t>
  </si>
  <si>
    <t>ETC_CLAM</t>
  </si>
  <si>
    <t>POSW_CLAM</t>
  </si>
  <si>
    <t>USDT_CLAM</t>
  </si>
  <si>
    <t>ZEC_CLAM</t>
  </si>
  <si>
    <t>NXT_CLAM</t>
  </si>
  <si>
    <t>REP_CLAM</t>
  </si>
  <si>
    <t>CLOAK_BTC</t>
  </si>
  <si>
    <t>CLOAK_USD</t>
  </si>
  <si>
    <t>CLOAK_LTC</t>
  </si>
  <si>
    <t>CLOAK_DOGE</t>
  </si>
  <si>
    <t>CLOAK_ETH</t>
  </si>
  <si>
    <t>CLOAK_EUR</t>
  </si>
  <si>
    <t>CLOAK_RUR</t>
  </si>
  <si>
    <t>CLOAK_DASH</t>
  </si>
  <si>
    <t>CLOAK_XMR</t>
  </si>
  <si>
    <t>CLOAK_ETC</t>
  </si>
  <si>
    <t>CLOAK_POSW</t>
  </si>
  <si>
    <t>CLOAK_USDT</t>
  </si>
  <si>
    <t>CLOAK_ZEC</t>
  </si>
  <si>
    <t>CLOAK_NXT</t>
  </si>
  <si>
    <t>CLOAK_REP</t>
  </si>
  <si>
    <t>BTC_CLOAK</t>
  </si>
  <si>
    <t>USD_CLOAK</t>
  </si>
  <si>
    <t>LTC_CLOAK</t>
  </si>
  <si>
    <t>DOGE_CLOAK</t>
  </si>
  <si>
    <t>ETH_CLOAK</t>
  </si>
  <si>
    <t>EUR_CLOAK</t>
  </si>
  <si>
    <t>RUR_CLOAK</t>
  </si>
  <si>
    <t>DASH_CLOAK</t>
  </si>
  <si>
    <t>XMR_CLOAK</t>
  </si>
  <si>
    <t>ETC_CLOAK</t>
  </si>
  <si>
    <t>POSW_CLOAK</t>
  </si>
  <si>
    <t>USDT_CLOAK</t>
  </si>
  <si>
    <t>ZEC_CLOAK</t>
  </si>
  <si>
    <t>NXT_CLOAK</t>
  </si>
  <si>
    <t>REP_CLOAK</t>
  </si>
  <si>
    <t>CLUB_BTC</t>
  </si>
  <si>
    <t>CLUB_USD</t>
  </si>
  <si>
    <t>CLUB_LTC</t>
  </si>
  <si>
    <t>CLUB_DOGE</t>
  </si>
  <si>
    <t>CLUB_ETH</t>
  </si>
  <si>
    <t>CLUB_EUR</t>
  </si>
  <si>
    <t>CLUB_RUR</t>
  </si>
  <si>
    <t>CLUB_DASH</t>
  </si>
  <si>
    <t>CLUB_XMR</t>
  </si>
  <si>
    <t>CLUB_ETC</t>
  </si>
  <si>
    <t>CLUB_POSW</t>
  </si>
  <si>
    <t>CLUB_USDT</t>
  </si>
  <si>
    <t>CLUB_ZEC</t>
  </si>
  <si>
    <t>CLUB_NXT</t>
  </si>
  <si>
    <t>CLUB_REP</t>
  </si>
  <si>
    <t>BTC_CLUB</t>
  </si>
  <si>
    <t>USD_CLUB</t>
  </si>
  <si>
    <t>LTC_CLUB</t>
  </si>
  <si>
    <t>DOGE_CLUB</t>
  </si>
  <si>
    <t>ETH_CLUB</t>
  </si>
  <si>
    <t>EUR_CLUB</t>
  </si>
  <si>
    <t>RUR_CLUB</t>
  </si>
  <si>
    <t>DASH_CLUB</t>
  </si>
  <si>
    <t>XMR_CLUB</t>
  </si>
  <si>
    <t>ETC_CLUB</t>
  </si>
  <si>
    <t>POSW_CLUB</t>
  </si>
  <si>
    <t>USDT_CLUB</t>
  </si>
  <si>
    <t>ZEC_CLUB</t>
  </si>
  <si>
    <t>NXT_CLUB</t>
  </si>
  <si>
    <t>REP_CLUB</t>
  </si>
  <si>
    <t>CNT_BTC</t>
  </si>
  <si>
    <t>CNT_USD</t>
  </si>
  <si>
    <t>CNT_LTC</t>
  </si>
  <si>
    <t>CNT_DOGE</t>
  </si>
  <si>
    <t>CNT_ETH</t>
  </si>
  <si>
    <t>CNT_EUR</t>
  </si>
  <si>
    <t>CNT_RUR</t>
  </si>
  <si>
    <t>CNT_DASH</t>
  </si>
  <si>
    <t>CNT_XMR</t>
  </si>
  <si>
    <t>CNT_ETC</t>
  </si>
  <si>
    <t>CNT_POSW</t>
  </si>
  <si>
    <t>CNT_USDT</t>
  </si>
  <si>
    <t>CNT_ZEC</t>
  </si>
  <si>
    <t>CNT_NXT</t>
  </si>
  <si>
    <t>CNT_REP</t>
  </si>
  <si>
    <t>BTC_CNT</t>
  </si>
  <si>
    <t>USD_CNT</t>
  </si>
  <si>
    <t>LTC_CNT</t>
  </si>
  <si>
    <t>DOGE_CNT</t>
  </si>
  <si>
    <t>ETH_CNT</t>
  </si>
  <si>
    <t>EUR_CNT</t>
  </si>
  <si>
    <t>RUR_CNT</t>
  </si>
  <si>
    <t>DASH_CNT</t>
  </si>
  <si>
    <t>XMR_CNT</t>
  </si>
  <si>
    <t>ETC_CNT</t>
  </si>
  <si>
    <t>POSW_CNT</t>
  </si>
  <si>
    <t>USDT_CNT</t>
  </si>
  <si>
    <t>ZEC_CNT</t>
  </si>
  <si>
    <t>NXT_CNT</t>
  </si>
  <si>
    <t>REP_CNT</t>
  </si>
  <si>
    <t>CPC_BTC</t>
  </si>
  <si>
    <t>CPC_USD</t>
  </si>
  <si>
    <t>CPC_LTC</t>
  </si>
  <si>
    <t>CPC_DOGE</t>
  </si>
  <si>
    <t>CPC_ETH</t>
  </si>
  <si>
    <t>CPC_EUR</t>
  </si>
  <si>
    <t>CPC_RUR</t>
  </si>
  <si>
    <t>CPC_DASH</t>
  </si>
  <si>
    <t>CPC_XMR</t>
  </si>
  <si>
    <t>CPC_ETC</t>
  </si>
  <si>
    <t>CPC_POSW</t>
  </si>
  <si>
    <t>CPC_USDT</t>
  </si>
  <si>
    <t>CPC_ZEC</t>
  </si>
  <si>
    <t>CPC_NXT</t>
  </si>
  <si>
    <t>CPC_REP</t>
  </si>
  <si>
    <t>BTC_CPC</t>
  </si>
  <si>
    <t>USD_CPC</t>
  </si>
  <si>
    <t>LTC_CPC</t>
  </si>
  <si>
    <t>DOGE_CPC</t>
  </si>
  <si>
    <t>ETH_CPC</t>
  </si>
  <si>
    <t>EUR_CPC</t>
  </si>
  <si>
    <t>RUR_CPC</t>
  </si>
  <si>
    <t>DASH_CPC</t>
  </si>
  <si>
    <t>XMR_CPC</t>
  </si>
  <si>
    <t>ETC_CPC</t>
  </si>
  <si>
    <t>POSW_CPC</t>
  </si>
  <si>
    <t>USDT_CPC</t>
  </si>
  <si>
    <t>ZEC_CPC</t>
  </si>
  <si>
    <t>NXT_CPC</t>
  </si>
  <si>
    <t>REP_CPC</t>
  </si>
  <si>
    <t>CREVA_BTC</t>
  </si>
  <si>
    <t>CREVA_USD</t>
  </si>
  <si>
    <t>CREVA_LTC</t>
  </si>
  <si>
    <t>CREVA_DOGE</t>
  </si>
  <si>
    <t>CREVA_ETH</t>
  </si>
  <si>
    <t>CREVA_EUR</t>
  </si>
  <si>
    <t>CREVA_RUR</t>
  </si>
  <si>
    <t>CREVA_DASH</t>
  </si>
  <si>
    <t>CREVA_XMR</t>
  </si>
  <si>
    <t>CREVA_ETC</t>
  </si>
  <si>
    <t>CREVA_POSW</t>
  </si>
  <si>
    <t>CREVA_USDT</t>
  </si>
  <si>
    <t>CREVA_ZEC</t>
  </si>
  <si>
    <t>CREVA_NXT</t>
  </si>
  <si>
    <t>CREVA_REP</t>
  </si>
  <si>
    <t>BTC_CREVA</t>
  </si>
  <si>
    <t>USD_CREVA</t>
  </si>
  <si>
    <t>LTC_CREVA</t>
  </si>
  <si>
    <t>DOGE_CREVA</t>
  </si>
  <si>
    <t>ETH_CREVA</t>
  </si>
  <si>
    <t>EUR_CREVA</t>
  </si>
  <si>
    <t>RUR_CREVA</t>
  </si>
  <si>
    <t>DASH_CREVA</t>
  </si>
  <si>
    <t>XMR_CREVA</t>
  </si>
  <si>
    <t>ETC_CREVA</t>
  </si>
  <si>
    <t>POSW_CREVA</t>
  </si>
  <si>
    <t>USDT_CREVA</t>
  </si>
  <si>
    <t>ZEC_CREVA</t>
  </si>
  <si>
    <t>NXT_CREVA</t>
  </si>
  <si>
    <t>REP_CREVA</t>
  </si>
  <si>
    <t>CRW_BTC</t>
  </si>
  <si>
    <t>CRW_USD</t>
  </si>
  <si>
    <t>CRW_LTC</t>
  </si>
  <si>
    <t>CRW_DOGE</t>
  </si>
  <si>
    <t>CRW_ETH</t>
  </si>
  <si>
    <t>CRW_EUR</t>
  </si>
  <si>
    <t>CRW_RUR</t>
  </si>
  <si>
    <t>CRW_DASH</t>
  </si>
  <si>
    <t>CRW_XMR</t>
  </si>
  <si>
    <t>CRW_ETC</t>
  </si>
  <si>
    <t>CRW_POSW</t>
  </si>
  <si>
    <t>CRW_USDT</t>
  </si>
  <si>
    <t>CRW_ZEC</t>
  </si>
  <si>
    <t>CRW_NXT</t>
  </si>
  <si>
    <t>CRW_REP</t>
  </si>
  <si>
    <t>BTC_CRW</t>
  </si>
  <si>
    <t>USD_CRW</t>
  </si>
  <si>
    <t>LTC_CRW</t>
  </si>
  <si>
    <t>DOGE_CRW</t>
  </si>
  <si>
    <t>ETH_CRW</t>
  </si>
  <si>
    <t>EUR_CRW</t>
  </si>
  <si>
    <t>RUR_CRW</t>
  </si>
  <si>
    <t>DASH_CRW</t>
  </si>
  <si>
    <t>XMR_CRW</t>
  </si>
  <si>
    <t>ETC_CRW</t>
  </si>
  <si>
    <t>POSW_CRW</t>
  </si>
  <si>
    <t>USDT_CRW</t>
  </si>
  <si>
    <t>ZEC_CRW</t>
  </si>
  <si>
    <t>NXT_CRW</t>
  </si>
  <si>
    <t>REP_CRW</t>
  </si>
  <si>
    <t>CURE_BTC</t>
  </si>
  <si>
    <t>CURE_USD</t>
  </si>
  <si>
    <t>CURE_LTC</t>
  </si>
  <si>
    <t>CURE_DOGE</t>
  </si>
  <si>
    <t>CURE_ETH</t>
  </si>
  <si>
    <t>CURE_EUR</t>
  </si>
  <si>
    <t>CURE_RUR</t>
  </si>
  <si>
    <t>CURE_DASH</t>
  </si>
  <si>
    <t>CURE_XMR</t>
  </si>
  <si>
    <t>CURE_ETC</t>
  </si>
  <si>
    <t>CURE_POSW</t>
  </si>
  <si>
    <t>CURE_USDT</t>
  </si>
  <si>
    <t>CURE_ZEC</t>
  </si>
  <si>
    <t>CURE_NXT</t>
  </si>
  <si>
    <t>CURE_REP</t>
  </si>
  <si>
    <t>BTC_CURE</t>
  </si>
  <si>
    <t>USD_CURE</t>
  </si>
  <si>
    <t>LTC_CURE</t>
  </si>
  <si>
    <t>DOGE_CURE</t>
  </si>
  <si>
    <t>ETH_CURE</t>
  </si>
  <si>
    <t>EUR_CURE</t>
  </si>
  <si>
    <t>RUR_CURE</t>
  </si>
  <si>
    <t>DASH_CURE</t>
  </si>
  <si>
    <t>XMR_CURE</t>
  </si>
  <si>
    <t>ETC_CURE</t>
  </si>
  <si>
    <t>POSW_CURE</t>
  </si>
  <si>
    <t>USDT_CURE</t>
  </si>
  <si>
    <t>ZEC_CURE</t>
  </si>
  <si>
    <t>NXT_CURE</t>
  </si>
  <si>
    <t>REP_CURE</t>
  </si>
  <si>
    <t>DASH_USD</t>
  </si>
  <si>
    <t>DASH_LTC</t>
  </si>
  <si>
    <t>DASH_DOGE</t>
  </si>
  <si>
    <t>DASH_ETH</t>
  </si>
  <si>
    <t>DASH_EUR</t>
  </si>
  <si>
    <t>DASH_RUR</t>
  </si>
  <si>
    <t>DASH_DASH</t>
  </si>
  <si>
    <t>DASH_XMR</t>
  </si>
  <si>
    <t>DASH_ETC</t>
  </si>
  <si>
    <t>DASH_POSW</t>
  </si>
  <si>
    <t>DASH_USDT</t>
  </si>
  <si>
    <t>DASH_ZEC</t>
  </si>
  <si>
    <t>DASH_NXT</t>
  </si>
  <si>
    <t>DASH_REP</t>
  </si>
  <si>
    <t>USD_DASH</t>
  </si>
  <si>
    <t>LTC_DASH</t>
  </si>
  <si>
    <t>DOGE_DASH</t>
  </si>
  <si>
    <t>ETH_DASH</t>
  </si>
  <si>
    <t>EUR_DASH</t>
  </si>
  <si>
    <t>RUR_DASH</t>
  </si>
  <si>
    <t>XMR_DASH</t>
  </si>
  <si>
    <t>ETC_DASH</t>
  </si>
  <si>
    <t>POSW_DASH</t>
  </si>
  <si>
    <t>USDT_DASH</t>
  </si>
  <si>
    <t>ZEC_DASH</t>
  </si>
  <si>
    <t>NXT_DASH</t>
  </si>
  <si>
    <t>REP_DASH</t>
  </si>
  <si>
    <t>DCR_BTC</t>
  </si>
  <si>
    <t>DCR_USD</t>
  </si>
  <si>
    <t>DCR_LTC</t>
  </si>
  <si>
    <t>DCR_DOGE</t>
  </si>
  <si>
    <t>DCR_ETH</t>
  </si>
  <si>
    <t>DCR_EUR</t>
  </si>
  <si>
    <t>DCR_RUR</t>
  </si>
  <si>
    <t>DCR_DASH</t>
  </si>
  <si>
    <t>DCR_XMR</t>
  </si>
  <si>
    <t>DCR_ETC</t>
  </si>
  <si>
    <t>DCR_POSW</t>
  </si>
  <si>
    <t>DCR_USDT</t>
  </si>
  <si>
    <t>DCR_ZEC</t>
  </si>
  <si>
    <t>DCR_NXT</t>
  </si>
  <si>
    <t>DCR_REP</t>
  </si>
  <si>
    <t>BTC_DCR</t>
  </si>
  <si>
    <t>USD_DCR</t>
  </si>
  <si>
    <t>LTC_DCR</t>
  </si>
  <si>
    <t>DOGE_DCR</t>
  </si>
  <si>
    <t>ETH_DCR</t>
  </si>
  <si>
    <t>EUR_DCR</t>
  </si>
  <si>
    <t>RUR_DCR</t>
  </si>
  <si>
    <t>DASH_DCR</t>
  </si>
  <si>
    <t>XMR_DCR</t>
  </si>
  <si>
    <t>ETC_DCR</t>
  </si>
  <si>
    <t>POSW_DCR</t>
  </si>
  <si>
    <t>USDT_DCR</t>
  </si>
  <si>
    <t>ZEC_DCR</t>
  </si>
  <si>
    <t>NXT_DCR</t>
  </si>
  <si>
    <t>REP_DCR</t>
  </si>
  <si>
    <t>DCT_BTC</t>
  </si>
  <si>
    <t>DCT_USD</t>
  </si>
  <si>
    <t>DCT_LTC</t>
  </si>
  <si>
    <t>DCT_DOGE</t>
  </si>
  <si>
    <t>DCT_ETH</t>
  </si>
  <si>
    <t>DCT_EUR</t>
  </si>
  <si>
    <t>DCT_RUR</t>
  </si>
  <si>
    <t>DCT_DASH</t>
  </si>
  <si>
    <t>DCT_XMR</t>
  </si>
  <si>
    <t>DCT_ETC</t>
  </si>
  <si>
    <t>DCT_POSW</t>
  </si>
  <si>
    <t>DCT_USDT</t>
  </si>
  <si>
    <t>DCT_ZEC</t>
  </si>
  <si>
    <t>DCT_NXT</t>
  </si>
  <si>
    <t>DCT_REP</t>
  </si>
  <si>
    <t>BTC_DCT</t>
  </si>
  <si>
    <t>USD_DCT</t>
  </si>
  <si>
    <t>LTC_DCT</t>
  </si>
  <si>
    <t>DOGE_DCT</t>
  </si>
  <si>
    <t>ETH_DCT</t>
  </si>
  <si>
    <t>EUR_DCT</t>
  </si>
  <si>
    <t>RUR_DCT</t>
  </si>
  <si>
    <t>DASH_DCT</t>
  </si>
  <si>
    <t>XMR_DCT</t>
  </si>
  <si>
    <t>ETC_DCT</t>
  </si>
  <si>
    <t>POSW_DCT</t>
  </si>
  <si>
    <t>USDT_DCT</t>
  </si>
  <si>
    <t>ZEC_DCT</t>
  </si>
  <si>
    <t>NXT_DCT</t>
  </si>
  <si>
    <t>REP_DCT</t>
  </si>
  <si>
    <t>DGB_BTC</t>
  </si>
  <si>
    <t>DGB_USD</t>
  </si>
  <si>
    <t>DGB_LTC</t>
  </si>
  <si>
    <t>DGB_DOGE</t>
  </si>
  <si>
    <t>DGB_ETH</t>
  </si>
  <si>
    <t>DGB_EUR</t>
  </si>
  <si>
    <t>DGB_RUR</t>
  </si>
  <si>
    <t>DGB_DASH</t>
  </si>
  <si>
    <t>DGB_XMR</t>
  </si>
  <si>
    <t>DGB_ETC</t>
  </si>
  <si>
    <t>DGB_POSW</t>
  </si>
  <si>
    <t>DGB_USDT</t>
  </si>
  <si>
    <t>DGB_ZEC</t>
  </si>
  <si>
    <t>DGB_NXT</t>
  </si>
  <si>
    <t>DGB_REP</t>
  </si>
  <si>
    <t>BTC_DGB</t>
  </si>
  <si>
    <t>USD_DGB</t>
  </si>
  <si>
    <t>LTC_DGB</t>
  </si>
  <si>
    <t>DOGE_DGB</t>
  </si>
  <si>
    <t>ETH_DGB</t>
  </si>
  <si>
    <t>EUR_DGB</t>
  </si>
  <si>
    <t>RUR_DGB</t>
  </si>
  <si>
    <t>DASH_DGB</t>
  </si>
  <si>
    <t>XMR_DGB</t>
  </si>
  <si>
    <t>ETC_DGB</t>
  </si>
  <si>
    <t>POSW_DGB</t>
  </si>
  <si>
    <t>USDT_DGB</t>
  </si>
  <si>
    <t>ZEC_DGB</t>
  </si>
  <si>
    <t>NXT_DGB</t>
  </si>
  <si>
    <t>REP_DGB</t>
  </si>
  <si>
    <t>DGD_BTC</t>
  </si>
  <si>
    <t>DGD_USD</t>
  </si>
  <si>
    <t>DGD_LTC</t>
  </si>
  <si>
    <t>DGD_DOGE</t>
  </si>
  <si>
    <t>DGD_ETH</t>
  </si>
  <si>
    <t>DGD_EUR</t>
  </si>
  <si>
    <t>DGD_RUR</t>
  </si>
  <si>
    <t>DGD_DASH</t>
  </si>
  <si>
    <t>DGD_XMR</t>
  </si>
  <si>
    <t>DGD_ETC</t>
  </si>
  <si>
    <t>DGD_POSW</t>
  </si>
  <si>
    <t>DGD_USDT</t>
  </si>
  <si>
    <t>DGD_ZEC</t>
  </si>
  <si>
    <t>DGD_NXT</t>
  </si>
  <si>
    <t>DGD_REP</t>
  </si>
  <si>
    <t>BTC_DGD</t>
  </si>
  <si>
    <t>USD_DGD</t>
  </si>
  <si>
    <t>LTC_DGD</t>
  </si>
  <si>
    <t>DOGE_DGD</t>
  </si>
  <si>
    <t>ETH_DGD</t>
  </si>
  <si>
    <t>EUR_DGD</t>
  </si>
  <si>
    <t>RUR_DGD</t>
  </si>
  <si>
    <t>DASH_DGD</t>
  </si>
  <si>
    <t>XMR_DGD</t>
  </si>
  <si>
    <t>ETC_DGD</t>
  </si>
  <si>
    <t>POSW_DGD</t>
  </si>
  <si>
    <t>USDT_DGD</t>
  </si>
  <si>
    <t>ZEC_DGD</t>
  </si>
  <si>
    <t>NXT_DGD</t>
  </si>
  <si>
    <t>REP_DGD</t>
  </si>
  <si>
    <t>DIME_BTC</t>
  </si>
  <si>
    <t>DIME_USD</t>
  </si>
  <si>
    <t>DIME_LTC</t>
  </si>
  <si>
    <t>DIME_DOGE</t>
  </si>
  <si>
    <t>DIME_ETH</t>
  </si>
  <si>
    <t>DIME_EUR</t>
  </si>
  <si>
    <t>DIME_RUR</t>
  </si>
  <si>
    <t>DIME_DASH</t>
  </si>
  <si>
    <t>DIME_XMR</t>
  </si>
  <si>
    <t>DIME_ETC</t>
  </si>
  <si>
    <t>DIME_POSW</t>
  </si>
  <si>
    <t>DIME_USDT</t>
  </si>
  <si>
    <t>DIME_ZEC</t>
  </si>
  <si>
    <t>DIME_NXT</t>
  </si>
  <si>
    <t>DIME_REP</t>
  </si>
  <si>
    <t>BTC_DIME</t>
  </si>
  <si>
    <t>USD_DIME</t>
  </si>
  <si>
    <t>LTC_DIME</t>
  </si>
  <si>
    <t>DOGE_DIME</t>
  </si>
  <si>
    <t>ETH_DIME</t>
  </si>
  <si>
    <t>EUR_DIME</t>
  </si>
  <si>
    <t>RUR_DIME</t>
  </si>
  <si>
    <t>DASH_DIME</t>
  </si>
  <si>
    <t>XMR_DIME</t>
  </si>
  <si>
    <t>ETC_DIME</t>
  </si>
  <si>
    <t>POSW_DIME</t>
  </si>
  <si>
    <t>USDT_DIME</t>
  </si>
  <si>
    <t>ZEC_DIME</t>
  </si>
  <si>
    <t>NXT_DIME</t>
  </si>
  <si>
    <t>REP_DIME</t>
  </si>
  <si>
    <t>DOGE_USD</t>
  </si>
  <si>
    <t>DOGE_LTC</t>
  </si>
  <si>
    <t>DOGE_DOGE</t>
  </si>
  <si>
    <t>DOGE_ETH</t>
  </si>
  <si>
    <t>DOGE_EUR</t>
  </si>
  <si>
    <t>DOGE_RUR</t>
  </si>
  <si>
    <t>DOGE_XMR</t>
  </si>
  <si>
    <t>DOGE_ETC</t>
  </si>
  <si>
    <t>DOGE_POSW</t>
  </si>
  <si>
    <t>DOGE_USDT</t>
  </si>
  <si>
    <t>DOGE_ZEC</t>
  </si>
  <si>
    <t>DOGE_NXT</t>
  </si>
  <si>
    <t>DOGE_REP</t>
  </si>
  <si>
    <t>USD_DOGE</t>
  </si>
  <si>
    <t>LTC_DOGE</t>
  </si>
  <si>
    <t>ETH_DOGE</t>
  </si>
  <si>
    <t>EUR_DOGE</t>
  </si>
  <si>
    <t>RUR_DOGE</t>
  </si>
  <si>
    <t>XMR_DOGE</t>
  </si>
  <si>
    <t>ETC_DOGE</t>
  </si>
  <si>
    <t>POSW_DOGE</t>
  </si>
  <si>
    <t>USDT_DOGE</t>
  </si>
  <si>
    <t>ZEC_DOGE</t>
  </si>
  <si>
    <t>NXT_DOGE</t>
  </si>
  <si>
    <t>REP_DOGE</t>
  </si>
  <si>
    <t>DRACO_BTC</t>
  </si>
  <si>
    <t>DRACO_USD</t>
  </si>
  <si>
    <t>DRACO_LTC</t>
  </si>
  <si>
    <t>DRACO_DOGE</t>
  </si>
  <si>
    <t>DRACO_ETH</t>
  </si>
  <si>
    <t>DRACO_EUR</t>
  </si>
  <si>
    <t>DRACO_RUR</t>
  </si>
  <si>
    <t>DRACO_DASH</t>
  </si>
  <si>
    <t>DRACO_XMR</t>
  </si>
  <si>
    <t>DRACO_ETC</t>
  </si>
  <si>
    <t>DRACO_POSW</t>
  </si>
  <si>
    <t>DRACO_USDT</t>
  </si>
  <si>
    <t>DRACO_ZEC</t>
  </si>
  <si>
    <t>DRACO_NXT</t>
  </si>
  <si>
    <t>DRACO_REP</t>
  </si>
  <si>
    <t>BTC_DRACO</t>
  </si>
  <si>
    <t>USD_DRACO</t>
  </si>
  <si>
    <t>LTC_DRACO</t>
  </si>
  <si>
    <t>DOGE_DRACO</t>
  </si>
  <si>
    <t>ETH_DRACO</t>
  </si>
  <si>
    <t>EUR_DRACO</t>
  </si>
  <si>
    <t>RUR_DRACO</t>
  </si>
  <si>
    <t>DASH_DRACO</t>
  </si>
  <si>
    <t>XMR_DRACO</t>
  </si>
  <si>
    <t>ETC_DRACO</t>
  </si>
  <si>
    <t>POSW_DRACO</t>
  </si>
  <si>
    <t>USDT_DRACO</t>
  </si>
  <si>
    <t>ZEC_DRACO</t>
  </si>
  <si>
    <t>NXT_DRACO</t>
  </si>
  <si>
    <t>REP_DRACO</t>
  </si>
  <si>
    <t>DRZ_BTC</t>
  </si>
  <si>
    <t>DRZ_USD</t>
  </si>
  <si>
    <t>DRZ_LTC</t>
  </si>
  <si>
    <t>DRZ_DOGE</t>
  </si>
  <si>
    <t>DRZ_ETH</t>
  </si>
  <si>
    <t>DRZ_EUR</t>
  </si>
  <si>
    <t>DRZ_RUR</t>
  </si>
  <si>
    <t>DRZ_DASH</t>
  </si>
  <si>
    <t>DRZ_XMR</t>
  </si>
  <si>
    <t>DRZ_ETC</t>
  </si>
  <si>
    <t>DRZ_POSW</t>
  </si>
  <si>
    <t>DRZ_USDT</t>
  </si>
  <si>
    <t>DRZ_ZEC</t>
  </si>
  <si>
    <t>DRZ_NXT</t>
  </si>
  <si>
    <t>DRZ_REP</t>
  </si>
  <si>
    <t>BTC_DRZ</t>
  </si>
  <si>
    <t>USD_DRZ</t>
  </si>
  <si>
    <t>LTC_DRZ</t>
  </si>
  <si>
    <t>DOGE_DRZ</t>
  </si>
  <si>
    <t>ETH_DRZ</t>
  </si>
  <si>
    <t>EUR_DRZ</t>
  </si>
  <si>
    <t>RUR_DRZ</t>
  </si>
  <si>
    <t>DASH_DRZ</t>
  </si>
  <si>
    <t>XMR_DRZ</t>
  </si>
  <si>
    <t>ETC_DRZ</t>
  </si>
  <si>
    <t>POSW_DRZ</t>
  </si>
  <si>
    <t>USDT_DRZ</t>
  </si>
  <si>
    <t>ZEC_DRZ</t>
  </si>
  <si>
    <t>NXT_DRZ</t>
  </si>
  <si>
    <t>REP_DRZ</t>
  </si>
  <si>
    <t>DSH_BTC</t>
  </si>
  <si>
    <t>DSH_USD</t>
  </si>
  <si>
    <t>DSH_LTC</t>
  </si>
  <si>
    <t>DSH_DOGE</t>
  </si>
  <si>
    <t>DSH_ETH</t>
  </si>
  <si>
    <t>DSH_EUR</t>
  </si>
  <si>
    <t>DSH_RUR</t>
  </si>
  <si>
    <t>DSH_DASH</t>
  </si>
  <si>
    <t>DSH_XMR</t>
  </si>
  <si>
    <t>DSH_ETC</t>
  </si>
  <si>
    <t>DSH_POSW</t>
  </si>
  <si>
    <t>DSH_USDT</t>
  </si>
  <si>
    <t>DSH_ZEC</t>
  </si>
  <si>
    <t>DSH_NXT</t>
  </si>
  <si>
    <t>DSH_REP</t>
  </si>
  <si>
    <t>BTC_DSH</t>
  </si>
  <si>
    <t>USD_DSH</t>
  </si>
  <si>
    <t>LTC_DSH</t>
  </si>
  <si>
    <t>DOGE_DSH</t>
  </si>
  <si>
    <t>ETH_DSH</t>
  </si>
  <si>
    <t>EUR_DSH</t>
  </si>
  <si>
    <t>RUR_DSH</t>
  </si>
  <si>
    <t>DASH_DSH</t>
  </si>
  <si>
    <t>XMR_DSH</t>
  </si>
  <si>
    <t>ETC_DSH</t>
  </si>
  <si>
    <t>POSW_DSH</t>
  </si>
  <si>
    <t>USDT_DSH</t>
  </si>
  <si>
    <t>ZEC_DSH</t>
  </si>
  <si>
    <t>NXT_DSH</t>
  </si>
  <si>
    <t>REP_DSH</t>
  </si>
  <si>
    <t>ECN_BTC</t>
  </si>
  <si>
    <t>ECN_USD</t>
  </si>
  <si>
    <t>ECN_LTC</t>
  </si>
  <si>
    <t>ECN_DOGE</t>
  </si>
  <si>
    <t>ECN_ETH</t>
  </si>
  <si>
    <t>ECN_EUR</t>
  </si>
  <si>
    <t>ECN_RUR</t>
  </si>
  <si>
    <t>ECN_DASH</t>
  </si>
  <si>
    <t>ECN_XMR</t>
  </si>
  <si>
    <t>ECN_ETC</t>
  </si>
  <si>
    <t>ECN_POSW</t>
  </si>
  <si>
    <t>ECN_USDT</t>
  </si>
  <si>
    <t>ECN_ZEC</t>
  </si>
  <si>
    <t>ECN_NXT</t>
  </si>
  <si>
    <t>ECN_REP</t>
  </si>
  <si>
    <t>BTC_ECN</t>
  </si>
  <si>
    <t>USD_ECN</t>
  </si>
  <si>
    <t>LTC_ECN</t>
  </si>
  <si>
    <t>DOGE_ECN</t>
  </si>
  <si>
    <t>ETH_ECN</t>
  </si>
  <si>
    <t>EUR_ECN</t>
  </si>
  <si>
    <t>RUR_ECN</t>
  </si>
  <si>
    <t>DASH_ECN</t>
  </si>
  <si>
    <t>XMR_ECN</t>
  </si>
  <si>
    <t>ETC_ECN</t>
  </si>
  <si>
    <t>POSW_ECN</t>
  </si>
  <si>
    <t>USDT_ECN</t>
  </si>
  <si>
    <t>ZEC_ECN</t>
  </si>
  <si>
    <t>NXT_ECN</t>
  </si>
  <si>
    <t>REP_ECN</t>
  </si>
  <si>
    <t>EGC_BTC</t>
  </si>
  <si>
    <t>EGC_USD</t>
  </si>
  <si>
    <t>EGC_LTC</t>
  </si>
  <si>
    <t>EGC_DOGE</t>
  </si>
  <si>
    <t>EGC_ETH</t>
  </si>
  <si>
    <t>EGC_EUR</t>
  </si>
  <si>
    <t>EGC_RUR</t>
  </si>
  <si>
    <t>EGC_DASH</t>
  </si>
  <si>
    <t>EGC_XMR</t>
  </si>
  <si>
    <t>EGC_ETC</t>
  </si>
  <si>
    <t>EGC_POSW</t>
  </si>
  <si>
    <t>EGC_USDT</t>
  </si>
  <si>
    <t>EGC_ZEC</t>
  </si>
  <si>
    <t>EGC_NXT</t>
  </si>
  <si>
    <t>EGC_REP</t>
  </si>
  <si>
    <t>BTC_EGC</t>
  </si>
  <si>
    <t>USD_EGC</t>
  </si>
  <si>
    <t>LTC_EGC</t>
  </si>
  <si>
    <t>DOGE_EGC</t>
  </si>
  <si>
    <t>ETH_EGC</t>
  </si>
  <si>
    <t>EUR_EGC</t>
  </si>
  <si>
    <t>RUR_EGC</t>
  </si>
  <si>
    <t>DASH_EGC</t>
  </si>
  <si>
    <t>XMR_EGC</t>
  </si>
  <si>
    <t>ETC_EGC</t>
  </si>
  <si>
    <t>POSW_EGC</t>
  </si>
  <si>
    <t>USDT_EGC</t>
  </si>
  <si>
    <t>ZEC_EGC</t>
  </si>
  <si>
    <t>NXT_EGC</t>
  </si>
  <si>
    <t>REP_EGC</t>
  </si>
  <si>
    <t>EL_BTC</t>
  </si>
  <si>
    <t>EL_USD</t>
  </si>
  <si>
    <t>EL_LTC</t>
  </si>
  <si>
    <t>EL_DOGE</t>
  </si>
  <si>
    <t>EL_ETH</t>
  </si>
  <si>
    <t>EL_EUR</t>
  </si>
  <si>
    <t>EL_RUR</t>
  </si>
  <si>
    <t>EL_DASH</t>
  </si>
  <si>
    <t>EL_XMR</t>
  </si>
  <si>
    <t>EL_ETC</t>
  </si>
  <si>
    <t>EL_POSW</t>
  </si>
  <si>
    <t>EL_USDT</t>
  </si>
  <si>
    <t>EL_ZEC</t>
  </si>
  <si>
    <t>EL_NXT</t>
  </si>
  <si>
    <t>EL_REP</t>
  </si>
  <si>
    <t>BTC_EL</t>
  </si>
  <si>
    <t>USD_EL</t>
  </si>
  <si>
    <t>LTC_EL</t>
  </si>
  <si>
    <t>DOGE_EL</t>
  </si>
  <si>
    <t>ETH_EL</t>
  </si>
  <si>
    <t>EUR_EL</t>
  </si>
  <si>
    <t>RUR_EL</t>
  </si>
  <si>
    <t>DASH_EL</t>
  </si>
  <si>
    <t>XMR_EL</t>
  </si>
  <si>
    <t>ETC_EL</t>
  </si>
  <si>
    <t>POSW_EL</t>
  </si>
  <si>
    <t>USDT_EL</t>
  </si>
  <si>
    <t>ZEC_EL</t>
  </si>
  <si>
    <t>NXT_EL</t>
  </si>
  <si>
    <t>REP_EL</t>
  </si>
  <si>
    <t>ELE_BTC</t>
  </si>
  <si>
    <t>ELE_USD</t>
  </si>
  <si>
    <t>ELE_LTC</t>
  </si>
  <si>
    <t>ELE_DOGE</t>
  </si>
  <si>
    <t>ELE_ETH</t>
  </si>
  <si>
    <t>ELE_EUR</t>
  </si>
  <si>
    <t>ELE_RUR</t>
  </si>
  <si>
    <t>ELE_DASH</t>
  </si>
  <si>
    <t>ELE_XMR</t>
  </si>
  <si>
    <t>ELE_ETC</t>
  </si>
  <si>
    <t>ELE_POSW</t>
  </si>
  <si>
    <t>ELE_USDT</t>
  </si>
  <si>
    <t>ELE_ZEC</t>
  </si>
  <si>
    <t>ELE_NXT</t>
  </si>
  <si>
    <t>ELE_REP</t>
  </si>
  <si>
    <t>BTC_ELE</t>
  </si>
  <si>
    <t>USD_ELE</t>
  </si>
  <si>
    <t>LTC_ELE</t>
  </si>
  <si>
    <t>DOGE_ELE</t>
  </si>
  <si>
    <t>ETH_ELE</t>
  </si>
  <si>
    <t>EUR_ELE</t>
  </si>
  <si>
    <t>RUR_ELE</t>
  </si>
  <si>
    <t>DASH_ELE</t>
  </si>
  <si>
    <t>XMR_ELE</t>
  </si>
  <si>
    <t>ETC_ELE</t>
  </si>
  <si>
    <t>POSW_ELE</t>
  </si>
  <si>
    <t>USDT_ELE</t>
  </si>
  <si>
    <t>ZEC_ELE</t>
  </si>
  <si>
    <t>NXT_ELE</t>
  </si>
  <si>
    <t>REP_ELE</t>
  </si>
  <si>
    <t>EMC_BTC</t>
  </si>
  <si>
    <t>EMC_USD</t>
  </si>
  <si>
    <t>EMC_LTC</t>
  </si>
  <si>
    <t>EMC_DOGE</t>
  </si>
  <si>
    <t>EMC_ETH</t>
  </si>
  <si>
    <t>EMC_EUR</t>
  </si>
  <si>
    <t>EMC_RUR</t>
  </si>
  <si>
    <t>EMC_DASH</t>
  </si>
  <si>
    <t>EMC_XMR</t>
  </si>
  <si>
    <t>EMC_ETC</t>
  </si>
  <si>
    <t>EMC_POSW</t>
  </si>
  <si>
    <t>EMC_USDT</t>
  </si>
  <si>
    <t>EMC_ZEC</t>
  </si>
  <si>
    <t>EMC_NXT</t>
  </si>
  <si>
    <t>EMC_REP</t>
  </si>
  <si>
    <t>BTC_EMC</t>
  </si>
  <si>
    <t>USD_EMC</t>
  </si>
  <si>
    <t>LTC_EMC</t>
  </si>
  <si>
    <t>DOGE_EMC</t>
  </si>
  <si>
    <t>ETH_EMC</t>
  </si>
  <si>
    <t>EUR_EMC</t>
  </si>
  <si>
    <t>RUR_EMC</t>
  </si>
  <si>
    <t>DASH_EMC</t>
  </si>
  <si>
    <t>XMR_EMC</t>
  </si>
  <si>
    <t>ETC_EMC</t>
  </si>
  <si>
    <t>POSW_EMC</t>
  </si>
  <si>
    <t>USDT_EMC</t>
  </si>
  <si>
    <t>ZEC_EMC</t>
  </si>
  <si>
    <t>NXT_EMC</t>
  </si>
  <si>
    <t>REP_EMC</t>
  </si>
  <si>
    <t>EMC2_BTC</t>
  </si>
  <si>
    <t>EMC2_USD</t>
  </si>
  <si>
    <t>EMC2_LTC</t>
  </si>
  <si>
    <t>EMC2_DOGE</t>
  </si>
  <si>
    <t>EMC2_ETH</t>
  </si>
  <si>
    <t>EMC2_EUR</t>
  </si>
  <si>
    <t>EMC2_RUR</t>
  </si>
  <si>
    <t>EMC2_DASH</t>
  </si>
  <si>
    <t>EMC2_XMR</t>
  </si>
  <si>
    <t>EMC2_ETC</t>
  </si>
  <si>
    <t>EMC2_POSW</t>
  </si>
  <si>
    <t>EMC2_USDT</t>
  </si>
  <si>
    <t>EMC2_ZEC</t>
  </si>
  <si>
    <t>EMC2_NXT</t>
  </si>
  <si>
    <t>EMC2_REP</t>
  </si>
  <si>
    <t>BTC_EMC2</t>
  </si>
  <si>
    <t>USD_EMC2</t>
  </si>
  <si>
    <t>LTC_EMC2</t>
  </si>
  <si>
    <t>DOGE_EMC2</t>
  </si>
  <si>
    <t>ETH_EMC2</t>
  </si>
  <si>
    <t>EUR_EMC2</t>
  </si>
  <si>
    <t>RUR_EMC2</t>
  </si>
  <si>
    <t>DASH_EMC2</t>
  </si>
  <si>
    <t>XMR_EMC2</t>
  </si>
  <si>
    <t>ETC_EMC2</t>
  </si>
  <si>
    <t>POSW_EMC2</t>
  </si>
  <si>
    <t>USDT_EMC2</t>
  </si>
  <si>
    <t>ZEC_EMC2</t>
  </si>
  <si>
    <t>NXT_EMC2</t>
  </si>
  <si>
    <t>REP_EMC2</t>
  </si>
  <si>
    <t>ENT_BTC</t>
  </si>
  <si>
    <t>ENT_USD</t>
  </si>
  <si>
    <t>ENT_LTC</t>
  </si>
  <si>
    <t>ENT_DOGE</t>
  </si>
  <si>
    <t>ENT_ETH</t>
  </si>
  <si>
    <t>ENT_EUR</t>
  </si>
  <si>
    <t>ENT_RUR</t>
  </si>
  <si>
    <t>ENT_DASH</t>
  </si>
  <si>
    <t>ENT_XMR</t>
  </si>
  <si>
    <t>ENT_ETC</t>
  </si>
  <si>
    <t>ENT_POSW</t>
  </si>
  <si>
    <t>ENT_USDT</t>
  </si>
  <si>
    <t>ENT_ZEC</t>
  </si>
  <si>
    <t>ENT_NXT</t>
  </si>
  <si>
    <t>ENT_REP</t>
  </si>
  <si>
    <t>BTC_ENT</t>
  </si>
  <si>
    <t>USD_ENT</t>
  </si>
  <si>
    <t>LTC_ENT</t>
  </si>
  <si>
    <t>DOGE_ENT</t>
  </si>
  <si>
    <t>ETH_ENT</t>
  </si>
  <si>
    <t>EUR_ENT</t>
  </si>
  <si>
    <t>RUR_ENT</t>
  </si>
  <si>
    <t>DASH_ENT</t>
  </si>
  <si>
    <t>XMR_ENT</t>
  </si>
  <si>
    <t>ETC_ENT</t>
  </si>
  <si>
    <t>POSW_ENT</t>
  </si>
  <si>
    <t>USDT_ENT</t>
  </si>
  <si>
    <t>ZEC_ENT</t>
  </si>
  <si>
    <t>NXT_ENT</t>
  </si>
  <si>
    <t>REP_ENT</t>
  </si>
  <si>
    <t>ETC_USD</t>
  </si>
  <si>
    <t>ETC_LTC</t>
  </si>
  <si>
    <t>ETC_ETH</t>
  </si>
  <si>
    <t>ETC_EUR</t>
  </si>
  <si>
    <t>ETC_RUR</t>
  </si>
  <si>
    <t>ETC_XMR</t>
  </si>
  <si>
    <t>ETC_ETC</t>
  </si>
  <si>
    <t>ETC_POSW</t>
  </si>
  <si>
    <t>ETC_USDT</t>
  </si>
  <si>
    <t>ETC_ZEC</t>
  </si>
  <si>
    <t>ETC_NXT</t>
  </si>
  <si>
    <t>ETC_REP</t>
  </si>
  <si>
    <t>USD_ETC</t>
  </si>
  <si>
    <t>LTC_ETC</t>
  </si>
  <si>
    <t>ETH_ETC</t>
  </si>
  <si>
    <t>EUR_ETC</t>
  </si>
  <si>
    <t>RUR_ETC</t>
  </si>
  <si>
    <t>XMR_ETC</t>
  </si>
  <si>
    <t>POSW_ETC</t>
  </si>
  <si>
    <t>USDT_ETC</t>
  </si>
  <si>
    <t>ZEC_ETC</t>
  </si>
  <si>
    <t>NXT_ETC</t>
  </si>
  <si>
    <t>REP_ETC</t>
  </si>
  <si>
    <t>ETH_USD</t>
  </si>
  <si>
    <t>ETH_LTC</t>
  </si>
  <si>
    <t>ETH_ETH</t>
  </si>
  <si>
    <t>ETH_EUR</t>
  </si>
  <si>
    <t>ETH_RUR</t>
  </si>
  <si>
    <t>ETH_XMR</t>
  </si>
  <si>
    <t>ETH_POSW</t>
  </si>
  <si>
    <t>ETH_USDT</t>
  </si>
  <si>
    <t>ETH_ZEC</t>
  </si>
  <si>
    <t>ETH_NXT</t>
  </si>
  <si>
    <t>ETH_REP</t>
  </si>
  <si>
    <t>USD_ETH</t>
  </si>
  <si>
    <t>LTC_ETH</t>
  </si>
  <si>
    <t>EUR_ETH</t>
  </si>
  <si>
    <t>RUR_ETH</t>
  </si>
  <si>
    <t>XMR_ETH</t>
  </si>
  <si>
    <t>POSW_ETH</t>
  </si>
  <si>
    <t>USDT_ETH</t>
  </si>
  <si>
    <t>ZEC_ETH</t>
  </si>
  <si>
    <t>NXT_ETH</t>
  </si>
  <si>
    <t>REP_ETH</t>
  </si>
  <si>
    <t>EUR_USD</t>
  </si>
  <si>
    <t>EUR_LTC</t>
  </si>
  <si>
    <t>EUR_EUR</t>
  </si>
  <si>
    <t>EUR_RUR</t>
  </si>
  <si>
    <t>EUR_XMR</t>
  </si>
  <si>
    <t>EUR_POSW</t>
  </si>
  <si>
    <t>EUR_USDT</t>
  </si>
  <si>
    <t>EUR_ZEC</t>
  </si>
  <si>
    <t>EUR_NXT</t>
  </si>
  <si>
    <t>EUR_REP</t>
  </si>
  <si>
    <t>USD_EUR</t>
  </si>
  <si>
    <t>LTC_EUR</t>
  </si>
  <si>
    <t>RUR_EUR</t>
  </si>
  <si>
    <t>XMR_EUR</t>
  </si>
  <si>
    <t>POSW_EUR</t>
  </si>
  <si>
    <t>USDT_EUR</t>
  </si>
  <si>
    <t>ZEC_EUR</t>
  </si>
  <si>
    <t>NXT_EUR</t>
  </si>
  <si>
    <t>REP_EUR</t>
  </si>
  <si>
    <t>EXP_BTC</t>
  </si>
  <si>
    <t>EXP_USD</t>
  </si>
  <si>
    <t>EXP_LTC</t>
  </si>
  <si>
    <t>EXP_DOGE</t>
  </si>
  <si>
    <t>EXP_ETH</t>
  </si>
  <si>
    <t>EXP_EUR</t>
  </si>
  <si>
    <t>EXP_RUR</t>
  </si>
  <si>
    <t>EXP_DASH</t>
  </si>
  <si>
    <t>EXP_XMR</t>
  </si>
  <si>
    <t>EXP_ETC</t>
  </si>
  <si>
    <t>EXP_POSW</t>
  </si>
  <si>
    <t>EXP_USDT</t>
  </si>
  <si>
    <t>EXP_ZEC</t>
  </si>
  <si>
    <t>EXP_NXT</t>
  </si>
  <si>
    <t>EXP_REP</t>
  </si>
  <si>
    <t>BTC_EXP</t>
  </si>
  <si>
    <t>USD_EXP</t>
  </si>
  <si>
    <t>LTC_EXP</t>
  </si>
  <si>
    <t>DOGE_EXP</t>
  </si>
  <si>
    <t>ETH_EXP</t>
  </si>
  <si>
    <t>EUR_EXP</t>
  </si>
  <si>
    <t>RUR_EXP</t>
  </si>
  <si>
    <t>DASH_EXP</t>
  </si>
  <si>
    <t>XMR_EXP</t>
  </si>
  <si>
    <t>ETC_EXP</t>
  </si>
  <si>
    <t>POSW_EXP</t>
  </si>
  <si>
    <t>USDT_EXP</t>
  </si>
  <si>
    <t>ZEC_EXP</t>
  </si>
  <si>
    <t>NXT_EXP</t>
  </si>
  <si>
    <t>REP_EXP</t>
  </si>
  <si>
    <t>FCT_BTC</t>
  </si>
  <si>
    <t>FCT_USD</t>
  </si>
  <si>
    <t>FCT_LTC</t>
  </si>
  <si>
    <t>FCT_DOGE</t>
  </si>
  <si>
    <t>FCT_ETH</t>
  </si>
  <si>
    <t>FCT_EUR</t>
  </si>
  <si>
    <t>FCT_RUR</t>
  </si>
  <si>
    <t>FCT_DASH</t>
  </si>
  <si>
    <t>FCT_XMR</t>
  </si>
  <si>
    <t>FCT_ETC</t>
  </si>
  <si>
    <t>FCT_POSW</t>
  </si>
  <si>
    <t>FCT_USDT</t>
  </si>
  <si>
    <t>FCT_ZEC</t>
  </si>
  <si>
    <t>FCT_NXT</t>
  </si>
  <si>
    <t>FCT_REP</t>
  </si>
  <si>
    <t>BTC_FCT</t>
  </si>
  <si>
    <t>USD_FCT</t>
  </si>
  <si>
    <t>LTC_FCT</t>
  </si>
  <si>
    <t>DOGE_FCT</t>
  </si>
  <si>
    <t>ETH_FCT</t>
  </si>
  <si>
    <t>EUR_FCT</t>
  </si>
  <si>
    <t>RUR_FCT</t>
  </si>
  <si>
    <t>DASH_FCT</t>
  </si>
  <si>
    <t>XMR_FCT</t>
  </si>
  <si>
    <t>ETC_FCT</t>
  </si>
  <si>
    <t>POSW_FCT</t>
  </si>
  <si>
    <t>USDT_FCT</t>
  </si>
  <si>
    <t>ZEC_FCT</t>
  </si>
  <si>
    <t>NXT_FCT</t>
  </si>
  <si>
    <t>REP_FCT</t>
  </si>
  <si>
    <t>FJC_BTC</t>
  </si>
  <si>
    <t>FJC_USD</t>
  </si>
  <si>
    <t>FJC_LTC</t>
  </si>
  <si>
    <t>FJC_DOGE</t>
  </si>
  <si>
    <t>FJC_ETH</t>
  </si>
  <si>
    <t>FJC_EUR</t>
  </si>
  <si>
    <t>FJC_RUR</t>
  </si>
  <si>
    <t>FJC_DASH</t>
  </si>
  <si>
    <t>FJC_XMR</t>
  </si>
  <si>
    <t>FJC_ETC</t>
  </si>
  <si>
    <t>FJC_POSW</t>
  </si>
  <si>
    <t>FJC_USDT</t>
  </si>
  <si>
    <t>FJC_ZEC</t>
  </si>
  <si>
    <t>FJC_NXT</t>
  </si>
  <si>
    <t>FJC_REP</t>
  </si>
  <si>
    <t>BTC_FJC</t>
  </si>
  <si>
    <t>USD_FJC</t>
  </si>
  <si>
    <t>LTC_FJC</t>
  </si>
  <si>
    <t>DOGE_FJC</t>
  </si>
  <si>
    <t>ETH_FJC</t>
  </si>
  <si>
    <t>EUR_FJC</t>
  </si>
  <si>
    <t>RUR_FJC</t>
  </si>
  <si>
    <t>DASH_FJC</t>
  </si>
  <si>
    <t>XMR_FJC</t>
  </si>
  <si>
    <t>ETC_FJC</t>
  </si>
  <si>
    <t>POSW_FJC</t>
  </si>
  <si>
    <t>USDT_FJC</t>
  </si>
  <si>
    <t>ZEC_FJC</t>
  </si>
  <si>
    <t>NXT_FJC</t>
  </si>
  <si>
    <t>REP_FJC</t>
  </si>
  <si>
    <t>FRST_BTC</t>
  </si>
  <si>
    <t>FRST_USD</t>
  </si>
  <si>
    <t>FRST_LTC</t>
  </si>
  <si>
    <t>FRST_DOGE</t>
  </si>
  <si>
    <t>FRST_ETH</t>
  </si>
  <si>
    <t>FRST_EUR</t>
  </si>
  <si>
    <t>FRST_RUR</t>
  </si>
  <si>
    <t>FRST_DASH</t>
  </si>
  <si>
    <t>FRST_XMR</t>
  </si>
  <si>
    <t>FRST_ETC</t>
  </si>
  <si>
    <t>FRST_POSW</t>
  </si>
  <si>
    <t>FRST_USDT</t>
  </si>
  <si>
    <t>FRST_ZEC</t>
  </si>
  <si>
    <t>FRST_NXT</t>
  </si>
  <si>
    <t>FRST_REP</t>
  </si>
  <si>
    <t>BTC_FRST</t>
  </si>
  <si>
    <t>USD_FRST</t>
  </si>
  <si>
    <t>LTC_FRST</t>
  </si>
  <si>
    <t>DOGE_FRST</t>
  </si>
  <si>
    <t>ETH_FRST</t>
  </si>
  <si>
    <t>EUR_FRST</t>
  </si>
  <si>
    <t>RUR_FRST</t>
  </si>
  <si>
    <t>DASH_FRST</t>
  </si>
  <si>
    <t>XMR_FRST</t>
  </si>
  <si>
    <t>ETC_FRST</t>
  </si>
  <si>
    <t>POSW_FRST</t>
  </si>
  <si>
    <t>USDT_FRST</t>
  </si>
  <si>
    <t>ZEC_FRST</t>
  </si>
  <si>
    <t>NXT_FRST</t>
  </si>
  <si>
    <t>REP_FRST</t>
  </si>
  <si>
    <t>GAME_BTC</t>
  </si>
  <si>
    <t>GAME_USD</t>
  </si>
  <si>
    <t>GAME_LTC</t>
  </si>
  <si>
    <t>GAME_DOGE</t>
  </si>
  <si>
    <t>GAME_ETH</t>
  </si>
  <si>
    <t>GAME_EUR</t>
  </si>
  <si>
    <t>GAME_RUR</t>
  </si>
  <si>
    <t>GAME_DASH</t>
  </si>
  <si>
    <t>GAME_XMR</t>
  </si>
  <si>
    <t>GAME_ETC</t>
  </si>
  <si>
    <t>GAME_POSW</t>
  </si>
  <si>
    <t>GAME_USDT</t>
  </si>
  <si>
    <t>GAME_ZEC</t>
  </si>
  <si>
    <t>GAME_NXT</t>
  </si>
  <si>
    <t>GAME_REP</t>
  </si>
  <si>
    <t>BTC_GAME</t>
  </si>
  <si>
    <t>USD_GAME</t>
  </si>
  <si>
    <t>LTC_GAME</t>
  </si>
  <si>
    <t>DOGE_GAME</t>
  </si>
  <si>
    <t>ETH_GAME</t>
  </si>
  <si>
    <t>EUR_GAME</t>
  </si>
  <si>
    <t>RUR_GAME</t>
  </si>
  <si>
    <t>DASH_GAME</t>
  </si>
  <si>
    <t>XMR_GAME</t>
  </si>
  <si>
    <t>ETC_GAME</t>
  </si>
  <si>
    <t>POSW_GAME</t>
  </si>
  <si>
    <t>USDT_GAME</t>
  </si>
  <si>
    <t>ZEC_GAME</t>
  </si>
  <si>
    <t>NXT_GAME</t>
  </si>
  <si>
    <t>REP_GAME</t>
  </si>
  <si>
    <t>GB_BTC</t>
  </si>
  <si>
    <t>GB_USD</t>
  </si>
  <si>
    <t>GB_LTC</t>
  </si>
  <si>
    <t>GB_DOGE</t>
  </si>
  <si>
    <t>GB_ETH</t>
  </si>
  <si>
    <t>GB_EUR</t>
  </si>
  <si>
    <t>GB_RUR</t>
  </si>
  <si>
    <t>GB_DASH</t>
  </si>
  <si>
    <t>GB_XMR</t>
  </si>
  <si>
    <t>GB_ETC</t>
  </si>
  <si>
    <t>GB_POSW</t>
  </si>
  <si>
    <t>GB_USDT</t>
  </si>
  <si>
    <t>GB_ZEC</t>
  </si>
  <si>
    <t>GB_NXT</t>
  </si>
  <si>
    <t>GB_REP</t>
  </si>
  <si>
    <t>BTC_GB</t>
  </si>
  <si>
    <t>USD_GB</t>
  </si>
  <si>
    <t>LTC_GB</t>
  </si>
  <si>
    <t>DOGE_GB</t>
  </si>
  <si>
    <t>ETH_GB</t>
  </si>
  <si>
    <t>EUR_GB</t>
  </si>
  <si>
    <t>RUR_GB</t>
  </si>
  <si>
    <t>DASH_GB</t>
  </si>
  <si>
    <t>XMR_GB</t>
  </si>
  <si>
    <t>ETC_GB</t>
  </si>
  <si>
    <t>POSW_GB</t>
  </si>
  <si>
    <t>USDT_GB</t>
  </si>
  <si>
    <t>ZEC_GB</t>
  </si>
  <si>
    <t>NXT_GB</t>
  </si>
  <si>
    <t>REP_GB</t>
  </si>
  <si>
    <t>GCR_BTC</t>
  </si>
  <si>
    <t>GCR_USD</t>
  </si>
  <si>
    <t>GCR_LTC</t>
  </si>
  <si>
    <t>GCR_DOGE</t>
  </si>
  <si>
    <t>GCR_ETH</t>
  </si>
  <si>
    <t>GCR_EUR</t>
  </si>
  <si>
    <t>GCR_RUR</t>
  </si>
  <si>
    <t>GCR_DASH</t>
  </si>
  <si>
    <t>GCR_XMR</t>
  </si>
  <si>
    <t>GCR_ETC</t>
  </si>
  <si>
    <t>GCR_POSW</t>
  </si>
  <si>
    <t>GCR_USDT</t>
  </si>
  <si>
    <t>GCR_ZEC</t>
  </si>
  <si>
    <t>GCR_NXT</t>
  </si>
  <si>
    <t>GCR_REP</t>
  </si>
  <si>
    <t>BTC_GCR</t>
  </si>
  <si>
    <t>USD_GCR</t>
  </si>
  <si>
    <t>LTC_GCR</t>
  </si>
  <si>
    <t>DOGE_GCR</t>
  </si>
  <si>
    <t>ETH_GCR</t>
  </si>
  <si>
    <t>EUR_GCR</t>
  </si>
  <si>
    <t>RUR_GCR</t>
  </si>
  <si>
    <t>DASH_GCR</t>
  </si>
  <si>
    <t>XMR_GCR</t>
  </si>
  <si>
    <t>ETC_GCR</t>
  </si>
  <si>
    <t>POSW_GCR</t>
  </si>
  <si>
    <t>USDT_GCR</t>
  </si>
  <si>
    <t>ZEC_GCR</t>
  </si>
  <si>
    <t>NXT_GCR</t>
  </si>
  <si>
    <t>REP_GCR</t>
  </si>
  <si>
    <t>GEO_BTC</t>
  </si>
  <si>
    <t>GEO_USD</t>
  </si>
  <si>
    <t>GEO_LTC</t>
  </si>
  <si>
    <t>GEO_DOGE</t>
  </si>
  <si>
    <t>GEO_ETH</t>
  </si>
  <si>
    <t>GEO_EUR</t>
  </si>
  <si>
    <t>GEO_RUR</t>
  </si>
  <si>
    <t>GEO_DASH</t>
  </si>
  <si>
    <t>GEO_XMR</t>
  </si>
  <si>
    <t>GEO_ETC</t>
  </si>
  <si>
    <t>GEO_POSW</t>
  </si>
  <si>
    <t>GEO_USDT</t>
  </si>
  <si>
    <t>GEO_ZEC</t>
  </si>
  <si>
    <t>GEO_NXT</t>
  </si>
  <si>
    <t>GEO_REP</t>
  </si>
  <si>
    <t>BTC_GEO</t>
  </si>
  <si>
    <t>USD_GEO</t>
  </si>
  <si>
    <t>LTC_GEO</t>
  </si>
  <si>
    <t>DOGE_GEO</t>
  </si>
  <si>
    <t>ETH_GEO</t>
  </si>
  <si>
    <t>EUR_GEO</t>
  </si>
  <si>
    <t>RUR_GEO</t>
  </si>
  <si>
    <t>DASH_GEO</t>
  </si>
  <si>
    <t>XMR_GEO</t>
  </si>
  <si>
    <t>ETC_GEO</t>
  </si>
  <si>
    <t>POSW_GEO</t>
  </si>
  <si>
    <t>USDT_GEO</t>
  </si>
  <si>
    <t>ZEC_GEO</t>
  </si>
  <si>
    <t>NXT_GEO</t>
  </si>
  <si>
    <t>REP_GEO</t>
  </si>
  <si>
    <t>GHS_BTC</t>
  </si>
  <si>
    <t>GHS_USD</t>
  </si>
  <si>
    <t>GHS_LTC</t>
  </si>
  <si>
    <t>GHS_DOGE</t>
  </si>
  <si>
    <t>GHS_ETH</t>
  </si>
  <si>
    <t>GHS_EUR</t>
  </si>
  <si>
    <t>GHS_RUR</t>
  </si>
  <si>
    <t>GHS_DASH</t>
  </si>
  <si>
    <t>GHS_XMR</t>
  </si>
  <si>
    <t>GHS_ETC</t>
  </si>
  <si>
    <t>GHS_POSW</t>
  </si>
  <si>
    <t>GHS_USDT</t>
  </si>
  <si>
    <t>GHS_ZEC</t>
  </si>
  <si>
    <t>GHS_NXT</t>
  </si>
  <si>
    <t>GHS_REP</t>
  </si>
  <si>
    <t>BTC_GHS</t>
  </si>
  <si>
    <t>USD_GHS</t>
  </si>
  <si>
    <t>LTC_GHS</t>
  </si>
  <si>
    <t>DOGE_GHS</t>
  </si>
  <si>
    <t>ETH_GHS</t>
  </si>
  <si>
    <t>EUR_GHS</t>
  </si>
  <si>
    <t>RUR_GHS</t>
  </si>
  <si>
    <t>DASH_GHS</t>
  </si>
  <si>
    <t>XMR_GHS</t>
  </si>
  <si>
    <t>ETC_GHS</t>
  </si>
  <si>
    <t>POSW_GHS</t>
  </si>
  <si>
    <t>USDT_GHS</t>
  </si>
  <si>
    <t>ZEC_GHS</t>
  </si>
  <si>
    <t>NXT_GHS</t>
  </si>
  <si>
    <t>REP_GHS</t>
  </si>
  <si>
    <t>GLD_BTC</t>
  </si>
  <si>
    <t>GLD_USD</t>
  </si>
  <si>
    <t>GLD_LTC</t>
  </si>
  <si>
    <t>GLD_DOGE</t>
  </si>
  <si>
    <t>GLD_ETH</t>
  </si>
  <si>
    <t>GLD_EUR</t>
  </si>
  <si>
    <t>GLD_RUR</t>
  </si>
  <si>
    <t>GLD_DASH</t>
  </si>
  <si>
    <t>GLD_XMR</t>
  </si>
  <si>
    <t>GLD_ETC</t>
  </si>
  <si>
    <t>GLD_POSW</t>
  </si>
  <si>
    <t>GLD_USDT</t>
  </si>
  <si>
    <t>GLD_ZEC</t>
  </si>
  <si>
    <t>GLD_NXT</t>
  </si>
  <si>
    <t>GLD_REP</t>
  </si>
  <si>
    <t>BTC_GLD</t>
  </si>
  <si>
    <t>USD_GLD</t>
  </si>
  <si>
    <t>LTC_GLD</t>
  </si>
  <si>
    <t>DOGE_GLD</t>
  </si>
  <si>
    <t>ETH_GLD</t>
  </si>
  <si>
    <t>EUR_GLD</t>
  </si>
  <si>
    <t>RUR_GLD</t>
  </si>
  <si>
    <t>DASH_GLD</t>
  </si>
  <si>
    <t>XMR_GLD</t>
  </si>
  <si>
    <t>ETC_GLD</t>
  </si>
  <si>
    <t>POSW_GLD</t>
  </si>
  <si>
    <t>USDT_GLD</t>
  </si>
  <si>
    <t>ZEC_GLD</t>
  </si>
  <si>
    <t>NXT_GLD</t>
  </si>
  <si>
    <t>REP_GLD</t>
  </si>
  <si>
    <t>GNO_BTC</t>
  </si>
  <si>
    <t>GNO_USD</t>
  </si>
  <si>
    <t>GNO_LTC</t>
  </si>
  <si>
    <t>GNO_DOGE</t>
  </si>
  <si>
    <t>GNO_ETH</t>
  </si>
  <si>
    <t>GNO_EUR</t>
  </si>
  <si>
    <t>GNO_RUR</t>
  </si>
  <si>
    <t>GNO_DASH</t>
  </si>
  <si>
    <t>GNO_XMR</t>
  </si>
  <si>
    <t>GNO_ETC</t>
  </si>
  <si>
    <t>GNO_POSW</t>
  </si>
  <si>
    <t>GNO_USDT</t>
  </si>
  <si>
    <t>GNO_ZEC</t>
  </si>
  <si>
    <t>GNO_NXT</t>
  </si>
  <si>
    <t>GNO_REP</t>
  </si>
  <si>
    <t>BTC_GNO</t>
  </si>
  <si>
    <t>USD_GNO</t>
  </si>
  <si>
    <t>LTC_GNO</t>
  </si>
  <si>
    <t>DOGE_GNO</t>
  </si>
  <si>
    <t>ETH_GNO</t>
  </si>
  <si>
    <t>EUR_GNO</t>
  </si>
  <si>
    <t>RUR_GNO</t>
  </si>
  <si>
    <t>DASH_GNO</t>
  </si>
  <si>
    <t>XMR_GNO</t>
  </si>
  <si>
    <t>ETC_GNO</t>
  </si>
  <si>
    <t>POSW_GNO</t>
  </si>
  <si>
    <t>USDT_GNO</t>
  </si>
  <si>
    <t>ZEC_GNO</t>
  </si>
  <si>
    <t>NXT_GNO</t>
  </si>
  <si>
    <t>REP_GNO</t>
  </si>
  <si>
    <t>GNT_BTC</t>
  </si>
  <si>
    <t>GNT_USD</t>
  </si>
  <si>
    <t>GNT_LTC</t>
  </si>
  <si>
    <t>GNT_DOGE</t>
  </si>
  <si>
    <t>GNT_ETH</t>
  </si>
  <si>
    <t>GNT_EUR</t>
  </si>
  <si>
    <t>GNT_RUR</t>
  </si>
  <si>
    <t>GNT_DASH</t>
  </si>
  <si>
    <t>GNT_XMR</t>
  </si>
  <si>
    <t>GNT_ETC</t>
  </si>
  <si>
    <t>GNT_POSW</t>
  </si>
  <si>
    <t>GNT_USDT</t>
  </si>
  <si>
    <t>GNT_ZEC</t>
  </si>
  <si>
    <t>GNT_NXT</t>
  </si>
  <si>
    <t>GNT_REP</t>
  </si>
  <si>
    <t>BTC_GNT</t>
  </si>
  <si>
    <t>USD_GNT</t>
  </si>
  <si>
    <t>LTC_GNT</t>
  </si>
  <si>
    <t>DOGE_GNT</t>
  </si>
  <si>
    <t>ETH_GNT</t>
  </si>
  <si>
    <t>EUR_GNT</t>
  </si>
  <si>
    <t>RUR_GNT</t>
  </si>
  <si>
    <t>DASH_GNT</t>
  </si>
  <si>
    <t>XMR_GNT</t>
  </si>
  <si>
    <t>ETC_GNT</t>
  </si>
  <si>
    <t>POSW_GNT</t>
  </si>
  <si>
    <t>USDT_GNT</t>
  </si>
  <si>
    <t>ZEC_GNT</t>
  </si>
  <si>
    <t>NXT_GNT</t>
  </si>
  <si>
    <t>REP_GNT</t>
  </si>
  <si>
    <t>GOLOS_BTC</t>
  </si>
  <si>
    <t>GOLOS_USD</t>
  </si>
  <si>
    <t>GOLOS_LTC</t>
  </si>
  <si>
    <t>GOLOS_DOGE</t>
  </si>
  <si>
    <t>GOLOS_ETH</t>
  </si>
  <si>
    <t>GOLOS_EUR</t>
  </si>
  <si>
    <t>GOLOS_RUR</t>
  </si>
  <si>
    <t>GOLOS_DASH</t>
  </si>
  <si>
    <t>GOLOS_XMR</t>
  </si>
  <si>
    <t>GOLOS_ETC</t>
  </si>
  <si>
    <t>GOLOS_POSW</t>
  </si>
  <si>
    <t>GOLOS_USDT</t>
  </si>
  <si>
    <t>GOLOS_ZEC</t>
  </si>
  <si>
    <t>GOLOS_NXT</t>
  </si>
  <si>
    <t>GOLOS_REP</t>
  </si>
  <si>
    <t>BTC_GOLOS</t>
  </si>
  <si>
    <t>USD_GOLOS</t>
  </si>
  <si>
    <t>LTC_GOLOS</t>
  </si>
  <si>
    <t>DOGE_GOLOS</t>
  </si>
  <si>
    <t>ETH_GOLOS</t>
  </si>
  <si>
    <t>EUR_GOLOS</t>
  </si>
  <si>
    <t>RUR_GOLOS</t>
  </si>
  <si>
    <t>DASH_GOLOS</t>
  </si>
  <si>
    <t>XMR_GOLOS</t>
  </si>
  <si>
    <t>ETC_GOLOS</t>
  </si>
  <si>
    <t>POSW_GOLOS</t>
  </si>
  <si>
    <t>USDT_GOLOS</t>
  </si>
  <si>
    <t>ZEC_GOLOS</t>
  </si>
  <si>
    <t>NXT_GOLOS</t>
  </si>
  <si>
    <t>REP_GOLOS</t>
  </si>
  <si>
    <t>GRC_BTC</t>
  </si>
  <si>
    <t>GRC_USD</t>
  </si>
  <si>
    <t>GRC_LTC</t>
  </si>
  <si>
    <t>GRC_DOGE</t>
  </si>
  <si>
    <t>GRC_ETH</t>
  </si>
  <si>
    <t>GRC_EUR</t>
  </si>
  <si>
    <t>GRC_RUR</t>
  </si>
  <si>
    <t>GRC_DASH</t>
  </si>
  <si>
    <t>GRC_XMR</t>
  </si>
  <si>
    <t>GRC_ETC</t>
  </si>
  <si>
    <t>GRC_POSW</t>
  </si>
  <si>
    <t>GRC_USDT</t>
  </si>
  <si>
    <t>GRC_ZEC</t>
  </si>
  <si>
    <t>GRC_NXT</t>
  </si>
  <si>
    <t>GRC_REP</t>
  </si>
  <si>
    <t>BTC_GRC</t>
  </si>
  <si>
    <t>USD_GRC</t>
  </si>
  <si>
    <t>LTC_GRC</t>
  </si>
  <si>
    <t>DOGE_GRC</t>
  </si>
  <si>
    <t>ETH_GRC</t>
  </si>
  <si>
    <t>EUR_GRC</t>
  </si>
  <si>
    <t>RUR_GRC</t>
  </si>
  <si>
    <t>DASH_GRC</t>
  </si>
  <si>
    <t>XMR_GRC</t>
  </si>
  <si>
    <t>ETC_GRC</t>
  </si>
  <si>
    <t>POSW_GRC</t>
  </si>
  <si>
    <t>USDT_GRC</t>
  </si>
  <si>
    <t>ZEC_GRC</t>
  </si>
  <si>
    <t>NXT_GRC</t>
  </si>
  <si>
    <t>REP_GRC</t>
  </si>
  <si>
    <t>GUP_BTC</t>
  </si>
  <si>
    <t>GUP_USD</t>
  </si>
  <si>
    <t>GUP_LTC</t>
  </si>
  <si>
    <t>GUP_DOGE</t>
  </si>
  <si>
    <t>GUP_ETH</t>
  </si>
  <si>
    <t>GUP_EUR</t>
  </si>
  <si>
    <t>GUP_RUR</t>
  </si>
  <si>
    <t>GUP_DASH</t>
  </si>
  <si>
    <t>GUP_XMR</t>
  </si>
  <si>
    <t>GUP_ETC</t>
  </si>
  <si>
    <t>GUP_POSW</t>
  </si>
  <si>
    <t>GUP_USDT</t>
  </si>
  <si>
    <t>GUP_ZEC</t>
  </si>
  <si>
    <t>GUP_NXT</t>
  </si>
  <si>
    <t>GUP_REP</t>
  </si>
  <si>
    <t>BTC_GUP</t>
  </si>
  <si>
    <t>USD_GUP</t>
  </si>
  <si>
    <t>LTC_GUP</t>
  </si>
  <si>
    <t>DOGE_GUP</t>
  </si>
  <si>
    <t>ETH_GUP</t>
  </si>
  <si>
    <t>EUR_GUP</t>
  </si>
  <si>
    <t>RUR_GUP</t>
  </si>
  <si>
    <t>DASH_GUP</t>
  </si>
  <si>
    <t>XMR_GUP</t>
  </si>
  <si>
    <t>ETC_GUP</t>
  </si>
  <si>
    <t>POSW_GUP</t>
  </si>
  <si>
    <t>USDT_GUP</t>
  </si>
  <si>
    <t>ZEC_GUP</t>
  </si>
  <si>
    <t>NXT_GUP</t>
  </si>
  <si>
    <t>REP_GUP</t>
  </si>
  <si>
    <t>HCC_BTC</t>
  </si>
  <si>
    <t>HCC_USD</t>
  </si>
  <si>
    <t>HCC_LTC</t>
  </si>
  <si>
    <t>HCC_DOGE</t>
  </si>
  <si>
    <t>HCC_ETH</t>
  </si>
  <si>
    <t>HCC_EUR</t>
  </si>
  <si>
    <t>HCC_RUR</t>
  </si>
  <si>
    <t>HCC_DASH</t>
  </si>
  <si>
    <t>HCC_XMR</t>
  </si>
  <si>
    <t>HCC_ETC</t>
  </si>
  <si>
    <t>HCC_POSW</t>
  </si>
  <si>
    <t>HCC_USDT</t>
  </si>
  <si>
    <t>HCC_ZEC</t>
  </si>
  <si>
    <t>HCC_NXT</t>
  </si>
  <si>
    <t>HCC_REP</t>
  </si>
  <si>
    <t>BTC_HCC</t>
  </si>
  <si>
    <t>USD_HCC</t>
  </si>
  <si>
    <t>LTC_HCC</t>
  </si>
  <si>
    <t>DOGE_HCC</t>
  </si>
  <si>
    <t>ETH_HCC</t>
  </si>
  <si>
    <t>EUR_HCC</t>
  </si>
  <si>
    <t>RUR_HCC</t>
  </si>
  <si>
    <t>DASH_HCC</t>
  </si>
  <si>
    <t>XMR_HCC</t>
  </si>
  <si>
    <t>ETC_HCC</t>
  </si>
  <si>
    <t>POSW_HCC</t>
  </si>
  <si>
    <t>USDT_HCC</t>
  </si>
  <si>
    <t>ZEC_HCC</t>
  </si>
  <si>
    <t>NXT_HCC</t>
  </si>
  <si>
    <t>REP_HCC</t>
  </si>
  <si>
    <t>HXX_BTC</t>
  </si>
  <si>
    <t>HXX_USD</t>
  </si>
  <si>
    <t>HXX_LTC</t>
  </si>
  <si>
    <t>HXX_DOGE</t>
  </si>
  <si>
    <t>HXX_ETH</t>
  </si>
  <si>
    <t>HXX_EUR</t>
  </si>
  <si>
    <t>HXX_RUR</t>
  </si>
  <si>
    <t>HXX_DASH</t>
  </si>
  <si>
    <t>HXX_XMR</t>
  </si>
  <si>
    <t>HXX_ETC</t>
  </si>
  <si>
    <t>HXX_POSW</t>
  </si>
  <si>
    <t>HXX_USDT</t>
  </si>
  <si>
    <t>HXX_ZEC</t>
  </si>
  <si>
    <t>HXX_NXT</t>
  </si>
  <si>
    <t>HXX_REP</t>
  </si>
  <si>
    <t>BTC_HXX</t>
  </si>
  <si>
    <t>USD_HXX</t>
  </si>
  <si>
    <t>LTC_HXX</t>
  </si>
  <si>
    <t>DOGE_HXX</t>
  </si>
  <si>
    <t>ETH_HXX</t>
  </si>
  <si>
    <t>EUR_HXX</t>
  </si>
  <si>
    <t>RUR_HXX</t>
  </si>
  <si>
    <t>DASH_HXX</t>
  </si>
  <si>
    <t>XMR_HXX</t>
  </si>
  <si>
    <t>ETC_HXX</t>
  </si>
  <si>
    <t>POSW_HXX</t>
  </si>
  <si>
    <t>USDT_HXX</t>
  </si>
  <si>
    <t>ZEC_HXX</t>
  </si>
  <si>
    <t>NXT_HXX</t>
  </si>
  <si>
    <t>REP_HXX</t>
  </si>
  <si>
    <t>ICN_BTC</t>
  </si>
  <si>
    <t>ICN_USD</t>
  </si>
  <si>
    <t>ICN_LTC</t>
  </si>
  <si>
    <t>ICN_DOGE</t>
  </si>
  <si>
    <t>ICN_ETH</t>
  </si>
  <si>
    <t>ICN_EUR</t>
  </si>
  <si>
    <t>ICN_RUR</t>
  </si>
  <si>
    <t>ICN_DASH</t>
  </si>
  <si>
    <t>ICN_XMR</t>
  </si>
  <si>
    <t>ICN_ETC</t>
  </si>
  <si>
    <t>ICN_POSW</t>
  </si>
  <si>
    <t>ICN_USDT</t>
  </si>
  <si>
    <t>ICN_ZEC</t>
  </si>
  <si>
    <t>ICN_NXT</t>
  </si>
  <si>
    <t>ICN_REP</t>
  </si>
  <si>
    <t>BTC_ICN</t>
  </si>
  <si>
    <t>USD_ICN</t>
  </si>
  <si>
    <t>LTC_ICN</t>
  </si>
  <si>
    <t>DOGE_ICN</t>
  </si>
  <si>
    <t>ETH_ICN</t>
  </si>
  <si>
    <t>EUR_ICN</t>
  </si>
  <si>
    <t>RUR_ICN</t>
  </si>
  <si>
    <t>DASH_ICN</t>
  </si>
  <si>
    <t>XMR_ICN</t>
  </si>
  <si>
    <t>ETC_ICN</t>
  </si>
  <si>
    <t>POSW_ICN</t>
  </si>
  <si>
    <t>USDT_ICN</t>
  </si>
  <si>
    <t>ZEC_ICN</t>
  </si>
  <si>
    <t>NXT_ICN</t>
  </si>
  <si>
    <t>REP_ICN</t>
  </si>
  <si>
    <t>INCNT_BTC</t>
  </si>
  <si>
    <t>INCNT_USD</t>
  </si>
  <si>
    <t>INCNT_LTC</t>
  </si>
  <si>
    <t>INCNT_DOGE</t>
  </si>
  <si>
    <t>INCNT_ETH</t>
  </si>
  <si>
    <t>INCNT_EUR</t>
  </si>
  <si>
    <t>INCNT_RUR</t>
  </si>
  <si>
    <t>INCNT_DASH</t>
  </si>
  <si>
    <t>INCNT_XMR</t>
  </si>
  <si>
    <t>INCNT_ETC</t>
  </si>
  <si>
    <t>INCNT_POSW</t>
  </si>
  <si>
    <t>INCNT_USDT</t>
  </si>
  <si>
    <t>INCNT_ZEC</t>
  </si>
  <si>
    <t>INCNT_NXT</t>
  </si>
  <si>
    <t>INCNT_REP</t>
  </si>
  <si>
    <t>BTC_INCNT</t>
  </si>
  <si>
    <t>USD_INCNT</t>
  </si>
  <si>
    <t>LTC_INCNT</t>
  </si>
  <si>
    <t>DOGE_INCNT</t>
  </si>
  <si>
    <t>ETH_INCNT</t>
  </si>
  <si>
    <t>EUR_INCNT</t>
  </si>
  <si>
    <t>RUR_INCNT</t>
  </si>
  <si>
    <t>DASH_INCNT</t>
  </si>
  <si>
    <t>XMR_INCNT</t>
  </si>
  <si>
    <t>ETC_INCNT</t>
  </si>
  <si>
    <t>POSW_INCNT</t>
  </si>
  <si>
    <t>USDT_INCNT</t>
  </si>
  <si>
    <t>ZEC_INCNT</t>
  </si>
  <si>
    <t>NXT_INCNT</t>
  </si>
  <si>
    <t>REP_INCNT</t>
  </si>
  <si>
    <t>INFX_BTC</t>
  </si>
  <si>
    <t>INFX_USD</t>
  </si>
  <si>
    <t>INFX_LTC</t>
  </si>
  <si>
    <t>INFX_DOGE</t>
  </si>
  <si>
    <t>INFX_ETH</t>
  </si>
  <si>
    <t>INFX_EUR</t>
  </si>
  <si>
    <t>INFX_RUR</t>
  </si>
  <si>
    <t>INFX_DASH</t>
  </si>
  <si>
    <t>INFX_XMR</t>
  </si>
  <si>
    <t>INFX_ETC</t>
  </si>
  <si>
    <t>INFX_POSW</t>
  </si>
  <si>
    <t>INFX_USDT</t>
  </si>
  <si>
    <t>INFX_ZEC</t>
  </si>
  <si>
    <t>INFX_NXT</t>
  </si>
  <si>
    <t>INFX_REP</t>
  </si>
  <si>
    <t>BTC_INFX</t>
  </si>
  <si>
    <t>USD_INFX</t>
  </si>
  <si>
    <t>LTC_INFX</t>
  </si>
  <si>
    <t>DOGE_INFX</t>
  </si>
  <si>
    <t>ETH_INFX</t>
  </si>
  <si>
    <t>EUR_INFX</t>
  </si>
  <si>
    <t>RUR_INFX</t>
  </si>
  <si>
    <t>DASH_INFX</t>
  </si>
  <si>
    <t>XMR_INFX</t>
  </si>
  <si>
    <t>ETC_INFX</t>
  </si>
  <si>
    <t>POSW_INFX</t>
  </si>
  <si>
    <t>USDT_INFX</t>
  </si>
  <si>
    <t>ZEC_INFX</t>
  </si>
  <si>
    <t>NXT_INFX</t>
  </si>
  <si>
    <t>REP_INFX</t>
  </si>
  <si>
    <t>IOC_BTC</t>
  </si>
  <si>
    <t>IOC_USD</t>
  </si>
  <si>
    <t>IOC_LTC</t>
  </si>
  <si>
    <t>IOC_DOGE</t>
  </si>
  <si>
    <t>IOC_ETH</t>
  </si>
  <si>
    <t>IOC_EUR</t>
  </si>
  <si>
    <t>IOC_RUR</t>
  </si>
  <si>
    <t>IOC_DASH</t>
  </si>
  <si>
    <t>IOC_XMR</t>
  </si>
  <si>
    <t>IOC_ETC</t>
  </si>
  <si>
    <t>IOC_POSW</t>
  </si>
  <si>
    <t>IOC_USDT</t>
  </si>
  <si>
    <t>IOC_ZEC</t>
  </si>
  <si>
    <t>IOC_NXT</t>
  </si>
  <si>
    <t>IOC_REP</t>
  </si>
  <si>
    <t>BTC_IOC</t>
  </si>
  <si>
    <t>USD_IOC</t>
  </si>
  <si>
    <t>LTC_IOC</t>
  </si>
  <si>
    <t>DOGE_IOC</t>
  </si>
  <si>
    <t>ETH_IOC</t>
  </si>
  <si>
    <t>EUR_IOC</t>
  </si>
  <si>
    <t>RUR_IOC</t>
  </si>
  <si>
    <t>DASH_IOC</t>
  </si>
  <si>
    <t>XMR_IOC</t>
  </si>
  <si>
    <t>ETC_IOC</t>
  </si>
  <si>
    <t>POSW_IOC</t>
  </si>
  <si>
    <t>USDT_IOC</t>
  </si>
  <si>
    <t>ZEC_IOC</t>
  </si>
  <si>
    <t>NXT_IOC</t>
  </si>
  <si>
    <t>REP_IOC</t>
  </si>
  <si>
    <t>ION_BTC</t>
  </si>
  <si>
    <t>ION_USD</t>
  </si>
  <si>
    <t>ION_LTC</t>
  </si>
  <si>
    <t>ION_DOGE</t>
  </si>
  <si>
    <t>ION_ETH</t>
  </si>
  <si>
    <t>ION_EUR</t>
  </si>
  <si>
    <t>ION_RUR</t>
  </si>
  <si>
    <t>ION_DASH</t>
  </si>
  <si>
    <t>ION_XMR</t>
  </si>
  <si>
    <t>ION_ETC</t>
  </si>
  <si>
    <t>ION_POSW</t>
  </si>
  <si>
    <t>ION_USDT</t>
  </si>
  <si>
    <t>ION_ZEC</t>
  </si>
  <si>
    <t>ION_NXT</t>
  </si>
  <si>
    <t>ION_REP</t>
  </si>
  <si>
    <t>BTC_ION</t>
  </si>
  <si>
    <t>USD_ION</t>
  </si>
  <si>
    <t>LTC_ION</t>
  </si>
  <si>
    <t>DOGE_ION</t>
  </si>
  <si>
    <t>ETH_ION</t>
  </si>
  <si>
    <t>EUR_ION</t>
  </si>
  <si>
    <t>RUR_ION</t>
  </si>
  <si>
    <t>DASH_ION</t>
  </si>
  <si>
    <t>XMR_ION</t>
  </si>
  <si>
    <t>ETC_ION</t>
  </si>
  <si>
    <t>POSW_ION</t>
  </si>
  <si>
    <t>USDT_ION</t>
  </si>
  <si>
    <t>ZEC_ION</t>
  </si>
  <si>
    <t>NXT_ION</t>
  </si>
  <si>
    <t>REP_ION</t>
  </si>
  <si>
    <t>IOP_BTC</t>
  </si>
  <si>
    <t>IOP_USD</t>
  </si>
  <si>
    <t>IOP_LTC</t>
  </si>
  <si>
    <t>IOP_DOGE</t>
  </si>
  <si>
    <t>IOP_ETH</t>
  </si>
  <si>
    <t>IOP_EUR</t>
  </si>
  <si>
    <t>IOP_RUR</t>
  </si>
  <si>
    <t>IOP_DASH</t>
  </si>
  <si>
    <t>IOP_XMR</t>
  </si>
  <si>
    <t>IOP_ETC</t>
  </si>
  <si>
    <t>IOP_POSW</t>
  </si>
  <si>
    <t>IOP_USDT</t>
  </si>
  <si>
    <t>IOP_ZEC</t>
  </si>
  <si>
    <t>IOP_NXT</t>
  </si>
  <si>
    <t>IOP_REP</t>
  </si>
  <si>
    <t>BTC_IOP</t>
  </si>
  <si>
    <t>USD_IOP</t>
  </si>
  <si>
    <t>LTC_IOP</t>
  </si>
  <si>
    <t>DOGE_IOP</t>
  </si>
  <si>
    <t>ETH_IOP</t>
  </si>
  <si>
    <t>EUR_IOP</t>
  </si>
  <si>
    <t>RUR_IOP</t>
  </si>
  <si>
    <t>DASH_IOP</t>
  </si>
  <si>
    <t>XMR_IOP</t>
  </si>
  <si>
    <t>ETC_IOP</t>
  </si>
  <si>
    <t>POSW_IOP</t>
  </si>
  <si>
    <t>USDT_IOP</t>
  </si>
  <si>
    <t>ZEC_IOP</t>
  </si>
  <si>
    <t>NXT_IOP</t>
  </si>
  <si>
    <t>REP_IOP</t>
  </si>
  <si>
    <t>ISL_BTC</t>
  </si>
  <si>
    <t>ISL_USD</t>
  </si>
  <si>
    <t>ISL_LTC</t>
  </si>
  <si>
    <t>ISL_DOGE</t>
  </si>
  <si>
    <t>ISL_ETH</t>
  </si>
  <si>
    <t>ISL_EUR</t>
  </si>
  <si>
    <t>ISL_RUR</t>
  </si>
  <si>
    <t>ISL_DASH</t>
  </si>
  <si>
    <t>ISL_XMR</t>
  </si>
  <si>
    <t>ISL_ETC</t>
  </si>
  <si>
    <t>ISL_POSW</t>
  </si>
  <si>
    <t>ISL_USDT</t>
  </si>
  <si>
    <t>ISL_ZEC</t>
  </si>
  <si>
    <t>ISL_NXT</t>
  </si>
  <si>
    <t>ISL_REP</t>
  </si>
  <si>
    <t>BTC_ISL</t>
  </si>
  <si>
    <t>USD_ISL</t>
  </si>
  <si>
    <t>LTC_ISL</t>
  </si>
  <si>
    <t>DOGE_ISL</t>
  </si>
  <si>
    <t>ETH_ISL</t>
  </si>
  <si>
    <t>EUR_ISL</t>
  </si>
  <si>
    <t>RUR_ISL</t>
  </si>
  <si>
    <t>DASH_ISL</t>
  </si>
  <si>
    <t>XMR_ISL</t>
  </si>
  <si>
    <t>ETC_ISL</t>
  </si>
  <si>
    <t>POSW_ISL</t>
  </si>
  <si>
    <t>USDT_ISL</t>
  </si>
  <si>
    <t>ZEC_ISL</t>
  </si>
  <si>
    <t>NXT_ISL</t>
  </si>
  <si>
    <t>REP_ISL</t>
  </si>
  <si>
    <t>ITI_BTC</t>
  </si>
  <si>
    <t>ITI_USD</t>
  </si>
  <si>
    <t>ITI_LTC</t>
  </si>
  <si>
    <t>ITI_DOGE</t>
  </si>
  <si>
    <t>ITI_ETH</t>
  </si>
  <si>
    <t>ITI_EUR</t>
  </si>
  <si>
    <t>ITI_RUR</t>
  </si>
  <si>
    <t>ITI_DASH</t>
  </si>
  <si>
    <t>ITI_XMR</t>
  </si>
  <si>
    <t>ITI_ETC</t>
  </si>
  <si>
    <t>ITI_POSW</t>
  </si>
  <si>
    <t>ITI_USDT</t>
  </si>
  <si>
    <t>ITI_ZEC</t>
  </si>
  <si>
    <t>ITI_NXT</t>
  </si>
  <si>
    <t>ITI_REP</t>
  </si>
  <si>
    <t>BTC_ITI</t>
  </si>
  <si>
    <t>USD_ITI</t>
  </si>
  <si>
    <t>LTC_ITI</t>
  </si>
  <si>
    <t>DOGE_ITI</t>
  </si>
  <si>
    <t>ETH_ITI</t>
  </si>
  <si>
    <t>EUR_ITI</t>
  </si>
  <si>
    <t>RUR_ITI</t>
  </si>
  <si>
    <t>DASH_ITI</t>
  </si>
  <si>
    <t>XMR_ITI</t>
  </si>
  <si>
    <t>ETC_ITI</t>
  </si>
  <si>
    <t>POSW_ITI</t>
  </si>
  <si>
    <t>USDT_ITI</t>
  </si>
  <si>
    <t>ZEC_ITI</t>
  </si>
  <si>
    <t>NXT_ITI</t>
  </si>
  <si>
    <t>REP_ITI</t>
  </si>
  <si>
    <t>JWL_BTC</t>
  </si>
  <si>
    <t>JWL_USD</t>
  </si>
  <si>
    <t>JWL_LTC</t>
  </si>
  <si>
    <t>JWL_DOGE</t>
  </si>
  <si>
    <t>JWL_ETH</t>
  </si>
  <si>
    <t>JWL_EUR</t>
  </si>
  <si>
    <t>JWL_RUR</t>
  </si>
  <si>
    <t>JWL_DASH</t>
  </si>
  <si>
    <t>JWL_XMR</t>
  </si>
  <si>
    <t>JWL_ETC</t>
  </si>
  <si>
    <t>JWL_POSW</t>
  </si>
  <si>
    <t>JWL_USDT</t>
  </si>
  <si>
    <t>JWL_ZEC</t>
  </si>
  <si>
    <t>JWL_NXT</t>
  </si>
  <si>
    <t>JWL_REP</t>
  </si>
  <si>
    <t>BTC_JWL</t>
  </si>
  <si>
    <t>USD_JWL</t>
  </si>
  <si>
    <t>LTC_JWL</t>
  </si>
  <si>
    <t>DOGE_JWL</t>
  </si>
  <si>
    <t>ETH_JWL</t>
  </si>
  <si>
    <t>EUR_JWL</t>
  </si>
  <si>
    <t>RUR_JWL</t>
  </si>
  <si>
    <t>DASH_JWL</t>
  </si>
  <si>
    <t>XMR_JWL</t>
  </si>
  <si>
    <t>ETC_JWL</t>
  </si>
  <si>
    <t>POSW_JWL</t>
  </si>
  <si>
    <t>USDT_JWL</t>
  </si>
  <si>
    <t>ZEC_JWL</t>
  </si>
  <si>
    <t>NXT_JWL</t>
  </si>
  <si>
    <t>REP_JWL</t>
  </si>
  <si>
    <t>KC_BTC</t>
  </si>
  <si>
    <t>KC_USD</t>
  </si>
  <si>
    <t>KC_LTC</t>
  </si>
  <si>
    <t>KC_DOGE</t>
  </si>
  <si>
    <t>KC_ETH</t>
  </si>
  <si>
    <t>KC_EUR</t>
  </si>
  <si>
    <t>KC_RUR</t>
  </si>
  <si>
    <t>KC_DASH</t>
  </si>
  <si>
    <t>KC_XMR</t>
  </si>
  <si>
    <t>KC_ETC</t>
  </si>
  <si>
    <t>KC_POSW</t>
  </si>
  <si>
    <t>KC_USDT</t>
  </si>
  <si>
    <t>KC_ZEC</t>
  </si>
  <si>
    <t>KC_NXT</t>
  </si>
  <si>
    <t>KC_REP</t>
  </si>
  <si>
    <t>BTC_KC</t>
  </si>
  <si>
    <t>USD_KC</t>
  </si>
  <si>
    <t>LTC_KC</t>
  </si>
  <si>
    <t>DOGE_KC</t>
  </si>
  <si>
    <t>ETH_KC</t>
  </si>
  <si>
    <t>EUR_KC</t>
  </si>
  <si>
    <t>RUR_KC</t>
  </si>
  <si>
    <t>DASH_KC</t>
  </si>
  <si>
    <t>XMR_KC</t>
  </si>
  <si>
    <t>ETC_KC</t>
  </si>
  <si>
    <t>POSW_KC</t>
  </si>
  <si>
    <t>USDT_KC</t>
  </si>
  <si>
    <t>ZEC_KC</t>
  </si>
  <si>
    <t>NXT_KC</t>
  </si>
  <si>
    <t>REP_KC</t>
  </si>
  <si>
    <t>LBC_BTC</t>
  </si>
  <si>
    <t>LBC_USD</t>
  </si>
  <si>
    <t>LBC_LTC</t>
  </si>
  <si>
    <t>LBC_DOGE</t>
  </si>
  <si>
    <t>LBC_ETH</t>
  </si>
  <si>
    <t>LBC_EUR</t>
  </si>
  <si>
    <t>LBC_RUR</t>
  </si>
  <si>
    <t>LBC_DASH</t>
  </si>
  <si>
    <t>LBC_XMR</t>
  </si>
  <si>
    <t>LBC_ETC</t>
  </si>
  <si>
    <t>LBC_POSW</t>
  </si>
  <si>
    <t>LBC_USDT</t>
  </si>
  <si>
    <t>LBC_ZEC</t>
  </si>
  <si>
    <t>LBC_NXT</t>
  </si>
  <si>
    <t>LBC_REP</t>
  </si>
  <si>
    <t>BTC_LBC</t>
  </si>
  <si>
    <t>USD_LBC</t>
  </si>
  <si>
    <t>LTC_LBC</t>
  </si>
  <si>
    <t>DOGE_LBC</t>
  </si>
  <si>
    <t>ETH_LBC</t>
  </si>
  <si>
    <t>EUR_LBC</t>
  </si>
  <si>
    <t>RUR_LBC</t>
  </si>
  <si>
    <t>DASH_LBC</t>
  </si>
  <si>
    <t>XMR_LBC</t>
  </si>
  <si>
    <t>ETC_LBC</t>
  </si>
  <si>
    <t>POSW_LBC</t>
  </si>
  <si>
    <t>USDT_LBC</t>
  </si>
  <si>
    <t>ZEC_LBC</t>
  </si>
  <si>
    <t>NXT_LBC</t>
  </si>
  <si>
    <t>REP_LBC</t>
  </si>
  <si>
    <t>LEO_BTC</t>
  </si>
  <si>
    <t>LEO_USD</t>
  </si>
  <si>
    <t>LEO_LTC</t>
  </si>
  <si>
    <t>LEO_DOGE</t>
  </si>
  <si>
    <t>LEO_ETH</t>
  </si>
  <si>
    <t>LEO_EUR</t>
  </si>
  <si>
    <t>LEO_RUR</t>
  </si>
  <si>
    <t>LEO_DASH</t>
  </si>
  <si>
    <t>LEO_XMR</t>
  </si>
  <si>
    <t>LEO_ETC</t>
  </si>
  <si>
    <t>LEO_POSW</t>
  </si>
  <si>
    <t>LEO_USDT</t>
  </si>
  <si>
    <t>LEO_ZEC</t>
  </si>
  <si>
    <t>LEO_NXT</t>
  </si>
  <si>
    <t>LEO_REP</t>
  </si>
  <si>
    <t>BTC_LEO</t>
  </si>
  <si>
    <t>USD_LEO</t>
  </si>
  <si>
    <t>LTC_LEO</t>
  </si>
  <si>
    <t>DOGE_LEO</t>
  </si>
  <si>
    <t>ETH_LEO</t>
  </si>
  <si>
    <t>EUR_LEO</t>
  </si>
  <si>
    <t>RUR_LEO</t>
  </si>
  <si>
    <t>DASH_LEO</t>
  </si>
  <si>
    <t>XMR_LEO</t>
  </si>
  <si>
    <t>ETC_LEO</t>
  </si>
  <si>
    <t>POSW_LEO</t>
  </si>
  <si>
    <t>USDT_LEO</t>
  </si>
  <si>
    <t>ZEC_LEO</t>
  </si>
  <si>
    <t>NXT_LEO</t>
  </si>
  <si>
    <t>REP_LEO</t>
  </si>
  <si>
    <t>LEPEN_BTC</t>
  </si>
  <si>
    <t>LEPEN_USD</t>
  </si>
  <si>
    <t>LEPEN_LTC</t>
  </si>
  <si>
    <t>LEPEN_DOGE</t>
  </si>
  <si>
    <t>LEPEN_ETH</t>
  </si>
  <si>
    <t>LEPEN_EUR</t>
  </si>
  <si>
    <t>LEPEN_RUR</t>
  </si>
  <si>
    <t>LEPEN_DASH</t>
  </si>
  <si>
    <t>LEPEN_XMR</t>
  </si>
  <si>
    <t>LEPEN_ETC</t>
  </si>
  <si>
    <t>LEPEN_POSW</t>
  </si>
  <si>
    <t>LEPEN_USDT</t>
  </si>
  <si>
    <t>LEPEN_ZEC</t>
  </si>
  <si>
    <t>LEPEN_NXT</t>
  </si>
  <si>
    <t>LEPEN_REP</t>
  </si>
  <si>
    <t>BTC_LEPEN</t>
  </si>
  <si>
    <t>USD_LEPEN</t>
  </si>
  <si>
    <t>LTC_LEPEN</t>
  </si>
  <si>
    <t>DOGE_LEPEN</t>
  </si>
  <si>
    <t>ETH_LEPEN</t>
  </si>
  <si>
    <t>EUR_LEPEN</t>
  </si>
  <si>
    <t>RUR_LEPEN</t>
  </si>
  <si>
    <t>DASH_LEPEN</t>
  </si>
  <si>
    <t>XMR_LEPEN</t>
  </si>
  <si>
    <t>ETC_LEPEN</t>
  </si>
  <si>
    <t>POSW_LEPEN</t>
  </si>
  <si>
    <t>USDT_LEPEN</t>
  </si>
  <si>
    <t>ZEC_LEPEN</t>
  </si>
  <si>
    <t>NXT_LEPEN</t>
  </si>
  <si>
    <t>REP_LEPEN</t>
  </si>
  <si>
    <t>LSK_BTC</t>
  </si>
  <si>
    <t>LSK_USD</t>
  </si>
  <si>
    <t>LSK_LTC</t>
  </si>
  <si>
    <t>LSK_DOGE</t>
  </si>
  <si>
    <t>LSK_ETH</t>
  </si>
  <si>
    <t>LSK_EUR</t>
  </si>
  <si>
    <t>LSK_RUR</t>
  </si>
  <si>
    <t>LSK_DASH</t>
  </si>
  <si>
    <t>LSK_XMR</t>
  </si>
  <si>
    <t>LSK_ETC</t>
  </si>
  <si>
    <t>LSK_POSW</t>
  </si>
  <si>
    <t>LSK_USDT</t>
  </si>
  <si>
    <t>LSK_ZEC</t>
  </si>
  <si>
    <t>LSK_NXT</t>
  </si>
  <si>
    <t>LSK_REP</t>
  </si>
  <si>
    <t>BTC_LSK</t>
  </si>
  <si>
    <t>USD_LSK</t>
  </si>
  <si>
    <t>LTC_LSK</t>
  </si>
  <si>
    <t>DOGE_LSK</t>
  </si>
  <si>
    <t>ETH_LSK</t>
  </si>
  <si>
    <t>EUR_LSK</t>
  </si>
  <si>
    <t>RUR_LSK</t>
  </si>
  <si>
    <t>DASH_LSK</t>
  </si>
  <si>
    <t>XMR_LSK</t>
  </si>
  <si>
    <t>ETC_LSK</t>
  </si>
  <si>
    <t>POSW_LSK</t>
  </si>
  <si>
    <t>USDT_LSK</t>
  </si>
  <si>
    <t>ZEC_LSK</t>
  </si>
  <si>
    <t>NXT_LSK</t>
  </si>
  <si>
    <t>REP_LSK</t>
  </si>
  <si>
    <t>LTC_USD</t>
  </si>
  <si>
    <t>LTC_LTC</t>
  </si>
  <si>
    <t>LTC_RUR</t>
  </si>
  <si>
    <t>LTC_XMR</t>
  </si>
  <si>
    <t>LTC_POSW</t>
  </si>
  <si>
    <t>LTC_USDT</t>
  </si>
  <si>
    <t>LTC_ZEC</t>
  </si>
  <si>
    <t>LTC_NXT</t>
  </si>
  <si>
    <t>LTC_REP</t>
  </si>
  <si>
    <t>USD_LTC</t>
  </si>
  <si>
    <t>RUR_LTC</t>
  </si>
  <si>
    <t>XMR_LTC</t>
  </si>
  <si>
    <t>POSW_LTC</t>
  </si>
  <si>
    <t>USDT_LTC</t>
  </si>
  <si>
    <t>ZEC_LTC</t>
  </si>
  <si>
    <t>NXT_LTC</t>
  </si>
  <si>
    <t>REP_LTC</t>
  </si>
  <si>
    <t>LTCR_BTC</t>
  </si>
  <si>
    <t>LTCR_USD</t>
  </si>
  <si>
    <t>LTCR_LTC</t>
  </si>
  <si>
    <t>LTCR_DOGE</t>
  </si>
  <si>
    <t>LTCR_ETH</t>
  </si>
  <si>
    <t>LTCR_EUR</t>
  </si>
  <si>
    <t>LTCR_RUR</t>
  </si>
  <si>
    <t>LTCR_DASH</t>
  </si>
  <si>
    <t>LTCR_XMR</t>
  </si>
  <si>
    <t>LTCR_ETC</t>
  </si>
  <si>
    <t>LTCR_POSW</t>
  </si>
  <si>
    <t>LTCR_USDT</t>
  </si>
  <si>
    <t>LTCR_ZEC</t>
  </si>
  <si>
    <t>LTCR_NXT</t>
  </si>
  <si>
    <t>LTCR_REP</t>
  </si>
  <si>
    <t>BTC_LTCR</t>
  </si>
  <si>
    <t>USD_LTCR</t>
  </si>
  <si>
    <t>LTC_LTCR</t>
  </si>
  <si>
    <t>DOGE_LTCR</t>
  </si>
  <si>
    <t>ETH_LTCR</t>
  </si>
  <si>
    <t>EUR_LTCR</t>
  </si>
  <si>
    <t>RUR_LTCR</t>
  </si>
  <si>
    <t>DASH_LTCR</t>
  </si>
  <si>
    <t>XMR_LTCR</t>
  </si>
  <si>
    <t>ETC_LTCR</t>
  </si>
  <si>
    <t>POSW_LTCR</t>
  </si>
  <si>
    <t>USDT_LTCR</t>
  </si>
  <si>
    <t>ZEC_LTCR</t>
  </si>
  <si>
    <t>NXT_LTCR</t>
  </si>
  <si>
    <t>REP_LTCR</t>
  </si>
  <si>
    <t>LTS_BTC</t>
  </si>
  <si>
    <t>LTS_USD</t>
  </si>
  <si>
    <t>LTS_LTC</t>
  </si>
  <si>
    <t>LTS_DOGE</t>
  </si>
  <si>
    <t>LTS_ETH</t>
  </si>
  <si>
    <t>LTS_EUR</t>
  </si>
  <si>
    <t>LTS_RUR</t>
  </si>
  <si>
    <t>LTS_DASH</t>
  </si>
  <si>
    <t>LTS_XMR</t>
  </si>
  <si>
    <t>LTS_ETC</t>
  </si>
  <si>
    <t>LTS_POSW</t>
  </si>
  <si>
    <t>LTS_USDT</t>
  </si>
  <si>
    <t>LTS_ZEC</t>
  </si>
  <si>
    <t>LTS_NXT</t>
  </si>
  <si>
    <t>LTS_REP</t>
  </si>
  <si>
    <t>BTC_LTS</t>
  </si>
  <si>
    <t>USD_LTS</t>
  </si>
  <si>
    <t>LTC_LTS</t>
  </si>
  <si>
    <t>DOGE_LTS</t>
  </si>
  <si>
    <t>ETH_LTS</t>
  </si>
  <si>
    <t>EUR_LTS</t>
  </si>
  <si>
    <t>RUR_LTS</t>
  </si>
  <si>
    <t>DASH_LTS</t>
  </si>
  <si>
    <t>XMR_LTS</t>
  </si>
  <si>
    <t>ETC_LTS</t>
  </si>
  <si>
    <t>POSW_LTS</t>
  </si>
  <si>
    <t>USDT_LTS</t>
  </si>
  <si>
    <t>ZEC_LTS</t>
  </si>
  <si>
    <t>NXT_LTS</t>
  </si>
  <si>
    <t>REP_LTS</t>
  </si>
  <si>
    <t>LUN_BTC</t>
  </si>
  <si>
    <t>LUN_USD</t>
  </si>
  <si>
    <t>LUN_LTC</t>
  </si>
  <si>
    <t>LUN_DOGE</t>
  </si>
  <si>
    <t>LUN_ETH</t>
  </si>
  <si>
    <t>LUN_EUR</t>
  </si>
  <si>
    <t>LUN_RUR</t>
  </si>
  <si>
    <t>LUN_DASH</t>
  </si>
  <si>
    <t>LUN_XMR</t>
  </si>
  <si>
    <t>LUN_ETC</t>
  </si>
  <si>
    <t>LUN_POSW</t>
  </si>
  <si>
    <t>LUN_USDT</t>
  </si>
  <si>
    <t>LUN_ZEC</t>
  </si>
  <si>
    <t>LUN_NXT</t>
  </si>
  <si>
    <t>LUN_REP</t>
  </si>
  <si>
    <t>BTC_LUN</t>
  </si>
  <si>
    <t>USD_LUN</t>
  </si>
  <si>
    <t>LTC_LUN</t>
  </si>
  <si>
    <t>DOGE_LUN</t>
  </si>
  <si>
    <t>ETH_LUN</t>
  </si>
  <si>
    <t>EUR_LUN</t>
  </si>
  <si>
    <t>RUR_LUN</t>
  </si>
  <si>
    <t>DASH_LUN</t>
  </si>
  <si>
    <t>XMR_LUN</t>
  </si>
  <si>
    <t>ETC_LUN</t>
  </si>
  <si>
    <t>POSW_LUN</t>
  </si>
  <si>
    <t>USDT_LUN</t>
  </si>
  <si>
    <t>ZEC_LUN</t>
  </si>
  <si>
    <t>NXT_LUN</t>
  </si>
  <si>
    <t>REP_LUN</t>
  </si>
  <si>
    <t>LUNA_BTC</t>
  </si>
  <si>
    <t>LUNA_USD</t>
  </si>
  <si>
    <t>LUNA_LTC</t>
  </si>
  <si>
    <t>LUNA_DOGE</t>
  </si>
  <si>
    <t>LUNA_ETH</t>
  </si>
  <si>
    <t>LUNA_EUR</t>
  </si>
  <si>
    <t>LUNA_RUR</t>
  </si>
  <si>
    <t>LUNA_DASH</t>
  </si>
  <si>
    <t>LUNA_XMR</t>
  </si>
  <si>
    <t>LUNA_ETC</t>
  </si>
  <si>
    <t>LUNA_POSW</t>
  </si>
  <si>
    <t>LUNA_USDT</t>
  </si>
  <si>
    <t>LUNA_ZEC</t>
  </si>
  <si>
    <t>LUNA_NXT</t>
  </si>
  <si>
    <t>LUNA_REP</t>
  </si>
  <si>
    <t>BTC_LUNA</t>
  </si>
  <si>
    <t>USD_LUNA</t>
  </si>
  <si>
    <t>LTC_LUNA</t>
  </si>
  <si>
    <t>DOGE_LUNA</t>
  </si>
  <si>
    <t>ETH_LUNA</t>
  </si>
  <si>
    <t>EUR_LUNA</t>
  </si>
  <si>
    <t>RUR_LUNA</t>
  </si>
  <si>
    <t>DASH_LUNA</t>
  </si>
  <si>
    <t>XMR_LUNA</t>
  </si>
  <si>
    <t>ETC_LUNA</t>
  </si>
  <si>
    <t>POSW_LUNA</t>
  </si>
  <si>
    <t>USDT_LUNA</t>
  </si>
  <si>
    <t>ZEC_LUNA</t>
  </si>
  <si>
    <t>NXT_LUNA</t>
  </si>
  <si>
    <t>REP_LUNA</t>
  </si>
  <si>
    <t>MAID_BTC</t>
  </si>
  <si>
    <t>MAID_USD</t>
  </si>
  <si>
    <t>MAID_LTC</t>
  </si>
  <si>
    <t>MAID_DOGE</t>
  </si>
  <si>
    <t>MAID_ETH</t>
  </si>
  <si>
    <t>MAID_EUR</t>
  </si>
  <si>
    <t>MAID_RUR</t>
  </si>
  <si>
    <t>MAID_DASH</t>
  </si>
  <si>
    <t>MAID_XMR</t>
  </si>
  <si>
    <t>MAID_ETC</t>
  </si>
  <si>
    <t>MAID_POSW</t>
  </si>
  <si>
    <t>MAID_USDT</t>
  </si>
  <si>
    <t>MAID_ZEC</t>
  </si>
  <si>
    <t>MAID_NXT</t>
  </si>
  <si>
    <t>MAID_REP</t>
  </si>
  <si>
    <t>BTC_MAID</t>
  </si>
  <si>
    <t>USD_MAID</t>
  </si>
  <si>
    <t>LTC_MAID</t>
  </si>
  <si>
    <t>DOGE_MAID</t>
  </si>
  <si>
    <t>ETH_MAID</t>
  </si>
  <si>
    <t>EUR_MAID</t>
  </si>
  <si>
    <t>RUR_MAID</t>
  </si>
  <si>
    <t>DASH_MAID</t>
  </si>
  <si>
    <t>XMR_MAID</t>
  </si>
  <si>
    <t>ETC_MAID</t>
  </si>
  <si>
    <t>POSW_MAID</t>
  </si>
  <si>
    <t>USDT_MAID</t>
  </si>
  <si>
    <t>ZEC_MAID</t>
  </si>
  <si>
    <t>NXT_MAID</t>
  </si>
  <si>
    <t>REP_MAID</t>
  </si>
  <si>
    <t>MLN_BTC</t>
  </si>
  <si>
    <t>MLN_USD</t>
  </si>
  <si>
    <t>MLN_LTC</t>
  </si>
  <si>
    <t>MLN_DOGE</t>
  </si>
  <si>
    <t>MLN_ETH</t>
  </si>
  <si>
    <t>MLN_EUR</t>
  </si>
  <si>
    <t>MLN_RUR</t>
  </si>
  <si>
    <t>MLN_DASH</t>
  </si>
  <si>
    <t>MLN_XMR</t>
  </si>
  <si>
    <t>MLN_ETC</t>
  </si>
  <si>
    <t>MLN_POSW</t>
  </si>
  <si>
    <t>MLN_USDT</t>
  </si>
  <si>
    <t>MLN_ZEC</t>
  </si>
  <si>
    <t>MLN_NXT</t>
  </si>
  <si>
    <t>MLN_REP</t>
  </si>
  <si>
    <t>BTC_MLN</t>
  </si>
  <si>
    <t>USD_MLN</t>
  </si>
  <si>
    <t>LTC_MLN</t>
  </si>
  <si>
    <t>DOGE_MLN</t>
  </si>
  <si>
    <t>ETH_MLN</t>
  </si>
  <si>
    <t>EUR_MLN</t>
  </si>
  <si>
    <t>RUR_MLN</t>
  </si>
  <si>
    <t>DASH_MLN</t>
  </si>
  <si>
    <t>XMR_MLN</t>
  </si>
  <si>
    <t>ETC_MLN</t>
  </si>
  <si>
    <t>POSW_MLN</t>
  </si>
  <si>
    <t>USDT_MLN</t>
  </si>
  <si>
    <t>ZEC_MLN</t>
  </si>
  <si>
    <t>NXT_MLN</t>
  </si>
  <si>
    <t>REP_MLN</t>
  </si>
  <si>
    <t>MOIN_BTC</t>
  </si>
  <si>
    <t>MOIN_USD</t>
  </si>
  <si>
    <t>MOIN_LTC</t>
  </si>
  <si>
    <t>MOIN_DOGE</t>
  </si>
  <si>
    <t>MOIN_ETH</t>
  </si>
  <si>
    <t>MOIN_EUR</t>
  </si>
  <si>
    <t>MOIN_RUR</t>
  </si>
  <si>
    <t>MOIN_DASH</t>
  </si>
  <si>
    <t>MOIN_XMR</t>
  </si>
  <si>
    <t>MOIN_ETC</t>
  </si>
  <si>
    <t>MOIN_POSW</t>
  </si>
  <si>
    <t>MOIN_USDT</t>
  </si>
  <si>
    <t>MOIN_ZEC</t>
  </si>
  <si>
    <t>MOIN_NXT</t>
  </si>
  <si>
    <t>MOIN_REP</t>
  </si>
  <si>
    <t>BTC_MOIN</t>
  </si>
  <si>
    <t>USD_MOIN</t>
  </si>
  <si>
    <t>LTC_MOIN</t>
  </si>
  <si>
    <t>DOGE_MOIN</t>
  </si>
  <si>
    <t>ETH_MOIN</t>
  </si>
  <si>
    <t>EUR_MOIN</t>
  </si>
  <si>
    <t>RUR_MOIN</t>
  </si>
  <si>
    <t>DASH_MOIN</t>
  </si>
  <si>
    <t>XMR_MOIN</t>
  </si>
  <si>
    <t>ETC_MOIN</t>
  </si>
  <si>
    <t>POSW_MOIN</t>
  </si>
  <si>
    <t>USDT_MOIN</t>
  </si>
  <si>
    <t>ZEC_MOIN</t>
  </si>
  <si>
    <t>NXT_MOIN</t>
  </si>
  <si>
    <t>REP_MOIN</t>
  </si>
  <si>
    <t>MOJO_BTC</t>
  </si>
  <si>
    <t>MOJO_USD</t>
  </si>
  <si>
    <t>MOJO_LTC</t>
  </si>
  <si>
    <t>MOJO_DOGE</t>
  </si>
  <si>
    <t>MOJO_ETH</t>
  </si>
  <si>
    <t>MOJO_EUR</t>
  </si>
  <si>
    <t>MOJO_RUR</t>
  </si>
  <si>
    <t>MOJO_DASH</t>
  </si>
  <si>
    <t>MOJO_XMR</t>
  </si>
  <si>
    <t>MOJO_ETC</t>
  </si>
  <si>
    <t>MOJO_POSW</t>
  </si>
  <si>
    <t>MOJO_USDT</t>
  </si>
  <si>
    <t>MOJO_ZEC</t>
  </si>
  <si>
    <t>MOJO_NXT</t>
  </si>
  <si>
    <t>MOJO_REP</t>
  </si>
  <si>
    <t>BTC_MOJO</t>
  </si>
  <si>
    <t>USD_MOJO</t>
  </si>
  <si>
    <t>LTC_MOJO</t>
  </si>
  <si>
    <t>DOGE_MOJO</t>
  </si>
  <si>
    <t>ETH_MOJO</t>
  </si>
  <si>
    <t>EUR_MOJO</t>
  </si>
  <si>
    <t>RUR_MOJO</t>
  </si>
  <si>
    <t>DASH_MOJO</t>
  </si>
  <si>
    <t>XMR_MOJO</t>
  </si>
  <si>
    <t>ETC_MOJO</t>
  </si>
  <si>
    <t>POSW_MOJO</t>
  </si>
  <si>
    <t>USDT_MOJO</t>
  </si>
  <si>
    <t>ZEC_MOJO</t>
  </si>
  <si>
    <t>NXT_MOJO</t>
  </si>
  <si>
    <t>REP_MOJO</t>
  </si>
  <si>
    <t>MONA_BTC</t>
  </si>
  <si>
    <t>MONA_USD</t>
  </si>
  <si>
    <t>MONA_LTC</t>
  </si>
  <si>
    <t>MONA_DOGE</t>
  </si>
  <si>
    <t>MONA_ETH</t>
  </si>
  <si>
    <t>MONA_EUR</t>
  </si>
  <si>
    <t>MONA_RUR</t>
  </si>
  <si>
    <t>MONA_DASH</t>
  </si>
  <si>
    <t>MONA_XMR</t>
  </si>
  <si>
    <t>MONA_ETC</t>
  </si>
  <si>
    <t>MONA_POSW</t>
  </si>
  <si>
    <t>MONA_USDT</t>
  </si>
  <si>
    <t>MONA_ZEC</t>
  </si>
  <si>
    <t>MONA_NXT</t>
  </si>
  <si>
    <t>MONA_REP</t>
  </si>
  <si>
    <t>BTC_MONA</t>
  </si>
  <si>
    <t>USD_MONA</t>
  </si>
  <si>
    <t>LTC_MONA</t>
  </si>
  <si>
    <t>DOGE_MONA</t>
  </si>
  <si>
    <t>ETH_MONA</t>
  </si>
  <si>
    <t>EUR_MONA</t>
  </si>
  <si>
    <t>RUR_MONA</t>
  </si>
  <si>
    <t>DASH_MONA</t>
  </si>
  <si>
    <t>XMR_MONA</t>
  </si>
  <si>
    <t>ETC_MONA</t>
  </si>
  <si>
    <t>POSW_MONA</t>
  </si>
  <si>
    <t>USDT_MONA</t>
  </si>
  <si>
    <t>ZEC_MONA</t>
  </si>
  <si>
    <t>NXT_MONA</t>
  </si>
  <si>
    <t>REP_MONA</t>
  </si>
  <si>
    <t>MSCN_BTC</t>
  </si>
  <si>
    <t>MSCN_USD</t>
  </si>
  <si>
    <t>MSCN_LTC</t>
  </si>
  <si>
    <t>MSCN_DOGE</t>
  </si>
  <si>
    <t>MSCN_ETH</t>
  </si>
  <si>
    <t>MSCN_EUR</t>
  </si>
  <si>
    <t>MSCN_RUR</t>
  </si>
  <si>
    <t>MSCN_DASH</t>
  </si>
  <si>
    <t>MSCN_XMR</t>
  </si>
  <si>
    <t>MSCN_ETC</t>
  </si>
  <si>
    <t>MSCN_POSW</t>
  </si>
  <si>
    <t>MSCN_USDT</t>
  </si>
  <si>
    <t>MSCN_ZEC</t>
  </si>
  <si>
    <t>MSCN_NXT</t>
  </si>
  <si>
    <t>MSCN_REP</t>
  </si>
  <si>
    <t>BTC_MSCN</t>
  </si>
  <si>
    <t>USD_MSCN</t>
  </si>
  <si>
    <t>LTC_MSCN</t>
  </si>
  <si>
    <t>DOGE_MSCN</t>
  </si>
  <si>
    <t>ETH_MSCN</t>
  </si>
  <si>
    <t>EUR_MSCN</t>
  </si>
  <si>
    <t>RUR_MSCN</t>
  </si>
  <si>
    <t>DASH_MSCN</t>
  </si>
  <si>
    <t>XMR_MSCN</t>
  </si>
  <si>
    <t>ETC_MSCN</t>
  </si>
  <si>
    <t>POSW_MSCN</t>
  </si>
  <si>
    <t>USDT_MSCN</t>
  </si>
  <si>
    <t>ZEC_MSCN</t>
  </si>
  <si>
    <t>NXT_MSCN</t>
  </si>
  <si>
    <t>REP_MSCN</t>
  </si>
  <si>
    <t>MUE_BTC</t>
  </si>
  <si>
    <t>MUE_USD</t>
  </si>
  <si>
    <t>MUE_LTC</t>
  </si>
  <si>
    <t>MUE_DOGE</t>
  </si>
  <si>
    <t>MUE_ETH</t>
  </si>
  <si>
    <t>MUE_EUR</t>
  </si>
  <si>
    <t>MUE_RUR</t>
  </si>
  <si>
    <t>MUE_DASH</t>
  </si>
  <si>
    <t>MUE_XMR</t>
  </si>
  <si>
    <t>MUE_ETC</t>
  </si>
  <si>
    <t>MUE_POSW</t>
  </si>
  <si>
    <t>MUE_USDT</t>
  </si>
  <si>
    <t>MUE_ZEC</t>
  </si>
  <si>
    <t>MUE_NXT</t>
  </si>
  <si>
    <t>MUE_REP</t>
  </si>
  <si>
    <t>BTC_MUE</t>
  </si>
  <si>
    <t>USD_MUE</t>
  </si>
  <si>
    <t>LTC_MUE</t>
  </si>
  <si>
    <t>DOGE_MUE</t>
  </si>
  <si>
    <t>ETH_MUE</t>
  </si>
  <si>
    <t>EUR_MUE</t>
  </si>
  <si>
    <t>RUR_MUE</t>
  </si>
  <si>
    <t>DASH_MUE</t>
  </si>
  <si>
    <t>XMR_MUE</t>
  </si>
  <si>
    <t>ETC_MUE</t>
  </si>
  <si>
    <t>POSW_MUE</t>
  </si>
  <si>
    <t>USDT_MUE</t>
  </si>
  <si>
    <t>ZEC_MUE</t>
  </si>
  <si>
    <t>NXT_MUE</t>
  </si>
  <si>
    <t>REP_MUE</t>
  </si>
  <si>
    <t>NAUT_BTC</t>
  </si>
  <si>
    <t>NAUT_USD</t>
  </si>
  <si>
    <t>NAUT_LTC</t>
  </si>
  <si>
    <t>NAUT_DOGE</t>
  </si>
  <si>
    <t>NAUT_ETH</t>
  </si>
  <si>
    <t>NAUT_EUR</t>
  </si>
  <si>
    <t>NAUT_RUR</t>
  </si>
  <si>
    <t>NAUT_DASH</t>
  </si>
  <si>
    <t>NAUT_XMR</t>
  </si>
  <si>
    <t>NAUT_ETC</t>
  </si>
  <si>
    <t>NAUT_POSW</t>
  </si>
  <si>
    <t>NAUT_USDT</t>
  </si>
  <si>
    <t>NAUT_ZEC</t>
  </si>
  <si>
    <t>NAUT_NXT</t>
  </si>
  <si>
    <t>NAUT_REP</t>
  </si>
  <si>
    <t>BTC_NAUT</t>
  </si>
  <si>
    <t>USD_NAUT</t>
  </si>
  <si>
    <t>LTC_NAUT</t>
  </si>
  <si>
    <t>DOGE_NAUT</t>
  </si>
  <si>
    <t>ETH_NAUT</t>
  </si>
  <si>
    <t>EUR_NAUT</t>
  </si>
  <si>
    <t>RUR_NAUT</t>
  </si>
  <si>
    <t>DASH_NAUT</t>
  </si>
  <si>
    <t>XMR_NAUT</t>
  </si>
  <si>
    <t>ETC_NAUT</t>
  </si>
  <si>
    <t>POSW_NAUT</t>
  </si>
  <si>
    <t>USDT_NAUT</t>
  </si>
  <si>
    <t>ZEC_NAUT</t>
  </si>
  <si>
    <t>NXT_NAUT</t>
  </si>
  <si>
    <t>REP_NAUT</t>
  </si>
  <si>
    <t>NAV_BTC</t>
  </si>
  <si>
    <t>NAV_USD</t>
  </si>
  <si>
    <t>NAV_LTC</t>
  </si>
  <si>
    <t>NAV_DOGE</t>
  </si>
  <si>
    <t>NAV_ETH</t>
  </si>
  <si>
    <t>NAV_EUR</t>
  </si>
  <si>
    <t>NAV_RUR</t>
  </si>
  <si>
    <t>NAV_DASH</t>
  </si>
  <si>
    <t>NAV_XMR</t>
  </si>
  <si>
    <t>NAV_ETC</t>
  </si>
  <si>
    <t>NAV_POSW</t>
  </si>
  <si>
    <t>NAV_USDT</t>
  </si>
  <si>
    <t>NAV_ZEC</t>
  </si>
  <si>
    <t>NAV_NXT</t>
  </si>
  <si>
    <t>NAV_REP</t>
  </si>
  <si>
    <t>BTC_NAV</t>
  </si>
  <si>
    <t>USD_NAV</t>
  </si>
  <si>
    <t>LTC_NAV</t>
  </si>
  <si>
    <t>DOGE_NAV</t>
  </si>
  <si>
    <t>ETH_NAV</t>
  </si>
  <si>
    <t>EUR_NAV</t>
  </si>
  <si>
    <t>RUR_NAV</t>
  </si>
  <si>
    <t>DASH_NAV</t>
  </si>
  <si>
    <t>XMR_NAV</t>
  </si>
  <si>
    <t>ETC_NAV</t>
  </si>
  <si>
    <t>POSW_NAV</t>
  </si>
  <si>
    <t>USDT_NAV</t>
  </si>
  <si>
    <t>ZEC_NAV</t>
  </si>
  <si>
    <t>NXT_NAV</t>
  </si>
  <si>
    <t>REP_NAV</t>
  </si>
  <si>
    <t>NLG_BTC</t>
  </si>
  <si>
    <t>NLG_USD</t>
  </si>
  <si>
    <t>NLG_LTC</t>
  </si>
  <si>
    <t>NLG_DOGE</t>
  </si>
  <si>
    <t>NLG_ETH</t>
  </si>
  <si>
    <t>NLG_EUR</t>
  </si>
  <si>
    <t>NLG_RUR</t>
  </si>
  <si>
    <t>NLG_DASH</t>
  </si>
  <si>
    <t>NLG_XMR</t>
  </si>
  <si>
    <t>NLG_ETC</t>
  </si>
  <si>
    <t>NLG_POSW</t>
  </si>
  <si>
    <t>NLG_USDT</t>
  </si>
  <si>
    <t>NLG_ZEC</t>
  </si>
  <si>
    <t>NLG_NXT</t>
  </si>
  <si>
    <t>NLG_REP</t>
  </si>
  <si>
    <t>BTC_NLG</t>
  </si>
  <si>
    <t>USD_NLG</t>
  </si>
  <si>
    <t>LTC_NLG</t>
  </si>
  <si>
    <t>DOGE_NLG</t>
  </si>
  <si>
    <t>ETH_NLG</t>
  </si>
  <si>
    <t>EUR_NLG</t>
  </si>
  <si>
    <t>RUR_NLG</t>
  </si>
  <si>
    <t>DASH_NLG</t>
  </si>
  <si>
    <t>XMR_NLG</t>
  </si>
  <si>
    <t>ETC_NLG</t>
  </si>
  <si>
    <t>POSW_NLG</t>
  </si>
  <si>
    <t>USDT_NLG</t>
  </si>
  <si>
    <t>ZEC_NLG</t>
  </si>
  <si>
    <t>NXT_NLG</t>
  </si>
  <si>
    <t>REP_NLG</t>
  </si>
  <si>
    <t>NMC_BTC</t>
  </si>
  <si>
    <t>NMC_USD</t>
  </si>
  <si>
    <t>NMC_LTC</t>
  </si>
  <si>
    <t>NMC_DOGE</t>
  </si>
  <si>
    <t>NMC_ETH</t>
  </si>
  <si>
    <t>NMC_EUR</t>
  </si>
  <si>
    <t>NMC_RUR</t>
  </si>
  <si>
    <t>NMC_DASH</t>
  </si>
  <si>
    <t>NMC_XMR</t>
  </si>
  <si>
    <t>NMC_ETC</t>
  </si>
  <si>
    <t>NMC_POSW</t>
  </si>
  <si>
    <t>NMC_USDT</t>
  </si>
  <si>
    <t>NMC_ZEC</t>
  </si>
  <si>
    <t>NMC_NXT</t>
  </si>
  <si>
    <t>NMC_REP</t>
  </si>
  <si>
    <t>BTC_NMC</t>
  </si>
  <si>
    <t>USD_NMC</t>
  </si>
  <si>
    <t>LTC_NMC</t>
  </si>
  <si>
    <t>DOGE_NMC</t>
  </si>
  <si>
    <t>ETH_NMC</t>
  </si>
  <si>
    <t>EUR_NMC</t>
  </si>
  <si>
    <t>RUR_NMC</t>
  </si>
  <si>
    <t>DASH_NMC</t>
  </si>
  <si>
    <t>XMR_NMC</t>
  </si>
  <si>
    <t>ETC_NMC</t>
  </si>
  <si>
    <t>POSW_NMC</t>
  </si>
  <si>
    <t>USDT_NMC</t>
  </si>
  <si>
    <t>ZEC_NMC</t>
  </si>
  <si>
    <t>NXT_NMC</t>
  </si>
  <si>
    <t>REP_NMC</t>
  </si>
  <si>
    <t>NOTE_BTC</t>
  </si>
  <si>
    <t>NOTE_USD</t>
  </si>
  <si>
    <t>NOTE_LTC</t>
  </si>
  <si>
    <t>NOTE_DOGE</t>
  </si>
  <si>
    <t>NOTE_ETH</t>
  </si>
  <si>
    <t>NOTE_EUR</t>
  </si>
  <si>
    <t>NOTE_RUR</t>
  </si>
  <si>
    <t>NOTE_DASH</t>
  </si>
  <si>
    <t>NOTE_XMR</t>
  </si>
  <si>
    <t>NOTE_ETC</t>
  </si>
  <si>
    <t>NOTE_POSW</t>
  </si>
  <si>
    <t>NOTE_USDT</t>
  </si>
  <si>
    <t>NOTE_ZEC</t>
  </si>
  <si>
    <t>NOTE_NXT</t>
  </si>
  <si>
    <t>NOTE_REP</t>
  </si>
  <si>
    <t>BTC_NOTE</t>
  </si>
  <si>
    <t>USD_NOTE</t>
  </si>
  <si>
    <t>LTC_NOTE</t>
  </si>
  <si>
    <t>DOGE_NOTE</t>
  </si>
  <si>
    <t>ETH_NOTE</t>
  </si>
  <si>
    <t>EUR_NOTE</t>
  </si>
  <si>
    <t>RUR_NOTE</t>
  </si>
  <si>
    <t>DASH_NOTE</t>
  </si>
  <si>
    <t>XMR_NOTE</t>
  </si>
  <si>
    <t>ETC_NOTE</t>
  </si>
  <si>
    <t>POSW_NOTE</t>
  </si>
  <si>
    <t>USDT_NOTE</t>
  </si>
  <si>
    <t>ZEC_NOTE</t>
  </si>
  <si>
    <t>NXT_NOTE</t>
  </si>
  <si>
    <t>REP_NOTE</t>
  </si>
  <si>
    <t>NVC_BTC</t>
  </si>
  <si>
    <t>NVC_USD</t>
  </si>
  <si>
    <t>NVC_LTC</t>
  </si>
  <si>
    <t>NVC_DOGE</t>
  </si>
  <si>
    <t>NVC_ETH</t>
  </si>
  <si>
    <t>NVC_EUR</t>
  </si>
  <si>
    <t>NVC_RUR</t>
  </si>
  <si>
    <t>NVC_DASH</t>
  </si>
  <si>
    <t>NVC_XMR</t>
  </si>
  <si>
    <t>NVC_ETC</t>
  </si>
  <si>
    <t>NVC_POSW</t>
  </si>
  <si>
    <t>NVC_USDT</t>
  </si>
  <si>
    <t>NVC_ZEC</t>
  </si>
  <si>
    <t>NVC_NXT</t>
  </si>
  <si>
    <t>NVC_REP</t>
  </si>
  <si>
    <t>BTC_NVC</t>
  </si>
  <si>
    <t>USD_NVC</t>
  </si>
  <si>
    <t>LTC_NVC</t>
  </si>
  <si>
    <t>DOGE_NVC</t>
  </si>
  <si>
    <t>ETH_NVC</t>
  </si>
  <si>
    <t>EUR_NVC</t>
  </si>
  <si>
    <t>RUR_NVC</t>
  </si>
  <si>
    <t>DASH_NVC</t>
  </si>
  <si>
    <t>XMR_NVC</t>
  </si>
  <si>
    <t>ETC_NVC</t>
  </si>
  <si>
    <t>POSW_NVC</t>
  </si>
  <si>
    <t>USDT_NVC</t>
  </si>
  <si>
    <t>ZEC_NVC</t>
  </si>
  <si>
    <t>NXT_NVC</t>
  </si>
  <si>
    <t>REP_NVC</t>
  </si>
  <si>
    <t>NXC_BTC</t>
  </si>
  <si>
    <t>NXC_USD</t>
  </si>
  <si>
    <t>NXC_LTC</t>
  </si>
  <si>
    <t>NXC_DOGE</t>
  </si>
  <si>
    <t>NXC_ETH</t>
  </si>
  <si>
    <t>NXC_EUR</t>
  </si>
  <si>
    <t>NXC_RUR</t>
  </si>
  <si>
    <t>NXC_DASH</t>
  </si>
  <si>
    <t>NXC_XMR</t>
  </si>
  <si>
    <t>NXC_ETC</t>
  </si>
  <si>
    <t>NXC_POSW</t>
  </si>
  <si>
    <t>NXC_USDT</t>
  </si>
  <si>
    <t>NXC_ZEC</t>
  </si>
  <si>
    <t>NXC_NXT</t>
  </si>
  <si>
    <t>NXC_REP</t>
  </si>
  <si>
    <t>BTC_NXC</t>
  </si>
  <si>
    <t>USD_NXC</t>
  </si>
  <si>
    <t>LTC_NXC</t>
  </si>
  <si>
    <t>DOGE_NXC</t>
  </si>
  <si>
    <t>ETH_NXC</t>
  </si>
  <si>
    <t>EUR_NXC</t>
  </si>
  <si>
    <t>RUR_NXC</t>
  </si>
  <si>
    <t>DASH_NXC</t>
  </si>
  <si>
    <t>XMR_NXC</t>
  </si>
  <si>
    <t>ETC_NXC</t>
  </si>
  <si>
    <t>POSW_NXC</t>
  </si>
  <si>
    <t>USDT_NXC</t>
  </si>
  <si>
    <t>ZEC_NXC</t>
  </si>
  <si>
    <t>NXT_NXC</t>
  </si>
  <si>
    <t>REP_NXC</t>
  </si>
  <si>
    <t>NXT_USD</t>
  </si>
  <si>
    <t>NXT_RUR</t>
  </si>
  <si>
    <t>NXT_XMR</t>
  </si>
  <si>
    <t>NXT_POSW</t>
  </si>
  <si>
    <t>NXT_USDT</t>
  </si>
  <si>
    <t>NXT_ZEC</t>
  </si>
  <si>
    <t>NXT_NXT</t>
  </si>
  <si>
    <t>NXT_REP</t>
  </si>
  <si>
    <t>USD_NXT</t>
  </si>
  <si>
    <t>RUR_NXT</t>
  </si>
  <si>
    <t>XMR_NXT</t>
  </si>
  <si>
    <t>POSW_NXT</t>
  </si>
  <si>
    <t>USDT_NXT</t>
  </si>
  <si>
    <t>ZEC_NXT</t>
  </si>
  <si>
    <t>REP_NXT</t>
  </si>
  <si>
    <t>OD_BTC</t>
  </si>
  <si>
    <t>OD_USD</t>
  </si>
  <si>
    <t>OD_LTC</t>
  </si>
  <si>
    <t>OD_DOGE</t>
  </si>
  <si>
    <t>OD_ETH</t>
  </si>
  <si>
    <t>OD_EUR</t>
  </si>
  <si>
    <t>OD_RUR</t>
  </si>
  <si>
    <t>OD_DASH</t>
  </si>
  <si>
    <t>OD_XMR</t>
  </si>
  <si>
    <t>OD_ETC</t>
  </si>
  <si>
    <t>OD_POSW</t>
  </si>
  <si>
    <t>OD_USDT</t>
  </si>
  <si>
    <t>OD_ZEC</t>
  </si>
  <si>
    <t>OD_NXT</t>
  </si>
  <si>
    <t>OD_REP</t>
  </si>
  <si>
    <t>BTC_OD</t>
  </si>
  <si>
    <t>USD_OD</t>
  </si>
  <si>
    <t>LTC_OD</t>
  </si>
  <si>
    <t>DOGE_OD</t>
  </si>
  <si>
    <t>ETH_OD</t>
  </si>
  <si>
    <t>EUR_OD</t>
  </si>
  <si>
    <t>RUR_OD</t>
  </si>
  <si>
    <t>DASH_OD</t>
  </si>
  <si>
    <t>XMR_OD</t>
  </si>
  <si>
    <t>ETC_OD</t>
  </si>
  <si>
    <t>POSW_OD</t>
  </si>
  <si>
    <t>USDT_OD</t>
  </si>
  <si>
    <t>ZEC_OD</t>
  </si>
  <si>
    <t>NXT_OD</t>
  </si>
  <si>
    <t>REP_OD</t>
  </si>
  <si>
    <t>OK_BTC</t>
  </si>
  <si>
    <t>OK_USD</t>
  </si>
  <si>
    <t>OK_LTC</t>
  </si>
  <si>
    <t>OK_DOGE</t>
  </si>
  <si>
    <t>OK_ETH</t>
  </si>
  <si>
    <t>OK_EUR</t>
  </si>
  <si>
    <t>OK_RUR</t>
  </si>
  <si>
    <t>OK_DASH</t>
  </si>
  <si>
    <t>OK_XMR</t>
  </si>
  <si>
    <t>OK_ETC</t>
  </si>
  <si>
    <t>OK_POSW</t>
  </si>
  <si>
    <t>OK_USDT</t>
  </si>
  <si>
    <t>OK_ZEC</t>
  </si>
  <si>
    <t>OK_NXT</t>
  </si>
  <si>
    <t>OK_REP</t>
  </si>
  <si>
    <t>BTC_OK</t>
  </si>
  <si>
    <t>USD_OK</t>
  </si>
  <si>
    <t>LTC_OK</t>
  </si>
  <si>
    <t>DOGE_OK</t>
  </si>
  <si>
    <t>ETH_OK</t>
  </si>
  <si>
    <t>EUR_OK</t>
  </si>
  <si>
    <t>RUR_OK</t>
  </si>
  <si>
    <t>DASH_OK</t>
  </si>
  <si>
    <t>XMR_OK</t>
  </si>
  <si>
    <t>ETC_OK</t>
  </si>
  <si>
    <t>POSW_OK</t>
  </si>
  <si>
    <t>USDT_OK</t>
  </si>
  <si>
    <t>ZEC_OK</t>
  </si>
  <si>
    <t>NXT_OK</t>
  </si>
  <si>
    <t>REP_OK</t>
  </si>
  <si>
    <t>OMNI_BTC</t>
  </si>
  <si>
    <t>OMNI_USD</t>
  </si>
  <si>
    <t>OMNI_LTC</t>
  </si>
  <si>
    <t>OMNI_DOGE</t>
  </si>
  <si>
    <t>OMNI_ETH</t>
  </si>
  <si>
    <t>OMNI_EUR</t>
  </si>
  <si>
    <t>OMNI_RUR</t>
  </si>
  <si>
    <t>OMNI_DASH</t>
  </si>
  <si>
    <t>OMNI_XMR</t>
  </si>
  <si>
    <t>OMNI_ETC</t>
  </si>
  <si>
    <t>OMNI_POSW</t>
  </si>
  <si>
    <t>OMNI_USDT</t>
  </si>
  <si>
    <t>OMNI_ZEC</t>
  </si>
  <si>
    <t>OMNI_NXT</t>
  </si>
  <si>
    <t>OMNI_REP</t>
  </si>
  <si>
    <t>BTC_OMNI</t>
  </si>
  <si>
    <t>USD_OMNI</t>
  </si>
  <si>
    <t>LTC_OMNI</t>
  </si>
  <si>
    <t>DOGE_OMNI</t>
  </si>
  <si>
    <t>ETH_OMNI</t>
  </si>
  <si>
    <t>EUR_OMNI</t>
  </si>
  <si>
    <t>RUR_OMNI</t>
  </si>
  <si>
    <t>DASH_OMNI</t>
  </si>
  <si>
    <t>XMR_OMNI</t>
  </si>
  <si>
    <t>ETC_OMNI</t>
  </si>
  <si>
    <t>POSW_OMNI</t>
  </si>
  <si>
    <t>USDT_OMNI</t>
  </si>
  <si>
    <t>ZEC_OMNI</t>
  </si>
  <si>
    <t>NXT_OMNI</t>
  </si>
  <si>
    <t>REP_OMNI</t>
  </si>
  <si>
    <t>OTX_BTC</t>
  </si>
  <si>
    <t>OTX_USD</t>
  </si>
  <si>
    <t>OTX_LTC</t>
  </si>
  <si>
    <t>OTX_DOGE</t>
  </si>
  <si>
    <t>OTX_ETH</t>
  </si>
  <si>
    <t>OTX_EUR</t>
  </si>
  <si>
    <t>OTX_RUR</t>
  </si>
  <si>
    <t>OTX_DASH</t>
  </si>
  <si>
    <t>OTX_XMR</t>
  </si>
  <si>
    <t>OTX_ETC</t>
  </si>
  <si>
    <t>OTX_POSW</t>
  </si>
  <si>
    <t>OTX_USDT</t>
  </si>
  <si>
    <t>OTX_ZEC</t>
  </si>
  <si>
    <t>OTX_NXT</t>
  </si>
  <si>
    <t>OTX_REP</t>
  </si>
  <si>
    <t>BTC_OTX</t>
  </si>
  <si>
    <t>USD_OTX</t>
  </si>
  <si>
    <t>LTC_OTX</t>
  </si>
  <si>
    <t>DOGE_OTX</t>
  </si>
  <si>
    <t>ETH_OTX</t>
  </si>
  <si>
    <t>EUR_OTX</t>
  </si>
  <si>
    <t>RUR_OTX</t>
  </si>
  <si>
    <t>DASH_OTX</t>
  </si>
  <si>
    <t>XMR_OTX</t>
  </si>
  <si>
    <t>ETC_OTX</t>
  </si>
  <si>
    <t>POSW_OTX</t>
  </si>
  <si>
    <t>USDT_OTX</t>
  </si>
  <si>
    <t>ZEC_OTX</t>
  </si>
  <si>
    <t>NXT_OTX</t>
  </si>
  <si>
    <t>REP_OTX</t>
  </si>
  <si>
    <t>PINK_BTC</t>
  </si>
  <si>
    <t>PINK_USD</t>
  </si>
  <si>
    <t>PINK_LTC</t>
  </si>
  <si>
    <t>PINK_DOGE</t>
  </si>
  <si>
    <t>PINK_ETH</t>
  </si>
  <si>
    <t>PINK_EUR</t>
  </si>
  <si>
    <t>PINK_RUR</t>
  </si>
  <si>
    <t>PINK_DASH</t>
  </si>
  <si>
    <t>PINK_XMR</t>
  </si>
  <si>
    <t>PINK_ETC</t>
  </si>
  <si>
    <t>PINK_POSW</t>
  </si>
  <si>
    <t>PINK_USDT</t>
  </si>
  <si>
    <t>PINK_ZEC</t>
  </si>
  <si>
    <t>PINK_NXT</t>
  </si>
  <si>
    <t>PINK_REP</t>
  </si>
  <si>
    <t>BTC_PINK</t>
  </si>
  <si>
    <t>USD_PINK</t>
  </si>
  <si>
    <t>LTC_PINK</t>
  </si>
  <si>
    <t>DOGE_PINK</t>
  </si>
  <si>
    <t>ETH_PINK</t>
  </si>
  <si>
    <t>EUR_PINK</t>
  </si>
  <si>
    <t>RUR_PINK</t>
  </si>
  <si>
    <t>DASH_PINK</t>
  </si>
  <si>
    <t>XMR_PINK</t>
  </si>
  <si>
    <t>ETC_PINK</t>
  </si>
  <si>
    <t>POSW_PINK</t>
  </si>
  <si>
    <t>USDT_PINK</t>
  </si>
  <si>
    <t>ZEC_PINK</t>
  </si>
  <si>
    <t>NXT_PINK</t>
  </si>
  <si>
    <t>REP_PINK</t>
  </si>
  <si>
    <t>PIVX_BTC</t>
  </si>
  <si>
    <t>PIVX_USD</t>
  </si>
  <si>
    <t>PIVX_LTC</t>
  </si>
  <si>
    <t>PIVX_DOGE</t>
  </si>
  <si>
    <t>PIVX_ETH</t>
  </si>
  <si>
    <t>PIVX_EUR</t>
  </si>
  <si>
    <t>PIVX_RUR</t>
  </si>
  <si>
    <t>PIVX_DASH</t>
  </si>
  <si>
    <t>PIVX_XMR</t>
  </si>
  <si>
    <t>PIVX_ETC</t>
  </si>
  <si>
    <t>PIVX_POSW</t>
  </si>
  <si>
    <t>PIVX_USDT</t>
  </si>
  <si>
    <t>PIVX_ZEC</t>
  </si>
  <si>
    <t>PIVX_NXT</t>
  </si>
  <si>
    <t>PIVX_REP</t>
  </si>
  <si>
    <t>BTC_PIVX</t>
  </si>
  <si>
    <t>USD_PIVX</t>
  </si>
  <si>
    <t>LTC_PIVX</t>
  </si>
  <si>
    <t>DOGE_PIVX</t>
  </si>
  <si>
    <t>ETH_PIVX</t>
  </si>
  <si>
    <t>EUR_PIVX</t>
  </si>
  <si>
    <t>RUR_PIVX</t>
  </si>
  <si>
    <t>DASH_PIVX</t>
  </si>
  <si>
    <t>XMR_PIVX</t>
  </si>
  <si>
    <t>ETC_PIVX</t>
  </si>
  <si>
    <t>POSW_PIVX</t>
  </si>
  <si>
    <t>USDT_PIVX</t>
  </si>
  <si>
    <t>ZEC_PIVX</t>
  </si>
  <si>
    <t>NXT_PIVX</t>
  </si>
  <si>
    <t>REP_PIVX</t>
  </si>
  <si>
    <t>PKB_BTC</t>
  </si>
  <si>
    <t>PKB_USD</t>
  </si>
  <si>
    <t>PKB_LTC</t>
  </si>
  <si>
    <t>PKB_DOGE</t>
  </si>
  <si>
    <t>PKB_ETH</t>
  </si>
  <si>
    <t>PKB_EUR</t>
  </si>
  <si>
    <t>PKB_RUR</t>
  </si>
  <si>
    <t>PKB_DASH</t>
  </si>
  <si>
    <t>PKB_XMR</t>
  </si>
  <si>
    <t>PKB_ETC</t>
  </si>
  <si>
    <t>PKB_POSW</t>
  </si>
  <si>
    <t>PKB_USDT</t>
  </si>
  <si>
    <t>PKB_ZEC</t>
  </si>
  <si>
    <t>PKB_NXT</t>
  </si>
  <si>
    <t>PKB_REP</t>
  </si>
  <si>
    <t>BTC_PKB</t>
  </si>
  <si>
    <t>USD_PKB</t>
  </si>
  <si>
    <t>LTC_PKB</t>
  </si>
  <si>
    <t>DOGE_PKB</t>
  </si>
  <si>
    <t>ETH_PKB</t>
  </si>
  <si>
    <t>EUR_PKB</t>
  </si>
  <si>
    <t>RUR_PKB</t>
  </si>
  <si>
    <t>DASH_PKB</t>
  </si>
  <si>
    <t>XMR_PKB</t>
  </si>
  <si>
    <t>ETC_PKB</t>
  </si>
  <si>
    <t>POSW_PKB</t>
  </si>
  <si>
    <t>USDT_PKB</t>
  </si>
  <si>
    <t>ZEC_PKB</t>
  </si>
  <si>
    <t>NXT_PKB</t>
  </si>
  <si>
    <t>REP_PKB</t>
  </si>
  <si>
    <t>POST_BTC</t>
  </si>
  <si>
    <t>POST_USD</t>
  </si>
  <si>
    <t>POST_LTC</t>
  </si>
  <si>
    <t>POST_DOGE</t>
  </si>
  <si>
    <t>POST_ETH</t>
  </si>
  <si>
    <t>POST_EUR</t>
  </si>
  <si>
    <t>POST_RUR</t>
  </si>
  <si>
    <t>POST_DASH</t>
  </si>
  <si>
    <t>POST_XMR</t>
  </si>
  <si>
    <t>POST_ETC</t>
  </si>
  <si>
    <t>POST_POSW</t>
  </si>
  <si>
    <t>POST_USDT</t>
  </si>
  <si>
    <t>POST_ZEC</t>
  </si>
  <si>
    <t>POST_NXT</t>
  </si>
  <si>
    <t>POST_REP</t>
  </si>
  <si>
    <t>BTC_POST</t>
  </si>
  <si>
    <t>USD_POST</t>
  </si>
  <si>
    <t>LTC_POST</t>
  </si>
  <si>
    <t>DOGE_POST</t>
  </si>
  <si>
    <t>ETH_POST</t>
  </si>
  <si>
    <t>EUR_POST</t>
  </si>
  <si>
    <t>RUR_POST</t>
  </si>
  <si>
    <t>DASH_POST</t>
  </si>
  <si>
    <t>XMR_POST</t>
  </si>
  <si>
    <t>ETC_POST</t>
  </si>
  <si>
    <t>POSW_POST</t>
  </si>
  <si>
    <t>USDT_POST</t>
  </si>
  <si>
    <t>ZEC_POST</t>
  </si>
  <si>
    <t>NXT_POST</t>
  </si>
  <si>
    <t>REP_POST</t>
  </si>
  <si>
    <t>POSW_USD</t>
  </si>
  <si>
    <t>POSW_RUR</t>
  </si>
  <si>
    <t>POSW_XMR</t>
  </si>
  <si>
    <t>POSW_POSW</t>
  </si>
  <si>
    <t>POSW_USDT</t>
  </si>
  <si>
    <t>POSW_ZEC</t>
  </si>
  <si>
    <t>POSW_REP</t>
  </si>
  <si>
    <t>USD_POSW</t>
  </si>
  <si>
    <t>RUR_POSW</t>
  </si>
  <si>
    <t>XMR_POSW</t>
  </si>
  <si>
    <t>USDT_POSW</t>
  </si>
  <si>
    <t>ZEC_POSW</t>
  </si>
  <si>
    <t>REP_POSW</t>
  </si>
  <si>
    <t>PPC_BTC</t>
  </si>
  <si>
    <t>PPC_USD</t>
  </si>
  <si>
    <t>PPC_LTC</t>
  </si>
  <si>
    <t>PPC_DOGE</t>
  </si>
  <si>
    <t>PPC_ETH</t>
  </si>
  <si>
    <t>PPC_EUR</t>
  </si>
  <si>
    <t>PPC_RUR</t>
  </si>
  <si>
    <t>PPC_DASH</t>
  </si>
  <si>
    <t>PPC_XMR</t>
  </si>
  <si>
    <t>PPC_ETC</t>
  </si>
  <si>
    <t>PPC_POSW</t>
  </si>
  <si>
    <t>PPC_USDT</t>
  </si>
  <si>
    <t>PPC_ZEC</t>
  </si>
  <si>
    <t>PPC_NXT</t>
  </si>
  <si>
    <t>PPC_REP</t>
  </si>
  <si>
    <t>BTC_PPC</t>
  </si>
  <si>
    <t>USD_PPC</t>
  </si>
  <si>
    <t>LTC_PPC</t>
  </si>
  <si>
    <t>DOGE_PPC</t>
  </si>
  <si>
    <t>ETH_PPC</t>
  </si>
  <si>
    <t>EUR_PPC</t>
  </si>
  <si>
    <t>RUR_PPC</t>
  </si>
  <si>
    <t>DASH_PPC</t>
  </si>
  <si>
    <t>XMR_PPC</t>
  </si>
  <si>
    <t>ETC_PPC</t>
  </si>
  <si>
    <t>POSW_PPC</t>
  </si>
  <si>
    <t>USDT_PPC</t>
  </si>
  <si>
    <t>ZEC_PPC</t>
  </si>
  <si>
    <t>NXT_PPC</t>
  </si>
  <si>
    <t>REP_PPC</t>
  </si>
  <si>
    <t>PRES_BTC</t>
  </si>
  <si>
    <t>PRES_USD</t>
  </si>
  <si>
    <t>PRES_LTC</t>
  </si>
  <si>
    <t>PRES_DOGE</t>
  </si>
  <si>
    <t>PRES_ETH</t>
  </si>
  <si>
    <t>PRES_EUR</t>
  </si>
  <si>
    <t>PRES_RUR</t>
  </si>
  <si>
    <t>PRES_DASH</t>
  </si>
  <si>
    <t>PRES_XMR</t>
  </si>
  <si>
    <t>PRES_ETC</t>
  </si>
  <si>
    <t>PRES_POSW</t>
  </si>
  <si>
    <t>PRES_USDT</t>
  </si>
  <si>
    <t>PRES_ZEC</t>
  </si>
  <si>
    <t>PRES_NXT</t>
  </si>
  <si>
    <t>PRES_REP</t>
  </si>
  <si>
    <t>BTC_PRES</t>
  </si>
  <si>
    <t>USD_PRES</t>
  </si>
  <si>
    <t>LTC_PRES</t>
  </si>
  <si>
    <t>DOGE_PRES</t>
  </si>
  <si>
    <t>ETH_PRES</t>
  </si>
  <si>
    <t>EUR_PRES</t>
  </si>
  <si>
    <t>RUR_PRES</t>
  </si>
  <si>
    <t>DASH_PRES</t>
  </si>
  <si>
    <t>XMR_PRES</t>
  </si>
  <si>
    <t>ETC_PRES</t>
  </si>
  <si>
    <t>POSW_PRES</t>
  </si>
  <si>
    <t>USDT_PRES</t>
  </si>
  <si>
    <t>ZEC_PRES</t>
  </si>
  <si>
    <t>NXT_PRES</t>
  </si>
  <si>
    <t>REP_PRES</t>
  </si>
  <si>
    <t>PROC_BTC</t>
  </si>
  <si>
    <t>PROC_USD</t>
  </si>
  <si>
    <t>PROC_LTC</t>
  </si>
  <si>
    <t>PROC_DOGE</t>
  </si>
  <si>
    <t>PROC_ETH</t>
  </si>
  <si>
    <t>PROC_EUR</t>
  </si>
  <si>
    <t>PROC_RUR</t>
  </si>
  <si>
    <t>PROC_DASH</t>
  </si>
  <si>
    <t>PROC_XMR</t>
  </si>
  <si>
    <t>PROC_ETC</t>
  </si>
  <si>
    <t>PROC_POSW</t>
  </si>
  <si>
    <t>PROC_USDT</t>
  </si>
  <si>
    <t>PROC_ZEC</t>
  </si>
  <si>
    <t>PROC_NXT</t>
  </si>
  <si>
    <t>PROC_REP</t>
  </si>
  <si>
    <t>BTC_PROC</t>
  </si>
  <si>
    <t>USD_PROC</t>
  </si>
  <si>
    <t>LTC_PROC</t>
  </si>
  <si>
    <t>DOGE_PROC</t>
  </si>
  <si>
    <t>ETH_PROC</t>
  </si>
  <si>
    <t>EUR_PROC</t>
  </si>
  <si>
    <t>RUR_PROC</t>
  </si>
  <si>
    <t>DASH_PROC</t>
  </si>
  <si>
    <t>XMR_PROC</t>
  </si>
  <si>
    <t>ETC_PROC</t>
  </si>
  <si>
    <t>POSW_PROC</t>
  </si>
  <si>
    <t>USDT_PROC</t>
  </si>
  <si>
    <t>ZEC_PROC</t>
  </si>
  <si>
    <t>NXT_PROC</t>
  </si>
  <si>
    <t>REP_PROC</t>
  </si>
  <si>
    <t>PSB_BTC</t>
  </si>
  <si>
    <t>PSB_USD</t>
  </si>
  <si>
    <t>PSB_LTC</t>
  </si>
  <si>
    <t>PSB_DOGE</t>
  </si>
  <si>
    <t>PSB_ETH</t>
  </si>
  <si>
    <t>PSB_EUR</t>
  </si>
  <si>
    <t>PSB_RUR</t>
  </si>
  <si>
    <t>PSB_DASH</t>
  </si>
  <si>
    <t>PSB_XMR</t>
  </si>
  <si>
    <t>PSB_ETC</t>
  </si>
  <si>
    <t>PSB_POSW</t>
  </si>
  <si>
    <t>PSB_USDT</t>
  </si>
  <si>
    <t>PSB_ZEC</t>
  </si>
  <si>
    <t>PSB_NXT</t>
  </si>
  <si>
    <t>PSB_REP</t>
  </si>
  <si>
    <t>BTC_PSB</t>
  </si>
  <si>
    <t>USD_PSB</t>
  </si>
  <si>
    <t>LTC_PSB</t>
  </si>
  <si>
    <t>DOGE_PSB</t>
  </si>
  <si>
    <t>ETH_PSB</t>
  </si>
  <si>
    <t>EUR_PSB</t>
  </si>
  <si>
    <t>RUR_PSB</t>
  </si>
  <si>
    <t>DASH_PSB</t>
  </si>
  <si>
    <t>XMR_PSB</t>
  </si>
  <si>
    <t>ETC_PSB</t>
  </si>
  <si>
    <t>POSW_PSB</t>
  </si>
  <si>
    <t>USDT_PSB</t>
  </si>
  <si>
    <t>ZEC_PSB</t>
  </si>
  <si>
    <t>NXT_PSB</t>
  </si>
  <si>
    <t>REP_PSB</t>
  </si>
  <si>
    <t>RADS_BTC</t>
  </si>
  <si>
    <t>RADS_USD</t>
  </si>
  <si>
    <t>RADS_LTC</t>
  </si>
  <si>
    <t>RADS_DOGE</t>
  </si>
  <si>
    <t>RADS_ETH</t>
  </si>
  <si>
    <t>RADS_EUR</t>
  </si>
  <si>
    <t>RADS_RUR</t>
  </si>
  <si>
    <t>RADS_DASH</t>
  </si>
  <si>
    <t>RADS_XMR</t>
  </si>
  <si>
    <t>RADS_ETC</t>
  </si>
  <si>
    <t>RADS_POSW</t>
  </si>
  <si>
    <t>RADS_USDT</t>
  </si>
  <si>
    <t>RADS_ZEC</t>
  </si>
  <si>
    <t>RADS_NXT</t>
  </si>
  <si>
    <t>RADS_REP</t>
  </si>
  <si>
    <t>BTC_RADS</t>
  </si>
  <si>
    <t>USD_RADS</t>
  </si>
  <si>
    <t>LTC_RADS</t>
  </si>
  <si>
    <t>DOGE_RADS</t>
  </si>
  <si>
    <t>ETH_RADS</t>
  </si>
  <si>
    <t>EUR_RADS</t>
  </si>
  <si>
    <t>RUR_RADS</t>
  </si>
  <si>
    <t>DASH_RADS</t>
  </si>
  <si>
    <t>XMR_RADS</t>
  </si>
  <si>
    <t>ETC_RADS</t>
  </si>
  <si>
    <t>POSW_RADS</t>
  </si>
  <si>
    <t>USDT_RADS</t>
  </si>
  <si>
    <t>ZEC_RADS</t>
  </si>
  <si>
    <t>NXT_RADS</t>
  </si>
  <si>
    <t>REP_RADS</t>
  </si>
  <si>
    <t>RBIES_BTC</t>
  </si>
  <si>
    <t>RBIES_USD</t>
  </si>
  <si>
    <t>RBIES_LTC</t>
  </si>
  <si>
    <t>RBIES_DOGE</t>
  </si>
  <si>
    <t>RBIES_ETH</t>
  </si>
  <si>
    <t>RBIES_EUR</t>
  </si>
  <si>
    <t>RBIES_RUR</t>
  </si>
  <si>
    <t>RBIES_DASH</t>
  </si>
  <si>
    <t>RBIES_XMR</t>
  </si>
  <si>
    <t>RBIES_ETC</t>
  </si>
  <si>
    <t>RBIES_POSW</t>
  </si>
  <si>
    <t>RBIES_USDT</t>
  </si>
  <si>
    <t>RBIES_ZEC</t>
  </si>
  <si>
    <t>RBIES_NXT</t>
  </si>
  <si>
    <t>RBIES_REP</t>
  </si>
  <si>
    <t>BTC_RBIES</t>
  </si>
  <si>
    <t>USD_RBIES</t>
  </si>
  <si>
    <t>LTC_RBIES</t>
  </si>
  <si>
    <t>DOGE_RBIES</t>
  </si>
  <si>
    <t>ETH_RBIES</t>
  </si>
  <si>
    <t>EUR_RBIES</t>
  </si>
  <si>
    <t>RUR_RBIES</t>
  </si>
  <si>
    <t>DASH_RBIES</t>
  </si>
  <si>
    <t>XMR_RBIES</t>
  </si>
  <si>
    <t>ETC_RBIES</t>
  </si>
  <si>
    <t>POSW_RBIES</t>
  </si>
  <si>
    <t>USDT_RBIES</t>
  </si>
  <si>
    <t>ZEC_RBIES</t>
  </si>
  <si>
    <t>NXT_RBIES</t>
  </si>
  <si>
    <t>REP_RBIES</t>
  </si>
  <si>
    <t>RDD_BTC</t>
  </si>
  <si>
    <t>RDD_USD</t>
  </si>
  <si>
    <t>RDD_LTC</t>
  </si>
  <si>
    <t>RDD_DOGE</t>
  </si>
  <si>
    <t>RDD_ETH</t>
  </si>
  <si>
    <t>RDD_EUR</t>
  </si>
  <si>
    <t>RDD_RUR</t>
  </si>
  <si>
    <t>RDD_DASH</t>
  </si>
  <si>
    <t>RDD_XMR</t>
  </si>
  <si>
    <t>RDD_ETC</t>
  </si>
  <si>
    <t>RDD_POSW</t>
  </si>
  <si>
    <t>RDD_USDT</t>
  </si>
  <si>
    <t>RDD_ZEC</t>
  </si>
  <si>
    <t>RDD_NXT</t>
  </si>
  <si>
    <t>RDD_REP</t>
  </si>
  <si>
    <t>BTC_RDD</t>
  </si>
  <si>
    <t>USD_RDD</t>
  </si>
  <si>
    <t>LTC_RDD</t>
  </si>
  <si>
    <t>DOGE_RDD</t>
  </si>
  <si>
    <t>ETH_RDD</t>
  </si>
  <si>
    <t>EUR_RDD</t>
  </si>
  <si>
    <t>RUR_RDD</t>
  </si>
  <si>
    <t>DASH_RDD</t>
  </si>
  <si>
    <t>XMR_RDD</t>
  </si>
  <si>
    <t>ETC_RDD</t>
  </si>
  <si>
    <t>POSW_RDD</t>
  </si>
  <si>
    <t>USDT_RDD</t>
  </si>
  <si>
    <t>ZEC_RDD</t>
  </si>
  <si>
    <t>NXT_RDD</t>
  </si>
  <si>
    <t>REP_RDD</t>
  </si>
  <si>
    <t>REE_BTC</t>
  </si>
  <si>
    <t>REE_USD</t>
  </si>
  <si>
    <t>REE_LTC</t>
  </si>
  <si>
    <t>REE_DOGE</t>
  </si>
  <si>
    <t>REE_ETH</t>
  </si>
  <si>
    <t>REE_EUR</t>
  </si>
  <si>
    <t>REE_RUR</t>
  </si>
  <si>
    <t>REE_DASH</t>
  </si>
  <si>
    <t>REE_XMR</t>
  </si>
  <si>
    <t>REE_ETC</t>
  </si>
  <si>
    <t>REE_POSW</t>
  </si>
  <si>
    <t>REE_USDT</t>
  </si>
  <si>
    <t>REE_ZEC</t>
  </si>
  <si>
    <t>REE_NXT</t>
  </si>
  <si>
    <t>REE_REP</t>
  </si>
  <si>
    <t>BTC_REE</t>
  </si>
  <si>
    <t>USD_REE</t>
  </si>
  <si>
    <t>LTC_REE</t>
  </si>
  <si>
    <t>DOGE_REE</t>
  </si>
  <si>
    <t>ETH_REE</t>
  </si>
  <si>
    <t>EUR_REE</t>
  </si>
  <si>
    <t>RUR_REE</t>
  </si>
  <si>
    <t>DASH_REE</t>
  </si>
  <si>
    <t>XMR_REE</t>
  </si>
  <si>
    <t>ETC_REE</t>
  </si>
  <si>
    <t>POSW_REE</t>
  </si>
  <si>
    <t>USDT_REE</t>
  </si>
  <si>
    <t>ZEC_REE</t>
  </si>
  <si>
    <t>NXT_REE</t>
  </si>
  <si>
    <t>REP_REE</t>
  </si>
  <si>
    <t>REP_USD</t>
  </si>
  <si>
    <t>REP_RUR</t>
  </si>
  <si>
    <t>REP_XMR</t>
  </si>
  <si>
    <t>REP_USDT</t>
  </si>
  <si>
    <t>REP_ZEC</t>
  </si>
  <si>
    <t>REP_REP</t>
  </si>
  <si>
    <t>USD_REP</t>
  </si>
  <si>
    <t>RUR_REP</t>
  </si>
  <si>
    <t>XMR_REP</t>
  </si>
  <si>
    <t>USDT_REP</t>
  </si>
  <si>
    <t>ZEC_REP</t>
  </si>
  <si>
    <t>RIDE_BTC</t>
  </si>
  <si>
    <t>RIDE_USD</t>
  </si>
  <si>
    <t>RIDE_LTC</t>
  </si>
  <si>
    <t>RIDE_DOGE</t>
  </si>
  <si>
    <t>RIDE_ETH</t>
  </si>
  <si>
    <t>RIDE_EUR</t>
  </si>
  <si>
    <t>RIDE_RUR</t>
  </si>
  <si>
    <t>RIDE_DASH</t>
  </si>
  <si>
    <t>RIDE_XMR</t>
  </si>
  <si>
    <t>RIDE_ETC</t>
  </si>
  <si>
    <t>RIDE_POSW</t>
  </si>
  <si>
    <t>RIDE_USDT</t>
  </si>
  <si>
    <t>RIDE_ZEC</t>
  </si>
  <si>
    <t>RIDE_NXT</t>
  </si>
  <si>
    <t>RIDE_REP</t>
  </si>
  <si>
    <t>BTC_RIDE</t>
  </si>
  <si>
    <t>USD_RIDE</t>
  </si>
  <si>
    <t>LTC_RIDE</t>
  </si>
  <si>
    <t>DOGE_RIDE</t>
  </si>
  <si>
    <t>ETH_RIDE</t>
  </si>
  <si>
    <t>EUR_RIDE</t>
  </si>
  <si>
    <t>RUR_RIDE</t>
  </si>
  <si>
    <t>DASH_RIDE</t>
  </si>
  <si>
    <t>XMR_RIDE</t>
  </si>
  <si>
    <t>ETC_RIDE</t>
  </si>
  <si>
    <t>POSW_RIDE</t>
  </si>
  <si>
    <t>USDT_RIDE</t>
  </si>
  <si>
    <t>ZEC_RIDE</t>
  </si>
  <si>
    <t>NXT_RIDE</t>
  </si>
  <si>
    <t>REP_RIDE</t>
  </si>
  <si>
    <t>RISE_BTC</t>
  </si>
  <si>
    <t>RISE_USD</t>
  </si>
  <si>
    <t>RISE_LTC</t>
  </si>
  <si>
    <t>RISE_DOGE</t>
  </si>
  <si>
    <t>RISE_ETH</t>
  </si>
  <si>
    <t>RISE_EUR</t>
  </si>
  <si>
    <t>RISE_RUR</t>
  </si>
  <si>
    <t>RISE_DASH</t>
  </si>
  <si>
    <t>RISE_XMR</t>
  </si>
  <si>
    <t>RISE_ETC</t>
  </si>
  <si>
    <t>RISE_POSW</t>
  </si>
  <si>
    <t>RISE_USDT</t>
  </si>
  <si>
    <t>RISE_ZEC</t>
  </si>
  <si>
    <t>RISE_NXT</t>
  </si>
  <si>
    <t>RISE_REP</t>
  </si>
  <si>
    <t>BTC_RISE</t>
  </si>
  <si>
    <t>USD_RISE</t>
  </si>
  <si>
    <t>LTC_RISE</t>
  </si>
  <si>
    <t>DOGE_RISE</t>
  </si>
  <si>
    <t>ETH_RISE</t>
  </si>
  <si>
    <t>EUR_RISE</t>
  </si>
  <si>
    <t>RUR_RISE</t>
  </si>
  <si>
    <t>DASH_RISE</t>
  </si>
  <si>
    <t>XMR_RISE</t>
  </si>
  <si>
    <t>ETC_RISE</t>
  </si>
  <si>
    <t>POSW_RISE</t>
  </si>
  <si>
    <t>USDT_RISE</t>
  </si>
  <si>
    <t>ZEC_RISE</t>
  </si>
  <si>
    <t>NXT_RISE</t>
  </si>
  <si>
    <t>REP_RISE</t>
  </si>
  <si>
    <t>RLC_BTC</t>
  </si>
  <si>
    <t>RLC_USD</t>
  </si>
  <si>
    <t>RLC_LTC</t>
  </si>
  <si>
    <t>RLC_DOGE</t>
  </si>
  <si>
    <t>RLC_ETH</t>
  </si>
  <si>
    <t>RLC_EUR</t>
  </si>
  <si>
    <t>RLC_RUR</t>
  </si>
  <si>
    <t>RLC_DASH</t>
  </si>
  <si>
    <t>RLC_XMR</t>
  </si>
  <si>
    <t>RLC_ETC</t>
  </si>
  <si>
    <t>RLC_POSW</t>
  </si>
  <si>
    <t>RLC_USDT</t>
  </si>
  <si>
    <t>RLC_ZEC</t>
  </si>
  <si>
    <t>RLC_NXT</t>
  </si>
  <si>
    <t>RLC_REP</t>
  </si>
  <si>
    <t>BTC_RLC</t>
  </si>
  <si>
    <t>USD_RLC</t>
  </si>
  <si>
    <t>LTC_RLC</t>
  </si>
  <si>
    <t>DOGE_RLC</t>
  </si>
  <si>
    <t>ETH_RLC</t>
  </si>
  <si>
    <t>EUR_RLC</t>
  </si>
  <si>
    <t>RUR_RLC</t>
  </si>
  <si>
    <t>DASH_RLC</t>
  </si>
  <si>
    <t>XMR_RLC</t>
  </si>
  <si>
    <t>ETC_RLC</t>
  </si>
  <si>
    <t>POSW_RLC</t>
  </si>
  <si>
    <t>USDT_RLC</t>
  </si>
  <si>
    <t>ZEC_RLC</t>
  </si>
  <si>
    <t>NXT_RLC</t>
  </si>
  <si>
    <t>REP_RLC</t>
  </si>
  <si>
    <t>ROYAL_BTC</t>
  </si>
  <si>
    <t>ROYAL_USD</t>
  </si>
  <si>
    <t>ROYAL_LTC</t>
  </si>
  <si>
    <t>ROYAL_DOGE</t>
  </si>
  <si>
    <t>ROYAL_ETH</t>
  </si>
  <si>
    <t>ROYAL_EUR</t>
  </si>
  <si>
    <t>ROYAL_RUR</t>
  </si>
  <si>
    <t>ROYAL_DASH</t>
  </si>
  <si>
    <t>ROYAL_XMR</t>
  </si>
  <si>
    <t>ROYAL_ETC</t>
  </si>
  <si>
    <t>ROYAL_POSW</t>
  </si>
  <si>
    <t>ROYAL_USDT</t>
  </si>
  <si>
    <t>ROYAL_ZEC</t>
  </si>
  <si>
    <t>ROYAL_NXT</t>
  </si>
  <si>
    <t>ROYAL_REP</t>
  </si>
  <si>
    <t>BTC_ROYAL</t>
  </si>
  <si>
    <t>USD_ROYAL</t>
  </si>
  <si>
    <t>LTC_ROYAL</t>
  </si>
  <si>
    <t>DOGE_ROYAL</t>
  </si>
  <si>
    <t>ETH_ROYAL</t>
  </si>
  <si>
    <t>EUR_ROYAL</t>
  </si>
  <si>
    <t>RUR_ROYAL</t>
  </si>
  <si>
    <t>DASH_ROYAL</t>
  </si>
  <si>
    <t>XMR_ROYAL</t>
  </si>
  <si>
    <t>ETC_ROYAL</t>
  </si>
  <si>
    <t>POSW_ROYAL</t>
  </si>
  <si>
    <t>USDT_ROYAL</t>
  </si>
  <si>
    <t>ZEC_ROYAL</t>
  </si>
  <si>
    <t>NXT_ROYAL</t>
  </si>
  <si>
    <t>REP_ROYAL</t>
  </si>
  <si>
    <t>RUB_BTC</t>
  </si>
  <si>
    <t>RUB_USD</t>
  </si>
  <si>
    <t>RUB_LTC</t>
  </si>
  <si>
    <t>RUB_DOGE</t>
  </si>
  <si>
    <t>RUB_ETH</t>
  </si>
  <si>
    <t>RUB_EUR</t>
  </si>
  <si>
    <t>RUB_RUR</t>
  </si>
  <si>
    <t>RUB_DASH</t>
  </si>
  <si>
    <t>RUB_XMR</t>
  </si>
  <si>
    <t>RUB_ETC</t>
  </si>
  <si>
    <t>RUB_POSW</t>
  </si>
  <si>
    <t>RUB_USDT</t>
  </si>
  <si>
    <t>RUB_ZEC</t>
  </si>
  <si>
    <t>RUB_NXT</t>
  </si>
  <si>
    <t>RUB_REP</t>
  </si>
  <si>
    <t>BTC_RUB</t>
  </si>
  <si>
    <t>USD_RUB</t>
  </si>
  <si>
    <t>LTC_RUB</t>
  </si>
  <si>
    <t>DOGE_RUB</t>
  </si>
  <si>
    <t>ETH_RUB</t>
  </si>
  <si>
    <t>EUR_RUB</t>
  </si>
  <si>
    <t>RUR_RUB</t>
  </si>
  <si>
    <t>DASH_RUB</t>
  </si>
  <si>
    <t>XMR_RUB</t>
  </si>
  <si>
    <t>ETC_RUB</t>
  </si>
  <si>
    <t>POSW_RUB</t>
  </si>
  <si>
    <t>USDT_RUB</t>
  </si>
  <si>
    <t>ZEC_RUB</t>
  </si>
  <si>
    <t>NXT_RUB</t>
  </si>
  <si>
    <t>REP_RUB</t>
  </si>
  <si>
    <t>RUR_USD</t>
  </si>
  <si>
    <t>RUR_RUR</t>
  </si>
  <si>
    <t>RUR_XMR</t>
  </si>
  <si>
    <t>RUR_USDT</t>
  </si>
  <si>
    <t>RUR_ZEC</t>
  </si>
  <si>
    <t>USD_RUR</t>
  </si>
  <si>
    <t>XMR_RUR</t>
  </si>
  <si>
    <t>USDT_RUR</t>
  </si>
  <si>
    <t>ZEC_RUR</t>
  </si>
  <si>
    <t>SBD_BTC</t>
  </si>
  <si>
    <t>SBD_USD</t>
  </si>
  <si>
    <t>SBD_LTC</t>
  </si>
  <si>
    <t>SBD_DOGE</t>
  </si>
  <si>
    <t>SBD_ETH</t>
  </si>
  <si>
    <t>SBD_EUR</t>
  </si>
  <si>
    <t>SBD_RUR</t>
  </si>
  <si>
    <t>SBD_DASH</t>
  </si>
  <si>
    <t>SBD_XMR</t>
  </si>
  <si>
    <t>SBD_ETC</t>
  </si>
  <si>
    <t>SBD_POSW</t>
  </si>
  <si>
    <t>SBD_USDT</t>
  </si>
  <si>
    <t>SBD_ZEC</t>
  </si>
  <si>
    <t>SBD_NXT</t>
  </si>
  <si>
    <t>SBD_REP</t>
  </si>
  <si>
    <t>BTC_SBD</t>
  </si>
  <si>
    <t>USD_SBD</t>
  </si>
  <si>
    <t>LTC_SBD</t>
  </si>
  <si>
    <t>DOGE_SBD</t>
  </si>
  <si>
    <t>ETH_SBD</t>
  </si>
  <si>
    <t>EUR_SBD</t>
  </si>
  <si>
    <t>RUR_SBD</t>
  </si>
  <si>
    <t>DASH_SBD</t>
  </si>
  <si>
    <t>XMR_SBD</t>
  </si>
  <si>
    <t>ETC_SBD</t>
  </si>
  <si>
    <t>POSW_SBD</t>
  </si>
  <si>
    <t>USDT_SBD</t>
  </si>
  <si>
    <t>ZEC_SBD</t>
  </si>
  <si>
    <t>NXT_SBD</t>
  </si>
  <si>
    <t>REP_SBD</t>
  </si>
  <si>
    <t>SC_BTC</t>
  </si>
  <si>
    <t>SC_USD</t>
  </si>
  <si>
    <t>SC_LTC</t>
  </si>
  <si>
    <t>SC_DOGE</t>
  </si>
  <si>
    <t>SC_ETH</t>
  </si>
  <si>
    <t>SC_EUR</t>
  </si>
  <si>
    <t>SC_RUR</t>
  </si>
  <si>
    <t>SC_DASH</t>
  </si>
  <si>
    <t>SC_XMR</t>
  </si>
  <si>
    <t>SC_ETC</t>
  </si>
  <si>
    <t>SC_POSW</t>
  </si>
  <si>
    <t>SC_USDT</t>
  </si>
  <si>
    <t>SC_ZEC</t>
  </si>
  <si>
    <t>SC_NXT</t>
  </si>
  <si>
    <t>SC_REP</t>
  </si>
  <si>
    <t>BTC_SC</t>
  </si>
  <si>
    <t>USD_SC</t>
  </si>
  <si>
    <t>LTC_SC</t>
  </si>
  <si>
    <t>DOGE_SC</t>
  </si>
  <si>
    <t>ETH_SC</t>
  </si>
  <si>
    <t>EUR_SC</t>
  </si>
  <si>
    <t>RUR_SC</t>
  </si>
  <si>
    <t>DASH_SC</t>
  </si>
  <si>
    <t>XMR_SC</t>
  </si>
  <si>
    <t>ETC_SC</t>
  </si>
  <si>
    <t>POSW_SC</t>
  </si>
  <si>
    <t>USDT_SC</t>
  </si>
  <si>
    <t>ZEC_SC</t>
  </si>
  <si>
    <t>NXT_SC</t>
  </si>
  <si>
    <t>REP_SC</t>
  </si>
  <si>
    <t>SHIFT_BTC</t>
  </si>
  <si>
    <t>SHIFT_USD</t>
  </si>
  <si>
    <t>SHIFT_LTC</t>
  </si>
  <si>
    <t>SHIFT_DOGE</t>
  </si>
  <si>
    <t>SHIFT_ETH</t>
  </si>
  <si>
    <t>SHIFT_EUR</t>
  </si>
  <si>
    <t>SHIFT_RUR</t>
  </si>
  <si>
    <t>SHIFT_DASH</t>
  </si>
  <si>
    <t>SHIFT_XMR</t>
  </si>
  <si>
    <t>SHIFT_ETC</t>
  </si>
  <si>
    <t>SHIFT_POSW</t>
  </si>
  <si>
    <t>SHIFT_USDT</t>
  </si>
  <si>
    <t>SHIFT_ZEC</t>
  </si>
  <si>
    <t>SHIFT_NXT</t>
  </si>
  <si>
    <t>SHIFT_REP</t>
  </si>
  <si>
    <t>BTC_SHIFT</t>
  </si>
  <si>
    <t>USD_SHIFT</t>
  </si>
  <si>
    <t>LTC_SHIFT</t>
  </si>
  <si>
    <t>DOGE_SHIFT</t>
  </si>
  <si>
    <t>ETH_SHIFT</t>
  </si>
  <si>
    <t>EUR_SHIFT</t>
  </si>
  <si>
    <t>RUR_SHIFT</t>
  </si>
  <si>
    <t>DASH_SHIFT</t>
  </si>
  <si>
    <t>XMR_SHIFT</t>
  </si>
  <si>
    <t>ETC_SHIFT</t>
  </si>
  <si>
    <t>POSW_SHIFT</t>
  </si>
  <si>
    <t>USDT_SHIFT</t>
  </si>
  <si>
    <t>ZEC_SHIFT</t>
  </si>
  <si>
    <t>NXT_SHIFT</t>
  </si>
  <si>
    <t>REP_SHIFT</t>
  </si>
  <si>
    <t>SIB_BTC</t>
  </si>
  <si>
    <t>SIB_USD</t>
  </si>
  <si>
    <t>SIB_LTC</t>
  </si>
  <si>
    <t>SIB_DOGE</t>
  </si>
  <si>
    <t>SIB_ETH</t>
  </si>
  <si>
    <t>SIB_EUR</t>
  </si>
  <si>
    <t>SIB_RUR</t>
  </si>
  <si>
    <t>SIB_DASH</t>
  </si>
  <si>
    <t>SIB_XMR</t>
  </si>
  <si>
    <t>SIB_ETC</t>
  </si>
  <si>
    <t>SIB_POSW</t>
  </si>
  <si>
    <t>SIB_USDT</t>
  </si>
  <si>
    <t>SIB_ZEC</t>
  </si>
  <si>
    <t>SIB_NXT</t>
  </si>
  <si>
    <t>SIB_REP</t>
  </si>
  <si>
    <t>BTC_SIB</t>
  </si>
  <si>
    <t>USD_SIB</t>
  </si>
  <si>
    <t>LTC_SIB</t>
  </si>
  <si>
    <t>DOGE_SIB</t>
  </si>
  <si>
    <t>ETH_SIB</t>
  </si>
  <si>
    <t>EUR_SIB</t>
  </si>
  <si>
    <t>RUR_SIB</t>
  </si>
  <si>
    <t>DASH_SIB</t>
  </si>
  <si>
    <t>XMR_SIB</t>
  </si>
  <si>
    <t>ETC_SIB</t>
  </si>
  <si>
    <t>POSW_SIB</t>
  </si>
  <si>
    <t>USDT_SIB</t>
  </si>
  <si>
    <t>ZEC_SIB</t>
  </si>
  <si>
    <t>NXT_SIB</t>
  </si>
  <si>
    <t>REP_SIB</t>
  </si>
  <si>
    <t>SLR_BTC</t>
  </si>
  <si>
    <t>SLR_USD</t>
  </si>
  <si>
    <t>SLR_LTC</t>
  </si>
  <si>
    <t>SLR_DOGE</t>
  </si>
  <si>
    <t>SLR_ETH</t>
  </si>
  <si>
    <t>SLR_EUR</t>
  </si>
  <si>
    <t>SLR_RUR</t>
  </si>
  <si>
    <t>SLR_DASH</t>
  </si>
  <si>
    <t>SLR_XMR</t>
  </si>
  <si>
    <t>SLR_ETC</t>
  </si>
  <si>
    <t>SLR_POSW</t>
  </si>
  <si>
    <t>SLR_USDT</t>
  </si>
  <si>
    <t>SLR_ZEC</t>
  </si>
  <si>
    <t>SLR_NXT</t>
  </si>
  <si>
    <t>SLR_REP</t>
  </si>
  <si>
    <t>BTC_SLR</t>
  </si>
  <si>
    <t>USD_SLR</t>
  </si>
  <si>
    <t>LTC_SLR</t>
  </si>
  <si>
    <t>DOGE_SLR</t>
  </si>
  <si>
    <t>ETH_SLR</t>
  </si>
  <si>
    <t>EUR_SLR</t>
  </si>
  <si>
    <t>RUR_SLR</t>
  </si>
  <si>
    <t>DASH_SLR</t>
  </si>
  <si>
    <t>XMR_SLR</t>
  </si>
  <si>
    <t>ETC_SLR</t>
  </si>
  <si>
    <t>POSW_SLR</t>
  </si>
  <si>
    <t>USDT_SLR</t>
  </si>
  <si>
    <t>ZEC_SLR</t>
  </si>
  <si>
    <t>NXT_SLR</t>
  </si>
  <si>
    <t>REP_SLR</t>
  </si>
  <si>
    <t>SLS_BTC</t>
  </si>
  <si>
    <t>SLS_USD</t>
  </si>
  <si>
    <t>SLS_LTC</t>
  </si>
  <si>
    <t>SLS_DOGE</t>
  </si>
  <si>
    <t>SLS_ETH</t>
  </si>
  <si>
    <t>SLS_EUR</t>
  </si>
  <si>
    <t>SLS_RUR</t>
  </si>
  <si>
    <t>SLS_DASH</t>
  </si>
  <si>
    <t>SLS_XMR</t>
  </si>
  <si>
    <t>SLS_ETC</t>
  </si>
  <si>
    <t>SLS_POSW</t>
  </si>
  <si>
    <t>SLS_USDT</t>
  </si>
  <si>
    <t>SLS_ZEC</t>
  </si>
  <si>
    <t>SLS_NXT</t>
  </si>
  <si>
    <t>SLS_REP</t>
  </si>
  <si>
    <t>BTC_SLS</t>
  </si>
  <si>
    <t>USD_SLS</t>
  </si>
  <si>
    <t>LTC_SLS</t>
  </si>
  <si>
    <t>DOGE_SLS</t>
  </si>
  <si>
    <t>ETH_SLS</t>
  </si>
  <si>
    <t>EUR_SLS</t>
  </si>
  <si>
    <t>RUR_SLS</t>
  </si>
  <si>
    <t>DASH_SLS</t>
  </si>
  <si>
    <t>XMR_SLS</t>
  </si>
  <si>
    <t>ETC_SLS</t>
  </si>
  <si>
    <t>POSW_SLS</t>
  </si>
  <si>
    <t>USDT_SLS</t>
  </si>
  <si>
    <t>ZEC_SLS</t>
  </si>
  <si>
    <t>NXT_SLS</t>
  </si>
  <si>
    <t>REP_SLS</t>
  </si>
  <si>
    <t>SNGLS_BTC</t>
  </si>
  <si>
    <t>SNGLS_USD</t>
  </si>
  <si>
    <t>SNGLS_LTC</t>
  </si>
  <si>
    <t>SNGLS_DOGE</t>
  </si>
  <si>
    <t>SNGLS_ETH</t>
  </si>
  <si>
    <t>SNGLS_EUR</t>
  </si>
  <si>
    <t>SNGLS_RUR</t>
  </si>
  <si>
    <t>SNGLS_DASH</t>
  </si>
  <si>
    <t>SNGLS_XMR</t>
  </si>
  <si>
    <t>SNGLS_ETC</t>
  </si>
  <si>
    <t>SNGLS_POSW</t>
  </si>
  <si>
    <t>SNGLS_USDT</t>
  </si>
  <si>
    <t>SNGLS_ZEC</t>
  </si>
  <si>
    <t>SNGLS_NXT</t>
  </si>
  <si>
    <t>SNGLS_REP</t>
  </si>
  <si>
    <t>BTC_SNGLS</t>
  </si>
  <si>
    <t>USD_SNGLS</t>
  </si>
  <si>
    <t>LTC_SNGLS</t>
  </si>
  <si>
    <t>DOGE_SNGLS</t>
  </si>
  <si>
    <t>ETH_SNGLS</t>
  </si>
  <si>
    <t>EUR_SNGLS</t>
  </si>
  <si>
    <t>RUR_SNGLS</t>
  </si>
  <si>
    <t>DASH_SNGLS</t>
  </si>
  <si>
    <t>XMR_SNGLS</t>
  </si>
  <si>
    <t>ETC_SNGLS</t>
  </si>
  <si>
    <t>POSW_SNGLS</t>
  </si>
  <si>
    <t>USDT_SNGLS</t>
  </si>
  <si>
    <t>ZEC_SNGLS</t>
  </si>
  <si>
    <t>NXT_SNGLS</t>
  </si>
  <si>
    <t>REP_SNGLS</t>
  </si>
  <si>
    <t>SNRG_BTC</t>
  </si>
  <si>
    <t>SNRG_USD</t>
  </si>
  <si>
    <t>SNRG_LTC</t>
  </si>
  <si>
    <t>SNRG_DOGE</t>
  </si>
  <si>
    <t>SNRG_ETH</t>
  </si>
  <si>
    <t>SNRG_EUR</t>
  </si>
  <si>
    <t>SNRG_RUR</t>
  </si>
  <si>
    <t>SNRG_DASH</t>
  </si>
  <si>
    <t>SNRG_XMR</t>
  </si>
  <si>
    <t>SNRG_ETC</t>
  </si>
  <si>
    <t>SNRG_POSW</t>
  </si>
  <si>
    <t>SNRG_USDT</t>
  </si>
  <si>
    <t>SNRG_ZEC</t>
  </si>
  <si>
    <t>SNRG_NXT</t>
  </si>
  <si>
    <t>SNRG_REP</t>
  </si>
  <si>
    <t>BTC_SNRG</t>
  </si>
  <si>
    <t>USD_SNRG</t>
  </si>
  <si>
    <t>LTC_SNRG</t>
  </si>
  <si>
    <t>DOGE_SNRG</t>
  </si>
  <si>
    <t>ETH_SNRG</t>
  </si>
  <si>
    <t>EUR_SNRG</t>
  </si>
  <si>
    <t>RUR_SNRG</t>
  </si>
  <si>
    <t>DASH_SNRG</t>
  </si>
  <si>
    <t>XMR_SNRG</t>
  </si>
  <si>
    <t>ETC_SNRG</t>
  </si>
  <si>
    <t>POSW_SNRG</t>
  </si>
  <si>
    <t>USDT_SNRG</t>
  </si>
  <si>
    <t>ZEC_SNRG</t>
  </si>
  <si>
    <t>NXT_SNRG</t>
  </si>
  <si>
    <t>REP_SNRG</t>
  </si>
  <si>
    <t>SOAR_BTC</t>
  </si>
  <si>
    <t>SOAR_USD</t>
  </si>
  <si>
    <t>SOAR_LTC</t>
  </si>
  <si>
    <t>SOAR_DOGE</t>
  </si>
  <si>
    <t>SOAR_ETH</t>
  </si>
  <si>
    <t>SOAR_EUR</t>
  </si>
  <si>
    <t>SOAR_RUR</t>
  </si>
  <si>
    <t>SOAR_DASH</t>
  </si>
  <si>
    <t>SOAR_XMR</t>
  </si>
  <si>
    <t>SOAR_ETC</t>
  </si>
  <si>
    <t>SOAR_POSW</t>
  </si>
  <si>
    <t>SOAR_USDT</t>
  </si>
  <si>
    <t>SOAR_ZEC</t>
  </si>
  <si>
    <t>SOAR_NXT</t>
  </si>
  <si>
    <t>SOAR_REP</t>
  </si>
  <si>
    <t>BTC_SOAR</t>
  </si>
  <si>
    <t>USD_SOAR</t>
  </si>
  <si>
    <t>LTC_SOAR</t>
  </si>
  <si>
    <t>DOGE_SOAR</t>
  </si>
  <si>
    <t>ETH_SOAR</t>
  </si>
  <si>
    <t>EUR_SOAR</t>
  </si>
  <si>
    <t>RUR_SOAR</t>
  </si>
  <si>
    <t>DASH_SOAR</t>
  </si>
  <si>
    <t>XMR_SOAR</t>
  </si>
  <si>
    <t>ETC_SOAR</t>
  </si>
  <si>
    <t>POSW_SOAR</t>
  </si>
  <si>
    <t>USDT_SOAR</t>
  </si>
  <si>
    <t>ZEC_SOAR</t>
  </si>
  <si>
    <t>NXT_SOAR</t>
  </si>
  <si>
    <t>REP_SOAR</t>
  </si>
  <si>
    <t>SONG_BTC</t>
  </si>
  <si>
    <t>SONG_USD</t>
  </si>
  <si>
    <t>SONG_LTC</t>
  </si>
  <si>
    <t>SONG_DOGE</t>
  </si>
  <si>
    <t>SONG_ETH</t>
  </si>
  <si>
    <t>SONG_EUR</t>
  </si>
  <si>
    <t>SONG_RUR</t>
  </si>
  <si>
    <t>SONG_DASH</t>
  </si>
  <si>
    <t>SONG_XMR</t>
  </si>
  <si>
    <t>SONG_ETC</t>
  </si>
  <si>
    <t>SONG_POSW</t>
  </si>
  <si>
    <t>SONG_USDT</t>
  </si>
  <si>
    <t>SONG_ZEC</t>
  </si>
  <si>
    <t>SONG_NXT</t>
  </si>
  <si>
    <t>SONG_REP</t>
  </si>
  <si>
    <t>BTC_SONG</t>
  </si>
  <si>
    <t>USD_SONG</t>
  </si>
  <si>
    <t>LTC_SONG</t>
  </si>
  <si>
    <t>DOGE_SONG</t>
  </si>
  <si>
    <t>ETH_SONG</t>
  </si>
  <si>
    <t>EUR_SONG</t>
  </si>
  <si>
    <t>RUR_SONG</t>
  </si>
  <si>
    <t>DASH_SONG</t>
  </si>
  <si>
    <t>XMR_SONG</t>
  </si>
  <si>
    <t>ETC_SONG</t>
  </si>
  <si>
    <t>POSW_SONG</t>
  </si>
  <si>
    <t>USDT_SONG</t>
  </si>
  <si>
    <t>ZEC_SONG</t>
  </si>
  <si>
    <t>NXT_SONG</t>
  </si>
  <si>
    <t>REP_SONG</t>
  </si>
  <si>
    <t>SPR_BTC</t>
  </si>
  <si>
    <t>SPR_USD</t>
  </si>
  <si>
    <t>SPR_LTC</t>
  </si>
  <si>
    <t>SPR_DOGE</t>
  </si>
  <si>
    <t>SPR_ETH</t>
  </si>
  <si>
    <t>SPR_EUR</t>
  </si>
  <si>
    <t>SPR_RUR</t>
  </si>
  <si>
    <t>SPR_DASH</t>
  </si>
  <si>
    <t>SPR_XMR</t>
  </si>
  <si>
    <t>SPR_ETC</t>
  </si>
  <si>
    <t>SPR_POSW</t>
  </si>
  <si>
    <t>SPR_USDT</t>
  </si>
  <si>
    <t>SPR_ZEC</t>
  </si>
  <si>
    <t>SPR_NXT</t>
  </si>
  <si>
    <t>SPR_REP</t>
  </si>
  <si>
    <t>BTC_SPR</t>
  </si>
  <si>
    <t>USD_SPR</t>
  </si>
  <si>
    <t>LTC_SPR</t>
  </si>
  <si>
    <t>DOGE_SPR</t>
  </si>
  <si>
    <t>ETH_SPR</t>
  </si>
  <si>
    <t>EUR_SPR</t>
  </si>
  <si>
    <t>RUR_SPR</t>
  </si>
  <si>
    <t>DASH_SPR</t>
  </si>
  <si>
    <t>XMR_SPR</t>
  </si>
  <si>
    <t>ETC_SPR</t>
  </si>
  <si>
    <t>POSW_SPR</t>
  </si>
  <si>
    <t>USDT_SPR</t>
  </si>
  <si>
    <t>ZEC_SPR</t>
  </si>
  <si>
    <t>NXT_SPR</t>
  </si>
  <si>
    <t>REP_SPR</t>
  </si>
  <si>
    <t>START_BTC</t>
  </si>
  <si>
    <t>START_USD</t>
  </si>
  <si>
    <t>START_LTC</t>
  </si>
  <si>
    <t>START_DOGE</t>
  </si>
  <si>
    <t>START_ETH</t>
  </si>
  <si>
    <t>START_EUR</t>
  </si>
  <si>
    <t>START_RUR</t>
  </si>
  <si>
    <t>START_DASH</t>
  </si>
  <si>
    <t>START_XMR</t>
  </si>
  <si>
    <t>START_ETC</t>
  </si>
  <si>
    <t>START_POSW</t>
  </si>
  <si>
    <t>START_USDT</t>
  </si>
  <si>
    <t>START_ZEC</t>
  </si>
  <si>
    <t>START_NXT</t>
  </si>
  <si>
    <t>START_REP</t>
  </si>
  <si>
    <t>BTC_START</t>
  </si>
  <si>
    <t>USD_START</t>
  </si>
  <si>
    <t>LTC_START</t>
  </si>
  <si>
    <t>DOGE_START</t>
  </si>
  <si>
    <t>ETH_START</t>
  </si>
  <si>
    <t>EUR_START</t>
  </si>
  <si>
    <t>RUR_START</t>
  </si>
  <si>
    <t>DASH_START</t>
  </si>
  <si>
    <t>XMR_START</t>
  </si>
  <si>
    <t>ETC_START</t>
  </si>
  <si>
    <t>POSW_START</t>
  </si>
  <si>
    <t>USDT_START</t>
  </si>
  <si>
    <t>ZEC_START</t>
  </si>
  <si>
    <t>NXT_START</t>
  </si>
  <si>
    <t>REP_START</t>
  </si>
  <si>
    <t>STEEM_BTC</t>
  </si>
  <si>
    <t>STEEM_USD</t>
  </si>
  <si>
    <t>STEEM_LTC</t>
  </si>
  <si>
    <t>STEEM_DOGE</t>
  </si>
  <si>
    <t>STEEM_ETH</t>
  </si>
  <si>
    <t>STEEM_EUR</t>
  </si>
  <si>
    <t>STEEM_RUR</t>
  </si>
  <si>
    <t>STEEM_DASH</t>
  </si>
  <si>
    <t>STEEM_XMR</t>
  </si>
  <si>
    <t>STEEM_ETC</t>
  </si>
  <si>
    <t>STEEM_POSW</t>
  </si>
  <si>
    <t>STEEM_USDT</t>
  </si>
  <si>
    <t>STEEM_ZEC</t>
  </si>
  <si>
    <t>STEEM_NXT</t>
  </si>
  <si>
    <t>STEEM_REP</t>
  </si>
  <si>
    <t>BTC_STEEM</t>
  </si>
  <si>
    <t>USD_STEEM</t>
  </si>
  <si>
    <t>LTC_STEEM</t>
  </si>
  <si>
    <t>DOGE_STEEM</t>
  </si>
  <si>
    <t>ETH_STEEM</t>
  </si>
  <si>
    <t>EUR_STEEM</t>
  </si>
  <si>
    <t>RUR_STEEM</t>
  </si>
  <si>
    <t>DASH_STEEM</t>
  </si>
  <si>
    <t>XMR_STEEM</t>
  </si>
  <si>
    <t>ETC_STEEM</t>
  </si>
  <si>
    <t>POSW_STEEM</t>
  </si>
  <si>
    <t>USDT_STEEM</t>
  </si>
  <si>
    <t>ZEC_STEEM</t>
  </si>
  <si>
    <t>NXT_STEEM</t>
  </si>
  <si>
    <t>REP_STEEM</t>
  </si>
  <si>
    <t>STRAT_BTC</t>
  </si>
  <si>
    <t>STRAT_USD</t>
  </si>
  <si>
    <t>STRAT_LTC</t>
  </si>
  <si>
    <t>STRAT_DOGE</t>
  </si>
  <si>
    <t>STRAT_ETH</t>
  </si>
  <si>
    <t>STRAT_EUR</t>
  </si>
  <si>
    <t>STRAT_RUR</t>
  </si>
  <si>
    <t>STRAT_DASH</t>
  </si>
  <si>
    <t>STRAT_XMR</t>
  </si>
  <si>
    <t>STRAT_ETC</t>
  </si>
  <si>
    <t>STRAT_POSW</t>
  </si>
  <si>
    <t>STRAT_USDT</t>
  </si>
  <si>
    <t>STRAT_ZEC</t>
  </si>
  <si>
    <t>STRAT_NXT</t>
  </si>
  <si>
    <t>STRAT_REP</t>
  </si>
  <si>
    <t>BTC_STRAT</t>
  </si>
  <si>
    <t>USD_STRAT</t>
  </si>
  <si>
    <t>LTC_STRAT</t>
  </si>
  <si>
    <t>DOGE_STRAT</t>
  </si>
  <si>
    <t>ETH_STRAT</t>
  </si>
  <si>
    <t>EUR_STRAT</t>
  </si>
  <si>
    <t>RUR_STRAT</t>
  </si>
  <si>
    <t>DASH_STRAT</t>
  </si>
  <si>
    <t>XMR_STRAT</t>
  </si>
  <si>
    <t>ETC_STRAT</t>
  </si>
  <si>
    <t>POSW_STRAT</t>
  </si>
  <si>
    <t>USDT_STRAT</t>
  </si>
  <si>
    <t>ZEC_STRAT</t>
  </si>
  <si>
    <t>NXT_STRAT</t>
  </si>
  <si>
    <t>REP_STRAT</t>
  </si>
  <si>
    <t>SWT_BTC</t>
  </si>
  <si>
    <t>SWT_USD</t>
  </si>
  <si>
    <t>SWT_LTC</t>
  </si>
  <si>
    <t>SWT_DOGE</t>
  </si>
  <si>
    <t>SWT_ETH</t>
  </si>
  <si>
    <t>SWT_EUR</t>
  </si>
  <si>
    <t>SWT_RUR</t>
  </si>
  <si>
    <t>SWT_DASH</t>
  </si>
  <si>
    <t>SWT_XMR</t>
  </si>
  <si>
    <t>SWT_ETC</t>
  </si>
  <si>
    <t>SWT_POSW</t>
  </si>
  <si>
    <t>SWT_USDT</t>
  </si>
  <si>
    <t>SWT_ZEC</t>
  </si>
  <si>
    <t>SWT_NXT</t>
  </si>
  <si>
    <t>SWT_REP</t>
  </si>
  <si>
    <t>BTC_SWT</t>
  </si>
  <si>
    <t>USD_SWT</t>
  </si>
  <si>
    <t>LTC_SWT</t>
  </si>
  <si>
    <t>DOGE_SWT</t>
  </si>
  <si>
    <t>ETH_SWT</t>
  </si>
  <si>
    <t>EUR_SWT</t>
  </si>
  <si>
    <t>RUR_SWT</t>
  </si>
  <si>
    <t>DASH_SWT</t>
  </si>
  <si>
    <t>XMR_SWT</t>
  </si>
  <si>
    <t>ETC_SWT</t>
  </si>
  <si>
    <t>POSW_SWT</t>
  </si>
  <si>
    <t>USDT_SWT</t>
  </si>
  <si>
    <t>ZEC_SWT</t>
  </si>
  <si>
    <t>NXT_SWT</t>
  </si>
  <si>
    <t>REP_SWT</t>
  </si>
  <si>
    <t>SXC_BTC</t>
  </si>
  <si>
    <t>SXC_USD</t>
  </si>
  <si>
    <t>SXC_LTC</t>
  </si>
  <si>
    <t>SXC_DOGE</t>
  </si>
  <si>
    <t>SXC_ETH</t>
  </si>
  <si>
    <t>SXC_EUR</t>
  </si>
  <si>
    <t>SXC_RUR</t>
  </si>
  <si>
    <t>SXC_DASH</t>
  </si>
  <si>
    <t>SXC_XMR</t>
  </si>
  <si>
    <t>SXC_ETC</t>
  </si>
  <si>
    <t>SXC_POSW</t>
  </si>
  <si>
    <t>SXC_USDT</t>
  </si>
  <si>
    <t>SXC_ZEC</t>
  </si>
  <si>
    <t>SXC_NXT</t>
  </si>
  <si>
    <t>SXC_REP</t>
  </si>
  <si>
    <t>BTC_SXC</t>
  </si>
  <si>
    <t>USD_SXC</t>
  </si>
  <si>
    <t>LTC_SXC</t>
  </si>
  <si>
    <t>DOGE_SXC</t>
  </si>
  <si>
    <t>ETH_SXC</t>
  </si>
  <si>
    <t>EUR_SXC</t>
  </si>
  <si>
    <t>RUR_SXC</t>
  </si>
  <si>
    <t>DASH_SXC</t>
  </si>
  <si>
    <t>XMR_SXC</t>
  </si>
  <si>
    <t>ETC_SXC</t>
  </si>
  <si>
    <t>POSW_SXC</t>
  </si>
  <si>
    <t>USDT_SXC</t>
  </si>
  <si>
    <t>ZEC_SXC</t>
  </si>
  <si>
    <t>NXT_SXC</t>
  </si>
  <si>
    <t>REP_SXC</t>
  </si>
  <si>
    <t>SYNX_BTC</t>
  </si>
  <si>
    <t>SYNX_USD</t>
  </si>
  <si>
    <t>SYNX_LTC</t>
  </si>
  <si>
    <t>SYNX_DOGE</t>
  </si>
  <si>
    <t>SYNX_ETH</t>
  </si>
  <si>
    <t>SYNX_EUR</t>
  </si>
  <si>
    <t>SYNX_RUR</t>
  </si>
  <si>
    <t>SYNX_DASH</t>
  </si>
  <si>
    <t>SYNX_XMR</t>
  </si>
  <si>
    <t>SYNX_ETC</t>
  </si>
  <si>
    <t>SYNX_POSW</t>
  </si>
  <si>
    <t>SYNX_USDT</t>
  </si>
  <si>
    <t>SYNX_ZEC</t>
  </si>
  <si>
    <t>SYNX_NXT</t>
  </si>
  <si>
    <t>SYNX_REP</t>
  </si>
  <si>
    <t>BTC_SYNX</t>
  </si>
  <si>
    <t>USD_SYNX</t>
  </si>
  <si>
    <t>LTC_SYNX</t>
  </si>
  <si>
    <t>DOGE_SYNX</t>
  </si>
  <si>
    <t>ETH_SYNX</t>
  </si>
  <si>
    <t>EUR_SYNX</t>
  </si>
  <si>
    <t>RUR_SYNX</t>
  </si>
  <si>
    <t>DASH_SYNX</t>
  </si>
  <si>
    <t>XMR_SYNX</t>
  </si>
  <si>
    <t>ETC_SYNX</t>
  </si>
  <si>
    <t>POSW_SYNX</t>
  </si>
  <si>
    <t>USDT_SYNX</t>
  </si>
  <si>
    <t>ZEC_SYNX</t>
  </si>
  <si>
    <t>NXT_SYNX</t>
  </si>
  <si>
    <t>REP_SYNX</t>
  </si>
  <si>
    <t>SYS_BTC</t>
  </si>
  <si>
    <t>SYS_USD</t>
  </si>
  <si>
    <t>SYS_LTC</t>
  </si>
  <si>
    <t>SYS_DOGE</t>
  </si>
  <si>
    <t>SYS_ETH</t>
  </si>
  <si>
    <t>SYS_EUR</t>
  </si>
  <si>
    <t>SYS_RUR</t>
  </si>
  <si>
    <t>SYS_DASH</t>
  </si>
  <si>
    <t>SYS_XMR</t>
  </si>
  <si>
    <t>SYS_ETC</t>
  </si>
  <si>
    <t>SYS_POSW</t>
  </si>
  <si>
    <t>SYS_USDT</t>
  </si>
  <si>
    <t>SYS_ZEC</t>
  </si>
  <si>
    <t>SYS_NXT</t>
  </si>
  <si>
    <t>SYS_REP</t>
  </si>
  <si>
    <t>BTC_SYS</t>
  </si>
  <si>
    <t>USD_SYS</t>
  </si>
  <si>
    <t>LTC_SYS</t>
  </si>
  <si>
    <t>DOGE_SYS</t>
  </si>
  <si>
    <t>ETH_SYS</t>
  </si>
  <si>
    <t>EUR_SYS</t>
  </si>
  <si>
    <t>RUR_SYS</t>
  </si>
  <si>
    <t>DASH_SYS</t>
  </si>
  <si>
    <t>XMR_SYS</t>
  </si>
  <si>
    <t>ETC_SYS</t>
  </si>
  <si>
    <t>POSW_SYS</t>
  </si>
  <si>
    <t>USDT_SYS</t>
  </si>
  <si>
    <t>ZEC_SYS</t>
  </si>
  <si>
    <t>NXT_SYS</t>
  </si>
  <si>
    <t>REP_SYS</t>
  </si>
  <si>
    <t>TAAS_BTC</t>
  </si>
  <si>
    <t>TAAS_USD</t>
  </si>
  <si>
    <t>TAAS_LTC</t>
  </si>
  <si>
    <t>TAAS_DOGE</t>
  </si>
  <si>
    <t>TAAS_ETH</t>
  </si>
  <si>
    <t>TAAS_EUR</t>
  </si>
  <si>
    <t>TAAS_RUR</t>
  </si>
  <si>
    <t>TAAS_DASH</t>
  </si>
  <si>
    <t>TAAS_XMR</t>
  </si>
  <si>
    <t>TAAS_ETC</t>
  </si>
  <si>
    <t>TAAS_POSW</t>
  </si>
  <si>
    <t>TAAS_USDT</t>
  </si>
  <si>
    <t>TAAS_ZEC</t>
  </si>
  <si>
    <t>TAAS_NXT</t>
  </si>
  <si>
    <t>TAAS_REP</t>
  </si>
  <si>
    <t>BTC_TAAS</t>
  </si>
  <si>
    <t>USD_TAAS</t>
  </si>
  <si>
    <t>LTC_TAAS</t>
  </si>
  <si>
    <t>DOGE_TAAS</t>
  </si>
  <si>
    <t>ETH_TAAS</t>
  </si>
  <si>
    <t>EUR_TAAS</t>
  </si>
  <si>
    <t>RUR_TAAS</t>
  </si>
  <si>
    <t>DASH_TAAS</t>
  </si>
  <si>
    <t>XMR_TAAS</t>
  </si>
  <si>
    <t>ETC_TAAS</t>
  </si>
  <si>
    <t>POSW_TAAS</t>
  </si>
  <si>
    <t>USDT_TAAS</t>
  </si>
  <si>
    <t>ZEC_TAAS</t>
  </si>
  <si>
    <t>NXT_TAAS</t>
  </si>
  <si>
    <t>REP_TAAS</t>
  </si>
  <si>
    <t>TIME_BTC</t>
  </si>
  <si>
    <t>TIME_USD</t>
  </si>
  <si>
    <t>TIME_LTC</t>
  </si>
  <si>
    <t>TIME_DOGE</t>
  </si>
  <si>
    <t>TIME_ETH</t>
  </si>
  <si>
    <t>TIME_EUR</t>
  </si>
  <si>
    <t>TIME_RUR</t>
  </si>
  <si>
    <t>TIME_DASH</t>
  </si>
  <si>
    <t>TIME_XMR</t>
  </si>
  <si>
    <t>TIME_ETC</t>
  </si>
  <si>
    <t>TIME_POSW</t>
  </si>
  <si>
    <t>TIME_USDT</t>
  </si>
  <si>
    <t>TIME_ZEC</t>
  </si>
  <si>
    <t>TIME_NXT</t>
  </si>
  <si>
    <t>TIME_REP</t>
  </si>
  <si>
    <t>BTC_TIME</t>
  </si>
  <si>
    <t>USD_TIME</t>
  </si>
  <si>
    <t>LTC_TIME</t>
  </si>
  <si>
    <t>DOGE_TIME</t>
  </si>
  <si>
    <t>ETH_TIME</t>
  </si>
  <si>
    <t>EUR_TIME</t>
  </si>
  <si>
    <t>RUR_TIME</t>
  </si>
  <si>
    <t>DASH_TIME</t>
  </si>
  <si>
    <t>XMR_TIME</t>
  </si>
  <si>
    <t>ETC_TIME</t>
  </si>
  <si>
    <t>POSW_TIME</t>
  </si>
  <si>
    <t>USDT_TIME</t>
  </si>
  <si>
    <t>ZEC_TIME</t>
  </si>
  <si>
    <t>NXT_TIME</t>
  </si>
  <si>
    <t>REP_TIME</t>
  </si>
  <si>
    <t>TKN_BTC</t>
  </si>
  <si>
    <t>TKN_USD</t>
  </si>
  <si>
    <t>TKN_LTC</t>
  </si>
  <si>
    <t>TKN_DOGE</t>
  </si>
  <si>
    <t>TKN_ETH</t>
  </si>
  <si>
    <t>TKN_EUR</t>
  </si>
  <si>
    <t>TKN_RUR</t>
  </si>
  <si>
    <t>TKN_DASH</t>
  </si>
  <si>
    <t>TKN_XMR</t>
  </si>
  <si>
    <t>TKN_ETC</t>
  </si>
  <si>
    <t>TKN_POSW</t>
  </si>
  <si>
    <t>TKN_USDT</t>
  </si>
  <si>
    <t>TKN_ZEC</t>
  </si>
  <si>
    <t>TKN_NXT</t>
  </si>
  <si>
    <t>TKN_REP</t>
  </si>
  <si>
    <t>BTC_TKN</t>
  </si>
  <si>
    <t>USD_TKN</t>
  </si>
  <si>
    <t>LTC_TKN</t>
  </si>
  <si>
    <t>DOGE_TKN</t>
  </si>
  <si>
    <t>ETH_TKN</t>
  </si>
  <si>
    <t>EUR_TKN</t>
  </si>
  <si>
    <t>RUR_TKN</t>
  </si>
  <si>
    <t>DASH_TKN</t>
  </si>
  <si>
    <t>XMR_TKN</t>
  </si>
  <si>
    <t>ETC_TKN</t>
  </si>
  <si>
    <t>POSW_TKN</t>
  </si>
  <si>
    <t>USDT_TKN</t>
  </si>
  <si>
    <t>ZEC_TKN</t>
  </si>
  <si>
    <t>NXT_TKN</t>
  </si>
  <si>
    <t>REP_TKN</t>
  </si>
  <si>
    <t>TLE_BTC</t>
  </si>
  <si>
    <t>TLE_USD</t>
  </si>
  <si>
    <t>TLE_LTC</t>
  </si>
  <si>
    <t>TLE_DOGE</t>
  </si>
  <si>
    <t>TLE_ETH</t>
  </si>
  <si>
    <t>TLE_EUR</t>
  </si>
  <si>
    <t>TLE_RUR</t>
  </si>
  <si>
    <t>TLE_DASH</t>
  </si>
  <si>
    <t>TLE_XMR</t>
  </si>
  <si>
    <t>TLE_ETC</t>
  </si>
  <si>
    <t>TLE_POSW</t>
  </si>
  <si>
    <t>TLE_USDT</t>
  </si>
  <si>
    <t>TLE_ZEC</t>
  </si>
  <si>
    <t>TLE_NXT</t>
  </si>
  <si>
    <t>TLE_REP</t>
  </si>
  <si>
    <t>BTC_TLE</t>
  </si>
  <si>
    <t>USD_TLE</t>
  </si>
  <si>
    <t>LTC_TLE</t>
  </si>
  <si>
    <t>DOGE_TLE</t>
  </si>
  <si>
    <t>ETH_TLE</t>
  </si>
  <si>
    <t>EUR_TLE</t>
  </si>
  <si>
    <t>RUR_TLE</t>
  </si>
  <si>
    <t>DASH_TLE</t>
  </si>
  <si>
    <t>XMR_TLE</t>
  </si>
  <si>
    <t>ETC_TLE</t>
  </si>
  <si>
    <t>POSW_TLE</t>
  </si>
  <si>
    <t>USDT_TLE</t>
  </si>
  <si>
    <t>ZEC_TLE</t>
  </si>
  <si>
    <t>NXT_TLE</t>
  </si>
  <si>
    <t>REP_TLE</t>
  </si>
  <si>
    <t>TRST_BTC</t>
  </si>
  <si>
    <t>TRST_USD</t>
  </si>
  <si>
    <t>TRST_LTC</t>
  </si>
  <si>
    <t>TRST_DOGE</t>
  </si>
  <si>
    <t>TRST_ETH</t>
  </si>
  <si>
    <t>TRST_EUR</t>
  </si>
  <si>
    <t>TRST_RUR</t>
  </si>
  <si>
    <t>TRST_DASH</t>
  </si>
  <si>
    <t>TRST_XMR</t>
  </si>
  <si>
    <t>TRST_ETC</t>
  </si>
  <si>
    <t>TRST_POSW</t>
  </si>
  <si>
    <t>TRST_USDT</t>
  </si>
  <si>
    <t>TRST_ZEC</t>
  </si>
  <si>
    <t>TRST_NXT</t>
  </si>
  <si>
    <t>TRST_REP</t>
  </si>
  <si>
    <t>BTC_TRST</t>
  </si>
  <si>
    <t>USD_TRST</t>
  </si>
  <si>
    <t>LTC_TRST</t>
  </si>
  <si>
    <t>DOGE_TRST</t>
  </si>
  <si>
    <t>ETH_TRST</t>
  </si>
  <si>
    <t>EUR_TRST</t>
  </si>
  <si>
    <t>RUR_TRST</t>
  </si>
  <si>
    <t>DASH_TRST</t>
  </si>
  <si>
    <t>XMR_TRST</t>
  </si>
  <si>
    <t>ETC_TRST</t>
  </si>
  <si>
    <t>POSW_TRST</t>
  </si>
  <si>
    <t>USDT_TRST</t>
  </si>
  <si>
    <t>ZEC_TRST</t>
  </si>
  <si>
    <t>NXT_TRST</t>
  </si>
  <si>
    <t>REP_TRST</t>
  </si>
  <si>
    <t>TRUMP_BTC</t>
  </si>
  <si>
    <t>TRUMP_USD</t>
  </si>
  <si>
    <t>TRUMP_LTC</t>
  </si>
  <si>
    <t>TRUMP_DOGE</t>
  </si>
  <si>
    <t>TRUMP_ETH</t>
  </si>
  <si>
    <t>TRUMP_EUR</t>
  </si>
  <si>
    <t>TRUMP_RUR</t>
  </si>
  <si>
    <t>TRUMP_DASH</t>
  </si>
  <si>
    <t>TRUMP_XMR</t>
  </si>
  <si>
    <t>TRUMP_ETC</t>
  </si>
  <si>
    <t>TRUMP_POSW</t>
  </si>
  <si>
    <t>TRUMP_USDT</t>
  </si>
  <si>
    <t>TRUMP_ZEC</t>
  </si>
  <si>
    <t>TRUMP_NXT</t>
  </si>
  <si>
    <t>TRUMP_REP</t>
  </si>
  <si>
    <t>BTC_TRUMP</t>
  </si>
  <si>
    <t>USD_TRUMP</t>
  </si>
  <si>
    <t>LTC_TRUMP</t>
  </si>
  <si>
    <t>DOGE_TRUMP</t>
  </si>
  <si>
    <t>ETH_TRUMP</t>
  </si>
  <si>
    <t>EUR_TRUMP</t>
  </si>
  <si>
    <t>RUR_TRUMP</t>
  </si>
  <si>
    <t>DASH_TRUMP</t>
  </si>
  <si>
    <t>XMR_TRUMP</t>
  </si>
  <si>
    <t>ETC_TRUMP</t>
  </si>
  <si>
    <t>POSW_TRUMP</t>
  </si>
  <si>
    <t>USDT_TRUMP</t>
  </si>
  <si>
    <t>ZEC_TRUMP</t>
  </si>
  <si>
    <t>NXT_TRUMP</t>
  </si>
  <si>
    <t>REP_TRUMP</t>
  </si>
  <si>
    <t>TSE_BTC</t>
  </si>
  <si>
    <t>TSE_USD</t>
  </si>
  <si>
    <t>TSE_LTC</t>
  </si>
  <si>
    <t>TSE_DOGE</t>
  </si>
  <si>
    <t>TSE_ETH</t>
  </si>
  <si>
    <t>TSE_EUR</t>
  </si>
  <si>
    <t>TSE_RUR</t>
  </si>
  <si>
    <t>TSE_DASH</t>
  </si>
  <si>
    <t>TSE_XMR</t>
  </si>
  <si>
    <t>TSE_ETC</t>
  </si>
  <si>
    <t>TSE_POSW</t>
  </si>
  <si>
    <t>TSE_USDT</t>
  </si>
  <si>
    <t>TSE_ZEC</t>
  </si>
  <si>
    <t>TSE_NXT</t>
  </si>
  <si>
    <t>TSE_REP</t>
  </si>
  <si>
    <t>BTC_TSE</t>
  </si>
  <si>
    <t>USD_TSE</t>
  </si>
  <si>
    <t>LTC_TSE</t>
  </si>
  <si>
    <t>DOGE_TSE</t>
  </si>
  <si>
    <t>ETH_TSE</t>
  </si>
  <si>
    <t>EUR_TSE</t>
  </si>
  <si>
    <t>RUR_TSE</t>
  </si>
  <si>
    <t>DASH_TSE</t>
  </si>
  <si>
    <t>XMR_TSE</t>
  </si>
  <si>
    <t>ETC_TSE</t>
  </si>
  <si>
    <t>POSW_TSE</t>
  </si>
  <si>
    <t>USDT_TSE</t>
  </si>
  <si>
    <t>ZEC_TSE</t>
  </si>
  <si>
    <t>NXT_TSE</t>
  </si>
  <si>
    <t>REP_TSE</t>
  </si>
  <si>
    <t>TX_BTC</t>
  </si>
  <si>
    <t>TX_USD</t>
  </si>
  <si>
    <t>TX_LTC</t>
  </si>
  <si>
    <t>TX_DOGE</t>
  </si>
  <si>
    <t>TX_ETH</t>
  </si>
  <si>
    <t>TX_EUR</t>
  </si>
  <si>
    <t>TX_RUR</t>
  </si>
  <si>
    <t>TX_DASH</t>
  </si>
  <si>
    <t>TX_XMR</t>
  </si>
  <si>
    <t>TX_ETC</t>
  </si>
  <si>
    <t>TX_POSW</t>
  </si>
  <si>
    <t>TX_USDT</t>
  </si>
  <si>
    <t>TX_ZEC</t>
  </si>
  <si>
    <t>TX_NXT</t>
  </si>
  <si>
    <t>TX_REP</t>
  </si>
  <si>
    <t>BTC_TX</t>
  </si>
  <si>
    <t>USD_TX</t>
  </si>
  <si>
    <t>LTC_TX</t>
  </si>
  <si>
    <t>DOGE_TX</t>
  </si>
  <si>
    <t>ETH_TX</t>
  </si>
  <si>
    <t>EUR_TX</t>
  </si>
  <si>
    <t>RUR_TX</t>
  </si>
  <si>
    <t>DASH_TX</t>
  </si>
  <si>
    <t>XMR_TX</t>
  </si>
  <si>
    <t>ETC_TX</t>
  </si>
  <si>
    <t>POSW_TX</t>
  </si>
  <si>
    <t>USDT_TX</t>
  </si>
  <si>
    <t>ZEC_TX</t>
  </si>
  <si>
    <t>NXT_TX</t>
  </si>
  <si>
    <t>REP_TX</t>
  </si>
  <si>
    <t>U_BTC</t>
  </si>
  <si>
    <t>U_USD</t>
  </si>
  <si>
    <t>U_LTC</t>
  </si>
  <si>
    <t>U_DOGE</t>
  </si>
  <si>
    <t>U_ETH</t>
  </si>
  <si>
    <t>U_EUR</t>
  </si>
  <si>
    <t>U_RUR</t>
  </si>
  <si>
    <t>U_DASH</t>
  </si>
  <si>
    <t>U_XMR</t>
  </si>
  <si>
    <t>U_ETC</t>
  </si>
  <si>
    <t>U_POSW</t>
  </si>
  <si>
    <t>U_USDT</t>
  </si>
  <si>
    <t>U_ZEC</t>
  </si>
  <si>
    <t>U_NXT</t>
  </si>
  <si>
    <t>U_REP</t>
  </si>
  <si>
    <t>BTC_U</t>
  </si>
  <si>
    <t>USD_U</t>
  </si>
  <si>
    <t>LTC_U</t>
  </si>
  <si>
    <t>DOGE_U</t>
  </si>
  <si>
    <t>ETH_U</t>
  </si>
  <si>
    <t>EUR_U</t>
  </si>
  <si>
    <t>RUR_U</t>
  </si>
  <si>
    <t>DASH_U</t>
  </si>
  <si>
    <t>XMR_U</t>
  </si>
  <si>
    <t>ETC_U</t>
  </si>
  <si>
    <t>POSW_U</t>
  </si>
  <si>
    <t>USDT_U</t>
  </si>
  <si>
    <t>ZEC_U</t>
  </si>
  <si>
    <t>NXT_U</t>
  </si>
  <si>
    <t>REP_U</t>
  </si>
  <si>
    <t>UNC_BTC</t>
  </si>
  <si>
    <t>UNC_USD</t>
  </si>
  <si>
    <t>UNC_LTC</t>
  </si>
  <si>
    <t>UNC_DOGE</t>
  </si>
  <si>
    <t>UNC_ETH</t>
  </si>
  <si>
    <t>UNC_EUR</t>
  </si>
  <si>
    <t>UNC_RUR</t>
  </si>
  <si>
    <t>UNC_DASH</t>
  </si>
  <si>
    <t>UNC_XMR</t>
  </si>
  <si>
    <t>UNC_ETC</t>
  </si>
  <si>
    <t>UNC_POSW</t>
  </si>
  <si>
    <t>UNC_USDT</t>
  </si>
  <si>
    <t>UNC_ZEC</t>
  </si>
  <si>
    <t>UNC_NXT</t>
  </si>
  <si>
    <t>UNC_REP</t>
  </si>
  <si>
    <t>BTC_UNC</t>
  </si>
  <si>
    <t>USD_UNC</t>
  </si>
  <si>
    <t>LTC_UNC</t>
  </si>
  <si>
    <t>DOGE_UNC</t>
  </si>
  <si>
    <t>ETH_UNC</t>
  </si>
  <si>
    <t>EUR_UNC</t>
  </si>
  <si>
    <t>RUR_UNC</t>
  </si>
  <si>
    <t>DASH_UNC</t>
  </si>
  <si>
    <t>XMR_UNC</t>
  </si>
  <si>
    <t>ETC_UNC</t>
  </si>
  <si>
    <t>POSW_UNC</t>
  </si>
  <si>
    <t>USDT_UNC</t>
  </si>
  <si>
    <t>ZEC_UNC</t>
  </si>
  <si>
    <t>NXT_UNC</t>
  </si>
  <si>
    <t>REP_UNC</t>
  </si>
  <si>
    <t>UNO_BTC</t>
  </si>
  <si>
    <t>UNO_USD</t>
  </si>
  <si>
    <t>UNO_LTC</t>
  </si>
  <si>
    <t>UNO_DOGE</t>
  </si>
  <si>
    <t>UNO_ETH</t>
  </si>
  <si>
    <t>UNO_EUR</t>
  </si>
  <si>
    <t>UNO_RUR</t>
  </si>
  <si>
    <t>UNO_DASH</t>
  </si>
  <si>
    <t>UNO_XMR</t>
  </si>
  <si>
    <t>UNO_ETC</t>
  </si>
  <si>
    <t>UNO_POSW</t>
  </si>
  <si>
    <t>UNO_USDT</t>
  </si>
  <si>
    <t>UNO_ZEC</t>
  </si>
  <si>
    <t>UNO_NXT</t>
  </si>
  <si>
    <t>UNO_REP</t>
  </si>
  <si>
    <t>BTC_UNO</t>
  </si>
  <si>
    <t>USD_UNO</t>
  </si>
  <si>
    <t>LTC_UNO</t>
  </si>
  <si>
    <t>DOGE_UNO</t>
  </si>
  <si>
    <t>ETH_UNO</t>
  </si>
  <si>
    <t>EUR_UNO</t>
  </si>
  <si>
    <t>RUR_UNO</t>
  </si>
  <si>
    <t>DASH_UNO</t>
  </si>
  <si>
    <t>XMR_UNO</t>
  </si>
  <si>
    <t>ETC_UNO</t>
  </si>
  <si>
    <t>POSW_UNO</t>
  </si>
  <si>
    <t>USDT_UNO</t>
  </si>
  <si>
    <t>ZEC_UNO</t>
  </si>
  <si>
    <t>NXT_UNO</t>
  </si>
  <si>
    <t>REP_UNO</t>
  </si>
  <si>
    <t>UNY_BTC</t>
  </si>
  <si>
    <t>UNY_USD</t>
  </si>
  <si>
    <t>UNY_LTC</t>
  </si>
  <si>
    <t>UNY_DOGE</t>
  </si>
  <si>
    <t>UNY_ETH</t>
  </si>
  <si>
    <t>UNY_EUR</t>
  </si>
  <si>
    <t>UNY_RUR</t>
  </si>
  <si>
    <t>UNY_DASH</t>
  </si>
  <si>
    <t>UNY_XMR</t>
  </si>
  <si>
    <t>UNY_ETC</t>
  </si>
  <si>
    <t>UNY_POSW</t>
  </si>
  <si>
    <t>UNY_USDT</t>
  </si>
  <si>
    <t>UNY_ZEC</t>
  </si>
  <si>
    <t>UNY_NXT</t>
  </si>
  <si>
    <t>UNY_REP</t>
  </si>
  <si>
    <t>BTC_UNY</t>
  </si>
  <si>
    <t>USD_UNY</t>
  </si>
  <si>
    <t>LTC_UNY</t>
  </si>
  <si>
    <t>DOGE_UNY</t>
  </si>
  <si>
    <t>ETH_UNY</t>
  </si>
  <si>
    <t>EUR_UNY</t>
  </si>
  <si>
    <t>RUR_UNY</t>
  </si>
  <si>
    <t>DASH_UNY</t>
  </si>
  <si>
    <t>XMR_UNY</t>
  </si>
  <si>
    <t>ETC_UNY</t>
  </si>
  <si>
    <t>POSW_UNY</t>
  </si>
  <si>
    <t>USDT_UNY</t>
  </si>
  <si>
    <t>ZEC_UNY</t>
  </si>
  <si>
    <t>NXT_UNY</t>
  </si>
  <si>
    <t>REP_UNY</t>
  </si>
  <si>
    <t>USD_USD</t>
  </si>
  <si>
    <t>USD_XMR</t>
  </si>
  <si>
    <t>USD_USDT</t>
  </si>
  <si>
    <t>USD_ZEC</t>
  </si>
  <si>
    <t>XMR_USD</t>
  </si>
  <si>
    <t>USDT_USD</t>
  </si>
  <si>
    <t>ZEC_USD</t>
  </si>
  <si>
    <t>USDT_XMR</t>
  </si>
  <si>
    <t>USDT_USDT</t>
  </si>
  <si>
    <t>USDT_ZEC</t>
  </si>
  <si>
    <t>XMR_USDT</t>
  </si>
  <si>
    <t>ZEC_USDT</t>
  </si>
  <si>
    <t>VEC2_BTC</t>
  </si>
  <si>
    <t>VEC2_USD</t>
  </si>
  <si>
    <t>VEC2_LTC</t>
  </si>
  <si>
    <t>VEC2_DOGE</t>
  </si>
  <si>
    <t>VEC2_ETH</t>
  </si>
  <si>
    <t>VEC2_EUR</t>
  </si>
  <si>
    <t>VEC2_RUR</t>
  </si>
  <si>
    <t>VEC2_DASH</t>
  </si>
  <si>
    <t>VEC2_XMR</t>
  </si>
  <si>
    <t>VEC2_ETC</t>
  </si>
  <si>
    <t>VEC2_POSW</t>
  </si>
  <si>
    <t>VEC2_USDT</t>
  </si>
  <si>
    <t>VEC2_ZEC</t>
  </si>
  <si>
    <t>VEC2_NXT</t>
  </si>
  <si>
    <t>VEC2_REP</t>
  </si>
  <si>
    <t>BTC_VEC2</t>
  </si>
  <si>
    <t>USD_VEC2</t>
  </si>
  <si>
    <t>LTC_VEC2</t>
  </si>
  <si>
    <t>DOGE_VEC2</t>
  </si>
  <si>
    <t>ETH_VEC2</t>
  </si>
  <si>
    <t>EUR_VEC2</t>
  </si>
  <si>
    <t>RUR_VEC2</t>
  </si>
  <si>
    <t>DASH_VEC2</t>
  </si>
  <si>
    <t>XMR_VEC2</t>
  </si>
  <si>
    <t>ETC_VEC2</t>
  </si>
  <si>
    <t>POSW_VEC2</t>
  </si>
  <si>
    <t>USDT_VEC2</t>
  </si>
  <si>
    <t>ZEC_VEC2</t>
  </si>
  <si>
    <t>NXT_VEC2</t>
  </si>
  <si>
    <t>REP_VEC2</t>
  </si>
  <si>
    <t>VIA_BTC</t>
  </si>
  <si>
    <t>VIA_USD</t>
  </si>
  <si>
    <t>VIA_LTC</t>
  </si>
  <si>
    <t>VIA_DOGE</t>
  </si>
  <si>
    <t>VIA_ETH</t>
  </si>
  <si>
    <t>VIA_EUR</t>
  </si>
  <si>
    <t>VIA_RUR</t>
  </si>
  <si>
    <t>VIA_DASH</t>
  </si>
  <si>
    <t>VIA_XMR</t>
  </si>
  <si>
    <t>VIA_ETC</t>
  </si>
  <si>
    <t>VIA_POSW</t>
  </si>
  <si>
    <t>VIA_USDT</t>
  </si>
  <si>
    <t>VIA_ZEC</t>
  </si>
  <si>
    <t>VIA_NXT</t>
  </si>
  <si>
    <t>VIA_REP</t>
  </si>
  <si>
    <t>BTC_VIA</t>
  </si>
  <si>
    <t>USD_VIA</t>
  </si>
  <si>
    <t>LTC_VIA</t>
  </si>
  <si>
    <t>DOGE_VIA</t>
  </si>
  <si>
    <t>ETH_VIA</t>
  </si>
  <si>
    <t>EUR_VIA</t>
  </si>
  <si>
    <t>RUR_VIA</t>
  </si>
  <si>
    <t>DASH_VIA</t>
  </si>
  <si>
    <t>XMR_VIA</t>
  </si>
  <si>
    <t>ETC_VIA</t>
  </si>
  <si>
    <t>POSW_VIA</t>
  </si>
  <si>
    <t>USDT_VIA</t>
  </si>
  <si>
    <t>ZEC_VIA</t>
  </si>
  <si>
    <t>NXT_VIA</t>
  </si>
  <si>
    <t>REP_VIA</t>
  </si>
  <si>
    <t>VOX_BTC</t>
  </si>
  <si>
    <t>VOX_USD</t>
  </si>
  <si>
    <t>VOX_LTC</t>
  </si>
  <si>
    <t>VOX_DOGE</t>
  </si>
  <si>
    <t>VOX_ETH</t>
  </si>
  <si>
    <t>VOX_EUR</t>
  </si>
  <si>
    <t>VOX_RUR</t>
  </si>
  <si>
    <t>VOX_DASH</t>
  </si>
  <si>
    <t>VOX_XMR</t>
  </si>
  <si>
    <t>VOX_ETC</t>
  </si>
  <si>
    <t>VOX_POSW</t>
  </si>
  <si>
    <t>VOX_USDT</t>
  </si>
  <si>
    <t>VOX_ZEC</t>
  </si>
  <si>
    <t>VOX_NXT</t>
  </si>
  <si>
    <t>VOX_REP</t>
  </si>
  <si>
    <t>BTC_VOX</t>
  </si>
  <si>
    <t>USD_VOX</t>
  </si>
  <si>
    <t>LTC_VOX</t>
  </si>
  <si>
    <t>DOGE_VOX</t>
  </si>
  <si>
    <t>ETH_VOX</t>
  </si>
  <si>
    <t>EUR_VOX</t>
  </si>
  <si>
    <t>RUR_VOX</t>
  </si>
  <si>
    <t>DASH_VOX</t>
  </si>
  <si>
    <t>XMR_VOX</t>
  </si>
  <si>
    <t>ETC_VOX</t>
  </si>
  <si>
    <t>POSW_VOX</t>
  </si>
  <si>
    <t>USDT_VOX</t>
  </si>
  <si>
    <t>ZEC_VOX</t>
  </si>
  <si>
    <t>NXT_VOX</t>
  </si>
  <si>
    <t>REP_VOX</t>
  </si>
  <si>
    <t>VRC_BTC</t>
  </si>
  <si>
    <t>VRC_USD</t>
  </si>
  <si>
    <t>VRC_LTC</t>
  </si>
  <si>
    <t>VRC_DOGE</t>
  </si>
  <si>
    <t>VRC_ETH</t>
  </si>
  <si>
    <t>VRC_EUR</t>
  </si>
  <si>
    <t>VRC_RUR</t>
  </si>
  <si>
    <t>VRC_DASH</t>
  </si>
  <si>
    <t>VRC_XMR</t>
  </si>
  <si>
    <t>VRC_ETC</t>
  </si>
  <si>
    <t>VRC_POSW</t>
  </si>
  <si>
    <t>VRC_USDT</t>
  </si>
  <si>
    <t>VRC_ZEC</t>
  </si>
  <si>
    <t>VRC_NXT</t>
  </si>
  <si>
    <t>VRC_REP</t>
  </si>
  <si>
    <t>BTC_VRC</t>
  </si>
  <si>
    <t>USD_VRC</t>
  </si>
  <si>
    <t>LTC_VRC</t>
  </si>
  <si>
    <t>DOGE_VRC</t>
  </si>
  <si>
    <t>ETH_VRC</t>
  </si>
  <si>
    <t>EUR_VRC</t>
  </si>
  <si>
    <t>RUR_VRC</t>
  </si>
  <si>
    <t>DASH_VRC</t>
  </si>
  <si>
    <t>XMR_VRC</t>
  </si>
  <si>
    <t>ETC_VRC</t>
  </si>
  <si>
    <t>POSW_VRC</t>
  </si>
  <si>
    <t>USDT_VRC</t>
  </si>
  <si>
    <t>ZEC_VRC</t>
  </si>
  <si>
    <t>NXT_VRC</t>
  </si>
  <si>
    <t>REP_VRC</t>
  </si>
  <si>
    <t>VRM_BTC</t>
  </si>
  <si>
    <t>VRM_USD</t>
  </si>
  <si>
    <t>VRM_LTC</t>
  </si>
  <si>
    <t>VRM_DOGE</t>
  </si>
  <si>
    <t>VRM_ETH</t>
  </si>
  <si>
    <t>VRM_EUR</t>
  </si>
  <si>
    <t>VRM_RUR</t>
  </si>
  <si>
    <t>VRM_DASH</t>
  </si>
  <si>
    <t>VRM_XMR</t>
  </si>
  <si>
    <t>VRM_ETC</t>
  </si>
  <si>
    <t>VRM_POSW</t>
  </si>
  <si>
    <t>VRM_USDT</t>
  </si>
  <si>
    <t>VRM_ZEC</t>
  </si>
  <si>
    <t>VRM_NXT</t>
  </si>
  <si>
    <t>VRM_REP</t>
  </si>
  <si>
    <t>BTC_VRM</t>
  </si>
  <si>
    <t>USD_VRM</t>
  </si>
  <si>
    <t>LTC_VRM</t>
  </si>
  <si>
    <t>DOGE_VRM</t>
  </si>
  <si>
    <t>ETH_VRM</t>
  </si>
  <si>
    <t>EUR_VRM</t>
  </si>
  <si>
    <t>RUR_VRM</t>
  </si>
  <si>
    <t>DASH_VRM</t>
  </si>
  <si>
    <t>XMR_VRM</t>
  </si>
  <si>
    <t>ETC_VRM</t>
  </si>
  <si>
    <t>POSW_VRM</t>
  </si>
  <si>
    <t>USDT_VRM</t>
  </si>
  <si>
    <t>ZEC_VRM</t>
  </si>
  <si>
    <t>NXT_VRM</t>
  </si>
  <si>
    <t>REP_VRM</t>
  </si>
  <si>
    <t>VRS_BTC</t>
  </si>
  <si>
    <t>VRS_USD</t>
  </si>
  <si>
    <t>VRS_LTC</t>
  </si>
  <si>
    <t>VRS_DOGE</t>
  </si>
  <si>
    <t>VRS_ETH</t>
  </si>
  <si>
    <t>VRS_EUR</t>
  </si>
  <si>
    <t>VRS_RUR</t>
  </si>
  <si>
    <t>VRS_DASH</t>
  </si>
  <si>
    <t>VRS_XMR</t>
  </si>
  <si>
    <t>VRS_ETC</t>
  </si>
  <si>
    <t>VRS_POSW</t>
  </si>
  <si>
    <t>VRS_USDT</t>
  </si>
  <si>
    <t>VRS_ZEC</t>
  </si>
  <si>
    <t>VRS_NXT</t>
  </si>
  <si>
    <t>VRS_REP</t>
  </si>
  <si>
    <t>BTC_VRS</t>
  </si>
  <si>
    <t>USD_VRS</t>
  </si>
  <si>
    <t>LTC_VRS</t>
  </si>
  <si>
    <t>DOGE_VRS</t>
  </si>
  <si>
    <t>ETH_VRS</t>
  </si>
  <si>
    <t>EUR_VRS</t>
  </si>
  <si>
    <t>RUR_VRS</t>
  </si>
  <si>
    <t>DASH_VRS</t>
  </si>
  <si>
    <t>XMR_VRS</t>
  </si>
  <si>
    <t>ETC_VRS</t>
  </si>
  <si>
    <t>POSW_VRS</t>
  </si>
  <si>
    <t>USDT_VRS</t>
  </si>
  <si>
    <t>ZEC_VRS</t>
  </si>
  <si>
    <t>NXT_VRS</t>
  </si>
  <si>
    <t>REP_VRS</t>
  </si>
  <si>
    <t>VTC_BTC</t>
  </si>
  <si>
    <t>VTC_USD</t>
  </si>
  <si>
    <t>VTC_LTC</t>
  </si>
  <si>
    <t>VTC_DOGE</t>
  </si>
  <si>
    <t>VTC_ETH</t>
  </si>
  <si>
    <t>VTC_EUR</t>
  </si>
  <si>
    <t>VTC_RUR</t>
  </si>
  <si>
    <t>VTC_DASH</t>
  </si>
  <si>
    <t>VTC_XMR</t>
  </si>
  <si>
    <t>VTC_ETC</t>
  </si>
  <si>
    <t>VTC_POSW</t>
  </si>
  <si>
    <t>VTC_USDT</t>
  </si>
  <si>
    <t>VTC_ZEC</t>
  </si>
  <si>
    <t>VTC_NXT</t>
  </si>
  <si>
    <t>VTC_REP</t>
  </si>
  <si>
    <t>BTC_VTC</t>
  </si>
  <si>
    <t>USD_VTC</t>
  </si>
  <si>
    <t>LTC_VTC</t>
  </si>
  <si>
    <t>DOGE_VTC</t>
  </si>
  <si>
    <t>ETH_VTC</t>
  </si>
  <si>
    <t>EUR_VTC</t>
  </si>
  <si>
    <t>RUR_VTC</t>
  </si>
  <si>
    <t>DASH_VTC</t>
  </si>
  <si>
    <t>XMR_VTC</t>
  </si>
  <si>
    <t>ETC_VTC</t>
  </si>
  <si>
    <t>POSW_VTC</t>
  </si>
  <si>
    <t>USDT_VTC</t>
  </si>
  <si>
    <t>ZEC_VTC</t>
  </si>
  <si>
    <t>NXT_VTC</t>
  </si>
  <si>
    <t>REP_VTC</t>
  </si>
  <si>
    <t>WAVES_BTC</t>
  </si>
  <si>
    <t>WAVES_USD</t>
  </si>
  <si>
    <t>WAVES_LTC</t>
  </si>
  <si>
    <t>WAVES_DOGE</t>
  </si>
  <si>
    <t>WAVES_ETH</t>
  </si>
  <si>
    <t>WAVES_EUR</t>
  </si>
  <si>
    <t>WAVES_RUR</t>
  </si>
  <si>
    <t>WAVES_DASH</t>
  </si>
  <si>
    <t>WAVES_XMR</t>
  </si>
  <si>
    <t>WAVES_ETC</t>
  </si>
  <si>
    <t>WAVES_POSW</t>
  </si>
  <si>
    <t>WAVES_USDT</t>
  </si>
  <si>
    <t>WAVES_ZEC</t>
  </si>
  <si>
    <t>WAVES_NXT</t>
  </si>
  <si>
    <t>WAVES_REP</t>
  </si>
  <si>
    <t>BTC_WAVES</t>
  </si>
  <si>
    <t>USD_WAVES</t>
  </si>
  <si>
    <t>LTC_WAVES</t>
  </si>
  <si>
    <t>DOGE_WAVES</t>
  </si>
  <si>
    <t>ETH_WAVES</t>
  </si>
  <si>
    <t>EUR_WAVES</t>
  </si>
  <si>
    <t>RUR_WAVES</t>
  </si>
  <si>
    <t>DASH_WAVES</t>
  </si>
  <si>
    <t>XMR_WAVES</t>
  </si>
  <si>
    <t>ETC_WAVES</t>
  </si>
  <si>
    <t>POSW_WAVES</t>
  </si>
  <si>
    <t>USDT_WAVES</t>
  </si>
  <si>
    <t>ZEC_WAVES</t>
  </si>
  <si>
    <t>NXT_WAVES</t>
  </si>
  <si>
    <t>REP_WAVES</t>
  </si>
  <si>
    <t>WINGS_BTC</t>
  </si>
  <si>
    <t>WINGS_USD</t>
  </si>
  <si>
    <t>WINGS_LTC</t>
  </si>
  <si>
    <t>WINGS_DOGE</t>
  </si>
  <si>
    <t>WINGS_ETH</t>
  </si>
  <si>
    <t>WINGS_EUR</t>
  </si>
  <si>
    <t>WINGS_RUR</t>
  </si>
  <si>
    <t>WINGS_DASH</t>
  </si>
  <si>
    <t>WINGS_XMR</t>
  </si>
  <si>
    <t>WINGS_ETC</t>
  </si>
  <si>
    <t>WINGS_POSW</t>
  </si>
  <si>
    <t>WINGS_USDT</t>
  </si>
  <si>
    <t>WINGS_ZEC</t>
  </si>
  <si>
    <t>WINGS_NXT</t>
  </si>
  <si>
    <t>WINGS_REP</t>
  </si>
  <si>
    <t>BTC_WINGS</t>
  </si>
  <si>
    <t>USD_WINGS</t>
  </si>
  <si>
    <t>LTC_WINGS</t>
  </si>
  <si>
    <t>DOGE_WINGS</t>
  </si>
  <si>
    <t>ETH_WINGS</t>
  </si>
  <si>
    <t>EUR_WINGS</t>
  </si>
  <si>
    <t>RUR_WINGS</t>
  </si>
  <si>
    <t>DASH_WINGS</t>
  </si>
  <si>
    <t>XMR_WINGS</t>
  </si>
  <si>
    <t>ETC_WINGS</t>
  </si>
  <si>
    <t>POSW_WINGS</t>
  </si>
  <si>
    <t>USDT_WINGS</t>
  </si>
  <si>
    <t>ZEC_WINGS</t>
  </si>
  <si>
    <t>NXT_WINGS</t>
  </si>
  <si>
    <t>REP_WINGS</t>
  </si>
  <si>
    <t>XAUR_BTC</t>
  </si>
  <si>
    <t>XAUR_USD</t>
  </si>
  <si>
    <t>XAUR_LTC</t>
  </si>
  <si>
    <t>XAUR_DOGE</t>
  </si>
  <si>
    <t>XAUR_ETH</t>
  </si>
  <si>
    <t>XAUR_EUR</t>
  </si>
  <si>
    <t>XAUR_RUR</t>
  </si>
  <si>
    <t>XAUR_DASH</t>
  </si>
  <si>
    <t>XAUR_XMR</t>
  </si>
  <si>
    <t>XAUR_ETC</t>
  </si>
  <si>
    <t>XAUR_POSW</t>
  </si>
  <si>
    <t>XAUR_USDT</t>
  </si>
  <si>
    <t>XAUR_ZEC</t>
  </si>
  <si>
    <t>XAUR_NXT</t>
  </si>
  <si>
    <t>XAUR_REP</t>
  </si>
  <si>
    <t>BTC_XAUR</t>
  </si>
  <si>
    <t>USD_XAUR</t>
  </si>
  <si>
    <t>LTC_XAUR</t>
  </si>
  <si>
    <t>DOGE_XAUR</t>
  </si>
  <si>
    <t>ETH_XAUR</t>
  </si>
  <si>
    <t>EUR_XAUR</t>
  </si>
  <si>
    <t>RUR_XAUR</t>
  </si>
  <si>
    <t>DASH_XAUR</t>
  </si>
  <si>
    <t>XMR_XAUR</t>
  </si>
  <si>
    <t>ETC_XAUR</t>
  </si>
  <si>
    <t>POSW_XAUR</t>
  </si>
  <si>
    <t>USDT_XAUR</t>
  </si>
  <si>
    <t>ZEC_XAUR</t>
  </si>
  <si>
    <t>NXT_XAUR</t>
  </si>
  <si>
    <t>REP_XAUR</t>
  </si>
  <si>
    <t>XBY_BTC</t>
  </si>
  <si>
    <t>XBY_USD</t>
  </si>
  <si>
    <t>XBY_LTC</t>
  </si>
  <si>
    <t>XBY_DOGE</t>
  </si>
  <si>
    <t>XBY_ETH</t>
  </si>
  <si>
    <t>XBY_EUR</t>
  </si>
  <si>
    <t>XBY_RUR</t>
  </si>
  <si>
    <t>XBY_DASH</t>
  </si>
  <si>
    <t>XBY_XMR</t>
  </si>
  <si>
    <t>XBY_ETC</t>
  </si>
  <si>
    <t>XBY_POSW</t>
  </si>
  <si>
    <t>XBY_USDT</t>
  </si>
  <si>
    <t>XBY_ZEC</t>
  </si>
  <si>
    <t>XBY_NXT</t>
  </si>
  <si>
    <t>XBY_REP</t>
  </si>
  <si>
    <t>BTC_XBY</t>
  </si>
  <si>
    <t>USD_XBY</t>
  </si>
  <si>
    <t>LTC_XBY</t>
  </si>
  <si>
    <t>DOGE_XBY</t>
  </si>
  <si>
    <t>ETH_XBY</t>
  </si>
  <si>
    <t>EUR_XBY</t>
  </si>
  <si>
    <t>RUR_XBY</t>
  </si>
  <si>
    <t>DASH_XBY</t>
  </si>
  <si>
    <t>XMR_XBY</t>
  </si>
  <si>
    <t>ETC_XBY</t>
  </si>
  <si>
    <t>POSW_XBY</t>
  </si>
  <si>
    <t>USDT_XBY</t>
  </si>
  <si>
    <t>ZEC_XBY</t>
  </si>
  <si>
    <t>NXT_XBY</t>
  </si>
  <si>
    <t>REP_XBY</t>
  </si>
  <si>
    <t>XDN_BTC</t>
  </si>
  <si>
    <t>XDN_USD</t>
  </si>
  <si>
    <t>XDN_LTC</t>
  </si>
  <si>
    <t>XDN_DOGE</t>
  </si>
  <si>
    <t>XDN_ETH</t>
  </si>
  <si>
    <t>XDN_EUR</t>
  </si>
  <si>
    <t>XDN_RUR</t>
  </si>
  <si>
    <t>XDN_DASH</t>
  </si>
  <si>
    <t>XDN_XMR</t>
  </si>
  <si>
    <t>XDN_ETC</t>
  </si>
  <si>
    <t>XDN_POSW</t>
  </si>
  <si>
    <t>XDN_USDT</t>
  </si>
  <si>
    <t>XDN_ZEC</t>
  </si>
  <si>
    <t>XDN_NXT</t>
  </si>
  <si>
    <t>XDN_REP</t>
  </si>
  <si>
    <t>BTC_XDN</t>
  </si>
  <si>
    <t>USD_XDN</t>
  </si>
  <si>
    <t>LTC_XDN</t>
  </si>
  <si>
    <t>DOGE_XDN</t>
  </si>
  <si>
    <t>ETH_XDN</t>
  </si>
  <si>
    <t>EUR_XDN</t>
  </si>
  <si>
    <t>RUR_XDN</t>
  </si>
  <si>
    <t>DASH_XDN</t>
  </si>
  <si>
    <t>XMR_XDN</t>
  </si>
  <si>
    <t>ETC_XDN</t>
  </si>
  <si>
    <t>POSW_XDN</t>
  </si>
  <si>
    <t>USDT_XDN</t>
  </si>
  <si>
    <t>ZEC_XDN</t>
  </si>
  <si>
    <t>NXT_XDN</t>
  </si>
  <si>
    <t>REP_XDN</t>
  </si>
  <si>
    <t>XEM_BTC</t>
  </si>
  <si>
    <t>XEM_USD</t>
  </si>
  <si>
    <t>XEM_LTC</t>
  </si>
  <si>
    <t>XEM_DOGE</t>
  </si>
  <si>
    <t>XEM_ETH</t>
  </si>
  <si>
    <t>XEM_EUR</t>
  </si>
  <si>
    <t>XEM_RUR</t>
  </si>
  <si>
    <t>XEM_DASH</t>
  </si>
  <si>
    <t>XEM_XMR</t>
  </si>
  <si>
    <t>XEM_ETC</t>
  </si>
  <si>
    <t>XEM_POSW</t>
  </si>
  <si>
    <t>XEM_USDT</t>
  </si>
  <si>
    <t>XEM_ZEC</t>
  </si>
  <si>
    <t>XEM_NXT</t>
  </si>
  <si>
    <t>XEM_REP</t>
  </si>
  <si>
    <t>BTC_XEM</t>
  </si>
  <si>
    <t>USD_XEM</t>
  </si>
  <si>
    <t>LTC_XEM</t>
  </si>
  <si>
    <t>DOGE_XEM</t>
  </si>
  <si>
    <t>ETH_XEM</t>
  </si>
  <si>
    <t>EUR_XEM</t>
  </si>
  <si>
    <t>RUR_XEM</t>
  </si>
  <si>
    <t>DASH_XEM</t>
  </si>
  <si>
    <t>XMR_XEM</t>
  </si>
  <si>
    <t>ETC_XEM</t>
  </si>
  <si>
    <t>POSW_XEM</t>
  </si>
  <si>
    <t>USDT_XEM</t>
  </si>
  <si>
    <t>ZEC_XEM</t>
  </si>
  <si>
    <t>NXT_XEM</t>
  </si>
  <si>
    <t>REP_XEM</t>
  </si>
  <si>
    <t>XHI_BTC</t>
  </si>
  <si>
    <t>XHI_USD</t>
  </si>
  <si>
    <t>XHI_LTC</t>
  </si>
  <si>
    <t>XHI_DOGE</t>
  </si>
  <si>
    <t>XHI_ETH</t>
  </si>
  <si>
    <t>XHI_EUR</t>
  </si>
  <si>
    <t>XHI_RUR</t>
  </si>
  <si>
    <t>XHI_DASH</t>
  </si>
  <si>
    <t>XHI_XMR</t>
  </si>
  <si>
    <t>XHI_ETC</t>
  </si>
  <si>
    <t>XHI_POSW</t>
  </si>
  <si>
    <t>XHI_USDT</t>
  </si>
  <si>
    <t>XHI_ZEC</t>
  </si>
  <si>
    <t>XHI_NXT</t>
  </si>
  <si>
    <t>XHI_REP</t>
  </si>
  <si>
    <t>BTC_XHI</t>
  </si>
  <si>
    <t>USD_XHI</t>
  </si>
  <si>
    <t>LTC_XHI</t>
  </si>
  <si>
    <t>DOGE_XHI</t>
  </si>
  <si>
    <t>ETH_XHI</t>
  </si>
  <si>
    <t>EUR_XHI</t>
  </si>
  <si>
    <t>RUR_XHI</t>
  </si>
  <si>
    <t>DASH_XHI</t>
  </si>
  <si>
    <t>XMR_XHI</t>
  </si>
  <si>
    <t>ETC_XHI</t>
  </si>
  <si>
    <t>POSW_XHI</t>
  </si>
  <si>
    <t>USDT_XHI</t>
  </si>
  <si>
    <t>ZEC_XHI</t>
  </si>
  <si>
    <t>NXT_XHI</t>
  </si>
  <si>
    <t>REP_XHI</t>
  </si>
  <si>
    <t>XLM_BTC</t>
  </si>
  <si>
    <t>XLM_USD</t>
  </si>
  <si>
    <t>XLM_LTC</t>
  </si>
  <si>
    <t>XLM_DOGE</t>
  </si>
  <si>
    <t>XLM_ETH</t>
  </si>
  <si>
    <t>XLM_EUR</t>
  </si>
  <si>
    <t>XLM_RUR</t>
  </si>
  <si>
    <t>XLM_DASH</t>
  </si>
  <si>
    <t>XLM_XMR</t>
  </si>
  <si>
    <t>XLM_ETC</t>
  </si>
  <si>
    <t>XLM_POSW</t>
  </si>
  <si>
    <t>XLM_USDT</t>
  </si>
  <si>
    <t>XLM_ZEC</t>
  </si>
  <si>
    <t>XLM_NXT</t>
  </si>
  <si>
    <t>XLM_REP</t>
  </si>
  <si>
    <t>BTC_XLM</t>
  </si>
  <si>
    <t>USD_XLM</t>
  </si>
  <si>
    <t>LTC_XLM</t>
  </si>
  <si>
    <t>DOGE_XLM</t>
  </si>
  <si>
    <t>ETH_XLM</t>
  </si>
  <si>
    <t>EUR_XLM</t>
  </si>
  <si>
    <t>RUR_XLM</t>
  </si>
  <si>
    <t>DASH_XLM</t>
  </si>
  <si>
    <t>XMR_XLM</t>
  </si>
  <si>
    <t>ETC_XLM</t>
  </si>
  <si>
    <t>POSW_XLM</t>
  </si>
  <si>
    <t>USDT_XLM</t>
  </si>
  <si>
    <t>ZEC_XLM</t>
  </si>
  <si>
    <t>NXT_XLM</t>
  </si>
  <si>
    <t>REP_XLM</t>
  </si>
  <si>
    <t>XMR_XMR</t>
  </si>
  <si>
    <t>XMR_ZEC</t>
  </si>
  <si>
    <t>ZEC_XMR</t>
  </si>
  <si>
    <t>XMS_BTC</t>
  </si>
  <si>
    <t>XMS_USD</t>
  </si>
  <si>
    <t>XMS_LTC</t>
  </si>
  <si>
    <t>XMS_DOGE</t>
  </si>
  <si>
    <t>XMS_ETH</t>
  </si>
  <si>
    <t>XMS_EUR</t>
  </si>
  <si>
    <t>XMS_RUR</t>
  </si>
  <si>
    <t>XMS_DASH</t>
  </si>
  <si>
    <t>XMS_XMR</t>
  </si>
  <si>
    <t>XMS_ETC</t>
  </si>
  <si>
    <t>XMS_POSW</t>
  </si>
  <si>
    <t>XMS_USDT</t>
  </si>
  <si>
    <t>XMS_ZEC</t>
  </si>
  <si>
    <t>XMS_NXT</t>
  </si>
  <si>
    <t>XMS_REP</t>
  </si>
  <si>
    <t>BTC_XMS</t>
  </si>
  <si>
    <t>USD_XMS</t>
  </si>
  <si>
    <t>LTC_XMS</t>
  </si>
  <si>
    <t>DOGE_XMS</t>
  </si>
  <si>
    <t>ETH_XMS</t>
  </si>
  <si>
    <t>EUR_XMS</t>
  </si>
  <si>
    <t>RUR_XMS</t>
  </si>
  <si>
    <t>DASH_XMS</t>
  </si>
  <si>
    <t>XMR_XMS</t>
  </si>
  <si>
    <t>ETC_XMS</t>
  </si>
  <si>
    <t>POSW_XMS</t>
  </si>
  <si>
    <t>USDT_XMS</t>
  </si>
  <si>
    <t>ZEC_XMS</t>
  </si>
  <si>
    <t>NXT_XMS</t>
  </si>
  <si>
    <t>REP_XMS</t>
  </si>
  <si>
    <t>XRP_BTC</t>
  </si>
  <si>
    <t>XRP_USD</t>
  </si>
  <si>
    <t>XRP_LTC</t>
  </si>
  <si>
    <t>XRP_DOGE</t>
  </si>
  <si>
    <t>XRP_ETH</t>
  </si>
  <si>
    <t>XRP_EUR</t>
  </si>
  <si>
    <t>XRP_RUR</t>
  </si>
  <si>
    <t>XRP_DASH</t>
  </si>
  <si>
    <t>XRP_XMR</t>
  </si>
  <si>
    <t>XRP_ETC</t>
  </si>
  <si>
    <t>XRP_POSW</t>
  </si>
  <si>
    <t>XRP_USDT</t>
  </si>
  <si>
    <t>XRP_ZEC</t>
  </si>
  <si>
    <t>XRP_NXT</t>
  </si>
  <si>
    <t>XRP_REP</t>
  </si>
  <si>
    <t>BTC_XRP</t>
  </si>
  <si>
    <t>USD_XRP</t>
  </si>
  <si>
    <t>LTC_XRP</t>
  </si>
  <si>
    <t>DOGE_XRP</t>
  </si>
  <si>
    <t>ETH_XRP</t>
  </si>
  <si>
    <t>EUR_XRP</t>
  </si>
  <si>
    <t>RUR_XRP</t>
  </si>
  <si>
    <t>DASH_XRP</t>
  </si>
  <si>
    <t>XMR_XRP</t>
  </si>
  <si>
    <t>ETC_XRP</t>
  </si>
  <si>
    <t>POSW_XRP</t>
  </si>
  <si>
    <t>USDT_XRP</t>
  </si>
  <si>
    <t>ZEC_XRP</t>
  </si>
  <si>
    <t>NXT_XRP</t>
  </si>
  <si>
    <t>REP_XRP</t>
  </si>
  <si>
    <t>XSPEC_BTC</t>
  </si>
  <si>
    <t>XSPEC_USD</t>
  </si>
  <si>
    <t>XSPEC_LTC</t>
  </si>
  <si>
    <t>XSPEC_DOGE</t>
  </si>
  <si>
    <t>XSPEC_ETH</t>
  </si>
  <si>
    <t>XSPEC_EUR</t>
  </si>
  <si>
    <t>XSPEC_RUR</t>
  </si>
  <si>
    <t>XSPEC_DASH</t>
  </si>
  <si>
    <t>XSPEC_XMR</t>
  </si>
  <si>
    <t>XSPEC_ETC</t>
  </si>
  <si>
    <t>XSPEC_POSW</t>
  </si>
  <si>
    <t>XSPEC_USDT</t>
  </si>
  <si>
    <t>XSPEC_ZEC</t>
  </si>
  <si>
    <t>XSPEC_NXT</t>
  </si>
  <si>
    <t>XSPEC_REP</t>
  </si>
  <si>
    <t>BTC_XSPEC</t>
  </si>
  <si>
    <t>USD_XSPEC</t>
  </si>
  <si>
    <t>LTC_XSPEC</t>
  </si>
  <si>
    <t>DOGE_XSPEC</t>
  </si>
  <si>
    <t>ETH_XSPEC</t>
  </si>
  <si>
    <t>EUR_XSPEC</t>
  </si>
  <si>
    <t>RUR_XSPEC</t>
  </si>
  <si>
    <t>DASH_XSPEC</t>
  </si>
  <si>
    <t>XMR_XSPEC</t>
  </si>
  <si>
    <t>ETC_XSPEC</t>
  </si>
  <si>
    <t>POSW_XSPEC</t>
  </si>
  <si>
    <t>USDT_XSPEC</t>
  </si>
  <si>
    <t>ZEC_XSPEC</t>
  </si>
  <si>
    <t>NXT_XSPEC</t>
  </si>
  <si>
    <t>REP_XSPEC</t>
  </si>
  <si>
    <t>XTO_BTC</t>
  </si>
  <si>
    <t>XTO_USD</t>
  </si>
  <si>
    <t>XTO_LTC</t>
  </si>
  <si>
    <t>XTO_DOGE</t>
  </si>
  <si>
    <t>XTO_ETH</t>
  </si>
  <si>
    <t>XTO_EUR</t>
  </si>
  <si>
    <t>XTO_RUR</t>
  </si>
  <si>
    <t>XTO_DASH</t>
  </si>
  <si>
    <t>XTO_XMR</t>
  </si>
  <si>
    <t>XTO_ETC</t>
  </si>
  <si>
    <t>XTO_POSW</t>
  </si>
  <si>
    <t>XTO_USDT</t>
  </si>
  <si>
    <t>XTO_ZEC</t>
  </si>
  <si>
    <t>XTO_NXT</t>
  </si>
  <si>
    <t>XTO_REP</t>
  </si>
  <si>
    <t>BTC_XTO</t>
  </si>
  <si>
    <t>USD_XTO</t>
  </si>
  <si>
    <t>LTC_XTO</t>
  </si>
  <si>
    <t>DOGE_XTO</t>
  </si>
  <si>
    <t>ETH_XTO</t>
  </si>
  <si>
    <t>EUR_XTO</t>
  </si>
  <si>
    <t>RUR_XTO</t>
  </si>
  <si>
    <t>DASH_XTO</t>
  </si>
  <si>
    <t>XMR_XTO</t>
  </si>
  <si>
    <t>ETC_XTO</t>
  </si>
  <si>
    <t>POSW_XTO</t>
  </si>
  <si>
    <t>USDT_XTO</t>
  </si>
  <si>
    <t>ZEC_XTO</t>
  </si>
  <si>
    <t>NXT_XTO</t>
  </si>
  <si>
    <t>REP_XTO</t>
  </si>
  <si>
    <t>XVC_BTC</t>
  </si>
  <si>
    <t>XVC_USD</t>
  </si>
  <si>
    <t>XVC_LTC</t>
  </si>
  <si>
    <t>XVC_DOGE</t>
  </si>
  <si>
    <t>XVC_ETH</t>
  </si>
  <si>
    <t>XVC_EUR</t>
  </si>
  <si>
    <t>XVC_RUR</t>
  </si>
  <si>
    <t>XVC_DASH</t>
  </si>
  <si>
    <t>XVC_XMR</t>
  </si>
  <si>
    <t>XVC_ETC</t>
  </si>
  <si>
    <t>XVC_POSW</t>
  </si>
  <si>
    <t>XVC_USDT</t>
  </si>
  <si>
    <t>XVC_ZEC</t>
  </si>
  <si>
    <t>XVC_NXT</t>
  </si>
  <si>
    <t>XVC_REP</t>
  </si>
  <si>
    <t>BTC_XVC</t>
  </si>
  <si>
    <t>USD_XVC</t>
  </si>
  <si>
    <t>LTC_XVC</t>
  </si>
  <si>
    <t>DOGE_XVC</t>
  </si>
  <si>
    <t>ETH_XVC</t>
  </si>
  <si>
    <t>EUR_XVC</t>
  </si>
  <si>
    <t>RUR_XVC</t>
  </si>
  <si>
    <t>DASH_XVC</t>
  </si>
  <si>
    <t>XMR_XVC</t>
  </si>
  <si>
    <t>ETC_XVC</t>
  </si>
  <si>
    <t>POSW_XVC</t>
  </si>
  <si>
    <t>USDT_XVC</t>
  </si>
  <si>
    <t>ZEC_XVC</t>
  </si>
  <si>
    <t>NXT_XVC</t>
  </si>
  <si>
    <t>REP_XVC</t>
  </si>
  <si>
    <t>XVG_BTC</t>
  </si>
  <si>
    <t>XVG_USD</t>
  </si>
  <si>
    <t>XVG_LTC</t>
  </si>
  <si>
    <t>XVG_DOGE</t>
  </si>
  <si>
    <t>XVG_ETH</t>
  </si>
  <si>
    <t>XVG_EUR</t>
  </si>
  <si>
    <t>XVG_RUR</t>
  </si>
  <si>
    <t>XVG_DASH</t>
  </si>
  <si>
    <t>XVG_XMR</t>
  </si>
  <si>
    <t>XVG_ETC</t>
  </si>
  <si>
    <t>XVG_POSW</t>
  </si>
  <si>
    <t>XVG_USDT</t>
  </si>
  <si>
    <t>XVG_ZEC</t>
  </si>
  <si>
    <t>XVG_NXT</t>
  </si>
  <si>
    <t>XVG_REP</t>
  </si>
  <si>
    <t>BTC_XVG</t>
  </si>
  <si>
    <t>USD_XVG</t>
  </si>
  <si>
    <t>LTC_XVG</t>
  </si>
  <si>
    <t>DOGE_XVG</t>
  </si>
  <si>
    <t>ETH_XVG</t>
  </si>
  <si>
    <t>EUR_XVG</t>
  </si>
  <si>
    <t>RUR_XVG</t>
  </si>
  <si>
    <t>DASH_XVG</t>
  </si>
  <si>
    <t>XMR_XVG</t>
  </si>
  <si>
    <t>ETC_XVG</t>
  </si>
  <si>
    <t>POSW_XVG</t>
  </si>
  <si>
    <t>USDT_XVG</t>
  </si>
  <si>
    <t>ZEC_XVG</t>
  </si>
  <si>
    <t>NXT_XVG</t>
  </si>
  <si>
    <t>REP_XVG</t>
  </si>
  <si>
    <t>YOC_BTC</t>
  </si>
  <si>
    <t>YOC_USD</t>
  </si>
  <si>
    <t>YOC_LTC</t>
  </si>
  <si>
    <t>YOC_DOGE</t>
  </si>
  <si>
    <t>YOC_ETH</t>
  </si>
  <si>
    <t>YOC_EUR</t>
  </si>
  <si>
    <t>YOC_RUR</t>
  </si>
  <si>
    <t>YOC_DASH</t>
  </si>
  <si>
    <t>YOC_XMR</t>
  </si>
  <si>
    <t>YOC_ETC</t>
  </si>
  <si>
    <t>YOC_POSW</t>
  </si>
  <si>
    <t>YOC_USDT</t>
  </si>
  <si>
    <t>YOC_ZEC</t>
  </si>
  <si>
    <t>YOC_NXT</t>
  </si>
  <si>
    <t>YOC_REP</t>
  </si>
  <si>
    <t>BTC_YOC</t>
  </si>
  <si>
    <t>USD_YOC</t>
  </si>
  <si>
    <t>LTC_YOC</t>
  </si>
  <si>
    <t>DOGE_YOC</t>
  </si>
  <si>
    <t>ETH_YOC</t>
  </si>
  <si>
    <t>EUR_YOC</t>
  </si>
  <si>
    <t>RUR_YOC</t>
  </si>
  <si>
    <t>DASH_YOC</t>
  </si>
  <si>
    <t>XMR_YOC</t>
  </si>
  <si>
    <t>ETC_YOC</t>
  </si>
  <si>
    <t>POSW_YOC</t>
  </si>
  <si>
    <t>USDT_YOC</t>
  </si>
  <si>
    <t>ZEC_YOC</t>
  </si>
  <si>
    <t>NXT_YOC</t>
  </si>
  <si>
    <t>REP_YOC</t>
  </si>
  <si>
    <t>ZCL_BTC</t>
  </si>
  <si>
    <t>ZCL_USD</t>
  </si>
  <si>
    <t>ZCL_LTC</t>
  </si>
  <si>
    <t>ZCL_DOGE</t>
  </si>
  <si>
    <t>ZCL_ETH</t>
  </si>
  <si>
    <t>ZCL_EUR</t>
  </si>
  <si>
    <t>ZCL_RUR</t>
  </si>
  <si>
    <t>ZCL_DASH</t>
  </si>
  <si>
    <t>ZCL_XMR</t>
  </si>
  <si>
    <t>ZCL_ETC</t>
  </si>
  <si>
    <t>ZCL_POSW</t>
  </si>
  <si>
    <t>ZCL_USDT</t>
  </si>
  <si>
    <t>ZCL_ZEC</t>
  </si>
  <si>
    <t>ZCL_NXT</t>
  </si>
  <si>
    <t>ZCL_REP</t>
  </si>
  <si>
    <t>BTC_ZCL</t>
  </si>
  <si>
    <t>USD_ZCL</t>
  </si>
  <si>
    <t>LTC_ZCL</t>
  </si>
  <si>
    <t>DOGE_ZCL</t>
  </si>
  <si>
    <t>ETH_ZCL</t>
  </si>
  <si>
    <t>EUR_ZCL</t>
  </si>
  <si>
    <t>RUR_ZCL</t>
  </si>
  <si>
    <t>DASH_ZCL</t>
  </si>
  <si>
    <t>XMR_ZCL</t>
  </si>
  <si>
    <t>ETC_ZCL</t>
  </si>
  <si>
    <t>POSW_ZCL</t>
  </si>
  <si>
    <t>USDT_ZCL</t>
  </si>
  <si>
    <t>ZEC_ZCL</t>
  </si>
  <si>
    <t>NXT_ZCL</t>
  </si>
  <si>
    <t>REP_ZCL</t>
  </si>
  <si>
    <t>ZEC_ZEC</t>
  </si>
  <si>
    <t>ZENI_BTC</t>
  </si>
  <si>
    <t>ZENI_USD</t>
  </si>
  <si>
    <t>ZENI_LTC</t>
  </si>
  <si>
    <t>ZENI_DOGE</t>
  </si>
  <si>
    <t>ZENI_ETH</t>
  </si>
  <si>
    <t>ZENI_EUR</t>
  </si>
  <si>
    <t>ZENI_RUR</t>
  </si>
  <si>
    <t>ZENI_DASH</t>
  </si>
  <si>
    <t>ZENI_XMR</t>
  </si>
  <si>
    <t>ZENI_ETC</t>
  </si>
  <si>
    <t>ZENI_POSW</t>
  </si>
  <si>
    <t>ZENI_USDT</t>
  </si>
  <si>
    <t>ZENI_ZEC</t>
  </si>
  <si>
    <t>ZENI_NXT</t>
  </si>
  <si>
    <t>ZENI_REP</t>
  </si>
  <si>
    <t>BTC_ZENI</t>
  </si>
  <si>
    <t>USD_ZENI</t>
  </si>
  <si>
    <t>LTC_ZENI</t>
  </si>
  <si>
    <t>DOGE_ZENI</t>
  </si>
  <si>
    <t>ETH_ZENI</t>
  </si>
  <si>
    <t>EUR_ZENI</t>
  </si>
  <si>
    <t>RUR_ZENI</t>
  </si>
  <si>
    <t>DASH_ZENI</t>
  </si>
  <si>
    <t>XMR_ZENI</t>
  </si>
  <si>
    <t>ETC_ZENI</t>
  </si>
  <si>
    <t>POSW_ZENI</t>
  </si>
  <si>
    <t>USDT_ZENI</t>
  </si>
  <si>
    <t>ZEC_ZENI</t>
  </si>
  <si>
    <t>NXT_ZENI</t>
  </si>
  <si>
    <t>REP_ZENI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</si>
</sst>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0000"/>
    <numFmt numFmtId="165" formatCode="#,##0.00000000"/>
    <numFmt numFmtId="166" formatCode="#,##0.000000000"/>
  </numFmts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49" fontId="0" fillId="0" borderId="0" xfId="0" applyNumberFormat="1"/>
    <xf numFmtId="164" fontId="0" fillId="2" borderId="0" xfId="0" applyNumberFormat="1" applyFill="1"/>
    <xf numFmtId="0" fontId="0" fillId="2" borderId="0" xfId="0" applyFill="1"/>
    <xf numFmtId="11" fontId="0" fillId="0" borderId="0" xfId="0" applyNumberFormat="1"/>
    <xf numFmtId="165" fontId="0" fillId="2" borderId="0" xfId="0" applyNumberFormat="1" applyFill="1"/>
    <xf numFmtId="166" fontId="0" fillId="2" borderId="0" xfId="0" applyNumberFormat="1" applyFill="1"/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common" refreshOnLoad="1" growShrinkType="overwriteClear" removeDataOnSave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357"/>
  <sheetViews>
    <sheetView tabSelected="1" zoomScale="80" zoomScaleNormal="80" workbookViewId="0">
      <selection activeCell="C8" sqref="C8"/>
    </sheetView>
  </sheetViews>
  <sheetFormatPr defaultRowHeight="15" x14ac:dyDescent="0.25"/>
  <cols>
    <col min="1" max="1" width="9.85546875" bestFit="1" customWidth="1"/>
    <col min="2" max="2" width="15.7109375" bestFit="1" customWidth="1"/>
    <col min="3" max="3" width="17" bestFit="1" customWidth="1"/>
    <col min="4" max="4" width="15.85546875" bestFit="1" customWidth="1"/>
    <col min="5" max="6" width="24.85546875" bestFit="1" customWidth="1"/>
  </cols>
  <sheetData>
    <row r="1" spans="1:6" x14ac:dyDescent="0.25">
      <c r="A1" s="2"/>
      <c r="B1" s="2"/>
      <c r="C1" s="2"/>
      <c r="D1" s="2"/>
      <c r="E1" s="2"/>
      <c r="F1" s="2"/>
    </row>
    <row r="2" spans="1:6" x14ac:dyDescent="0.25">
      <c r="A2" s="2"/>
      <c r="B2" s="2"/>
      <c r="C2" s="2"/>
      <c r="D2" s="2"/>
      <c r="E2" s="2"/>
      <c r="F2" s="2"/>
    </row>
    <row r="3" spans="1:6" x14ac:dyDescent="0.25">
      <c r="A3" s="2"/>
      <c r="B3" s="2"/>
      <c r="C3" s="2"/>
      <c r="D3" s="2"/>
      <c r="E3" s="2"/>
      <c r="F3" s="2"/>
    </row>
    <row r="4" spans="1:6" x14ac:dyDescent="0.25">
      <c r="A4" s="2"/>
      <c r="B4" s="2"/>
      <c r="C4" s="2"/>
      <c r="D4" s="2"/>
      <c r="E4" s="2"/>
      <c r="F4" s="2"/>
    </row>
    <row r="5" spans="1:6" x14ac:dyDescent="0.25">
      <c r="A5" s="2"/>
      <c r="B5" s="2"/>
      <c r="C5" s="2"/>
      <c r="D5" s="2"/>
      <c r="E5" s="2"/>
      <c r="F5" s="2"/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/>
      <c r="B9" s="2"/>
      <c r="C9" s="2"/>
      <c r="D9" s="2"/>
      <c r="E9" s="2"/>
      <c r="F9" s="2"/>
    </row>
    <row r="10" spans="1:6" x14ac:dyDescent="0.25">
      <c r="A10" s="2"/>
      <c r="B10" s="2"/>
      <c r="C10" s="2"/>
      <c r="D10" s="2"/>
      <c r="E10" s="2"/>
      <c r="F10" s="2"/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/>
      <c r="B13" s="2"/>
      <c r="C13" s="2"/>
      <c r="D13" s="2"/>
      <c r="E13" s="2"/>
      <c r="F13" s="2"/>
    </row>
    <row r="14" spans="1:6" x14ac:dyDescent="0.25">
      <c r="A14" s="2"/>
      <c r="B14" s="2"/>
      <c r="C14" s="2"/>
      <c r="D14" s="2"/>
      <c r="E14" s="2"/>
      <c r="F14" s="2"/>
    </row>
    <row r="15" spans="1:6" x14ac:dyDescent="0.25">
      <c r="A15" s="2"/>
      <c r="B15" s="2"/>
      <c r="C15" s="2"/>
      <c r="D15" s="2"/>
      <c r="E15" s="2"/>
      <c r="F15" s="2"/>
    </row>
    <row r="16" spans="1:6" x14ac:dyDescent="0.25">
      <c r="A16" s="2"/>
      <c r="B16" s="2"/>
      <c r="C16" s="2"/>
      <c r="D16" s="2"/>
      <c r="E16" s="2"/>
      <c r="F16" s="2"/>
    </row>
    <row r="17" spans="1:6" x14ac:dyDescent="0.25">
      <c r="A17" s="2"/>
      <c r="B17" s="2"/>
      <c r="C17" s="2"/>
      <c r="D17" s="2"/>
      <c r="E17" s="2"/>
      <c r="F17" s="2"/>
    </row>
    <row r="18" spans="1:6" x14ac:dyDescent="0.25">
      <c r="A18" s="2"/>
      <c r="B18" s="2"/>
      <c r="C18" s="2"/>
      <c r="D18" s="2"/>
      <c r="E18" s="2"/>
      <c r="F18" s="2"/>
    </row>
    <row r="19" spans="1:6" x14ac:dyDescent="0.25">
      <c r="A19" s="2"/>
      <c r="B19" s="2"/>
      <c r="C19" s="2"/>
      <c r="D19" s="2"/>
      <c r="E19" s="2"/>
      <c r="F19" s="2"/>
    </row>
    <row r="20" spans="1:6" x14ac:dyDescent="0.25">
      <c r="A20" s="2"/>
      <c r="B20" s="2"/>
      <c r="C20" s="2"/>
      <c r="D20" s="2"/>
      <c r="E20" s="2"/>
      <c r="F20" s="2"/>
    </row>
    <row r="21" spans="1:6" x14ac:dyDescent="0.25">
      <c r="A21" s="2"/>
      <c r="B21" s="2"/>
      <c r="C21" s="2"/>
      <c r="D21" s="2"/>
      <c r="E21" s="2"/>
      <c r="F21" s="2"/>
    </row>
    <row r="22" spans="1:6" x14ac:dyDescent="0.25">
      <c r="A22" s="2"/>
      <c r="B22" s="2"/>
      <c r="C22" s="2"/>
      <c r="D22" s="2"/>
      <c r="E22" s="2"/>
      <c r="F22" s="2"/>
    </row>
    <row r="23" spans="1:6" x14ac:dyDescent="0.25">
      <c r="A23" s="2"/>
      <c r="B23" s="2"/>
      <c r="C23" s="2"/>
      <c r="D23" s="2"/>
      <c r="E23" s="2"/>
      <c r="F23" s="2"/>
    </row>
    <row r="24" spans="1:6" x14ac:dyDescent="0.25">
      <c r="A24" s="2"/>
      <c r="B24" s="2"/>
      <c r="C24" s="2"/>
      <c r="D24" s="2"/>
      <c r="E24" s="2"/>
      <c r="F24" s="2"/>
    </row>
    <row r="25" spans="1:6" x14ac:dyDescent="0.25">
      <c r="A25" s="2"/>
      <c r="B25" s="2"/>
      <c r="C25" s="2"/>
      <c r="D25" s="2"/>
      <c r="E25" s="2"/>
      <c r="F25" s="2"/>
    </row>
    <row r="26" spans="1:6" x14ac:dyDescent="0.25">
      <c r="A26" s="2"/>
      <c r="B26" s="2"/>
      <c r="C26" s="2"/>
      <c r="D26" s="2"/>
      <c r="E26" s="2"/>
      <c r="F26" s="2"/>
    </row>
    <row r="27" spans="1:6" x14ac:dyDescent="0.25">
      <c r="A27" s="2"/>
      <c r="B27" s="2"/>
      <c r="C27" s="2"/>
      <c r="D27" s="2"/>
      <c r="E27" s="2"/>
      <c r="F27" s="2"/>
    </row>
    <row r="28" spans="1:6" x14ac:dyDescent="0.25">
      <c r="A28" s="2"/>
      <c r="B28" s="2"/>
      <c r="C28" s="2"/>
      <c r="D28" s="2"/>
      <c r="E28" s="2"/>
      <c r="F28" s="2"/>
    </row>
    <row r="29" spans="1:6" x14ac:dyDescent="0.25">
      <c r="A29" s="2"/>
      <c r="B29" s="2"/>
      <c r="C29" s="2"/>
      <c r="D29" s="2"/>
      <c r="E29" s="2"/>
      <c r="F29" s="2"/>
    </row>
    <row r="30" spans="1:6" x14ac:dyDescent="0.25">
      <c r="A30" s="2"/>
      <c r="B30" s="2"/>
      <c r="C30" s="2"/>
      <c r="D30" s="2"/>
      <c r="E30" s="2"/>
      <c r="F30" s="2"/>
    </row>
    <row r="31" spans="1:6" x14ac:dyDescent="0.25">
      <c r="A31" s="2"/>
      <c r="B31" s="2"/>
      <c r="C31" s="2"/>
      <c r="D31" s="2"/>
      <c r="E31" s="2"/>
      <c r="F31" s="2"/>
    </row>
    <row r="32" spans="1:6" x14ac:dyDescent="0.25">
      <c r="A32" s="2"/>
      <c r="B32" s="2"/>
      <c r="C32" s="2"/>
      <c r="D32" s="2"/>
      <c r="E32" s="2"/>
      <c r="F32" s="2"/>
    </row>
    <row r="33" spans="1:6" x14ac:dyDescent="0.25">
      <c r="A33" s="2"/>
      <c r="B33" s="2"/>
      <c r="C33" s="2"/>
      <c r="D33" s="2"/>
      <c r="E33" s="2"/>
      <c r="F33" s="2"/>
    </row>
    <row r="34" spans="1:6" x14ac:dyDescent="0.25">
      <c r="A34" s="2"/>
      <c r="B34" s="2"/>
      <c r="C34" s="2"/>
      <c r="D34" s="2"/>
      <c r="E34" s="2"/>
      <c r="F34" s="2"/>
    </row>
    <row r="35" spans="1:6" x14ac:dyDescent="0.25">
      <c r="A35" s="2"/>
      <c r="B35" s="2"/>
      <c r="C35" s="2"/>
      <c r="D35" s="2"/>
      <c r="E35" s="2"/>
      <c r="F35" s="2"/>
    </row>
    <row r="36" spans="1:6" x14ac:dyDescent="0.25">
      <c r="A36" s="2"/>
      <c r="B36" s="2"/>
      <c r="C36" s="2"/>
      <c r="D36" s="2"/>
      <c r="E36" s="2"/>
      <c r="F36" s="2"/>
    </row>
    <row r="37" spans="1:6" x14ac:dyDescent="0.25">
      <c r="A37" s="2"/>
      <c r="B37" s="2"/>
      <c r="C37" s="2"/>
      <c r="D37" s="2"/>
      <c r="E37" s="2"/>
      <c r="F37" s="2"/>
    </row>
    <row r="38" spans="1:6" x14ac:dyDescent="0.25">
      <c r="A38" s="2"/>
      <c r="B38" s="2"/>
      <c r="C38" s="2"/>
      <c r="D38" s="2"/>
      <c r="E38" s="2"/>
      <c r="F38" s="2"/>
    </row>
    <row r="39" spans="1:6" x14ac:dyDescent="0.25">
      <c r="A39" s="2"/>
      <c r="B39" s="2"/>
      <c r="C39" s="2"/>
      <c r="D39" s="2"/>
      <c r="E39" s="2"/>
      <c r="F39" s="2"/>
    </row>
    <row r="40" spans="1:6" x14ac:dyDescent="0.25">
      <c r="A40" s="2"/>
      <c r="B40" s="2"/>
      <c r="C40" s="2"/>
      <c r="D40" s="2"/>
      <c r="E40" s="2"/>
      <c r="F40" s="2"/>
    </row>
    <row r="41" spans="1:6" x14ac:dyDescent="0.25">
      <c r="A41" s="2"/>
      <c r="B41" s="2"/>
      <c r="C41" s="2"/>
      <c r="D41" s="2"/>
      <c r="E41" s="2"/>
      <c r="F41" s="2"/>
    </row>
    <row r="42" spans="1:6" x14ac:dyDescent="0.25">
      <c r="A42" s="2"/>
      <c r="B42" s="2"/>
      <c r="C42" s="2"/>
      <c r="D42" s="2"/>
      <c r="E42" s="2"/>
      <c r="F42" s="2"/>
    </row>
    <row r="43" spans="1:6" x14ac:dyDescent="0.25">
      <c r="A43" s="2"/>
      <c r="B43" s="2"/>
      <c r="C43" s="2"/>
      <c r="D43" s="2"/>
      <c r="E43" s="2"/>
      <c r="F43" s="2"/>
    </row>
    <row r="44" spans="1:6" x14ac:dyDescent="0.25">
      <c r="A44" s="2"/>
      <c r="B44" s="2"/>
      <c r="C44" s="2"/>
      <c r="D44" s="2"/>
      <c r="E44" s="2"/>
      <c r="F44" s="2"/>
    </row>
    <row r="45" spans="1:6" x14ac:dyDescent="0.25">
      <c r="A45" s="2"/>
      <c r="B45" s="2"/>
      <c r="C45" s="2"/>
      <c r="D45" s="2"/>
      <c r="E45" s="2"/>
      <c r="F45" s="2"/>
    </row>
    <row r="46" spans="1:6" x14ac:dyDescent="0.25">
      <c r="A46" s="2"/>
      <c r="B46" s="2"/>
      <c r="C46" s="2"/>
      <c r="D46" s="2"/>
      <c r="E46" s="2"/>
      <c r="F46" s="2"/>
    </row>
    <row r="47" spans="1:6" x14ac:dyDescent="0.25">
      <c r="A47" s="2"/>
      <c r="B47" s="2"/>
      <c r="C47" s="2"/>
      <c r="D47" s="2"/>
      <c r="E47" s="2"/>
      <c r="F47" s="2"/>
    </row>
    <row r="48" spans="1:6" x14ac:dyDescent="0.25">
      <c r="A48" s="2"/>
      <c r="B48" s="2"/>
      <c r="C48" s="2"/>
      <c r="D48" s="2"/>
      <c r="E48" s="2"/>
      <c r="F48" s="2"/>
    </row>
    <row r="49" spans="1:6" x14ac:dyDescent="0.25">
      <c r="A49" s="2"/>
      <c r="B49" s="2"/>
      <c r="C49" s="2"/>
      <c r="D49" s="2"/>
      <c r="E49" s="2"/>
      <c r="F49" s="2"/>
    </row>
    <row r="50" spans="1:6" x14ac:dyDescent="0.25">
      <c r="A50" s="2"/>
      <c r="B50" s="2"/>
      <c r="C50" s="2"/>
      <c r="D50" s="2"/>
      <c r="E50" s="2"/>
      <c r="F50" s="2"/>
    </row>
    <row r="51" spans="1:6" x14ac:dyDescent="0.25">
      <c r="A51" s="2"/>
      <c r="B51" s="2"/>
      <c r="C51" s="2"/>
      <c r="D51" s="2"/>
      <c r="E51" s="2"/>
      <c r="F51" s="2"/>
    </row>
    <row r="52" spans="1:6" x14ac:dyDescent="0.25">
      <c r="A52" s="2"/>
      <c r="B52" s="2"/>
      <c r="C52" s="2"/>
      <c r="D52" s="2"/>
      <c r="E52" s="2"/>
      <c r="F52" s="2"/>
    </row>
    <row r="53" spans="1:6" x14ac:dyDescent="0.25">
      <c r="A53" s="2"/>
      <c r="B53" s="2"/>
      <c r="C53" s="2"/>
      <c r="D53" s="2"/>
      <c r="E53" s="2"/>
      <c r="F53" s="2"/>
    </row>
    <row r="54" spans="1:6" x14ac:dyDescent="0.25">
      <c r="A54" s="2"/>
      <c r="B54" s="2"/>
      <c r="C54" s="2"/>
      <c r="D54" s="2"/>
      <c r="E54" s="2"/>
      <c r="F54" s="2"/>
    </row>
    <row r="55" spans="1:6" x14ac:dyDescent="0.25">
      <c r="A55" s="2"/>
      <c r="B55" s="2"/>
      <c r="C55" s="2"/>
      <c r="D55" s="2"/>
      <c r="E55" s="2"/>
      <c r="F55" s="2"/>
    </row>
    <row r="56" spans="1:6" x14ac:dyDescent="0.25">
      <c r="A56" s="2"/>
      <c r="B56" s="2"/>
      <c r="C56" s="2"/>
      <c r="D56" s="2"/>
      <c r="E56" s="2"/>
      <c r="F56" s="2"/>
    </row>
    <row r="57" spans="1:6" x14ac:dyDescent="0.25">
      <c r="A57" s="2"/>
      <c r="B57" s="2"/>
      <c r="C57" s="2"/>
      <c r="D57" s="2"/>
      <c r="E57" s="2"/>
      <c r="F57" s="2"/>
    </row>
    <row r="58" spans="1:6" x14ac:dyDescent="0.25">
      <c r="A58" s="2"/>
      <c r="B58" s="2"/>
      <c r="C58" s="2"/>
      <c r="D58" s="2"/>
      <c r="E58" s="2"/>
      <c r="F58" s="2"/>
    </row>
    <row r="59" spans="1:6" x14ac:dyDescent="0.25">
      <c r="A59" s="2"/>
      <c r="B59" s="2"/>
      <c r="C59" s="2"/>
      <c r="D59" s="2"/>
      <c r="E59" s="2"/>
      <c r="F59" s="2"/>
    </row>
    <row r="60" spans="1:6" x14ac:dyDescent="0.25">
      <c r="A60" s="2"/>
      <c r="B60" s="2"/>
      <c r="C60" s="2"/>
      <c r="D60" s="2"/>
      <c r="E60" s="2"/>
      <c r="F60" s="2"/>
    </row>
    <row r="61" spans="1:6" x14ac:dyDescent="0.25">
      <c r="A61" s="2"/>
      <c r="B61" s="2"/>
      <c r="C61" s="2"/>
      <c r="D61" s="2"/>
      <c r="E61" s="2"/>
      <c r="F61" s="2"/>
    </row>
    <row r="62" spans="1:6" x14ac:dyDescent="0.25">
      <c r="A62" s="2"/>
      <c r="B62" s="2"/>
      <c r="C62" s="2"/>
      <c r="D62" s="2"/>
      <c r="E62" s="2"/>
      <c r="F62" s="2"/>
    </row>
    <row r="63" spans="1:6" x14ac:dyDescent="0.25">
      <c r="A63" s="2"/>
      <c r="B63" s="2"/>
      <c r="C63" s="2"/>
      <c r="D63" s="2"/>
      <c r="E63" s="2"/>
      <c r="F63" s="2"/>
    </row>
    <row r="64" spans="1:6" x14ac:dyDescent="0.25">
      <c r="A64" s="2"/>
      <c r="B64" s="2"/>
      <c r="C64" s="2"/>
      <c r="D64" s="2"/>
      <c r="E64" s="2"/>
      <c r="F64" s="2"/>
    </row>
    <row r="65" spans="1:6" x14ac:dyDescent="0.25">
      <c r="A65" s="2"/>
      <c r="B65" s="2"/>
      <c r="C65" s="2"/>
      <c r="D65" s="2"/>
      <c r="E65" s="2"/>
      <c r="F65" s="2"/>
    </row>
    <row r="66" spans="1:6" x14ac:dyDescent="0.25">
      <c r="A66" s="2"/>
      <c r="B66" s="2"/>
      <c r="C66" s="2"/>
      <c r="D66" s="2"/>
      <c r="E66" s="2"/>
      <c r="F66" s="2"/>
    </row>
    <row r="67" spans="1:6" x14ac:dyDescent="0.25">
      <c r="A67" s="2"/>
      <c r="B67" s="2"/>
      <c r="C67" s="2"/>
      <c r="D67" s="2"/>
      <c r="E67" s="2"/>
      <c r="F67" s="2"/>
    </row>
    <row r="68" spans="1:6" x14ac:dyDescent="0.25">
      <c r="A68" s="2"/>
      <c r="B68" s="2"/>
      <c r="C68" s="2"/>
      <c r="D68" s="2"/>
      <c r="E68" s="2"/>
      <c r="F68" s="2"/>
    </row>
    <row r="69" spans="1:6" x14ac:dyDescent="0.25">
      <c r="A69" s="2"/>
      <c r="B69" s="2"/>
      <c r="C69" s="2"/>
      <c r="D69" s="2"/>
      <c r="E69" s="2"/>
      <c r="F69" s="2"/>
    </row>
    <row r="70" spans="1:6" x14ac:dyDescent="0.25">
      <c r="A70" s="2"/>
      <c r="B70" s="2"/>
      <c r="C70" s="2"/>
      <c r="D70" s="2"/>
      <c r="E70" s="2"/>
      <c r="F70" s="2"/>
    </row>
    <row r="71" spans="1:6" x14ac:dyDescent="0.25">
      <c r="A71" s="2"/>
      <c r="B71" s="2"/>
      <c r="C71" s="2"/>
      <c r="D71" s="2"/>
      <c r="E71" s="2"/>
      <c r="F71" s="2"/>
    </row>
    <row r="72" spans="1:6" x14ac:dyDescent="0.25">
      <c r="A72" s="2"/>
      <c r="B72" s="2"/>
      <c r="C72" s="2"/>
      <c r="D72" s="2"/>
      <c r="E72" s="2"/>
      <c r="F72" s="2"/>
    </row>
    <row r="73" spans="1:6" x14ac:dyDescent="0.25">
      <c r="A73" s="2"/>
      <c r="B73" s="2"/>
      <c r="C73" s="2"/>
      <c r="D73" s="2"/>
      <c r="E73" s="2"/>
      <c r="F73" s="2"/>
    </row>
    <row r="74" spans="1:6" x14ac:dyDescent="0.25">
      <c r="A74" s="2"/>
      <c r="B74" s="2"/>
      <c r="C74" s="2"/>
      <c r="D74" s="2"/>
      <c r="E74" s="2"/>
      <c r="F74" s="2"/>
    </row>
    <row r="75" spans="1:6" x14ac:dyDescent="0.25">
      <c r="A75" s="2"/>
      <c r="B75" s="2"/>
      <c r="C75" s="2"/>
      <c r="D75" s="2"/>
      <c r="E75" s="2"/>
      <c r="F75" s="2"/>
    </row>
    <row r="76" spans="1:6" x14ac:dyDescent="0.25">
      <c r="A76" s="2"/>
      <c r="B76" s="2"/>
      <c r="C76" s="2"/>
      <c r="D76" s="2"/>
      <c r="E76" s="2"/>
      <c r="F76" s="2"/>
    </row>
    <row r="77" spans="1:6" x14ac:dyDescent="0.25">
      <c r="A77" s="2"/>
      <c r="B77" s="2"/>
      <c r="C77" s="2"/>
      <c r="D77" s="2"/>
      <c r="E77" s="2"/>
      <c r="F77" s="2"/>
    </row>
    <row r="78" spans="1:6" x14ac:dyDescent="0.25">
      <c r="A78" s="2"/>
      <c r="B78" s="2"/>
      <c r="C78" s="2"/>
      <c r="D78" s="2"/>
      <c r="E78" s="2"/>
      <c r="F78" s="2"/>
    </row>
    <row r="79" spans="1:6" x14ac:dyDescent="0.25">
      <c r="A79" s="2"/>
      <c r="B79" s="2"/>
      <c r="C79" s="2"/>
      <c r="D79" s="2"/>
      <c r="E79" s="2"/>
      <c r="F79" s="2"/>
    </row>
    <row r="80" spans="1:6" x14ac:dyDescent="0.25">
      <c r="A80" s="2"/>
      <c r="B80" s="2"/>
      <c r="C80" s="2"/>
      <c r="D80" s="2"/>
      <c r="E80" s="2"/>
      <c r="F80" s="2"/>
    </row>
    <row r="81" spans="1:6" x14ac:dyDescent="0.25">
      <c r="A81" s="2"/>
      <c r="B81" s="2"/>
      <c r="C81" s="2"/>
      <c r="D81" s="2"/>
      <c r="E81" s="2"/>
      <c r="F81" s="2"/>
    </row>
    <row r="82" spans="1:6" x14ac:dyDescent="0.25">
      <c r="A82" s="2"/>
      <c r="B82" s="2"/>
      <c r="C82" s="2"/>
      <c r="D82" s="2"/>
      <c r="E82" s="2"/>
      <c r="F82" s="2"/>
    </row>
    <row r="83" spans="1:6" x14ac:dyDescent="0.25">
      <c r="A83" s="2"/>
      <c r="B83" s="2"/>
      <c r="C83" s="2"/>
      <c r="D83" s="2"/>
      <c r="E83" s="2"/>
      <c r="F83" s="2"/>
    </row>
    <row r="84" spans="1:6" x14ac:dyDescent="0.25">
      <c r="A84" s="2"/>
      <c r="B84" s="2"/>
      <c r="C84" s="2"/>
      <c r="D84" s="2"/>
      <c r="E84" s="2"/>
      <c r="F84" s="2"/>
    </row>
    <row r="85" spans="1:6" x14ac:dyDescent="0.25">
      <c r="A85" s="2"/>
      <c r="B85" s="2"/>
      <c r="C85" s="2"/>
      <c r="D85" s="2"/>
      <c r="E85" s="2"/>
      <c r="F85" s="2"/>
    </row>
    <row r="86" spans="1:6" x14ac:dyDescent="0.25">
      <c r="A86" s="2"/>
      <c r="B86" s="2"/>
      <c r="C86" s="2"/>
      <c r="D86" s="2"/>
      <c r="E86" s="2"/>
      <c r="F86" s="2"/>
    </row>
    <row r="87" spans="1:6" x14ac:dyDescent="0.25">
      <c r="A87" s="2"/>
      <c r="B87" s="2"/>
      <c r="C87" s="2"/>
      <c r="D87" s="2"/>
      <c r="E87" s="2"/>
      <c r="F87" s="2"/>
    </row>
    <row r="88" spans="1:6" x14ac:dyDescent="0.25">
      <c r="A88" s="2"/>
      <c r="B88" s="2"/>
      <c r="C88" s="2"/>
      <c r="D88" s="2"/>
      <c r="E88" s="2"/>
      <c r="F88" s="2"/>
    </row>
    <row r="89" spans="1:6" x14ac:dyDescent="0.25">
      <c r="A89" s="2"/>
      <c r="B89" s="2"/>
      <c r="C89" s="2"/>
      <c r="D89" s="2"/>
      <c r="E89" s="2"/>
      <c r="F89" s="2"/>
    </row>
    <row r="90" spans="1:6" x14ac:dyDescent="0.25">
      <c r="A90" s="2"/>
      <c r="B90" s="2"/>
      <c r="C90" s="2"/>
      <c r="D90" s="2"/>
      <c r="E90" s="2"/>
      <c r="F90" s="2"/>
    </row>
    <row r="91" spans="1:6" x14ac:dyDescent="0.25">
      <c r="A91" s="2"/>
      <c r="B91" s="2"/>
      <c r="C91" s="2"/>
      <c r="D91" s="2"/>
      <c r="E91" s="2"/>
      <c r="F91" s="2"/>
    </row>
    <row r="92" spans="1:6" x14ac:dyDescent="0.25">
      <c r="A92" s="2"/>
      <c r="B92" s="2"/>
      <c r="C92" s="2"/>
      <c r="D92" s="2"/>
      <c r="E92" s="2"/>
      <c r="F92" s="2"/>
    </row>
    <row r="93" spans="1:6" x14ac:dyDescent="0.25">
      <c r="A93" s="2"/>
      <c r="B93" s="2"/>
      <c r="C93" s="2"/>
      <c r="D93" s="2"/>
      <c r="E93" s="2"/>
      <c r="F93" s="2"/>
    </row>
    <row r="94" spans="1:6" x14ac:dyDescent="0.25">
      <c r="A94" s="2"/>
      <c r="B94" s="2"/>
      <c r="C94" s="2"/>
      <c r="D94" s="2"/>
      <c r="E94" s="2"/>
      <c r="F94" s="2"/>
    </row>
    <row r="95" spans="1:6" x14ac:dyDescent="0.25">
      <c r="A95" s="2"/>
      <c r="B95" s="2"/>
      <c r="C95" s="2"/>
      <c r="D95" s="2"/>
      <c r="E95" s="2"/>
      <c r="F95" s="2"/>
    </row>
    <row r="96" spans="1:6" x14ac:dyDescent="0.25">
      <c r="A96" s="2"/>
      <c r="B96" s="2"/>
      <c r="C96" s="2"/>
      <c r="D96" s="2"/>
      <c r="E96" s="2"/>
      <c r="F96" s="2"/>
    </row>
    <row r="97" spans="1:6" x14ac:dyDescent="0.25">
      <c r="A97" s="2"/>
      <c r="B97" s="2"/>
      <c r="C97" s="2"/>
      <c r="D97" s="2"/>
      <c r="E97" s="2"/>
      <c r="F97" s="2"/>
    </row>
    <row r="98" spans="1:6" x14ac:dyDescent="0.25">
      <c r="A98" s="2"/>
      <c r="B98" s="2"/>
      <c r="C98" s="2"/>
      <c r="D98" s="2"/>
      <c r="E98" s="2"/>
      <c r="F98" s="2"/>
    </row>
    <row r="99" spans="1:6" x14ac:dyDescent="0.25">
      <c r="A99" s="2"/>
      <c r="B99" s="2"/>
      <c r="C99" s="2"/>
      <c r="D99" s="2"/>
      <c r="E99" s="2"/>
      <c r="F99" s="2"/>
    </row>
    <row r="100" spans="1:6" x14ac:dyDescent="0.25">
      <c r="A100" s="2"/>
      <c r="B100" s="2"/>
      <c r="C100" s="2"/>
      <c r="D100" s="2"/>
      <c r="E100" s="2"/>
      <c r="F100" s="2"/>
    </row>
    <row r="101" spans="1:6" x14ac:dyDescent="0.25">
      <c r="A101" s="2"/>
      <c r="B101" s="2"/>
      <c r="C101" s="2"/>
      <c r="D101" s="2"/>
      <c r="E101" s="2"/>
      <c r="F101" s="2"/>
    </row>
    <row r="102" spans="1:6" x14ac:dyDescent="0.25">
      <c r="A102" s="2"/>
      <c r="B102" s="2"/>
      <c r="C102" s="2"/>
      <c r="D102" s="2"/>
      <c r="E102" s="2"/>
      <c r="F102" s="2"/>
    </row>
    <row r="103" spans="1:6" x14ac:dyDescent="0.25">
      <c r="A103" s="2"/>
      <c r="B103" s="2"/>
      <c r="C103" s="2"/>
      <c r="D103" s="2"/>
      <c r="E103" s="2"/>
      <c r="F103" s="2"/>
    </row>
    <row r="104" spans="1:6" x14ac:dyDescent="0.25">
      <c r="A104" s="2"/>
      <c r="B104" s="2"/>
      <c r="C104" s="2"/>
      <c r="D104" s="2"/>
      <c r="E104" s="2"/>
      <c r="F104" s="2"/>
    </row>
    <row r="105" spans="1:6" x14ac:dyDescent="0.25">
      <c r="A105" s="2"/>
      <c r="B105" s="2"/>
      <c r="C105" s="2"/>
      <c r="D105" s="2"/>
      <c r="E105" s="2"/>
      <c r="F105" s="2"/>
    </row>
    <row r="106" spans="1:6" x14ac:dyDescent="0.25">
      <c r="A106" s="2"/>
      <c r="B106" s="2"/>
      <c r="C106" s="2"/>
      <c r="D106" s="2"/>
      <c r="E106" s="2"/>
      <c r="F106" s="2"/>
    </row>
    <row r="107" spans="1:6" x14ac:dyDescent="0.25">
      <c r="A107" s="2"/>
      <c r="B107" s="2"/>
      <c r="C107" s="2"/>
      <c r="D107" s="2"/>
      <c r="E107" s="2"/>
      <c r="F107" s="2"/>
    </row>
    <row r="108" spans="1:6" x14ac:dyDescent="0.25">
      <c r="A108" s="2"/>
      <c r="B108" s="2"/>
      <c r="C108" s="2"/>
      <c r="D108" s="2"/>
      <c r="E108" s="2"/>
      <c r="F108" s="2"/>
    </row>
    <row r="109" spans="1:6" x14ac:dyDescent="0.25">
      <c r="A109" s="2"/>
      <c r="B109" s="2"/>
      <c r="C109" s="2"/>
      <c r="D109" s="2"/>
      <c r="E109" s="2"/>
      <c r="F109" s="2"/>
    </row>
    <row r="110" spans="1:6" x14ac:dyDescent="0.25">
      <c r="A110" s="2"/>
      <c r="B110" s="2"/>
      <c r="C110" s="2"/>
      <c r="D110" s="2"/>
      <c r="E110" s="2"/>
      <c r="F110" s="2"/>
    </row>
    <row r="111" spans="1:6" x14ac:dyDescent="0.25">
      <c r="A111" s="2"/>
      <c r="B111" s="2"/>
      <c r="C111" s="2"/>
      <c r="D111" s="2"/>
      <c r="E111" s="2"/>
      <c r="F111" s="2"/>
    </row>
    <row r="112" spans="1:6" x14ac:dyDescent="0.25">
      <c r="A112" s="2"/>
      <c r="B112" s="2"/>
      <c r="C112" s="2"/>
      <c r="D112" s="2"/>
      <c r="E112" s="2"/>
      <c r="F112" s="2"/>
    </row>
    <row r="113" spans="1:6" x14ac:dyDescent="0.25">
      <c r="A113" s="2"/>
      <c r="B113" s="2"/>
      <c r="C113" s="2"/>
      <c r="D113" s="2"/>
      <c r="E113" s="2"/>
      <c r="F113" s="2"/>
    </row>
    <row r="114" spans="1:6" x14ac:dyDescent="0.25">
      <c r="A114" s="2"/>
      <c r="B114" s="2"/>
      <c r="C114" s="2"/>
      <c r="D114" s="2"/>
      <c r="E114" s="2"/>
      <c r="F114" s="2"/>
    </row>
    <row r="115" spans="1:6" x14ac:dyDescent="0.25">
      <c r="A115" s="2"/>
      <c r="B115" s="2"/>
      <c r="C115" s="2"/>
      <c r="D115" s="2"/>
      <c r="E115" s="2"/>
      <c r="F115" s="2"/>
    </row>
    <row r="116" spans="1:6" x14ac:dyDescent="0.25">
      <c r="A116" s="2"/>
      <c r="B116" s="2"/>
      <c r="C116" s="2"/>
      <c r="D116" s="2"/>
      <c r="E116" s="2"/>
      <c r="F116" s="2"/>
    </row>
    <row r="117" spans="1:6" x14ac:dyDescent="0.25">
      <c r="A117" s="2"/>
      <c r="B117" s="2"/>
      <c r="C117" s="2"/>
      <c r="D117" s="2"/>
      <c r="E117" s="2"/>
      <c r="F117" s="2"/>
    </row>
    <row r="118" spans="1:6" x14ac:dyDescent="0.25">
      <c r="A118" s="2"/>
      <c r="B118" s="2"/>
      <c r="C118" s="2"/>
      <c r="D118" s="2"/>
      <c r="E118" s="2"/>
      <c r="F118" s="2"/>
    </row>
    <row r="119" spans="1:6" x14ac:dyDescent="0.25">
      <c r="A119" s="2"/>
      <c r="B119" s="2"/>
      <c r="C119" s="2"/>
      <c r="D119" s="2"/>
      <c r="E119" s="2"/>
      <c r="F119" s="2"/>
    </row>
    <row r="120" spans="1:6" x14ac:dyDescent="0.25">
      <c r="A120" s="2"/>
      <c r="B120" s="2"/>
      <c r="C120" s="2"/>
      <c r="D120" s="2"/>
      <c r="E120" s="2"/>
      <c r="F120" s="2"/>
    </row>
    <row r="121" spans="1:6" x14ac:dyDescent="0.25">
      <c r="A121" s="2"/>
      <c r="B121" s="2"/>
      <c r="C121" s="2"/>
      <c r="D121" s="2"/>
      <c r="E121" s="2"/>
      <c r="F121" s="2"/>
    </row>
    <row r="122" spans="1:6" x14ac:dyDescent="0.25">
      <c r="A122" s="2"/>
      <c r="B122" s="2"/>
      <c r="C122" s="2"/>
      <c r="D122" s="2"/>
      <c r="E122" s="2"/>
      <c r="F122" s="2"/>
    </row>
    <row r="123" spans="1:6" x14ac:dyDescent="0.25">
      <c r="A123" s="2"/>
      <c r="B123" s="2"/>
      <c r="C123" s="2"/>
      <c r="D123" s="2"/>
      <c r="E123" s="2"/>
      <c r="F123" s="2"/>
    </row>
    <row r="124" spans="1:6" x14ac:dyDescent="0.25">
      <c r="A124" s="2"/>
      <c r="B124" s="2"/>
      <c r="C124" s="2"/>
      <c r="D124" s="2"/>
      <c r="E124" s="2"/>
      <c r="F124" s="2"/>
    </row>
    <row r="125" spans="1:6" x14ac:dyDescent="0.25">
      <c r="A125" s="2"/>
      <c r="B125" s="2"/>
      <c r="C125" s="2"/>
      <c r="D125" s="2"/>
      <c r="E125" s="2"/>
      <c r="F125" s="2"/>
    </row>
    <row r="126" spans="1:6" x14ac:dyDescent="0.25">
      <c r="A126" s="2"/>
      <c r="B126" s="2"/>
      <c r="C126" s="2"/>
      <c r="D126" s="2"/>
      <c r="E126" s="2"/>
      <c r="F126" s="2"/>
    </row>
    <row r="127" spans="1:6" x14ac:dyDescent="0.25">
      <c r="A127" s="2"/>
      <c r="B127" s="2"/>
      <c r="C127" s="2"/>
      <c r="D127" s="2"/>
      <c r="E127" s="2"/>
      <c r="F127" s="2"/>
    </row>
    <row r="128" spans="1:6" x14ac:dyDescent="0.25">
      <c r="A128" s="2"/>
      <c r="B128" s="2"/>
      <c r="C128" s="2"/>
      <c r="D128" s="2"/>
      <c r="E128" s="2"/>
      <c r="F128" s="2"/>
    </row>
    <row r="129" spans="1:6" x14ac:dyDescent="0.25">
      <c r="A129" s="2"/>
      <c r="B129" s="2"/>
      <c r="C129" s="2"/>
      <c r="D129" s="2"/>
      <c r="E129" s="2"/>
      <c r="F129" s="2"/>
    </row>
    <row r="130" spans="1:6" x14ac:dyDescent="0.25">
      <c r="A130" s="2"/>
      <c r="B130" s="2"/>
      <c r="C130" s="2"/>
      <c r="D130" s="2"/>
      <c r="E130" s="2"/>
      <c r="F130" s="2"/>
    </row>
    <row r="131" spans="1:6" x14ac:dyDescent="0.25">
      <c r="A131" s="2"/>
      <c r="B131" s="2"/>
      <c r="C131" s="2"/>
      <c r="D131" s="2"/>
      <c r="E131" s="2"/>
      <c r="F131" s="2"/>
    </row>
    <row r="132" spans="1:6" x14ac:dyDescent="0.25">
      <c r="A132" s="2"/>
      <c r="B132" s="2"/>
      <c r="C132" s="2"/>
      <c r="D132" s="2"/>
      <c r="E132" s="2"/>
      <c r="F132" s="2"/>
    </row>
    <row r="133" spans="1:6" x14ac:dyDescent="0.25">
      <c r="A133" s="2"/>
      <c r="B133" s="2"/>
      <c r="C133" s="2"/>
      <c r="D133" s="2"/>
      <c r="E133" s="2"/>
      <c r="F133" s="2"/>
    </row>
    <row r="134" spans="1:6" x14ac:dyDescent="0.25">
      <c r="A134" s="2"/>
      <c r="B134" s="2"/>
      <c r="C134" s="2"/>
      <c r="D134" s="2"/>
      <c r="E134" s="2"/>
      <c r="F134" s="2"/>
    </row>
    <row r="135" spans="1:6" x14ac:dyDescent="0.25">
      <c r="A135" s="2"/>
      <c r="B135" s="2"/>
      <c r="C135" s="2"/>
      <c r="D135" s="2"/>
      <c r="E135" s="2"/>
      <c r="F135" s="2"/>
    </row>
    <row r="136" spans="1:6" x14ac:dyDescent="0.25">
      <c r="A136" s="2"/>
      <c r="B136" s="2"/>
      <c r="C136" s="2"/>
      <c r="D136" s="2"/>
      <c r="E136" s="2"/>
      <c r="F136" s="2"/>
    </row>
    <row r="137" spans="1:6" x14ac:dyDescent="0.25">
      <c r="A137" s="2"/>
      <c r="B137" s="2"/>
      <c r="C137" s="2"/>
      <c r="D137" s="2"/>
      <c r="E137" s="2"/>
      <c r="F137" s="2"/>
    </row>
    <row r="138" spans="1:6" x14ac:dyDescent="0.25">
      <c r="A138" s="2"/>
      <c r="B138" s="2"/>
      <c r="C138" s="2"/>
      <c r="D138" s="2"/>
      <c r="E138" s="2"/>
      <c r="F138" s="2"/>
    </row>
    <row r="139" spans="1:6" x14ac:dyDescent="0.25">
      <c r="A139" s="2"/>
      <c r="B139" s="2"/>
      <c r="C139" s="2"/>
      <c r="D139" s="2"/>
      <c r="E139" s="2"/>
      <c r="F139" s="2"/>
    </row>
    <row r="140" spans="1:6" x14ac:dyDescent="0.25">
      <c r="A140" s="2"/>
      <c r="B140" s="2"/>
      <c r="C140" s="2"/>
      <c r="D140" s="2"/>
      <c r="E140" s="2"/>
      <c r="F140" s="2"/>
    </row>
    <row r="141" spans="1:6" x14ac:dyDescent="0.25">
      <c r="A141" s="2"/>
      <c r="B141" s="2"/>
      <c r="C141" s="2"/>
      <c r="D141" s="2"/>
      <c r="E141" s="2"/>
      <c r="F141" s="2"/>
    </row>
    <row r="142" spans="1:6" x14ac:dyDescent="0.25">
      <c r="A142" s="2"/>
      <c r="B142" s="2"/>
      <c r="C142" s="2"/>
      <c r="D142" s="2"/>
      <c r="E142" s="2"/>
      <c r="F142" s="2"/>
    </row>
    <row r="143" spans="1:6" x14ac:dyDescent="0.25">
      <c r="A143" s="2"/>
      <c r="B143" s="2"/>
      <c r="C143" s="2"/>
      <c r="D143" s="2"/>
      <c r="E143" s="2"/>
      <c r="F143" s="2"/>
    </row>
    <row r="144" spans="1:6" x14ac:dyDescent="0.25">
      <c r="A144" s="2"/>
      <c r="B144" s="2"/>
      <c r="C144" s="2"/>
      <c r="D144" s="2"/>
      <c r="E144" s="2"/>
      <c r="F144" s="2"/>
    </row>
    <row r="145" spans="1:6" x14ac:dyDescent="0.25">
      <c r="A145" s="2"/>
      <c r="B145" s="2"/>
      <c r="C145" s="2"/>
      <c r="D145" s="2"/>
      <c r="E145" s="2"/>
      <c r="F145" s="2"/>
    </row>
    <row r="146" spans="1:6" x14ac:dyDescent="0.25">
      <c r="A146" s="2"/>
      <c r="B146" s="2"/>
      <c r="C146" s="2"/>
      <c r="D146" s="2"/>
      <c r="E146" s="2"/>
      <c r="F146" s="2"/>
    </row>
    <row r="147" spans="1:6" x14ac:dyDescent="0.25">
      <c r="A147" s="2"/>
      <c r="B147" s="2"/>
      <c r="C147" s="2"/>
      <c r="D147" s="2"/>
      <c r="E147" s="2"/>
      <c r="F147" s="2"/>
    </row>
    <row r="148" spans="1:6" x14ac:dyDescent="0.25">
      <c r="A148" s="2"/>
      <c r="B148" s="2"/>
      <c r="C148" s="2"/>
      <c r="D148" s="2"/>
      <c r="E148" s="2"/>
      <c r="F148" s="2"/>
    </row>
    <row r="149" spans="1:6" x14ac:dyDescent="0.25">
      <c r="A149" s="2"/>
      <c r="B149" s="2"/>
      <c r="C149" s="2"/>
      <c r="D149" s="2"/>
      <c r="E149" s="2"/>
      <c r="F149" s="2"/>
    </row>
    <row r="150" spans="1:6" x14ac:dyDescent="0.25">
      <c r="A150" s="2"/>
      <c r="B150" s="2"/>
      <c r="C150" s="2"/>
      <c r="D150" s="2"/>
      <c r="E150" s="2"/>
      <c r="F150" s="2"/>
    </row>
    <row r="151" spans="1:6" x14ac:dyDescent="0.25">
      <c r="A151" s="2"/>
      <c r="B151" s="2"/>
      <c r="C151" s="2"/>
      <c r="D151" s="2"/>
      <c r="E151" s="2"/>
      <c r="F151" s="2"/>
    </row>
    <row r="152" spans="1:6" x14ac:dyDescent="0.25">
      <c r="A152" s="2"/>
      <c r="B152" s="2"/>
      <c r="C152" s="2"/>
      <c r="D152" s="2"/>
      <c r="E152" s="2"/>
      <c r="F152" s="2"/>
    </row>
    <row r="153" spans="1:6" x14ac:dyDescent="0.25">
      <c r="A153" s="2"/>
      <c r="B153" s="2"/>
      <c r="C153" s="2"/>
      <c r="D153" s="2"/>
      <c r="E153" s="2"/>
      <c r="F153" s="2"/>
    </row>
    <row r="154" spans="1:6" x14ac:dyDescent="0.25">
      <c r="A154" s="2"/>
      <c r="B154" s="2"/>
      <c r="C154" s="2"/>
      <c r="D154" s="2"/>
      <c r="E154" s="2"/>
      <c r="F154" s="2"/>
    </row>
    <row r="155" spans="1:6" x14ac:dyDescent="0.25">
      <c r="A155" s="2"/>
      <c r="B155" s="2"/>
      <c r="C155" s="2"/>
      <c r="D155" s="2"/>
      <c r="E155" s="2"/>
      <c r="F155" s="2"/>
    </row>
    <row r="156" spans="1:6" x14ac:dyDescent="0.25">
      <c r="A156" s="2"/>
      <c r="B156" s="2"/>
      <c r="C156" s="2"/>
      <c r="D156" s="2"/>
      <c r="E156" s="2"/>
      <c r="F156" s="2"/>
    </row>
    <row r="157" spans="1:6" x14ac:dyDescent="0.25">
      <c r="A157" s="2"/>
      <c r="B157" s="2"/>
      <c r="C157" s="2"/>
      <c r="D157" s="2"/>
      <c r="E157" s="2"/>
      <c r="F157" s="2"/>
    </row>
    <row r="158" spans="1:6" x14ac:dyDescent="0.25">
      <c r="A158" s="2"/>
      <c r="B158" s="2"/>
      <c r="C158" s="2"/>
      <c r="D158" s="2"/>
      <c r="E158" s="2"/>
      <c r="F158" s="2"/>
    </row>
    <row r="159" spans="1:6" x14ac:dyDescent="0.25">
      <c r="A159" s="2"/>
      <c r="B159" s="2"/>
      <c r="C159" s="2"/>
      <c r="D159" s="2"/>
      <c r="E159" s="2"/>
      <c r="F159" s="2"/>
    </row>
    <row r="160" spans="1:6" x14ac:dyDescent="0.25">
      <c r="A160" s="2"/>
      <c r="B160" s="2"/>
      <c r="C160" s="2"/>
      <c r="D160" s="2"/>
      <c r="E160" s="2"/>
      <c r="F160" s="2"/>
    </row>
    <row r="161" spans="1:6" x14ac:dyDescent="0.25">
      <c r="A161" s="2"/>
      <c r="B161" s="2"/>
      <c r="C161" s="2"/>
      <c r="D161" s="2"/>
      <c r="E161" s="2"/>
      <c r="F161" s="2"/>
    </row>
    <row r="162" spans="1:6" x14ac:dyDescent="0.25">
      <c r="A162" s="2"/>
      <c r="B162" s="2"/>
      <c r="C162" s="2"/>
      <c r="D162" s="2"/>
      <c r="E162" s="2"/>
      <c r="F162" s="2"/>
    </row>
    <row r="163" spans="1:6" x14ac:dyDescent="0.25">
      <c r="A163" s="2"/>
      <c r="B163" s="2"/>
      <c r="C163" s="2"/>
      <c r="D163" s="2"/>
      <c r="E163" s="2"/>
      <c r="F163" s="2"/>
    </row>
    <row r="164" spans="1:6" x14ac:dyDescent="0.25">
      <c r="A164" s="2"/>
      <c r="B164" s="2"/>
      <c r="C164" s="2"/>
      <c r="D164" s="2"/>
      <c r="E164" s="2"/>
      <c r="F164" s="2"/>
    </row>
    <row r="165" spans="1:6" x14ac:dyDescent="0.25">
      <c r="A165" s="2"/>
      <c r="B165" s="2"/>
      <c r="C165" s="2"/>
      <c r="D165" s="2"/>
      <c r="E165" s="2"/>
      <c r="F165" s="2"/>
    </row>
    <row r="166" spans="1:6" x14ac:dyDescent="0.25">
      <c r="A166" s="2"/>
      <c r="B166" s="2"/>
      <c r="C166" s="2"/>
      <c r="D166" s="2"/>
      <c r="E166" s="2"/>
      <c r="F166" s="2"/>
    </row>
    <row r="167" spans="1:6" x14ac:dyDescent="0.25">
      <c r="A167" s="2"/>
      <c r="B167" s="2"/>
      <c r="C167" s="2"/>
      <c r="D167" s="2"/>
      <c r="E167" s="2"/>
      <c r="F167" s="2"/>
    </row>
    <row r="168" spans="1:6" x14ac:dyDescent="0.25">
      <c r="A168" s="2"/>
      <c r="B168" s="2"/>
      <c r="C168" s="2"/>
      <c r="D168" s="2"/>
      <c r="E168" s="2"/>
      <c r="F168" s="2"/>
    </row>
    <row r="169" spans="1:6" x14ac:dyDescent="0.25">
      <c r="A169" s="2"/>
      <c r="B169" s="2"/>
      <c r="C169" s="2"/>
      <c r="D169" s="2"/>
      <c r="E169" s="2"/>
      <c r="F169" s="2"/>
    </row>
    <row r="170" spans="1:6" x14ac:dyDescent="0.25">
      <c r="A170" s="2"/>
      <c r="B170" s="2"/>
      <c r="C170" s="2"/>
      <c r="D170" s="2"/>
      <c r="E170" s="2"/>
      <c r="F170" s="2"/>
    </row>
    <row r="171" spans="1:6" x14ac:dyDescent="0.25">
      <c r="A171" s="2"/>
      <c r="B171" s="2"/>
      <c r="C171" s="2"/>
      <c r="D171" s="2"/>
      <c r="E171" s="2"/>
      <c r="F171" s="2"/>
    </row>
    <row r="172" spans="1:6" x14ac:dyDescent="0.25">
      <c r="A172" s="2"/>
      <c r="B172" s="2"/>
      <c r="C172" s="2"/>
      <c r="D172" s="2"/>
      <c r="E172" s="2"/>
      <c r="F172" s="2"/>
    </row>
    <row r="173" spans="1:6" x14ac:dyDescent="0.25">
      <c r="A173" s="2"/>
      <c r="B173" s="2"/>
      <c r="C173" s="2"/>
      <c r="D173" s="2"/>
      <c r="E173" s="2"/>
      <c r="F173" s="2"/>
    </row>
    <row r="174" spans="1:6" x14ac:dyDescent="0.25">
      <c r="A174" s="2"/>
      <c r="B174" s="2"/>
      <c r="C174" s="2"/>
      <c r="D174" s="2"/>
      <c r="E174" s="2"/>
      <c r="F174" s="2"/>
    </row>
    <row r="175" spans="1:6" x14ac:dyDescent="0.25">
      <c r="A175" s="2"/>
      <c r="B175" s="2"/>
      <c r="C175" s="2"/>
      <c r="D175" s="2"/>
      <c r="E175" s="2"/>
      <c r="F175" s="2"/>
    </row>
    <row r="176" spans="1:6" x14ac:dyDescent="0.25">
      <c r="A176" s="2"/>
      <c r="B176" s="2"/>
      <c r="C176" s="2"/>
      <c r="D176" s="2"/>
      <c r="E176" s="2"/>
      <c r="F176" s="2"/>
    </row>
    <row r="177" spans="1:6" x14ac:dyDescent="0.25">
      <c r="A177" s="2"/>
      <c r="B177" s="2"/>
      <c r="C177" s="2"/>
      <c r="D177" s="2"/>
      <c r="E177" s="2"/>
      <c r="F177" s="2"/>
    </row>
    <row r="178" spans="1:6" x14ac:dyDescent="0.25">
      <c r="A178" s="2"/>
      <c r="B178" s="2"/>
      <c r="C178" s="2"/>
      <c r="D178" s="2"/>
      <c r="E178" s="2"/>
      <c r="F178" s="2"/>
    </row>
    <row r="179" spans="1:6" x14ac:dyDescent="0.25">
      <c r="A179" s="2"/>
      <c r="B179" s="2"/>
      <c r="C179" s="2"/>
      <c r="D179" s="2"/>
      <c r="E179" s="2"/>
      <c r="F179" s="2"/>
    </row>
    <row r="180" spans="1:6" x14ac:dyDescent="0.25">
      <c r="A180" s="2"/>
      <c r="B180" s="2"/>
      <c r="C180" s="2"/>
      <c r="D180" s="2"/>
      <c r="E180" s="2"/>
      <c r="F180" s="2"/>
    </row>
    <row r="181" spans="1:6" x14ac:dyDescent="0.25">
      <c r="A181" s="2"/>
      <c r="B181" s="2"/>
      <c r="C181" s="2"/>
      <c r="D181" s="2"/>
      <c r="E181" s="2"/>
      <c r="F181" s="2"/>
    </row>
    <row r="182" spans="1:6" x14ac:dyDescent="0.25">
      <c r="A182" s="2"/>
      <c r="B182" s="2"/>
      <c r="C182" s="2"/>
      <c r="D182" s="2"/>
      <c r="E182" s="2"/>
      <c r="F182" s="2"/>
    </row>
    <row r="183" spans="1:6" x14ac:dyDescent="0.25">
      <c r="A183" s="2"/>
      <c r="B183" s="2"/>
      <c r="C183" s="2"/>
      <c r="D183" s="2"/>
      <c r="E183" s="2"/>
      <c r="F183" s="2"/>
    </row>
    <row r="184" spans="1:6" x14ac:dyDescent="0.25">
      <c r="A184" s="2"/>
      <c r="B184" s="2"/>
      <c r="C184" s="2"/>
      <c r="D184" s="2"/>
      <c r="E184" s="2"/>
      <c r="F184" s="2"/>
    </row>
    <row r="185" spans="1:6" x14ac:dyDescent="0.25">
      <c r="A185" s="2"/>
      <c r="B185" s="2"/>
      <c r="C185" s="2"/>
      <c r="D185" s="2"/>
      <c r="E185" s="2"/>
      <c r="F185" s="2"/>
    </row>
    <row r="186" spans="1:6" x14ac:dyDescent="0.25">
      <c r="A186" s="2"/>
      <c r="B186" s="2"/>
      <c r="C186" s="2"/>
      <c r="D186" s="2"/>
      <c r="E186" s="2"/>
      <c r="F186" s="2"/>
    </row>
    <row r="187" spans="1:6" x14ac:dyDescent="0.25">
      <c r="A187" s="2"/>
      <c r="B187" s="2"/>
      <c r="C187" s="2"/>
      <c r="D187" s="2"/>
      <c r="E187" s="2"/>
      <c r="F187" s="2"/>
    </row>
    <row r="188" spans="1:6" x14ac:dyDescent="0.25">
      <c r="A188" s="2"/>
      <c r="B188" s="2"/>
      <c r="C188" s="2"/>
      <c r="D188" s="2"/>
      <c r="E188" s="2"/>
      <c r="F188" s="2"/>
    </row>
    <row r="189" spans="1:6" x14ac:dyDescent="0.25">
      <c r="A189" s="2"/>
      <c r="B189" s="2"/>
      <c r="C189" s="2"/>
      <c r="D189" s="2"/>
      <c r="E189" s="2"/>
      <c r="F189" s="2"/>
    </row>
    <row r="190" spans="1:6" x14ac:dyDescent="0.25">
      <c r="A190" s="2"/>
      <c r="B190" s="2"/>
      <c r="C190" s="2"/>
      <c r="D190" s="2"/>
      <c r="E190" s="2"/>
      <c r="F190" s="2"/>
    </row>
    <row r="191" spans="1:6" x14ac:dyDescent="0.25">
      <c r="A191" s="2"/>
      <c r="B191" s="2"/>
      <c r="C191" s="2"/>
      <c r="D191" s="2"/>
      <c r="E191" s="2"/>
      <c r="F191" s="2"/>
    </row>
    <row r="192" spans="1:6" x14ac:dyDescent="0.25">
      <c r="A192" s="2"/>
      <c r="B192" s="2"/>
      <c r="C192" s="2"/>
      <c r="D192" s="2"/>
      <c r="E192" s="2"/>
      <c r="F192" s="2"/>
    </row>
    <row r="193" spans="1:6" x14ac:dyDescent="0.25">
      <c r="A193" s="2"/>
      <c r="B193" s="2"/>
      <c r="C193" s="2"/>
      <c r="D193" s="2"/>
      <c r="E193" s="2"/>
      <c r="F193" s="2"/>
    </row>
    <row r="194" spans="1:6" x14ac:dyDescent="0.25">
      <c r="A194" s="2"/>
      <c r="B194" s="2"/>
      <c r="C194" s="2"/>
      <c r="D194" s="2"/>
      <c r="E194" s="2"/>
      <c r="F194" s="2"/>
    </row>
    <row r="195" spans="1:6" x14ac:dyDescent="0.25">
      <c r="A195" s="2"/>
      <c r="B195" s="2"/>
      <c r="C195" s="2"/>
      <c r="D195" s="2"/>
      <c r="E195" s="2"/>
      <c r="F195" s="2"/>
    </row>
    <row r="196" spans="1:6" x14ac:dyDescent="0.25">
      <c r="A196" s="2"/>
      <c r="B196" s="2"/>
      <c r="C196" s="2"/>
      <c r="D196" s="2"/>
      <c r="E196" s="2"/>
      <c r="F196" s="2"/>
    </row>
    <row r="197" spans="1:6" x14ac:dyDescent="0.25">
      <c r="A197" s="2"/>
      <c r="B197" s="2"/>
      <c r="C197" s="2"/>
      <c r="D197" s="2"/>
      <c r="E197" s="2"/>
      <c r="F197" s="2"/>
    </row>
    <row r="198" spans="1:6" x14ac:dyDescent="0.25">
      <c r="A198" s="2"/>
      <c r="B198" s="2"/>
      <c r="C198" s="2"/>
      <c r="D198" s="2"/>
      <c r="E198" s="2"/>
      <c r="F198" s="2"/>
    </row>
    <row r="199" spans="1:6" x14ac:dyDescent="0.25">
      <c r="A199" s="2"/>
      <c r="B199" s="2"/>
      <c r="C199" s="2"/>
      <c r="D199" s="2"/>
      <c r="E199" s="2"/>
      <c r="F199" s="2"/>
    </row>
    <row r="200" spans="1:6" x14ac:dyDescent="0.25">
      <c r="A200" s="2"/>
      <c r="B200" s="2"/>
      <c r="C200" s="2"/>
      <c r="D200" s="2"/>
      <c r="E200" s="2"/>
      <c r="F200" s="2"/>
    </row>
    <row r="201" spans="1:6" x14ac:dyDescent="0.25">
      <c r="A201" s="2"/>
      <c r="B201" s="2"/>
      <c r="C201" s="2"/>
      <c r="D201" s="2"/>
      <c r="E201" s="2"/>
      <c r="F201" s="2"/>
    </row>
    <row r="202" spans="1:6" x14ac:dyDescent="0.25">
      <c r="A202" s="2"/>
      <c r="B202" s="2"/>
      <c r="C202" s="2"/>
      <c r="D202" s="2"/>
      <c r="E202" s="2"/>
      <c r="F202" s="2"/>
    </row>
    <row r="203" spans="1:6" x14ac:dyDescent="0.25">
      <c r="A203" s="2"/>
      <c r="B203" s="2"/>
      <c r="C203" s="2"/>
      <c r="D203" s="2"/>
      <c r="E203" s="2"/>
      <c r="F203" s="2"/>
    </row>
    <row r="204" spans="1:6" x14ac:dyDescent="0.25">
      <c r="A204" s="2"/>
      <c r="B204" s="2"/>
      <c r="C204" s="2"/>
      <c r="D204" s="2"/>
      <c r="E204" s="2"/>
      <c r="F204" s="2"/>
    </row>
    <row r="205" spans="1:6" x14ac:dyDescent="0.25">
      <c r="A205" s="2"/>
      <c r="B205" s="2"/>
      <c r="C205" s="2"/>
      <c r="D205" s="2"/>
      <c r="E205" s="2"/>
      <c r="F205" s="2"/>
    </row>
    <row r="206" spans="1:6" x14ac:dyDescent="0.25">
      <c r="A206" s="2"/>
      <c r="B206" s="2"/>
      <c r="C206" s="2"/>
      <c r="D206" s="2"/>
      <c r="E206" s="2"/>
      <c r="F206" s="2"/>
    </row>
    <row r="207" spans="1:6" x14ac:dyDescent="0.25">
      <c r="A207" s="2"/>
      <c r="B207" s="2"/>
      <c r="C207" s="2"/>
      <c r="D207" s="2"/>
      <c r="E207" s="2"/>
      <c r="F207" s="2"/>
    </row>
    <row r="208" spans="1:6" x14ac:dyDescent="0.25">
      <c r="A208" s="2"/>
      <c r="B208" s="2"/>
      <c r="C208" s="2"/>
      <c r="D208" s="2"/>
      <c r="E208" s="2"/>
      <c r="F208" s="2"/>
    </row>
    <row r="209" spans="1:6" x14ac:dyDescent="0.25">
      <c r="A209" s="2"/>
      <c r="B209" s="2"/>
      <c r="C209" s="2"/>
      <c r="D209" s="2"/>
      <c r="E209" s="2"/>
      <c r="F209" s="2"/>
    </row>
    <row r="210" spans="1:6" x14ac:dyDescent="0.25">
      <c r="A210" s="2"/>
      <c r="B210" s="2"/>
      <c r="C210" s="2"/>
      <c r="D210" s="2"/>
      <c r="E210" s="2"/>
      <c r="F210" s="2"/>
    </row>
    <row r="211" spans="1:6" x14ac:dyDescent="0.25">
      <c r="A211" s="2"/>
      <c r="B211" s="2"/>
      <c r="C211" s="2"/>
      <c r="D211" s="2"/>
      <c r="E211" s="2"/>
      <c r="F211" s="2"/>
    </row>
    <row r="212" spans="1:6" x14ac:dyDescent="0.25">
      <c r="A212" s="2"/>
      <c r="B212" s="2"/>
      <c r="C212" s="2"/>
      <c r="D212" s="2"/>
      <c r="E212" s="2"/>
      <c r="F212" s="2"/>
    </row>
    <row r="213" spans="1:6" x14ac:dyDescent="0.25">
      <c r="A213" s="2"/>
      <c r="B213" s="2"/>
      <c r="C213" s="2"/>
      <c r="D213" s="2"/>
      <c r="E213" s="2"/>
      <c r="F213" s="2"/>
    </row>
    <row r="214" spans="1:6" x14ac:dyDescent="0.25">
      <c r="A214" s="2"/>
      <c r="B214" s="2"/>
      <c r="C214" s="2"/>
      <c r="D214" s="2"/>
      <c r="E214" s="2"/>
      <c r="F214" s="2"/>
    </row>
    <row r="215" spans="1:6" x14ac:dyDescent="0.25">
      <c r="A215" s="2"/>
      <c r="B215" s="2"/>
      <c r="C215" s="2"/>
      <c r="D215" s="2"/>
      <c r="E215" s="2"/>
      <c r="F215" s="2"/>
    </row>
    <row r="216" spans="1:6" x14ac:dyDescent="0.25">
      <c r="A216" s="2"/>
      <c r="B216" s="2"/>
      <c r="C216" s="2"/>
      <c r="D216" s="2"/>
      <c r="E216" s="2"/>
      <c r="F216" s="2"/>
    </row>
    <row r="217" spans="1:6" x14ac:dyDescent="0.25">
      <c r="A217" s="2"/>
      <c r="B217" s="2"/>
      <c r="C217" s="2"/>
      <c r="D217" s="2"/>
      <c r="E217" s="2"/>
      <c r="F217" s="2"/>
    </row>
    <row r="218" spans="1:6" x14ac:dyDescent="0.25">
      <c r="A218" s="2"/>
      <c r="B218" s="2"/>
      <c r="C218" s="2"/>
      <c r="D218" s="2"/>
      <c r="E218" s="2"/>
      <c r="F218" s="2"/>
    </row>
    <row r="219" spans="1:6" x14ac:dyDescent="0.25">
      <c r="A219" s="2"/>
      <c r="B219" s="2"/>
      <c r="C219" s="2"/>
      <c r="D219" s="2"/>
      <c r="E219" s="2"/>
      <c r="F219" s="2"/>
    </row>
    <row r="220" spans="1:6" x14ac:dyDescent="0.25">
      <c r="A220" s="2"/>
      <c r="B220" s="2"/>
      <c r="C220" s="2"/>
      <c r="D220" s="2"/>
      <c r="E220" s="2"/>
      <c r="F220" s="2"/>
    </row>
    <row r="221" spans="1:6" x14ac:dyDescent="0.25">
      <c r="A221" s="2"/>
      <c r="B221" s="2"/>
      <c r="C221" s="2"/>
      <c r="D221" s="2"/>
      <c r="E221" s="2"/>
      <c r="F221" s="2"/>
    </row>
    <row r="222" spans="1:6" x14ac:dyDescent="0.25">
      <c r="A222" s="2"/>
      <c r="B222" s="2"/>
      <c r="C222" s="2"/>
      <c r="D222" s="2"/>
      <c r="E222" s="2"/>
      <c r="F222" s="2"/>
    </row>
    <row r="223" spans="1:6" x14ac:dyDescent="0.25">
      <c r="A223" s="2"/>
      <c r="B223" s="2"/>
      <c r="C223" s="2"/>
      <c r="D223" s="2"/>
      <c r="E223" s="2"/>
      <c r="F223" s="2"/>
    </row>
    <row r="224" spans="1:6" x14ac:dyDescent="0.25">
      <c r="A224" s="2"/>
      <c r="B224" s="2"/>
      <c r="C224" s="2"/>
      <c r="D224" s="2"/>
      <c r="E224" s="2"/>
      <c r="F224" s="2"/>
    </row>
    <row r="225" spans="1:6" x14ac:dyDescent="0.25">
      <c r="A225" s="2"/>
      <c r="B225" s="2"/>
      <c r="C225" s="2"/>
      <c r="D225" s="2"/>
      <c r="E225" s="2"/>
      <c r="F225" s="2"/>
    </row>
    <row r="226" spans="1:6" x14ac:dyDescent="0.25">
      <c r="A226" s="2"/>
      <c r="B226" s="2"/>
      <c r="C226" s="2"/>
      <c r="D226" s="2"/>
      <c r="E226" s="2"/>
      <c r="F226" s="2"/>
    </row>
    <row r="227" spans="1:6" x14ac:dyDescent="0.25">
      <c r="A227" s="2"/>
      <c r="B227" s="2"/>
      <c r="C227" s="2"/>
      <c r="D227" s="2"/>
      <c r="E227" s="2"/>
      <c r="F227" s="2"/>
    </row>
    <row r="228" spans="1:6" x14ac:dyDescent="0.25">
      <c r="A228" s="2"/>
      <c r="B228" s="2"/>
      <c r="C228" s="2"/>
      <c r="D228" s="2"/>
      <c r="E228" s="2"/>
      <c r="F228" s="2"/>
    </row>
    <row r="229" spans="1:6" x14ac:dyDescent="0.25">
      <c r="A229" s="2"/>
      <c r="B229" s="2"/>
      <c r="C229" s="2"/>
      <c r="D229" s="2"/>
      <c r="E229" s="2"/>
      <c r="F229" s="2"/>
    </row>
    <row r="230" spans="1:6" x14ac:dyDescent="0.25">
      <c r="A230" s="2"/>
      <c r="B230" s="2"/>
      <c r="C230" s="2"/>
      <c r="D230" s="2"/>
      <c r="E230" s="2"/>
      <c r="F230" s="2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240" spans="1:6" x14ac:dyDescent="0.25">
      <c r="A240" s="2"/>
      <c r="B240" s="2"/>
      <c r="C240" s="2"/>
      <c r="D240" s="2"/>
      <c r="E240" s="2"/>
      <c r="F240" s="2"/>
    </row>
    <row r="241" spans="1:6" x14ac:dyDescent="0.25">
      <c r="A241" s="2"/>
      <c r="B241" s="2"/>
      <c r="C241" s="2"/>
      <c r="D241" s="2"/>
      <c r="E241" s="2"/>
      <c r="F241" s="2"/>
    </row>
    <row r="242" spans="1:6" x14ac:dyDescent="0.25">
      <c r="A242" s="2"/>
      <c r="B242" s="2"/>
      <c r="C242" s="2"/>
      <c r="D242" s="2"/>
      <c r="E242" s="2"/>
      <c r="F242" s="2"/>
    </row>
    <row r="243" spans="1:6" x14ac:dyDescent="0.25">
      <c r="A243" s="2"/>
      <c r="B243" s="2"/>
      <c r="C243" s="2"/>
      <c r="D243" s="2"/>
      <c r="E243" s="2"/>
      <c r="F243" s="2"/>
    </row>
    <row r="244" spans="1:6" x14ac:dyDescent="0.25">
      <c r="A244" s="2"/>
      <c r="B244" s="2"/>
      <c r="C244" s="2"/>
      <c r="D244" s="2"/>
      <c r="E244" s="2"/>
      <c r="F244" s="2"/>
    </row>
    <row r="245" spans="1:6" x14ac:dyDescent="0.25">
      <c r="A245" s="2"/>
      <c r="B245" s="2"/>
      <c r="C245" s="2"/>
      <c r="D245" s="2"/>
      <c r="E245" s="2"/>
      <c r="F245" s="2"/>
    </row>
    <row r="246" spans="1:6" x14ac:dyDescent="0.25">
      <c r="A246" s="2"/>
      <c r="B246" s="2"/>
      <c r="C246" s="2"/>
      <c r="D246" s="2"/>
      <c r="E246" s="2"/>
      <c r="F246" s="2"/>
    </row>
    <row r="247" spans="1:6" x14ac:dyDescent="0.25">
      <c r="A247" s="2"/>
      <c r="B247" s="2"/>
      <c r="C247" s="2"/>
      <c r="D247" s="2"/>
      <c r="E247" s="2"/>
      <c r="F247" s="2"/>
    </row>
    <row r="248" spans="1:6" x14ac:dyDescent="0.25">
      <c r="A248" s="2"/>
      <c r="B248" s="2"/>
      <c r="C248" s="2"/>
      <c r="D248" s="2"/>
      <c r="E248" s="2"/>
      <c r="F248" s="2"/>
    </row>
    <row r="249" spans="1:6" x14ac:dyDescent="0.25">
      <c r="A249" s="2"/>
      <c r="B249" s="2"/>
      <c r="C249" s="2"/>
      <c r="D249" s="2"/>
      <c r="E249" s="2"/>
      <c r="F249" s="2"/>
    </row>
    <row r="250" spans="1:6" x14ac:dyDescent="0.25">
      <c r="A250" s="2"/>
      <c r="B250" s="2"/>
      <c r="C250" s="2"/>
      <c r="D250" s="2"/>
      <c r="E250" s="2"/>
      <c r="F250" s="2"/>
    </row>
    <row r="251" spans="1:6" x14ac:dyDescent="0.25">
      <c r="A251" s="2"/>
      <c r="B251" s="2"/>
      <c r="C251" s="2"/>
      <c r="D251" s="2"/>
      <c r="E251" s="2"/>
      <c r="F251" s="2"/>
    </row>
    <row r="252" spans="1:6" x14ac:dyDescent="0.25">
      <c r="A252" s="2"/>
      <c r="B252" s="2"/>
      <c r="C252" s="2"/>
      <c r="D252" s="2"/>
      <c r="E252" s="2"/>
      <c r="F252" s="2"/>
    </row>
    <row r="253" spans="1:6" x14ac:dyDescent="0.25">
      <c r="A253" s="2"/>
      <c r="B253" s="2"/>
      <c r="C253" s="2"/>
      <c r="D253" s="2"/>
      <c r="E253" s="2"/>
      <c r="F253" s="2"/>
    </row>
    <row r="254" spans="1:6" x14ac:dyDescent="0.25">
      <c r="A254" s="2"/>
      <c r="B254" s="2"/>
      <c r="C254" s="2"/>
      <c r="D254" s="2"/>
      <c r="E254" s="2"/>
      <c r="F254" s="2"/>
    </row>
    <row r="255" spans="1:6" x14ac:dyDescent="0.25">
      <c r="A255" s="2"/>
      <c r="B255" s="2"/>
      <c r="C255" s="2"/>
      <c r="D255" s="2"/>
      <c r="E255" s="2"/>
      <c r="F255" s="2"/>
    </row>
    <row r="256" spans="1:6" x14ac:dyDescent="0.25">
      <c r="A256" s="2"/>
      <c r="B256" s="2"/>
      <c r="C256" s="2"/>
      <c r="D256" s="2"/>
      <c r="E256" s="2"/>
      <c r="F256" s="2"/>
    </row>
    <row r="257" spans="1:6" x14ac:dyDescent="0.25">
      <c r="A257" s="2"/>
      <c r="B257" s="2"/>
      <c r="C257" s="2"/>
      <c r="D257" s="2"/>
      <c r="E257" s="2"/>
      <c r="F257" s="2"/>
    </row>
    <row r="258" spans="1:6" x14ac:dyDescent="0.25">
      <c r="A258" s="2"/>
      <c r="B258" s="2"/>
      <c r="C258" s="2"/>
      <c r="D258" s="2"/>
      <c r="E258" s="2"/>
      <c r="F258" s="2"/>
    </row>
    <row r="259" spans="1:6" x14ac:dyDescent="0.25">
      <c r="A259" s="2"/>
      <c r="B259" s="2"/>
      <c r="C259" s="2"/>
      <c r="D259" s="2"/>
      <c r="E259" s="2"/>
      <c r="F259" s="2"/>
    </row>
    <row r="260" spans="1:6" x14ac:dyDescent="0.25">
      <c r="A260" s="2"/>
      <c r="B260" s="2"/>
      <c r="C260" s="2"/>
      <c r="D260" s="2"/>
      <c r="E260" s="2"/>
      <c r="F260" s="2"/>
    </row>
    <row r="261" spans="1:6" x14ac:dyDescent="0.25">
      <c r="A261" s="2"/>
      <c r="B261" s="2"/>
      <c r="C261" s="2"/>
      <c r="D261" s="2"/>
      <c r="E261" s="2"/>
      <c r="F261" s="2"/>
    </row>
    <row r="262" spans="1:6" x14ac:dyDescent="0.25">
      <c r="A262" s="2"/>
      <c r="B262" s="2"/>
      <c r="C262" s="2"/>
      <c r="D262" s="2"/>
      <c r="E262" s="2"/>
      <c r="F262" s="2"/>
    </row>
    <row r="263" spans="1:6" x14ac:dyDescent="0.25">
      <c r="A263" s="2"/>
      <c r="B263" s="2"/>
      <c r="C263" s="2"/>
      <c r="D263" s="2"/>
      <c r="E263" s="2"/>
      <c r="F263" s="2"/>
    </row>
    <row r="264" spans="1:6" x14ac:dyDescent="0.25">
      <c r="A264" s="2"/>
      <c r="B264" s="2"/>
      <c r="C264" s="2"/>
      <c r="D264" s="2"/>
      <c r="E264" s="2"/>
      <c r="F264" s="2"/>
    </row>
    <row r="265" spans="1:6" x14ac:dyDescent="0.25">
      <c r="A265" s="2"/>
      <c r="B265" s="2"/>
      <c r="C265" s="2"/>
      <c r="D265" s="2"/>
      <c r="E265" s="2"/>
      <c r="F265" s="2"/>
    </row>
    <row r="266" spans="1:6" x14ac:dyDescent="0.25">
      <c r="A266" s="2"/>
      <c r="B266" s="2"/>
      <c r="C266" s="2"/>
      <c r="D266" s="2"/>
      <c r="E266" s="2"/>
      <c r="F266" s="2"/>
    </row>
    <row r="267" spans="1:6" x14ac:dyDescent="0.25">
      <c r="A267" s="2"/>
      <c r="B267" s="2"/>
      <c r="C267" s="2"/>
      <c r="D267" s="2"/>
      <c r="E267" s="2"/>
      <c r="F267" s="2"/>
    </row>
    <row r="268" spans="1:6" x14ac:dyDescent="0.25">
      <c r="A268" s="2"/>
      <c r="B268" s="2"/>
      <c r="C268" s="2"/>
      <c r="D268" s="2"/>
      <c r="E268" s="2"/>
      <c r="F268" s="2"/>
    </row>
    <row r="269" spans="1:6" x14ac:dyDescent="0.25">
      <c r="A269" s="2"/>
      <c r="B269" s="2"/>
      <c r="C269" s="2"/>
      <c r="D269" s="2"/>
      <c r="E269" s="2"/>
      <c r="F269" s="2"/>
    </row>
    <row r="270" spans="1:6" x14ac:dyDescent="0.25">
      <c r="A270" s="2"/>
      <c r="B270" s="2"/>
      <c r="C270" s="2"/>
      <c r="D270" s="2"/>
      <c r="E270" s="2"/>
      <c r="F270" s="2"/>
    </row>
    <row r="271" spans="1:6" x14ac:dyDescent="0.25">
      <c r="A271" s="2"/>
      <c r="B271" s="2"/>
      <c r="C271" s="2"/>
      <c r="D271" s="2"/>
      <c r="E271" s="2"/>
      <c r="F271" s="2"/>
    </row>
    <row r="272" spans="1:6" x14ac:dyDescent="0.25">
      <c r="A272" s="2"/>
      <c r="B272" s="2"/>
      <c r="C272" s="2"/>
      <c r="D272" s="2"/>
      <c r="E272" s="2"/>
      <c r="F272" s="2"/>
    </row>
    <row r="273" spans="1:6" x14ac:dyDescent="0.25">
      <c r="A273" s="2"/>
      <c r="B273" s="2"/>
      <c r="C273" s="2"/>
      <c r="D273" s="2"/>
      <c r="E273" s="2"/>
      <c r="F273" s="2"/>
    </row>
    <row r="274" spans="1:6" x14ac:dyDescent="0.25">
      <c r="A274" s="2"/>
      <c r="B274" s="2"/>
      <c r="C274" s="2"/>
      <c r="D274" s="2"/>
      <c r="E274" s="2"/>
      <c r="F274" s="2"/>
    </row>
    <row r="275" spans="1:6" x14ac:dyDescent="0.25">
      <c r="A275" s="2"/>
      <c r="B275" s="2"/>
      <c r="C275" s="2"/>
      <c r="D275" s="2"/>
      <c r="E275" s="2"/>
      <c r="F275" s="2"/>
    </row>
    <row r="276" spans="1:6" x14ac:dyDescent="0.25">
      <c r="A276" s="2"/>
      <c r="B276" s="2"/>
      <c r="C276" s="2"/>
      <c r="D276" s="2"/>
      <c r="E276" s="2"/>
      <c r="F276" s="2"/>
    </row>
    <row r="277" spans="1:6" x14ac:dyDescent="0.25">
      <c r="A277" s="2"/>
      <c r="B277" s="2"/>
      <c r="C277" s="2"/>
      <c r="D277" s="2"/>
      <c r="E277" s="2"/>
      <c r="F277" s="2"/>
    </row>
    <row r="278" spans="1:6" x14ac:dyDescent="0.25">
      <c r="A278" s="2"/>
      <c r="B278" s="2"/>
      <c r="C278" s="2"/>
      <c r="D278" s="2"/>
      <c r="E278" s="2"/>
      <c r="F278" s="2"/>
    </row>
    <row r="279" spans="1:6" x14ac:dyDescent="0.25">
      <c r="A279" s="2"/>
      <c r="B279" s="2"/>
      <c r="C279" s="2"/>
      <c r="D279" s="2"/>
      <c r="E279" s="2"/>
      <c r="F279" s="2"/>
    </row>
    <row r="280" spans="1:6" x14ac:dyDescent="0.25">
      <c r="A280" s="2"/>
      <c r="B280" s="2"/>
      <c r="C280" s="2"/>
      <c r="D280" s="2"/>
      <c r="E280" s="2"/>
      <c r="F280" s="2"/>
    </row>
    <row r="281" spans="1:6" x14ac:dyDescent="0.25">
      <c r="A281" s="2"/>
      <c r="B281" s="2"/>
      <c r="C281" s="2"/>
      <c r="D281" s="2"/>
      <c r="E281" s="2"/>
      <c r="F281" s="2"/>
    </row>
    <row r="282" spans="1:6" x14ac:dyDescent="0.25">
      <c r="A282" s="2"/>
      <c r="B282" s="2"/>
      <c r="C282" s="2"/>
      <c r="D282" s="2"/>
      <c r="E282" s="2"/>
      <c r="F282" s="2"/>
    </row>
    <row r="283" spans="1:6" x14ac:dyDescent="0.25">
      <c r="A283" s="2"/>
      <c r="B283" s="2"/>
      <c r="C283" s="2"/>
      <c r="D283" s="2"/>
      <c r="E283" s="2"/>
      <c r="F283" s="2"/>
    </row>
    <row r="284" spans="1:6" x14ac:dyDescent="0.25">
      <c r="A284" s="2"/>
      <c r="B284" s="2"/>
      <c r="C284" s="2"/>
      <c r="D284" s="2"/>
      <c r="E284" s="2"/>
      <c r="F284" s="2"/>
    </row>
    <row r="285" spans="1:6" x14ac:dyDescent="0.25">
      <c r="A285" s="2"/>
      <c r="B285" s="2"/>
      <c r="C285" s="2"/>
      <c r="D285" s="2"/>
      <c r="E285" s="2"/>
      <c r="F285" s="2"/>
    </row>
    <row r="286" spans="1:6" x14ac:dyDescent="0.25">
      <c r="A286" s="2"/>
      <c r="B286" s="2"/>
      <c r="C286" s="2"/>
      <c r="D286" s="2"/>
      <c r="E286" s="2"/>
      <c r="F286" s="2"/>
    </row>
    <row r="287" spans="1:6" x14ac:dyDescent="0.25">
      <c r="A287" s="2"/>
      <c r="B287" s="2"/>
      <c r="C287" s="2"/>
      <c r="D287" s="2"/>
      <c r="E287" s="2"/>
      <c r="F287" s="2"/>
    </row>
    <row r="288" spans="1:6" x14ac:dyDescent="0.25">
      <c r="A288" s="2"/>
      <c r="B288" s="2"/>
      <c r="C288" s="2"/>
      <c r="D288" s="2"/>
      <c r="E288" s="2"/>
      <c r="F288" s="2"/>
    </row>
    <row r="289" spans="1:6" x14ac:dyDescent="0.25">
      <c r="A289" s="2"/>
      <c r="B289" s="2"/>
      <c r="C289" s="2"/>
      <c r="D289" s="2"/>
      <c r="E289" s="2"/>
      <c r="F289" s="2"/>
    </row>
    <row r="290" spans="1:6" x14ac:dyDescent="0.25">
      <c r="A290" s="2"/>
      <c r="B290" s="2"/>
      <c r="C290" s="2"/>
      <c r="D290" s="2"/>
      <c r="E290" s="2"/>
      <c r="F290" s="2"/>
    </row>
    <row r="291" spans="1:6" x14ac:dyDescent="0.25">
      <c r="A291" s="2"/>
      <c r="B291" s="2"/>
      <c r="C291" s="2"/>
      <c r="D291" s="2"/>
      <c r="E291" s="2"/>
      <c r="F291" s="2"/>
    </row>
    <row r="292" spans="1:6" x14ac:dyDescent="0.25">
      <c r="A292" s="2"/>
      <c r="B292" s="2"/>
      <c r="C292" s="2"/>
      <c r="D292" s="2"/>
      <c r="E292" s="2"/>
      <c r="F292" s="2"/>
    </row>
    <row r="293" spans="1:6" x14ac:dyDescent="0.25">
      <c r="A293" s="2"/>
      <c r="B293" s="2"/>
      <c r="C293" s="2"/>
      <c r="D293" s="2"/>
      <c r="E293" s="2"/>
      <c r="F293" s="2"/>
    </row>
    <row r="294" spans="1:6" x14ac:dyDescent="0.25">
      <c r="A294" s="2"/>
      <c r="B294" s="2"/>
      <c r="C294" s="2"/>
      <c r="D294" s="2"/>
      <c r="E294" s="2"/>
      <c r="F294" s="2"/>
    </row>
    <row r="295" spans="1:6" x14ac:dyDescent="0.25">
      <c r="A295" s="2"/>
      <c r="B295" s="2"/>
      <c r="C295" s="2"/>
      <c r="D295" s="2"/>
      <c r="E295" s="2"/>
      <c r="F295" s="2"/>
    </row>
    <row r="296" spans="1:6" x14ac:dyDescent="0.25">
      <c r="A296" s="2"/>
      <c r="B296" s="2"/>
      <c r="C296" s="2"/>
      <c r="D296" s="2"/>
      <c r="E296" s="2"/>
      <c r="F296" s="2"/>
    </row>
    <row r="297" spans="1:6" x14ac:dyDescent="0.25">
      <c r="A297" s="2"/>
      <c r="B297" s="2"/>
      <c r="C297" s="2"/>
      <c r="D297" s="2"/>
      <c r="E297" s="2"/>
      <c r="F297" s="2"/>
    </row>
    <row r="298" spans="1:6" x14ac:dyDescent="0.25">
      <c r="A298" s="2"/>
      <c r="B298" s="2"/>
      <c r="C298" s="2"/>
      <c r="D298" s="2"/>
      <c r="E298" s="2"/>
      <c r="F298" s="2"/>
    </row>
    <row r="299" spans="1:6" x14ac:dyDescent="0.25">
      <c r="A299" s="2"/>
      <c r="B299" s="2"/>
      <c r="C299" s="2"/>
      <c r="D299" s="2"/>
      <c r="E299" s="2"/>
      <c r="F299" s="2"/>
    </row>
    <row r="300" spans="1:6" x14ac:dyDescent="0.25">
      <c r="A300" s="2"/>
      <c r="B300" s="2"/>
      <c r="C300" s="2"/>
      <c r="D300" s="2"/>
      <c r="E300" s="2"/>
      <c r="F300" s="2"/>
    </row>
    <row r="301" spans="1:6" x14ac:dyDescent="0.25">
      <c r="A301" s="2"/>
      <c r="B301" s="2"/>
      <c r="C301" s="2"/>
      <c r="D301" s="2"/>
      <c r="E301" s="2"/>
      <c r="F301" s="2"/>
    </row>
    <row r="302" spans="1:6" x14ac:dyDescent="0.25">
      <c r="A302" s="2"/>
      <c r="B302" s="2"/>
      <c r="C302" s="2"/>
      <c r="D302" s="2"/>
      <c r="E302" s="2"/>
      <c r="F302" s="2"/>
    </row>
    <row r="303" spans="1:6" x14ac:dyDescent="0.25">
      <c r="A303" s="2"/>
      <c r="B303" s="2"/>
      <c r="C303" s="2"/>
      <c r="D303" s="2"/>
      <c r="E303" s="2"/>
      <c r="F303" s="2"/>
    </row>
    <row r="304" spans="1:6" x14ac:dyDescent="0.25">
      <c r="A304" s="2"/>
      <c r="B304" s="2"/>
      <c r="C304" s="2"/>
      <c r="D304" s="2"/>
      <c r="E304" s="2"/>
      <c r="F304" s="2"/>
    </row>
    <row r="305" spans="1:6" x14ac:dyDescent="0.25">
      <c r="A305" s="2"/>
      <c r="B305" s="2"/>
      <c r="C305" s="2"/>
      <c r="D305" s="2"/>
      <c r="E305" s="2"/>
      <c r="F305" s="2"/>
    </row>
    <row r="306" spans="1:6" x14ac:dyDescent="0.25">
      <c r="A306" s="2"/>
      <c r="B306" s="2"/>
      <c r="C306" s="2"/>
      <c r="D306" s="2"/>
      <c r="E306" s="2"/>
      <c r="F306" s="2"/>
    </row>
    <row r="307" spans="1:6" x14ac:dyDescent="0.25">
      <c r="A307" s="2"/>
      <c r="B307" s="2"/>
      <c r="C307" s="2"/>
      <c r="D307" s="2"/>
      <c r="E307" s="2"/>
      <c r="F307" s="2"/>
    </row>
    <row r="308" spans="1:6" x14ac:dyDescent="0.25">
      <c r="A308" s="2"/>
      <c r="B308" s="2"/>
      <c r="C308" s="2"/>
      <c r="D308" s="2"/>
      <c r="E308" s="2"/>
      <c r="F308" s="2"/>
    </row>
    <row r="309" spans="1:6" x14ac:dyDescent="0.25">
      <c r="A309" s="2"/>
      <c r="B309" s="2"/>
      <c r="C309" s="2"/>
      <c r="D309" s="2"/>
      <c r="E309" s="2"/>
      <c r="F309" s="2"/>
    </row>
    <row r="310" spans="1:6" x14ac:dyDescent="0.25">
      <c r="A310" s="2"/>
      <c r="B310" s="2"/>
      <c r="C310" s="2"/>
      <c r="D310" s="2"/>
      <c r="E310" s="2"/>
      <c r="F310" s="2"/>
    </row>
    <row r="311" spans="1:6" x14ac:dyDescent="0.25">
      <c r="A311" s="2"/>
      <c r="B311" s="2"/>
      <c r="C311" s="2"/>
      <c r="D311" s="2"/>
      <c r="E311" s="2"/>
      <c r="F311" s="2"/>
    </row>
    <row r="312" spans="1:6" x14ac:dyDescent="0.25">
      <c r="A312" s="2"/>
      <c r="B312" s="2"/>
      <c r="C312" s="2"/>
      <c r="D312" s="2"/>
      <c r="E312" s="2"/>
      <c r="F312" s="2"/>
    </row>
    <row r="313" spans="1:6" x14ac:dyDescent="0.25">
      <c r="A313" s="2"/>
      <c r="B313" s="2"/>
      <c r="C313" s="2"/>
      <c r="D313" s="2"/>
      <c r="E313" s="2"/>
      <c r="F313" s="2"/>
    </row>
    <row r="314" spans="1:6" x14ac:dyDescent="0.25">
      <c r="A314" s="2"/>
      <c r="B314" s="2"/>
      <c r="C314" s="2"/>
      <c r="D314" s="2"/>
      <c r="E314" s="2"/>
      <c r="F314" s="2"/>
    </row>
    <row r="315" spans="1:6" x14ac:dyDescent="0.25">
      <c r="A315" s="2"/>
      <c r="B315" s="2"/>
      <c r="C315" s="2"/>
      <c r="D315" s="2"/>
      <c r="E315" s="2"/>
      <c r="F315" s="2"/>
    </row>
    <row r="316" spans="1:6" x14ac:dyDescent="0.25">
      <c r="A316" s="2"/>
      <c r="B316" s="2"/>
      <c r="C316" s="2"/>
      <c r="D316" s="2"/>
      <c r="E316" s="2"/>
      <c r="F316" s="2"/>
    </row>
    <row r="317" spans="1:6" x14ac:dyDescent="0.25">
      <c r="A317" s="2"/>
      <c r="B317" s="2"/>
      <c r="C317" s="2"/>
      <c r="D317" s="2"/>
      <c r="E317" s="2"/>
      <c r="F317" s="2"/>
    </row>
    <row r="318" spans="1:6" x14ac:dyDescent="0.25">
      <c r="A318" s="2"/>
      <c r="B318" s="2"/>
      <c r="C318" s="2"/>
      <c r="D318" s="2"/>
      <c r="E318" s="2"/>
      <c r="F318" s="2"/>
    </row>
    <row r="319" spans="1:6" x14ac:dyDescent="0.25">
      <c r="A319" s="2"/>
      <c r="B319" s="2"/>
      <c r="C319" s="2"/>
      <c r="D319" s="2"/>
      <c r="E319" s="2"/>
      <c r="F319" s="2"/>
    </row>
    <row r="320" spans="1:6" x14ac:dyDescent="0.25">
      <c r="A320" s="2"/>
      <c r="B320" s="2"/>
      <c r="C320" s="2"/>
      <c r="D320" s="2"/>
      <c r="E320" s="2"/>
      <c r="F320" s="2"/>
    </row>
    <row r="321" spans="1:6" x14ac:dyDescent="0.25">
      <c r="A321" s="2"/>
      <c r="B321" s="2"/>
      <c r="C321" s="2"/>
      <c r="D321" s="2"/>
      <c r="E321" s="2"/>
      <c r="F321" s="2"/>
    </row>
    <row r="322" spans="1:6" x14ac:dyDescent="0.25">
      <c r="A322" s="2"/>
      <c r="B322" s="2"/>
      <c r="C322" s="2"/>
      <c r="D322" s="2"/>
      <c r="E322" s="2"/>
      <c r="F322" s="2"/>
    </row>
    <row r="323" spans="1:6" x14ac:dyDescent="0.25">
      <c r="A323" s="2"/>
      <c r="B323" s="2"/>
      <c r="C323" s="2"/>
      <c r="D323" s="2"/>
      <c r="E323" s="2"/>
      <c r="F323" s="2"/>
    </row>
    <row r="324" spans="1:6" x14ac:dyDescent="0.25">
      <c r="A324" s="2"/>
      <c r="B324" s="2"/>
      <c r="C324" s="2"/>
      <c r="D324" s="2"/>
      <c r="E324" s="2"/>
      <c r="F324" s="2"/>
    </row>
    <row r="325" spans="1:6" x14ac:dyDescent="0.25">
      <c r="A325" s="2"/>
      <c r="B325" s="2"/>
      <c r="C325" s="2"/>
      <c r="D325" s="2"/>
      <c r="E325" s="2"/>
      <c r="F325" s="2"/>
    </row>
    <row r="326" spans="1:6" x14ac:dyDescent="0.25">
      <c r="A326" s="2"/>
      <c r="B326" s="2"/>
      <c r="C326" s="2"/>
      <c r="D326" s="2"/>
      <c r="E326" s="2"/>
      <c r="F326" s="2"/>
    </row>
    <row r="327" spans="1:6" x14ac:dyDescent="0.25">
      <c r="A327" s="2"/>
      <c r="B327" s="2"/>
      <c r="C327" s="2"/>
      <c r="D327" s="2"/>
      <c r="E327" s="2"/>
      <c r="F327" s="2"/>
    </row>
    <row r="328" spans="1:6" x14ac:dyDescent="0.25">
      <c r="A328" s="2"/>
      <c r="B328" s="2"/>
      <c r="C328" s="2"/>
      <c r="D328" s="2"/>
      <c r="E328" s="2"/>
      <c r="F328" s="2"/>
    </row>
    <row r="329" spans="1:6" x14ac:dyDescent="0.25">
      <c r="A329" s="2"/>
      <c r="B329" s="2"/>
      <c r="C329" s="2"/>
      <c r="D329" s="2"/>
      <c r="E329" s="2"/>
      <c r="F329" s="2"/>
    </row>
    <row r="330" spans="1:6" x14ac:dyDescent="0.25">
      <c r="A330" s="2"/>
      <c r="B330" s="2"/>
      <c r="C330" s="2"/>
      <c r="D330" s="2"/>
      <c r="E330" s="2"/>
      <c r="F330" s="2"/>
    </row>
    <row r="331" spans="1:6" x14ac:dyDescent="0.25">
      <c r="A331" s="2"/>
      <c r="B331" s="2"/>
      <c r="C331" s="2"/>
      <c r="D331" s="2"/>
      <c r="E331" s="2"/>
      <c r="F331" s="2"/>
    </row>
    <row r="332" spans="1:6" x14ac:dyDescent="0.25">
      <c r="A332" s="2"/>
      <c r="B332" s="2"/>
      <c r="C332" s="2"/>
      <c r="D332" s="2"/>
      <c r="E332" s="2"/>
      <c r="F332" s="2"/>
    </row>
    <row r="333" spans="1:6" x14ac:dyDescent="0.25">
      <c r="A333" s="2"/>
      <c r="B333" s="2"/>
      <c r="C333" s="2"/>
      <c r="D333" s="2"/>
      <c r="E333" s="2"/>
      <c r="F333" s="2"/>
    </row>
    <row r="334" spans="1:6" x14ac:dyDescent="0.25">
      <c r="A334" s="2"/>
      <c r="B334" s="2"/>
      <c r="C334" s="2"/>
      <c r="D334" s="2"/>
      <c r="E334" s="2"/>
      <c r="F334" s="2"/>
    </row>
    <row r="335" spans="1:6" x14ac:dyDescent="0.25">
      <c r="A335" s="2"/>
      <c r="B335" s="2"/>
      <c r="C335" s="2"/>
      <c r="D335" s="2"/>
      <c r="E335" s="2"/>
      <c r="F335" s="2"/>
    </row>
    <row r="336" spans="1:6" x14ac:dyDescent="0.25">
      <c r="A336" s="2"/>
      <c r="B336" s="2"/>
      <c r="C336" s="2"/>
      <c r="D336" s="2"/>
      <c r="E336" s="2"/>
      <c r="F336" s="2"/>
    </row>
    <row r="337" spans="1:6" x14ac:dyDescent="0.25">
      <c r="A337" s="2"/>
      <c r="B337" s="2"/>
      <c r="C337" s="2"/>
      <c r="D337" s="2"/>
      <c r="E337" s="2"/>
      <c r="F337" s="2"/>
    </row>
    <row r="338" spans="1:6" x14ac:dyDescent="0.25">
      <c r="A338" s="2"/>
      <c r="B338" s="2"/>
      <c r="C338" s="2"/>
      <c r="D338" s="2"/>
      <c r="E338" s="2"/>
      <c r="F338" s="2"/>
    </row>
    <row r="339" spans="1:6" x14ac:dyDescent="0.25">
      <c r="A339" s="2"/>
      <c r="B339" s="2"/>
      <c r="C339" s="2"/>
      <c r="D339" s="2"/>
      <c r="E339" s="2"/>
      <c r="F339" s="2"/>
    </row>
    <row r="340" spans="1:6" x14ac:dyDescent="0.25">
      <c r="A340" s="2"/>
      <c r="B340" s="2"/>
      <c r="C340" s="2"/>
      <c r="D340" s="2"/>
      <c r="E340" s="2"/>
      <c r="F340" s="2"/>
    </row>
    <row r="341" spans="1:6" x14ac:dyDescent="0.25">
      <c r="A341" s="2"/>
      <c r="B341" s="2"/>
      <c r="C341" s="2"/>
      <c r="D341" s="2"/>
      <c r="E341" s="2"/>
      <c r="F341" s="2"/>
    </row>
    <row r="342" spans="1:6" x14ac:dyDescent="0.25">
      <c r="A342" s="2"/>
      <c r="B342" s="2"/>
      <c r="C342" s="2"/>
      <c r="D342" s="2"/>
      <c r="E342" s="2"/>
      <c r="F342" s="2"/>
    </row>
    <row r="343" spans="1:6" x14ac:dyDescent="0.25">
      <c r="A343" s="2"/>
      <c r="B343" s="2"/>
      <c r="C343" s="2"/>
      <c r="D343" s="2"/>
      <c r="E343" s="2"/>
      <c r="F343" s="2"/>
    </row>
    <row r="344" spans="1:6" x14ac:dyDescent="0.25">
      <c r="A344" s="2"/>
      <c r="B344" s="2"/>
      <c r="C344" s="2"/>
      <c r="D344" s="2"/>
      <c r="E344" s="2"/>
      <c r="F344" s="2"/>
    </row>
    <row r="345" spans="1:6" x14ac:dyDescent="0.25">
      <c r="A345" s="2"/>
      <c r="B345" s="2"/>
      <c r="C345" s="2"/>
      <c r="D345" s="2"/>
      <c r="E345" s="2"/>
      <c r="F345" s="2"/>
    </row>
    <row r="346" spans="1:6" x14ac:dyDescent="0.25">
      <c r="A346" s="2"/>
      <c r="B346" s="2"/>
      <c r="C346" s="2"/>
      <c r="D346" s="2"/>
      <c r="E346" s="2"/>
      <c r="F346" s="2"/>
    </row>
    <row r="347" spans="1:6" x14ac:dyDescent="0.25">
      <c r="A347" s="2"/>
      <c r="B347" s="2"/>
      <c r="C347" s="2"/>
      <c r="D347" s="2"/>
      <c r="E347" s="2"/>
      <c r="F347" s="2"/>
    </row>
    <row r="348" spans="1:6" x14ac:dyDescent="0.25">
      <c r="A348" s="2"/>
      <c r="B348" s="2"/>
      <c r="C348" s="2"/>
      <c r="D348" s="2"/>
      <c r="E348" s="2"/>
      <c r="F348" s="2"/>
    </row>
    <row r="349" spans="1:6" x14ac:dyDescent="0.25">
      <c r="A349" s="2"/>
      <c r="B349" s="2"/>
      <c r="C349" s="2"/>
      <c r="D349" s="2"/>
      <c r="E349" s="2"/>
      <c r="F349" s="2"/>
    </row>
    <row r="350" spans="1:6" x14ac:dyDescent="0.25">
      <c r="A350" s="2"/>
      <c r="B350" s="2"/>
      <c r="C350" s="2"/>
      <c r="D350" s="2"/>
      <c r="E350" s="2"/>
      <c r="F350" s="2"/>
    </row>
    <row r="351" spans="1:6" x14ac:dyDescent="0.25">
      <c r="A351" s="2"/>
      <c r="B351" s="2"/>
      <c r="C351" s="2"/>
      <c r="D351" s="2"/>
      <c r="E351" s="2"/>
      <c r="F351" s="2"/>
    </row>
    <row r="352" spans="1:6" x14ac:dyDescent="0.25">
      <c r="A352" s="2"/>
      <c r="B352" s="2"/>
      <c r="C352" s="2"/>
      <c r="D352" s="2"/>
      <c r="E352" s="2"/>
      <c r="F352" s="2"/>
    </row>
    <row r="353" spans="1:6" x14ac:dyDescent="0.25">
      <c r="A353" s="2"/>
      <c r="B353" s="2"/>
      <c r="C353" s="2"/>
      <c r="D353" s="2"/>
      <c r="E353" s="2"/>
      <c r="F353" s="2"/>
    </row>
    <row r="354" spans="1:6" x14ac:dyDescent="0.25">
      <c r="A354" s="2"/>
      <c r="B354" s="2"/>
      <c r="C354" s="2"/>
      <c r="D354" s="2"/>
      <c r="E354" s="2"/>
      <c r="F354" s="2"/>
    </row>
    <row r="355" spans="1:6" x14ac:dyDescent="0.25">
      <c r="A355" s="2"/>
      <c r="B355" s="2"/>
      <c r="C355" s="2"/>
      <c r="D355" s="2"/>
      <c r="E355" s="2"/>
      <c r="F355" s="2"/>
    </row>
    <row r="356" spans="1:6" x14ac:dyDescent="0.25">
      <c r="A356" s="2"/>
      <c r="B356" s="2"/>
      <c r="C356" s="2"/>
      <c r="D356" s="2"/>
      <c r="E356" s="2"/>
      <c r="F356" s="2"/>
    </row>
    <row r="357" spans="1:6" x14ac:dyDescent="0.25">
      <c r="A357" s="2"/>
      <c r="B357" s="2"/>
      <c r="C357" s="2"/>
      <c r="D357" s="2"/>
      <c r="E357" s="2"/>
      <c r="F357" s="2"/>
    </row>
    <row r="358" spans="1:6" x14ac:dyDescent="0.25">
      <c r="A358" s="2"/>
      <c r="B358" s="2"/>
      <c r="C358" s="2"/>
      <c r="D358" s="2"/>
      <c r="E358" s="2"/>
      <c r="F358" s="2"/>
    </row>
    <row r="359" spans="1:6" x14ac:dyDescent="0.25">
      <c r="A359" s="2"/>
      <c r="B359" s="2"/>
      <c r="C359" s="2"/>
      <c r="D359" s="2"/>
      <c r="E359" s="2"/>
      <c r="F359" s="2"/>
    </row>
    <row r="360" spans="1:6" x14ac:dyDescent="0.25">
      <c r="A360" s="2"/>
      <c r="B360" s="2"/>
      <c r="C360" s="2"/>
      <c r="D360" s="2"/>
      <c r="E360" s="2"/>
      <c r="F360" s="2"/>
    </row>
    <row r="361" spans="1:6" x14ac:dyDescent="0.25">
      <c r="A361" s="2"/>
      <c r="B361" s="2"/>
      <c r="C361" s="2"/>
      <c r="D361" s="2"/>
      <c r="E361" s="2"/>
      <c r="F361" s="2"/>
    </row>
    <row r="362" spans="1:6" x14ac:dyDescent="0.25">
      <c r="A362" s="2"/>
      <c r="B362" s="2"/>
      <c r="C362" s="2"/>
      <c r="D362" s="2"/>
      <c r="E362" s="2"/>
      <c r="F362" s="2"/>
    </row>
    <row r="363" spans="1:6" x14ac:dyDescent="0.25">
      <c r="A363" s="2"/>
      <c r="B363" s="2"/>
      <c r="C363" s="2"/>
      <c r="D363" s="2"/>
      <c r="E363" s="2"/>
      <c r="F363" s="2"/>
    </row>
    <row r="364" spans="1:6" x14ac:dyDescent="0.25">
      <c r="A364" s="2"/>
      <c r="B364" s="2"/>
      <c r="C364" s="2"/>
      <c r="D364" s="2"/>
      <c r="E364" s="2"/>
      <c r="F364" s="2"/>
    </row>
    <row r="365" spans="1:6" x14ac:dyDescent="0.25">
      <c r="A365" s="2"/>
      <c r="B365" s="2"/>
      <c r="C365" s="2"/>
      <c r="D365" s="2"/>
      <c r="E365" s="2"/>
      <c r="F365" s="2"/>
    </row>
    <row r="366" spans="1:6" x14ac:dyDescent="0.25">
      <c r="A366" s="2"/>
      <c r="B366" s="2"/>
      <c r="C366" s="2"/>
      <c r="D366" s="2"/>
      <c r="E366" s="2"/>
      <c r="F366" s="2"/>
    </row>
    <row r="367" spans="1:6" x14ac:dyDescent="0.25">
      <c r="A367" s="2"/>
      <c r="B367" s="2"/>
      <c r="C367" s="2"/>
      <c r="D367" s="2"/>
      <c r="E367" s="2"/>
      <c r="F367" s="2"/>
    </row>
    <row r="368" spans="1:6" x14ac:dyDescent="0.25">
      <c r="A368" s="2"/>
      <c r="B368" s="2"/>
      <c r="C368" s="2"/>
      <c r="D368" s="2"/>
      <c r="E368" s="2"/>
      <c r="F368" s="2"/>
    </row>
    <row r="369" spans="1:6" x14ac:dyDescent="0.25">
      <c r="A369" s="2"/>
      <c r="B369" s="2"/>
      <c r="C369" s="2"/>
      <c r="D369" s="2"/>
      <c r="E369" s="2"/>
      <c r="F369" s="2"/>
    </row>
    <row r="370" spans="1:6" x14ac:dyDescent="0.25">
      <c r="A370" s="2"/>
      <c r="B370" s="2"/>
      <c r="C370" s="2"/>
      <c r="D370" s="2"/>
      <c r="E370" s="2"/>
      <c r="F370" s="2"/>
    </row>
    <row r="371" spans="1:6" x14ac:dyDescent="0.25">
      <c r="A371" s="2"/>
      <c r="B371" s="2"/>
      <c r="C371" s="2"/>
      <c r="D371" s="2"/>
      <c r="E371" s="2"/>
      <c r="F371" s="2"/>
    </row>
    <row r="372" spans="1:6" x14ac:dyDescent="0.25">
      <c r="A372" s="2"/>
      <c r="B372" s="2"/>
      <c r="C372" s="2"/>
      <c r="D372" s="2"/>
      <c r="E372" s="2"/>
      <c r="F372" s="2"/>
    </row>
    <row r="373" spans="1:6" x14ac:dyDescent="0.25">
      <c r="A373" s="2"/>
      <c r="B373" s="2"/>
      <c r="C373" s="2"/>
      <c r="D373" s="2"/>
      <c r="E373" s="2"/>
      <c r="F373" s="2"/>
    </row>
    <row r="374" spans="1:6" x14ac:dyDescent="0.25">
      <c r="A374" s="2"/>
      <c r="B374" s="2"/>
      <c r="C374" s="2"/>
      <c r="D374" s="2"/>
      <c r="E374" s="2"/>
      <c r="F374" s="2"/>
    </row>
    <row r="375" spans="1:6" x14ac:dyDescent="0.25">
      <c r="A375" s="2"/>
      <c r="B375" s="2"/>
      <c r="C375" s="2"/>
      <c r="D375" s="2"/>
      <c r="E375" s="2"/>
      <c r="F375" s="2"/>
    </row>
    <row r="376" spans="1:6" x14ac:dyDescent="0.25">
      <c r="A376" s="2"/>
      <c r="B376" s="2"/>
      <c r="C376" s="2"/>
      <c r="D376" s="2"/>
      <c r="E376" s="2"/>
      <c r="F376" s="2"/>
    </row>
    <row r="377" spans="1:6" x14ac:dyDescent="0.25">
      <c r="A377" s="2"/>
      <c r="B377" s="2"/>
      <c r="C377" s="2"/>
      <c r="D377" s="2"/>
      <c r="E377" s="2"/>
      <c r="F377" s="2"/>
    </row>
    <row r="378" spans="1:6" x14ac:dyDescent="0.25">
      <c r="A378" s="2"/>
      <c r="B378" s="2"/>
      <c r="C378" s="2"/>
      <c r="D378" s="2"/>
      <c r="E378" s="2"/>
      <c r="F378" s="2"/>
    </row>
    <row r="379" spans="1:6" x14ac:dyDescent="0.25">
      <c r="A379" s="2"/>
      <c r="B379" s="2"/>
      <c r="C379" s="2"/>
      <c r="D379" s="2"/>
      <c r="E379" s="2"/>
      <c r="F379" s="2"/>
    </row>
    <row r="380" spans="1:6" x14ac:dyDescent="0.25">
      <c r="A380" s="2"/>
      <c r="B380" s="2"/>
      <c r="C380" s="2"/>
      <c r="D380" s="2"/>
      <c r="E380" s="2"/>
      <c r="F380" s="2"/>
    </row>
    <row r="381" spans="1:6" x14ac:dyDescent="0.25">
      <c r="A381" s="2"/>
      <c r="B381" s="2"/>
      <c r="C381" s="2"/>
      <c r="D381" s="2"/>
      <c r="E381" s="2"/>
      <c r="F381" s="2"/>
    </row>
    <row r="382" spans="1:6" x14ac:dyDescent="0.25">
      <c r="A382" s="2"/>
      <c r="B382" s="2"/>
      <c r="C382" s="2"/>
      <c r="D382" s="2"/>
      <c r="E382" s="2"/>
      <c r="F382" s="2"/>
    </row>
    <row r="383" spans="1:6" x14ac:dyDescent="0.25">
      <c r="A383" s="2"/>
      <c r="B383" s="2"/>
      <c r="C383" s="2"/>
      <c r="D383" s="2"/>
      <c r="E383" s="2"/>
      <c r="F383" s="2"/>
    </row>
    <row r="384" spans="1:6" x14ac:dyDescent="0.25">
      <c r="A384" s="2"/>
      <c r="B384" s="2"/>
      <c r="C384" s="2"/>
      <c r="D384" s="2"/>
      <c r="E384" s="2"/>
      <c r="F384" s="2"/>
    </row>
    <row r="385" spans="1:6" x14ac:dyDescent="0.25">
      <c r="A385" s="2"/>
      <c r="B385" s="2"/>
      <c r="C385" s="2"/>
      <c r="D385" s="2"/>
      <c r="E385" s="2"/>
      <c r="F385" s="2"/>
    </row>
    <row r="386" spans="1:6" x14ac:dyDescent="0.25">
      <c r="A386" s="2"/>
      <c r="B386" s="2"/>
      <c r="C386" s="2"/>
      <c r="D386" s="2"/>
      <c r="E386" s="2"/>
      <c r="F386" s="2"/>
    </row>
    <row r="387" spans="1:6" x14ac:dyDescent="0.25">
      <c r="A387" s="2"/>
      <c r="B387" s="2"/>
      <c r="C387" s="2"/>
      <c r="D387" s="2"/>
      <c r="E387" s="2"/>
      <c r="F387" s="2"/>
    </row>
    <row r="388" spans="1:6" x14ac:dyDescent="0.25">
      <c r="A388" s="2"/>
      <c r="B388" s="2"/>
      <c r="C388" s="2"/>
      <c r="D388" s="2"/>
      <c r="E388" s="2"/>
      <c r="F388" s="2"/>
    </row>
    <row r="389" spans="1:6" x14ac:dyDescent="0.25">
      <c r="A389" s="2"/>
      <c r="B389" s="2"/>
      <c r="C389" s="2"/>
      <c r="D389" s="2"/>
      <c r="E389" s="2"/>
      <c r="F389" s="2"/>
    </row>
    <row r="390" spans="1:6" x14ac:dyDescent="0.25">
      <c r="A390" s="2"/>
      <c r="B390" s="2"/>
      <c r="C390" s="2"/>
      <c r="D390" s="2"/>
      <c r="E390" s="2"/>
      <c r="F390" s="2"/>
    </row>
    <row r="391" spans="1:6" x14ac:dyDescent="0.25">
      <c r="A391" s="2"/>
      <c r="B391" s="2"/>
      <c r="C391" s="2"/>
      <c r="D391" s="2"/>
      <c r="E391" s="2"/>
      <c r="F391" s="2"/>
    </row>
    <row r="392" spans="1:6" x14ac:dyDescent="0.25">
      <c r="A392" s="2"/>
      <c r="B392" s="2"/>
      <c r="C392" s="2"/>
      <c r="D392" s="2"/>
      <c r="E392" s="2"/>
      <c r="F392" s="2"/>
    </row>
    <row r="393" spans="1:6" x14ac:dyDescent="0.25">
      <c r="A393" s="2"/>
      <c r="B393" s="2"/>
      <c r="C393" s="2"/>
      <c r="D393" s="2"/>
      <c r="E393" s="2"/>
      <c r="F393" s="2"/>
    </row>
    <row r="394" spans="1:6" x14ac:dyDescent="0.25">
      <c r="A394" s="2"/>
      <c r="B394" s="2"/>
      <c r="C394" s="2"/>
      <c r="D394" s="2"/>
      <c r="E394" s="2"/>
      <c r="F394" s="2"/>
    </row>
    <row r="395" spans="1:6" x14ac:dyDescent="0.25">
      <c r="A395" s="2"/>
      <c r="B395" s="2"/>
      <c r="C395" s="2"/>
      <c r="D395" s="2"/>
      <c r="E395" s="2"/>
      <c r="F395" s="2"/>
    </row>
    <row r="396" spans="1:6" x14ac:dyDescent="0.25">
      <c r="A396" s="2"/>
      <c r="B396" s="2"/>
      <c r="C396" s="2"/>
      <c r="D396" s="2"/>
      <c r="E396" s="2"/>
      <c r="F396" s="2"/>
    </row>
    <row r="397" spans="1:6" x14ac:dyDescent="0.25">
      <c r="A397" s="2"/>
      <c r="B397" s="2"/>
      <c r="C397" s="2"/>
      <c r="D397" s="2"/>
      <c r="E397" s="2"/>
      <c r="F397" s="2"/>
    </row>
    <row r="398" spans="1:6" x14ac:dyDescent="0.25">
      <c r="A398" s="2"/>
      <c r="B398" s="2"/>
      <c r="C398" s="2"/>
      <c r="D398" s="2"/>
      <c r="E398" s="2"/>
      <c r="F398" s="2"/>
    </row>
    <row r="399" spans="1:6" x14ac:dyDescent="0.25">
      <c r="A399" s="2"/>
      <c r="B399" s="2"/>
      <c r="C399" s="2"/>
      <c r="D399" s="2"/>
      <c r="E399" s="2"/>
      <c r="F399" s="2"/>
    </row>
    <row r="400" spans="1:6" x14ac:dyDescent="0.25">
      <c r="A400" s="2"/>
      <c r="B400" s="2"/>
      <c r="C400" s="2"/>
      <c r="D400" s="2"/>
      <c r="E400" s="2"/>
      <c r="F400" s="2"/>
    </row>
    <row r="401" spans="1:6" x14ac:dyDescent="0.25">
      <c r="A401" s="2"/>
      <c r="B401" s="2"/>
      <c r="C401" s="2"/>
      <c r="D401" s="2"/>
      <c r="E401" s="2"/>
      <c r="F401" s="2"/>
    </row>
    <row r="402" spans="1:6" x14ac:dyDescent="0.25">
      <c r="A402" s="2"/>
      <c r="B402" s="2"/>
      <c r="C402" s="2"/>
      <c r="D402" s="2"/>
      <c r="E402" s="2"/>
      <c r="F402" s="2"/>
    </row>
    <row r="403" spans="1:6" x14ac:dyDescent="0.25">
      <c r="A403" s="2"/>
      <c r="B403" s="2"/>
      <c r="C403" s="2"/>
      <c r="D403" s="2"/>
      <c r="E403" s="2"/>
      <c r="F403" s="2"/>
    </row>
    <row r="404" spans="1:6" x14ac:dyDescent="0.25">
      <c r="A404" s="2"/>
      <c r="B404" s="2"/>
      <c r="C404" s="2"/>
      <c r="D404" s="2"/>
      <c r="E404" s="2"/>
      <c r="F404" s="2"/>
    </row>
    <row r="405" spans="1:6" x14ac:dyDescent="0.25">
      <c r="A405" s="2"/>
      <c r="B405" s="2"/>
      <c r="C405" s="2"/>
      <c r="D405" s="2"/>
      <c r="E405" s="2"/>
      <c r="F405" s="2"/>
    </row>
    <row r="406" spans="1:6" x14ac:dyDescent="0.25">
      <c r="A406" s="2"/>
      <c r="B406" s="2"/>
      <c r="C406" s="2"/>
      <c r="D406" s="2"/>
      <c r="E406" s="2"/>
      <c r="F406" s="2"/>
    </row>
    <row r="407" spans="1:6" x14ac:dyDescent="0.25">
      <c r="A407" s="2"/>
      <c r="B407" s="2"/>
      <c r="C407" s="2"/>
      <c r="D407" s="2"/>
      <c r="E407" s="2"/>
      <c r="F407" s="2"/>
    </row>
    <row r="408" spans="1:6" x14ac:dyDescent="0.25">
      <c r="A408" s="2"/>
      <c r="B408" s="2"/>
      <c r="C408" s="2"/>
      <c r="D408" s="2"/>
      <c r="E408" s="2"/>
      <c r="F408" s="2"/>
    </row>
    <row r="409" spans="1:6" x14ac:dyDescent="0.25">
      <c r="A409" s="2"/>
      <c r="B409" s="2"/>
      <c r="C409" s="2"/>
      <c r="D409" s="2"/>
      <c r="E409" s="2"/>
      <c r="F409" s="2"/>
    </row>
    <row r="410" spans="1:6" x14ac:dyDescent="0.25">
      <c r="A410" s="2"/>
      <c r="B410" s="2"/>
      <c r="C410" s="2"/>
      <c r="D410" s="2"/>
      <c r="E410" s="2"/>
      <c r="F410" s="2"/>
    </row>
    <row r="411" spans="1:6" x14ac:dyDescent="0.25">
      <c r="A411" s="2"/>
      <c r="B411" s="2"/>
      <c r="C411" s="2"/>
      <c r="D411" s="2"/>
      <c r="E411" s="2"/>
      <c r="F411" s="2"/>
    </row>
    <row r="412" spans="1:6" x14ac:dyDescent="0.25">
      <c r="A412" s="2"/>
      <c r="B412" s="2"/>
      <c r="C412" s="2"/>
      <c r="D412" s="2"/>
      <c r="E412" s="2"/>
      <c r="F412" s="2"/>
    </row>
    <row r="413" spans="1:6" x14ac:dyDescent="0.25">
      <c r="A413" s="2"/>
      <c r="B413" s="2"/>
      <c r="C413" s="2"/>
      <c r="D413" s="2"/>
      <c r="E413" s="2"/>
      <c r="F413" s="2"/>
    </row>
    <row r="414" spans="1:6" x14ac:dyDescent="0.25">
      <c r="A414" s="2"/>
      <c r="B414" s="2"/>
      <c r="C414" s="2"/>
      <c r="D414" s="2"/>
      <c r="E414" s="2"/>
      <c r="F414" s="2"/>
    </row>
    <row r="415" spans="1:6" x14ac:dyDescent="0.25">
      <c r="A415" s="2"/>
      <c r="B415" s="2"/>
      <c r="C415" s="2"/>
      <c r="D415" s="2"/>
      <c r="E415" s="2"/>
      <c r="F415" s="2"/>
    </row>
    <row r="416" spans="1:6" x14ac:dyDescent="0.25">
      <c r="A416" s="2"/>
      <c r="B416" s="2"/>
      <c r="C416" s="2"/>
      <c r="D416" s="2"/>
      <c r="E416" s="2"/>
      <c r="F416" s="2"/>
    </row>
    <row r="417" spans="1:6" x14ac:dyDescent="0.25">
      <c r="A417" s="2"/>
      <c r="B417" s="2"/>
      <c r="C417" s="2"/>
      <c r="D417" s="2"/>
      <c r="E417" s="2"/>
      <c r="F417" s="2"/>
    </row>
    <row r="418" spans="1:6" x14ac:dyDescent="0.25">
      <c r="A418" s="2"/>
      <c r="B418" s="2"/>
      <c r="C418" s="2"/>
      <c r="D418" s="2"/>
      <c r="E418" s="2"/>
      <c r="F418" s="2"/>
    </row>
    <row r="419" spans="1:6" x14ac:dyDescent="0.25">
      <c r="A419" s="2"/>
      <c r="B419" s="2"/>
      <c r="C419" s="2"/>
      <c r="D419" s="2"/>
      <c r="E419" s="2"/>
      <c r="F419" s="2"/>
    </row>
    <row r="420" spans="1:6" x14ac:dyDescent="0.25">
      <c r="A420" s="2"/>
      <c r="B420" s="2"/>
      <c r="C420" s="2"/>
      <c r="D420" s="2"/>
      <c r="E420" s="2"/>
      <c r="F420" s="2"/>
    </row>
    <row r="421" spans="1:6" x14ac:dyDescent="0.25">
      <c r="A421" s="2"/>
      <c r="B421" s="2"/>
      <c r="C421" s="2"/>
      <c r="D421" s="2"/>
      <c r="E421" s="2"/>
      <c r="F421" s="2"/>
    </row>
    <row r="422" spans="1:6" x14ac:dyDescent="0.25">
      <c r="A422" s="2"/>
      <c r="B422" s="2"/>
      <c r="C422" s="2"/>
      <c r="D422" s="2"/>
      <c r="E422" s="2"/>
      <c r="F422" s="2"/>
    </row>
    <row r="423" spans="1:6" x14ac:dyDescent="0.25">
      <c r="A423" s="2"/>
      <c r="B423" s="2"/>
      <c r="C423" s="2"/>
      <c r="D423" s="2"/>
      <c r="E423" s="2"/>
      <c r="F423" s="2"/>
    </row>
    <row r="424" spans="1:6" x14ac:dyDescent="0.25">
      <c r="A424" s="2"/>
      <c r="B424" s="2"/>
      <c r="C424" s="2"/>
      <c r="D424" s="2"/>
      <c r="E424" s="2"/>
      <c r="F424" s="2"/>
    </row>
    <row r="425" spans="1:6" x14ac:dyDescent="0.25">
      <c r="A425" s="2"/>
      <c r="B425" s="2"/>
      <c r="C425" s="2"/>
      <c r="D425" s="2"/>
      <c r="E425" s="2"/>
      <c r="F425" s="2"/>
    </row>
    <row r="426" spans="1:6" x14ac:dyDescent="0.25">
      <c r="A426" s="2"/>
      <c r="B426" s="2"/>
      <c r="C426" s="2"/>
      <c r="D426" s="2"/>
      <c r="E426" s="2"/>
      <c r="F426" s="2"/>
    </row>
    <row r="427" spans="1:6" x14ac:dyDescent="0.25">
      <c r="A427" s="2"/>
      <c r="B427" s="2"/>
      <c r="C427" s="2"/>
      <c r="D427" s="2"/>
      <c r="E427" s="2"/>
      <c r="F427" s="2"/>
    </row>
    <row r="428" spans="1:6" x14ac:dyDescent="0.25">
      <c r="A428" s="2"/>
      <c r="B428" s="2"/>
      <c r="C428" s="2"/>
      <c r="D428" s="2"/>
      <c r="E428" s="2"/>
      <c r="F428" s="2"/>
    </row>
    <row r="429" spans="1:6" x14ac:dyDescent="0.25">
      <c r="A429" s="2"/>
      <c r="B429" s="2"/>
      <c r="C429" s="2"/>
      <c r="D429" s="2"/>
      <c r="E429" s="2"/>
      <c r="F429" s="2"/>
    </row>
    <row r="430" spans="1:6" x14ac:dyDescent="0.25">
      <c r="A430" s="2"/>
      <c r="B430" s="2"/>
      <c r="C430" s="2"/>
      <c r="D430" s="2"/>
      <c r="E430" s="2"/>
      <c r="F430" s="2"/>
    </row>
    <row r="431" spans="1:6" x14ac:dyDescent="0.25">
      <c r="A431" s="2"/>
      <c r="B431" s="2"/>
      <c r="C431" s="2"/>
      <c r="D431" s="2"/>
      <c r="E431" s="2"/>
      <c r="F431" s="2"/>
    </row>
    <row r="432" spans="1:6" x14ac:dyDescent="0.25">
      <c r="A432" s="2"/>
      <c r="B432" s="2"/>
      <c r="C432" s="2"/>
      <c r="D432" s="2"/>
      <c r="E432" s="2"/>
      <c r="F432" s="2"/>
    </row>
    <row r="433" spans="1:6" x14ac:dyDescent="0.25">
      <c r="A433" s="2"/>
      <c r="B433" s="2"/>
      <c r="C433" s="2"/>
      <c r="D433" s="2"/>
      <c r="E433" s="2"/>
      <c r="F433" s="2"/>
    </row>
    <row r="434" spans="1:6" x14ac:dyDescent="0.25">
      <c r="A434" s="2"/>
      <c r="B434" s="2"/>
      <c r="C434" s="2"/>
      <c r="D434" s="2"/>
      <c r="E434" s="2"/>
      <c r="F434" s="2"/>
    </row>
    <row r="435" spans="1:6" x14ac:dyDescent="0.25">
      <c r="A435" s="2"/>
      <c r="B435" s="2"/>
      <c r="C435" s="2"/>
      <c r="D435" s="2"/>
      <c r="E435" s="2"/>
      <c r="F435" s="2"/>
    </row>
    <row r="436" spans="1:6" x14ac:dyDescent="0.25">
      <c r="A436" s="2"/>
      <c r="B436" s="2"/>
      <c r="C436" s="2"/>
      <c r="D436" s="2"/>
      <c r="E436" s="2"/>
      <c r="F436" s="2"/>
    </row>
    <row r="437" spans="1:6" x14ac:dyDescent="0.25">
      <c r="A437" s="2"/>
      <c r="B437" s="2"/>
      <c r="C437" s="2"/>
      <c r="D437" s="2"/>
      <c r="E437" s="2"/>
      <c r="F437" s="2"/>
    </row>
    <row r="438" spans="1:6" x14ac:dyDescent="0.25">
      <c r="A438" s="2"/>
      <c r="B438" s="2"/>
      <c r="C438" s="2"/>
      <c r="D438" s="2"/>
      <c r="E438" s="2"/>
      <c r="F438" s="2"/>
    </row>
    <row r="439" spans="1:6" x14ac:dyDescent="0.25">
      <c r="A439" s="2"/>
      <c r="B439" s="2"/>
      <c r="C439" s="2"/>
      <c r="D439" s="2"/>
      <c r="E439" s="2"/>
      <c r="F439" s="2"/>
    </row>
    <row r="440" spans="1:6" x14ac:dyDescent="0.25">
      <c r="A440" s="2"/>
      <c r="B440" s="2"/>
      <c r="C440" s="2"/>
      <c r="D440" s="2"/>
      <c r="E440" s="2"/>
      <c r="F440" s="2"/>
    </row>
    <row r="441" spans="1:6" x14ac:dyDescent="0.25">
      <c r="A441" s="2"/>
      <c r="B441" s="2"/>
      <c r="C441" s="2"/>
      <c r="D441" s="2"/>
      <c r="E441" s="2"/>
      <c r="F441" s="2"/>
    </row>
    <row r="442" spans="1:6" x14ac:dyDescent="0.25">
      <c r="A442" s="2"/>
      <c r="B442" s="2"/>
      <c r="C442" s="2"/>
      <c r="D442" s="2"/>
      <c r="E442" s="2"/>
      <c r="F442" s="2"/>
    </row>
    <row r="443" spans="1:6" x14ac:dyDescent="0.25">
      <c r="A443" s="2"/>
      <c r="B443" s="2"/>
      <c r="C443" s="2"/>
      <c r="D443" s="2"/>
      <c r="E443" s="2"/>
      <c r="F443" s="2"/>
    </row>
    <row r="444" spans="1:6" x14ac:dyDescent="0.25">
      <c r="A444" s="2"/>
      <c r="B444" s="2"/>
      <c r="C444" s="2"/>
      <c r="D444" s="2"/>
      <c r="E444" s="2"/>
      <c r="F444" s="2"/>
    </row>
    <row r="445" spans="1:6" x14ac:dyDescent="0.25">
      <c r="A445" s="2"/>
      <c r="B445" s="2"/>
      <c r="C445" s="2"/>
      <c r="D445" s="2"/>
      <c r="E445" s="2"/>
      <c r="F445" s="2"/>
    </row>
    <row r="446" spans="1:6" x14ac:dyDescent="0.25">
      <c r="A446" s="2"/>
      <c r="B446" s="2"/>
      <c r="C446" s="2"/>
      <c r="D446" s="2"/>
      <c r="E446" s="2"/>
      <c r="F446" s="2"/>
    </row>
    <row r="447" spans="1:6" x14ac:dyDescent="0.25">
      <c r="A447" s="2"/>
      <c r="B447" s="2"/>
      <c r="C447" s="2"/>
      <c r="D447" s="2"/>
      <c r="E447" s="2"/>
      <c r="F447" s="2"/>
    </row>
    <row r="448" spans="1:6" x14ac:dyDescent="0.25">
      <c r="A448" s="2"/>
      <c r="B448" s="2"/>
      <c r="C448" s="2"/>
      <c r="D448" s="2"/>
      <c r="E448" s="2"/>
      <c r="F448" s="2"/>
    </row>
    <row r="449" spans="1:6" x14ac:dyDescent="0.25">
      <c r="A449" s="2"/>
      <c r="B449" s="2"/>
      <c r="C449" s="2"/>
      <c r="D449" s="2"/>
      <c r="E449" s="2"/>
      <c r="F449" s="2"/>
    </row>
    <row r="450" spans="1:6" x14ac:dyDescent="0.25">
      <c r="A450" s="2"/>
      <c r="B450" s="2"/>
      <c r="C450" s="2"/>
      <c r="D450" s="2"/>
      <c r="E450" s="2"/>
      <c r="F450" s="2"/>
    </row>
    <row r="451" spans="1:6" x14ac:dyDescent="0.25">
      <c r="A451" s="2"/>
      <c r="B451" s="2"/>
      <c r="C451" s="2"/>
      <c r="D451" s="2"/>
      <c r="E451" s="2"/>
      <c r="F451" s="2"/>
    </row>
    <row r="452" spans="1:6" x14ac:dyDescent="0.25">
      <c r="A452" s="2"/>
      <c r="B452" s="2"/>
      <c r="C452" s="2"/>
      <c r="D452" s="2"/>
      <c r="E452" s="2"/>
      <c r="F452" s="2"/>
    </row>
    <row r="453" spans="1:6" x14ac:dyDescent="0.25">
      <c r="A453" s="2"/>
      <c r="B453" s="2"/>
      <c r="C453" s="2"/>
      <c r="D453" s="2"/>
      <c r="E453" s="2"/>
      <c r="F453" s="2"/>
    </row>
    <row r="454" spans="1:6" x14ac:dyDescent="0.25">
      <c r="A454" s="2"/>
      <c r="B454" s="2"/>
      <c r="C454" s="2"/>
      <c r="D454" s="2"/>
      <c r="E454" s="2"/>
      <c r="F454" s="2"/>
    </row>
    <row r="455" spans="1:6" x14ac:dyDescent="0.25">
      <c r="A455" s="2"/>
      <c r="B455" s="2"/>
      <c r="C455" s="2"/>
      <c r="D455" s="2"/>
      <c r="E455" s="2"/>
      <c r="F455" s="2"/>
    </row>
    <row r="456" spans="1:6" x14ac:dyDescent="0.25">
      <c r="A456" s="2"/>
      <c r="B456" s="2"/>
      <c r="C456" s="2"/>
      <c r="D456" s="2"/>
      <c r="E456" s="2"/>
      <c r="F456" s="2"/>
    </row>
    <row r="457" spans="1:6" x14ac:dyDescent="0.25">
      <c r="A457" s="2"/>
      <c r="B457" s="2"/>
      <c r="C457" s="2"/>
      <c r="D457" s="2"/>
      <c r="E457" s="2"/>
      <c r="F457" s="2"/>
    </row>
    <row r="458" spans="1:6" x14ac:dyDescent="0.25">
      <c r="A458" s="2"/>
      <c r="B458" s="2"/>
      <c r="C458" s="2"/>
      <c r="D458" s="2"/>
      <c r="E458" s="2"/>
      <c r="F458" s="2"/>
    </row>
    <row r="459" spans="1:6" x14ac:dyDescent="0.25">
      <c r="A459" s="2"/>
      <c r="B459" s="2"/>
      <c r="C459" s="2"/>
      <c r="D459" s="2"/>
      <c r="E459" s="2"/>
      <c r="F459" s="2"/>
    </row>
    <row r="460" spans="1:6" x14ac:dyDescent="0.25">
      <c r="A460" s="2"/>
      <c r="B460" s="2"/>
      <c r="C460" s="2"/>
      <c r="D460" s="2"/>
      <c r="E460" s="2"/>
      <c r="F460" s="2"/>
    </row>
    <row r="461" spans="1:6" x14ac:dyDescent="0.25">
      <c r="A461" s="2"/>
      <c r="B461" s="2"/>
      <c r="C461" s="2"/>
      <c r="D461" s="2"/>
      <c r="E461" s="2"/>
      <c r="F461" s="2"/>
    </row>
    <row r="462" spans="1:6" x14ac:dyDescent="0.25">
      <c r="A462" s="2"/>
      <c r="B462" s="2"/>
      <c r="C462" s="2"/>
      <c r="D462" s="2"/>
      <c r="E462" s="2"/>
      <c r="F462" s="2"/>
    </row>
    <row r="463" spans="1:6" x14ac:dyDescent="0.25">
      <c r="A463" s="2"/>
      <c r="B463" s="2"/>
      <c r="C463" s="2"/>
      <c r="D463" s="2"/>
      <c r="E463" s="2"/>
      <c r="F463" s="2"/>
    </row>
    <row r="464" spans="1:6" x14ac:dyDescent="0.25">
      <c r="A464" s="2"/>
      <c r="B464" s="2"/>
      <c r="C464" s="2"/>
      <c r="D464" s="2"/>
      <c r="E464" s="2"/>
      <c r="F464" s="2"/>
    </row>
    <row r="465" spans="1:6" x14ac:dyDescent="0.25">
      <c r="A465" s="2"/>
      <c r="B465" s="2"/>
      <c r="C465" s="2"/>
      <c r="D465" s="2"/>
      <c r="E465" s="2"/>
      <c r="F465" s="2"/>
    </row>
    <row r="466" spans="1:6" x14ac:dyDescent="0.25">
      <c r="A466" s="2"/>
      <c r="B466" s="2"/>
      <c r="C466" s="2"/>
      <c r="D466" s="2"/>
      <c r="E466" s="2"/>
      <c r="F466" s="2"/>
    </row>
    <row r="467" spans="1:6" x14ac:dyDescent="0.25">
      <c r="A467" s="2"/>
      <c r="B467" s="2"/>
      <c r="C467" s="2"/>
      <c r="D467" s="2"/>
      <c r="E467" s="2"/>
      <c r="F467" s="2"/>
    </row>
    <row r="468" spans="1:6" x14ac:dyDescent="0.25">
      <c r="A468" s="2"/>
      <c r="B468" s="2"/>
      <c r="C468" s="2"/>
      <c r="D468" s="2"/>
      <c r="E468" s="2"/>
      <c r="F468" s="2"/>
    </row>
    <row r="469" spans="1:6" x14ac:dyDescent="0.25">
      <c r="A469" s="2"/>
      <c r="B469" s="2"/>
      <c r="C469" s="2"/>
      <c r="D469" s="2"/>
      <c r="E469" s="2"/>
      <c r="F469" s="2"/>
    </row>
    <row r="470" spans="1:6" x14ac:dyDescent="0.25">
      <c r="A470" s="2"/>
      <c r="B470" s="2"/>
      <c r="C470" s="2"/>
      <c r="D470" s="2"/>
      <c r="E470" s="2"/>
      <c r="F470" s="2"/>
    </row>
    <row r="471" spans="1:6" x14ac:dyDescent="0.25">
      <c r="A471" s="2"/>
      <c r="B471" s="2"/>
      <c r="C471" s="2"/>
      <c r="D471" s="2"/>
      <c r="E471" s="2"/>
      <c r="F471" s="2"/>
    </row>
    <row r="472" spans="1:6" x14ac:dyDescent="0.25">
      <c r="A472" s="2"/>
      <c r="B472" s="2"/>
      <c r="C472" s="2"/>
      <c r="D472" s="2"/>
      <c r="E472" s="2"/>
      <c r="F472" s="2"/>
    </row>
    <row r="473" spans="1:6" x14ac:dyDescent="0.25">
      <c r="A473" s="2"/>
      <c r="B473" s="2"/>
      <c r="C473" s="2"/>
      <c r="D473" s="2"/>
      <c r="E473" s="2"/>
      <c r="F473" s="2"/>
    </row>
    <row r="474" spans="1:6" x14ac:dyDescent="0.25">
      <c r="A474" s="2"/>
      <c r="B474" s="2"/>
      <c r="C474" s="2"/>
      <c r="D474" s="2"/>
      <c r="E474" s="2"/>
      <c r="F474" s="2"/>
    </row>
    <row r="475" spans="1:6" x14ac:dyDescent="0.25">
      <c r="A475" s="2"/>
      <c r="B475" s="2"/>
      <c r="C475" s="2"/>
      <c r="D475" s="2"/>
      <c r="E475" s="2"/>
      <c r="F475" s="2"/>
    </row>
    <row r="476" spans="1:6" x14ac:dyDescent="0.25">
      <c r="A476" s="2"/>
      <c r="B476" s="2"/>
      <c r="C476" s="2"/>
      <c r="D476" s="2"/>
      <c r="E476" s="2"/>
      <c r="F476" s="2"/>
    </row>
    <row r="477" spans="1:6" x14ac:dyDescent="0.25">
      <c r="A477" s="2"/>
      <c r="B477" s="2"/>
      <c r="C477" s="2"/>
      <c r="D477" s="2"/>
      <c r="E477" s="2"/>
      <c r="F477" s="2"/>
    </row>
    <row r="478" spans="1:6" x14ac:dyDescent="0.25">
      <c r="A478" s="2"/>
      <c r="B478" s="2"/>
      <c r="C478" s="2"/>
      <c r="D478" s="2"/>
      <c r="E478" s="2"/>
      <c r="F478" s="2"/>
    </row>
    <row r="479" spans="1:6" x14ac:dyDescent="0.25">
      <c r="A479" s="2"/>
      <c r="B479" s="2"/>
      <c r="C479" s="2"/>
      <c r="D479" s="2"/>
      <c r="E479" s="2"/>
      <c r="F479" s="2"/>
    </row>
    <row r="480" spans="1:6" x14ac:dyDescent="0.25">
      <c r="A480" s="2"/>
      <c r="B480" s="2"/>
      <c r="C480" s="2"/>
      <c r="D480" s="2"/>
      <c r="E480" s="2"/>
      <c r="F480" s="2"/>
    </row>
    <row r="481" spans="1:6" x14ac:dyDescent="0.25">
      <c r="A481" s="2"/>
      <c r="B481" s="2"/>
      <c r="C481" s="2"/>
      <c r="D481" s="2"/>
      <c r="E481" s="2"/>
      <c r="F481" s="2"/>
    </row>
    <row r="482" spans="1:6" x14ac:dyDescent="0.25">
      <c r="A482" s="2"/>
      <c r="B482" s="2"/>
      <c r="C482" s="2"/>
      <c r="D482" s="2"/>
      <c r="E482" s="2"/>
      <c r="F482" s="2"/>
    </row>
    <row r="483" spans="1:6" x14ac:dyDescent="0.25">
      <c r="A483" s="2"/>
      <c r="B483" s="2"/>
      <c r="C483" s="2"/>
      <c r="D483" s="2"/>
      <c r="E483" s="2"/>
      <c r="F483" s="2"/>
    </row>
    <row r="484" spans="1:6" x14ac:dyDescent="0.25">
      <c r="A484" s="2"/>
      <c r="B484" s="2"/>
      <c r="C484" s="2"/>
      <c r="D484" s="2"/>
      <c r="E484" s="2"/>
      <c r="F484" s="2"/>
    </row>
    <row r="485" spans="1:6" x14ac:dyDescent="0.25">
      <c r="A485" s="2"/>
      <c r="B485" s="2"/>
      <c r="C485" s="2"/>
      <c r="D485" s="2"/>
      <c r="E485" s="2"/>
      <c r="F485" s="2"/>
    </row>
    <row r="486" spans="1:6" x14ac:dyDescent="0.25">
      <c r="A486" s="2"/>
      <c r="B486" s="2"/>
      <c r="C486" s="2"/>
      <c r="D486" s="2"/>
      <c r="E486" s="2"/>
      <c r="F486" s="2"/>
    </row>
    <row r="487" spans="1:6" x14ac:dyDescent="0.25">
      <c r="A487" s="2"/>
      <c r="B487" s="2"/>
      <c r="C487" s="2"/>
      <c r="D487" s="2"/>
      <c r="E487" s="2"/>
      <c r="F487" s="2"/>
    </row>
    <row r="488" spans="1:6" x14ac:dyDescent="0.25">
      <c r="A488" s="2"/>
      <c r="B488" s="2"/>
      <c r="C488" s="2"/>
      <c r="D488" s="2"/>
      <c r="E488" s="2"/>
      <c r="F488" s="2"/>
    </row>
    <row r="489" spans="1:6" x14ac:dyDescent="0.25">
      <c r="A489" s="2"/>
      <c r="B489" s="2"/>
      <c r="C489" s="2"/>
      <c r="D489" s="2"/>
      <c r="E489" s="2"/>
      <c r="F489" s="2"/>
    </row>
    <row r="490" spans="1:6" x14ac:dyDescent="0.25">
      <c r="A490" s="2"/>
      <c r="B490" s="2"/>
      <c r="C490" s="2"/>
      <c r="D490" s="2"/>
      <c r="E490" s="2"/>
      <c r="F490" s="2"/>
    </row>
    <row r="491" spans="1:6" x14ac:dyDescent="0.25">
      <c r="A491" s="2"/>
      <c r="B491" s="2"/>
      <c r="C491" s="2"/>
      <c r="D491" s="2"/>
      <c r="E491" s="2"/>
      <c r="F491" s="2"/>
    </row>
    <row r="492" spans="1:6" x14ac:dyDescent="0.25">
      <c r="A492" s="2"/>
      <c r="B492" s="2"/>
      <c r="C492" s="2"/>
      <c r="D492" s="2"/>
      <c r="E492" s="2"/>
      <c r="F492" s="2"/>
    </row>
    <row r="493" spans="1:6" x14ac:dyDescent="0.25">
      <c r="A493" s="2"/>
      <c r="B493" s="2"/>
      <c r="C493" s="2"/>
      <c r="D493" s="2"/>
      <c r="E493" s="2"/>
      <c r="F493" s="2"/>
    </row>
    <row r="494" spans="1:6" x14ac:dyDescent="0.25">
      <c r="A494" s="2"/>
      <c r="B494" s="2"/>
      <c r="C494" s="2"/>
      <c r="D494" s="2"/>
      <c r="E494" s="2"/>
      <c r="F494" s="2"/>
    </row>
    <row r="495" spans="1:6" x14ac:dyDescent="0.25">
      <c r="A495" s="2"/>
      <c r="B495" s="2"/>
      <c r="C495" s="2"/>
      <c r="D495" s="2"/>
      <c r="E495" s="2"/>
      <c r="F495" s="2"/>
    </row>
    <row r="496" spans="1:6" x14ac:dyDescent="0.25">
      <c r="A496" s="2"/>
      <c r="B496" s="2"/>
      <c r="C496" s="2"/>
      <c r="D496" s="2"/>
      <c r="E496" s="2"/>
      <c r="F496" s="2"/>
    </row>
    <row r="497" spans="1:6" x14ac:dyDescent="0.25">
      <c r="A497" s="2"/>
      <c r="B497" s="2"/>
      <c r="C497" s="2"/>
      <c r="D497" s="2"/>
      <c r="E497" s="2"/>
      <c r="F497" s="2"/>
    </row>
    <row r="498" spans="1:6" x14ac:dyDescent="0.25">
      <c r="A498" s="2"/>
      <c r="B498" s="2"/>
      <c r="C498" s="2"/>
      <c r="D498" s="2"/>
      <c r="E498" s="2"/>
      <c r="F498" s="2"/>
    </row>
    <row r="499" spans="1:6" x14ac:dyDescent="0.25">
      <c r="A499" s="2"/>
      <c r="B499" s="2"/>
      <c r="C499" s="2"/>
      <c r="D499" s="2"/>
      <c r="E499" s="2"/>
      <c r="F499" s="2"/>
    </row>
    <row r="500" spans="1:6" x14ac:dyDescent="0.25">
      <c r="A500" s="2"/>
      <c r="B500" s="2"/>
      <c r="C500" s="2"/>
      <c r="D500" s="2"/>
      <c r="E500" s="2"/>
      <c r="F500" s="2"/>
    </row>
    <row r="501" spans="1:6" x14ac:dyDescent="0.25">
      <c r="A501" s="2"/>
      <c r="B501" s="2"/>
      <c r="C501" s="2"/>
      <c r="D501" s="2"/>
      <c r="E501" s="2"/>
      <c r="F501" s="2"/>
    </row>
    <row r="502" spans="1:6" x14ac:dyDescent="0.25">
      <c r="A502" s="2"/>
      <c r="B502" s="2"/>
      <c r="C502" s="2"/>
      <c r="D502" s="2"/>
      <c r="E502" s="2"/>
      <c r="F502" s="2"/>
    </row>
    <row r="503" spans="1:6" x14ac:dyDescent="0.25">
      <c r="A503" s="2"/>
      <c r="B503" s="2"/>
      <c r="C503" s="2"/>
      <c r="D503" s="2"/>
      <c r="E503" s="2"/>
      <c r="F503" s="2"/>
    </row>
    <row r="504" spans="1:6" x14ac:dyDescent="0.25">
      <c r="A504" s="2"/>
      <c r="B504" s="2"/>
      <c r="C504" s="2"/>
      <c r="D504" s="2"/>
      <c r="E504" s="2"/>
      <c r="F504" s="2"/>
    </row>
    <row r="505" spans="1:6" x14ac:dyDescent="0.25">
      <c r="A505" s="2"/>
      <c r="B505" s="2"/>
      <c r="C505" s="2"/>
      <c r="D505" s="2"/>
      <c r="E505" s="2"/>
      <c r="F505" s="2"/>
    </row>
    <row r="506" spans="1:6" x14ac:dyDescent="0.25">
      <c r="A506" s="2"/>
      <c r="B506" s="2"/>
      <c r="C506" s="2"/>
      <c r="D506" s="2"/>
      <c r="E506" s="2"/>
      <c r="F506" s="2"/>
    </row>
    <row r="507" spans="1:6" x14ac:dyDescent="0.25">
      <c r="A507" s="2"/>
      <c r="B507" s="2"/>
      <c r="C507" s="2"/>
      <c r="D507" s="2"/>
      <c r="E507" s="2"/>
      <c r="F507" s="2"/>
    </row>
    <row r="508" spans="1:6" x14ac:dyDescent="0.25">
      <c r="A508" s="2"/>
      <c r="B508" s="2"/>
      <c r="C508" s="2"/>
      <c r="D508" s="2"/>
      <c r="E508" s="2"/>
      <c r="F508" s="2"/>
    </row>
    <row r="509" spans="1:6" x14ac:dyDescent="0.25">
      <c r="A509" s="2"/>
      <c r="B509" s="2"/>
      <c r="C509" s="2"/>
      <c r="D509" s="2"/>
      <c r="E509" s="2"/>
      <c r="F509" s="2"/>
    </row>
    <row r="510" spans="1:6" x14ac:dyDescent="0.25">
      <c r="A510" s="2"/>
      <c r="B510" s="2"/>
      <c r="C510" s="2"/>
      <c r="D510" s="2"/>
      <c r="E510" s="2"/>
      <c r="F510" s="2"/>
    </row>
    <row r="511" spans="1:6" x14ac:dyDescent="0.25">
      <c r="A511" s="2"/>
      <c r="B511" s="2"/>
      <c r="C511" s="2"/>
      <c r="D511" s="2"/>
      <c r="E511" s="2"/>
      <c r="F511" s="2"/>
    </row>
    <row r="512" spans="1:6" x14ac:dyDescent="0.25">
      <c r="A512" s="2"/>
      <c r="B512" s="2"/>
      <c r="C512" s="2"/>
      <c r="D512" s="2"/>
      <c r="E512" s="2"/>
      <c r="F512" s="2"/>
    </row>
    <row r="513" spans="1:6" x14ac:dyDescent="0.25">
      <c r="A513" s="2"/>
      <c r="B513" s="2"/>
      <c r="C513" s="2"/>
      <c r="D513" s="2"/>
      <c r="E513" s="2"/>
      <c r="F513" s="2"/>
    </row>
    <row r="514" spans="1:6" x14ac:dyDescent="0.25">
      <c r="A514" s="2"/>
      <c r="B514" s="2"/>
      <c r="C514" s="2"/>
      <c r="D514" s="2"/>
      <c r="E514" s="2"/>
      <c r="F514" s="2"/>
    </row>
    <row r="515" spans="1:6" x14ac:dyDescent="0.25">
      <c r="A515" s="2"/>
      <c r="B515" s="2"/>
      <c r="C515" s="2"/>
      <c r="D515" s="2"/>
      <c r="E515" s="2"/>
      <c r="F515" s="2"/>
    </row>
    <row r="516" spans="1:6" x14ac:dyDescent="0.25">
      <c r="A516" s="2"/>
      <c r="B516" s="2"/>
      <c r="C516" s="2"/>
      <c r="D516" s="2"/>
      <c r="E516" s="2"/>
      <c r="F516" s="2"/>
    </row>
    <row r="517" spans="1:6" x14ac:dyDescent="0.25">
      <c r="A517" s="2"/>
      <c r="B517" s="2"/>
      <c r="C517" s="2"/>
      <c r="D517" s="2"/>
      <c r="E517" s="2"/>
      <c r="F517" s="2"/>
    </row>
    <row r="518" spans="1:6" x14ac:dyDescent="0.25">
      <c r="A518" s="2"/>
      <c r="B518" s="2"/>
      <c r="C518" s="2"/>
      <c r="D518" s="2"/>
      <c r="E518" s="2"/>
      <c r="F518" s="2"/>
    </row>
    <row r="519" spans="1:6" x14ac:dyDescent="0.25">
      <c r="A519" s="2"/>
      <c r="B519" s="2"/>
      <c r="C519" s="2"/>
      <c r="D519" s="2"/>
      <c r="E519" s="2"/>
      <c r="F519" s="2"/>
    </row>
    <row r="520" spans="1:6" x14ac:dyDescent="0.25">
      <c r="A520" s="2"/>
      <c r="B520" s="2"/>
      <c r="C520" s="2"/>
      <c r="D520" s="2"/>
      <c r="E520" s="2"/>
      <c r="F520" s="2"/>
    </row>
    <row r="521" spans="1:6" x14ac:dyDescent="0.25">
      <c r="A521" s="2"/>
      <c r="B521" s="2"/>
      <c r="C521" s="2"/>
      <c r="D521" s="2"/>
      <c r="E521" s="2"/>
      <c r="F521" s="2"/>
    </row>
    <row r="522" spans="1:6" x14ac:dyDescent="0.25">
      <c r="A522" s="2"/>
      <c r="B522" s="2"/>
      <c r="C522" s="2"/>
      <c r="D522" s="2"/>
      <c r="E522" s="2"/>
      <c r="F522" s="2"/>
    </row>
    <row r="523" spans="1:6" x14ac:dyDescent="0.25">
      <c r="A523" s="2"/>
      <c r="B523" s="2"/>
      <c r="C523" s="2"/>
      <c r="D523" s="2"/>
      <c r="E523" s="2"/>
      <c r="F523" s="2"/>
    </row>
    <row r="524" spans="1:6" x14ac:dyDescent="0.25">
      <c r="A524" s="2"/>
      <c r="B524" s="2"/>
      <c r="C524" s="2"/>
      <c r="D524" s="2"/>
      <c r="E524" s="2"/>
      <c r="F524" s="2"/>
    </row>
    <row r="525" spans="1:6" x14ac:dyDescent="0.25">
      <c r="A525" s="2"/>
      <c r="B525" s="2"/>
      <c r="C525" s="2"/>
      <c r="D525" s="2"/>
      <c r="E525" s="2"/>
      <c r="F525" s="2"/>
    </row>
    <row r="526" spans="1:6" x14ac:dyDescent="0.25">
      <c r="A526" s="2"/>
      <c r="B526" s="2"/>
      <c r="C526" s="2"/>
      <c r="D526" s="2"/>
      <c r="E526" s="2"/>
      <c r="F526" s="2"/>
    </row>
    <row r="527" spans="1:6" x14ac:dyDescent="0.25">
      <c r="A527" s="2"/>
      <c r="B527" s="2"/>
      <c r="C527" s="2"/>
      <c r="D527" s="2"/>
      <c r="E527" s="2"/>
      <c r="F527" s="2"/>
    </row>
    <row r="528" spans="1:6" x14ac:dyDescent="0.25">
      <c r="A528" s="2"/>
      <c r="B528" s="2"/>
      <c r="C528" s="2"/>
      <c r="D528" s="2"/>
      <c r="E528" s="2"/>
      <c r="F528" s="2"/>
    </row>
    <row r="529" spans="1:6" x14ac:dyDescent="0.25">
      <c r="A529" s="2"/>
      <c r="B529" s="2"/>
      <c r="C529" s="2"/>
      <c r="D529" s="2"/>
      <c r="E529" s="2"/>
      <c r="F529" s="2"/>
    </row>
    <row r="530" spans="1:6" x14ac:dyDescent="0.25">
      <c r="A530" s="2"/>
      <c r="B530" s="2"/>
      <c r="C530" s="2"/>
      <c r="D530" s="2"/>
      <c r="E530" s="2"/>
      <c r="F530" s="2"/>
    </row>
    <row r="531" spans="1:6" x14ac:dyDescent="0.25">
      <c r="A531" s="2"/>
      <c r="B531" s="2"/>
      <c r="C531" s="2"/>
      <c r="D531" s="2"/>
      <c r="E531" s="2"/>
      <c r="F531" s="2"/>
    </row>
    <row r="532" spans="1:6" x14ac:dyDescent="0.25">
      <c r="A532" s="2"/>
      <c r="B532" s="2"/>
      <c r="C532" s="2"/>
      <c r="D532" s="2"/>
      <c r="E532" s="2"/>
      <c r="F532" s="2"/>
    </row>
    <row r="533" spans="1:6" x14ac:dyDescent="0.25">
      <c r="A533" s="2"/>
      <c r="B533" s="2"/>
      <c r="C533" s="2"/>
      <c r="D533" s="2"/>
      <c r="E533" s="2"/>
      <c r="F533" s="2"/>
    </row>
    <row r="534" spans="1:6" x14ac:dyDescent="0.25">
      <c r="A534" s="2"/>
      <c r="B534" s="2"/>
      <c r="C534" s="2"/>
      <c r="D534" s="2"/>
      <c r="E534" s="2"/>
      <c r="F534" s="2"/>
    </row>
    <row r="535" spans="1:6" x14ac:dyDescent="0.25">
      <c r="A535" s="2"/>
      <c r="B535" s="2"/>
      <c r="C535" s="2"/>
      <c r="D535" s="2"/>
      <c r="E535" s="2"/>
      <c r="F535" s="2"/>
    </row>
    <row r="536" spans="1:6" x14ac:dyDescent="0.25">
      <c r="A536" s="2"/>
      <c r="B536" s="2"/>
      <c r="C536" s="2"/>
      <c r="D536" s="2"/>
      <c r="E536" s="2"/>
      <c r="F536" s="2"/>
    </row>
    <row r="537" spans="1:6" x14ac:dyDescent="0.25">
      <c r="A537" s="2"/>
      <c r="B537" s="2"/>
      <c r="C537" s="2"/>
      <c r="D537" s="2"/>
      <c r="E537" s="2"/>
      <c r="F537" s="2"/>
    </row>
    <row r="538" spans="1:6" x14ac:dyDescent="0.25">
      <c r="A538" s="2"/>
      <c r="B538" s="2"/>
      <c r="C538" s="2"/>
      <c r="D538" s="2"/>
      <c r="E538" s="2"/>
      <c r="F538" s="2"/>
    </row>
    <row r="539" spans="1:6" x14ac:dyDescent="0.25">
      <c r="A539" s="2"/>
      <c r="B539" s="2"/>
      <c r="C539" s="2"/>
      <c r="D539" s="2"/>
      <c r="E539" s="2"/>
      <c r="F539" s="2"/>
    </row>
    <row r="540" spans="1:6" x14ac:dyDescent="0.25">
      <c r="A540" s="2"/>
      <c r="B540" s="2"/>
      <c r="C540" s="2"/>
      <c r="D540" s="2"/>
      <c r="E540" s="2"/>
      <c r="F540" s="2"/>
    </row>
    <row r="541" spans="1:6" x14ac:dyDescent="0.25">
      <c r="A541" s="2"/>
      <c r="B541" s="2"/>
      <c r="C541" s="2"/>
      <c r="D541" s="2"/>
      <c r="E541" s="2"/>
      <c r="F541" s="2"/>
    </row>
    <row r="542" spans="1:6" x14ac:dyDescent="0.25">
      <c r="A542" s="2"/>
      <c r="B542" s="2"/>
      <c r="C542" s="2"/>
      <c r="D542" s="2"/>
      <c r="E542" s="2"/>
      <c r="F542" s="2"/>
    </row>
    <row r="543" spans="1:6" x14ac:dyDescent="0.25">
      <c r="A543" s="2"/>
      <c r="B543" s="2"/>
      <c r="C543" s="2"/>
      <c r="D543" s="2"/>
      <c r="E543" s="2"/>
      <c r="F543" s="2"/>
    </row>
    <row r="544" spans="1:6" x14ac:dyDescent="0.25">
      <c r="A544" s="2"/>
      <c r="B544" s="2"/>
      <c r="C544" s="2"/>
      <c r="D544" s="2"/>
      <c r="E544" s="2"/>
      <c r="F544" s="2"/>
    </row>
    <row r="545" spans="1:6" x14ac:dyDescent="0.25">
      <c r="A545" s="2"/>
      <c r="B545" s="2"/>
      <c r="C545" s="2"/>
      <c r="D545" s="2"/>
      <c r="E545" s="2"/>
      <c r="F545" s="2"/>
    </row>
    <row r="546" spans="1:6" x14ac:dyDescent="0.25">
      <c r="A546" s="2"/>
      <c r="B546" s="2"/>
      <c r="C546" s="2"/>
      <c r="D546" s="2"/>
      <c r="E546" s="2"/>
      <c r="F546" s="2"/>
    </row>
    <row r="547" spans="1:6" x14ac:dyDescent="0.25">
      <c r="A547" s="2"/>
      <c r="B547" s="2"/>
      <c r="C547" s="2"/>
      <c r="D547" s="2"/>
      <c r="E547" s="2"/>
      <c r="F547" s="2"/>
    </row>
    <row r="548" spans="1:6" x14ac:dyDescent="0.25">
      <c r="A548" s="2"/>
      <c r="B548" s="2"/>
      <c r="C548" s="2"/>
      <c r="D548" s="2"/>
      <c r="E548" s="2"/>
      <c r="F548" s="2"/>
    </row>
    <row r="549" spans="1:6" x14ac:dyDescent="0.25">
      <c r="A549" s="2"/>
      <c r="B549" s="2"/>
      <c r="C549" s="2"/>
      <c r="D549" s="2"/>
      <c r="E549" s="2"/>
      <c r="F549" s="2"/>
    </row>
    <row r="550" spans="1:6" x14ac:dyDescent="0.25">
      <c r="A550" s="2"/>
      <c r="B550" s="2"/>
      <c r="C550" s="2"/>
      <c r="D550" s="2"/>
      <c r="E550" s="2"/>
      <c r="F550" s="2"/>
    </row>
    <row r="551" spans="1:6" x14ac:dyDescent="0.25">
      <c r="A551" s="2"/>
      <c r="B551" s="2"/>
      <c r="C551" s="2"/>
      <c r="D551" s="2"/>
      <c r="E551" s="2"/>
      <c r="F551" s="2"/>
    </row>
    <row r="552" spans="1:6" x14ac:dyDescent="0.25">
      <c r="A552" s="2"/>
      <c r="B552" s="2"/>
      <c r="C552" s="2"/>
      <c r="D552" s="2"/>
      <c r="E552" s="2"/>
      <c r="F552" s="2"/>
    </row>
    <row r="553" spans="1:6" x14ac:dyDescent="0.25">
      <c r="A553" s="2"/>
      <c r="B553" s="2"/>
      <c r="C553" s="2"/>
      <c r="D553" s="2"/>
      <c r="E553" s="2"/>
      <c r="F553" s="2"/>
    </row>
    <row r="554" spans="1:6" x14ac:dyDescent="0.25">
      <c r="A554" s="2"/>
      <c r="B554" s="2"/>
      <c r="C554" s="2"/>
      <c r="D554" s="2"/>
      <c r="E554" s="2"/>
      <c r="F554" s="2"/>
    </row>
    <row r="555" spans="1:6" x14ac:dyDescent="0.25">
      <c r="A555" s="2"/>
      <c r="B555" s="2"/>
      <c r="C555" s="2"/>
      <c r="D555" s="2"/>
      <c r="E555" s="2"/>
      <c r="F555" s="2"/>
    </row>
    <row r="556" spans="1:6" x14ac:dyDescent="0.25">
      <c r="A556" s="2"/>
      <c r="B556" s="2"/>
      <c r="C556" s="2"/>
      <c r="D556" s="2"/>
      <c r="E556" s="2"/>
      <c r="F556" s="2"/>
    </row>
    <row r="557" spans="1:6" x14ac:dyDescent="0.25">
      <c r="A557" s="2"/>
      <c r="B557" s="2"/>
      <c r="C557" s="2"/>
      <c r="D557" s="2"/>
      <c r="E557" s="2"/>
      <c r="F557" s="2"/>
    </row>
    <row r="558" spans="1:6" x14ac:dyDescent="0.25">
      <c r="A558" s="2"/>
      <c r="B558" s="2"/>
      <c r="C558" s="2"/>
      <c r="D558" s="2"/>
      <c r="E558" s="2"/>
      <c r="F558" s="2"/>
    </row>
    <row r="559" spans="1:6" x14ac:dyDescent="0.25">
      <c r="A559" s="2"/>
      <c r="B559" s="2"/>
      <c r="C559" s="2"/>
      <c r="D559" s="2"/>
      <c r="E559" s="2"/>
      <c r="F559" s="2"/>
    </row>
    <row r="560" spans="1:6" x14ac:dyDescent="0.25">
      <c r="A560" s="2"/>
      <c r="B560" s="2"/>
      <c r="C560" s="2"/>
      <c r="D560" s="2"/>
      <c r="E560" s="2"/>
      <c r="F560" s="2"/>
    </row>
    <row r="561" spans="1:6" x14ac:dyDescent="0.25">
      <c r="A561" s="2"/>
      <c r="B561" s="2"/>
      <c r="C561" s="2"/>
      <c r="D561" s="2"/>
      <c r="E561" s="2"/>
      <c r="F561" s="2"/>
    </row>
    <row r="562" spans="1:6" x14ac:dyDescent="0.25">
      <c r="A562" s="2"/>
      <c r="B562" s="2"/>
      <c r="C562" s="2"/>
      <c r="D562" s="2"/>
      <c r="E562" s="2"/>
      <c r="F562" s="2"/>
    </row>
    <row r="563" spans="1:6" x14ac:dyDescent="0.25">
      <c r="A563" s="2"/>
      <c r="B563" s="2"/>
      <c r="C563" s="2"/>
      <c r="D563" s="2"/>
      <c r="E563" s="2"/>
      <c r="F563" s="2"/>
    </row>
    <row r="564" spans="1:6" x14ac:dyDescent="0.25">
      <c r="A564" s="2"/>
      <c r="B564" s="2"/>
      <c r="C564" s="2"/>
      <c r="D564" s="2"/>
      <c r="E564" s="2"/>
      <c r="F564" s="2"/>
    </row>
    <row r="565" spans="1:6" x14ac:dyDescent="0.25">
      <c r="A565" s="2"/>
      <c r="B565" s="2"/>
      <c r="C565" s="2"/>
      <c r="D565" s="2"/>
      <c r="E565" s="2"/>
      <c r="F565" s="2"/>
    </row>
    <row r="566" spans="1:6" x14ac:dyDescent="0.25">
      <c r="A566" s="2"/>
      <c r="B566" s="2"/>
      <c r="C566" s="2"/>
      <c r="D566" s="2"/>
      <c r="E566" s="2"/>
      <c r="F566" s="2"/>
    </row>
    <row r="567" spans="1:6" x14ac:dyDescent="0.25">
      <c r="A567" s="2"/>
      <c r="B567" s="2"/>
      <c r="C567" s="2"/>
      <c r="D567" s="2"/>
      <c r="E567" s="2"/>
      <c r="F567" s="2"/>
    </row>
    <row r="568" spans="1:6" x14ac:dyDescent="0.25">
      <c r="A568" s="2"/>
      <c r="B568" s="2"/>
      <c r="C568" s="2"/>
      <c r="D568" s="2"/>
      <c r="E568" s="2"/>
      <c r="F568" s="2"/>
    </row>
    <row r="569" spans="1:6" x14ac:dyDescent="0.25">
      <c r="A569" s="2"/>
      <c r="B569" s="2"/>
      <c r="C569" s="2"/>
      <c r="D569" s="2"/>
      <c r="E569" s="2"/>
      <c r="F569" s="2"/>
    </row>
    <row r="570" spans="1:6" x14ac:dyDescent="0.25">
      <c r="A570" s="2"/>
      <c r="B570" s="2"/>
      <c r="C570" s="2"/>
      <c r="D570" s="2"/>
      <c r="E570" s="2"/>
      <c r="F570" s="2"/>
    </row>
    <row r="571" spans="1:6" x14ac:dyDescent="0.25">
      <c r="A571" s="2"/>
      <c r="B571" s="2"/>
      <c r="C571" s="2"/>
      <c r="D571" s="2"/>
      <c r="E571" s="2"/>
      <c r="F571" s="2"/>
    </row>
    <row r="572" spans="1:6" x14ac:dyDescent="0.25">
      <c r="A572" s="2"/>
      <c r="B572" s="2"/>
      <c r="C572" s="2"/>
      <c r="D572" s="2"/>
      <c r="E572" s="2"/>
      <c r="F572" s="2"/>
    </row>
    <row r="573" spans="1:6" x14ac:dyDescent="0.25">
      <c r="A573" s="2"/>
      <c r="B573" s="2"/>
      <c r="C573" s="2"/>
      <c r="D573" s="2"/>
      <c r="E573" s="2"/>
      <c r="F573" s="2"/>
    </row>
    <row r="574" spans="1:6" x14ac:dyDescent="0.25">
      <c r="A574" s="2"/>
      <c r="B574" s="2"/>
      <c r="C574" s="2"/>
      <c r="D574" s="2"/>
      <c r="E574" s="2"/>
      <c r="F574" s="2"/>
    </row>
    <row r="575" spans="1:6" x14ac:dyDescent="0.25">
      <c r="A575" s="2"/>
      <c r="B575" s="2"/>
      <c r="C575" s="2"/>
      <c r="D575" s="2"/>
      <c r="E575" s="2"/>
      <c r="F575" s="2"/>
    </row>
    <row r="576" spans="1:6" x14ac:dyDescent="0.25">
      <c r="A576" s="2"/>
      <c r="B576" s="2"/>
      <c r="C576" s="2"/>
      <c r="D576" s="2"/>
      <c r="E576" s="2"/>
      <c r="F576" s="2"/>
    </row>
    <row r="577" spans="1:6" x14ac:dyDescent="0.25">
      <c r="A577" s="2"/>
      <c r="B577" s="2"/>
      <c r="C577" s="2"/>
      <c r="D577" s="2"/>
      <c r="E577" s="2"/>
      <c r="F577" s="2"/>
    </row>
    <row r="578" spans="1:6" x14ac:dyDescent="0.25">
      <c r="A578" s="2"/>
      <c r="B578" s="2"/>
      <c r="C578" s="2"/>
      <c r="D578" s="2"/>
      <c r="E578" s="2"/>
      <c r="F578" s="2"/>
    </row>
    <row r="579" spans="1:6" x14ac:dyDescent="0.25">
      <c r="A579" s="2"/>
      <c r="B579" s="2"/>
      <c r="C579" s="2"/>
      <c r="D579" s="2"/>
      <c r="E579" s="2"/>
      <c r="F579" s="2"/>
    </row>
    <row r="580" spans="1:6" x14ac:dyDescent="0.25">
      <c r="A580" s="2"/>
      <c r="B580" s="2"/>
      <c r="C580" s="2"/>
      <c r="D580" s="2"/>
      <c r="E580" s="2"/>
      <c r="F580" s="2"/>
    </row>
    <row r="581" spans="1:6" x14ac:dyDescent="0.25">
      <c r="A581" s="2"/>
      <c r="B581" s="2"/>
      <c r="C581" s="2"/>
      <c r="D581" s="2"/>
      <c r="E581" s="2"/>
      <c r="F581" s="2"/>
    </row>
    <row r="582" spans="1:6" x14ac:dyDescent="0.25">
      <c r="A582" s="2"/>
      <c r="B582" s="2"/>
      <c r="C582" s="2"/>
      <c r="D582" s="2"/>
      <c r="E582" s="2"/>
      <c r="F582" s="2"/>
    </row>
    <row r="583" spans="1:6" x14ac:dyDescent="0.25">
      <c r="A583" s="2"/>
      <c r="B583" s="2"/>
      <c r="C583" s="2"/>
      <c r="D583" s="2"/>
      <c r="E583" s="2"/>
      <c r="F583" s="2"/>
    </row>
    <row r="584" spans="1:6" x14ac:dyDescent="0.25">
      <c r="A584" s="2"/>
      <c r="B584" s="2"/>
      <c r="C584" s="2"/>
      <c r="D584" s="2"/>
      <c r="E584" s="2"/>
      <c r="F584" s="2"/>
    </row>
    <row r="585" spans="1:6" x14ac:dyDescent="0.25">
      <c r="A585" s="2"/>
      <c r="B585" s="2"/>
      <c r="C585" s="2"/>
      <c r="D585" s="2"/>
      <c r="E585" s="2"/>
      <c r="F585" s="2"/>
    </row>
    <row r="586" spans="1:6" x14ac:dyDescent="0.25">
      <c r="A586" s="2"/>
      <c r="B586" s="2"/>
      <c r="C586" s="2"/>
      <c r="D586" s="2"/>
      <c r="E586" s="2"/>
      <c r="F586" s="2"/>
    </row>
    <row r="587" spans="1:6" x14ac:dyDescent="0.25">
      <c r="A587" s="2"/>
      <c r="B587" s="2"/>
      <c r="C587" s="2"/>
      <c r="D587" s="2"/>
      <c r="E587" s="2"/>
      <c r="F587" s="2"/>
    </row>
    <row r="588" spans="1:6" x14ac:dyDescent="0.25">
      <c r="A588" s="2"/>
      <c r="B588" s="2"/>
      <c r="C588" s="2"/>
      <c r="D588" s="2"/>
      <c r="E588" s="2"/>
      <c r="F588" s="2"/>
    </row>
    <row r="589" spans="1:6" x14ac:dyDescent="0.25">
      <c r="A589" s="2"/>
      <c r="B589" s="2"/>
      <c r="C589" s="2"/>
      <c r="D589" s="2"/>
      <c r="E589" s="2"/>
      <c r="F589" s="2"/>
    </row>
    <row r="590" spans="1:6" x14ac:dyDescent="0.25">
      <c r="A590" s="2"/>
      <c r="B590" s="2"/>
      <c r="C590" s="2"/>
      <c r="D590" s="2"/>
      <c r="E590" s="2"/>
      <c r="F590" s="2"/>
    </row>
    <row r="591" spans="1:6" x14ac:dyDescent="0.25">
      <c r="A591" s="2"/>
      <c r="B591" s="2"/>
      <c r="C591" s="2"/>
      <c r="D591" s="2"/>
      <c r="E591" s="2"/>
      <c r="F591" s="2"/>
    </row>
    <row r="592" spans="1:6" x14ac:dyDescent="0.25">
      <c r="A592" s="2"/>
      <c r="B592" s="2"/>
      <c r="C592" s="2"/>
      <c r="D592" s="2"/>
      <c r="E592" s="2"/>
      <c r="F592" s="2"/>
    </row>
    <row r="593" spans="1:6" x14ac:dyDescent="0.25">
      <c r="A593" s="2"/>
      <c r="B593" s="2"/>
      <c r="C593" s="2"/>
      <c r="D593" s="2"/>
      <c r="E593" s="2"/>
      <c r="F593" s="2"/>
    </row>
    <row r="594" spans="1:6" x14ac:dyDescent="0.25">
      <c r="A594" s="2"/>
      <c r="B594" s="2"/>
      <c r="C594" s="2"/>
      <c r="D594" s="2"/>
      <c r="E594" s="2"/>
      <c r="F594" s="2"/>
    </row>
    <row r="595" spans="1:6" x14ac:dyDescent="0.25">
      <c r="A595" s="2"/>
      <c r="B595" s="2"/>
      <c r="C595" s="2"/>
      <c r="D595" s="2"/>
      <c r="E595" s="2"/>
      <c r="F595" s="2"/>
    </row>
    <row r="596" spans="1:6" x14ac:dyDescent="0.25">
      <c r="A596" s="2"/>
      <c r="B596" s="2"/>
      <c r="C596" s="2"/>
      <c r="D596" s="2"/>
      <c r="E596" s="2"/>
      <c r="F596" s="2"/>
    </row>
    <row r="597" spans="1:6" x14ac:dyDescent="0.25">
      <c r="A597" s="2"/>
      <c r="B597" s="2"/>
      <c r="C597" s="2"/>
      <c r="D597" s="2"/>
      <c r="E597" s="2"/>
      <c r="F597" s="2"/>
    </row>
    <row r="598" spans="1:6" x14ac:dyDescent="0.25">
      <c r="A598" s="2"/>
      <c r="B598" s="2"/>
      <c r="C598" s="2"/>
      <c r="D598" s="2"/>
      <c r="E598" s="2"/>
      <c r="F598" s="2"/>
    </row>
    <row r="599" spans="1:6" x14ac:dyDescent="0.25">
      <c r="A599" s="2"/>
      <c r="B599" s="2"/>
      <c r="C599" s="2"/>
      <c r="D599" s="2"/>
      <c r="E599" s="2"/>
      <c r="F599" s="2"/>
    </row>
    <row r="600" spans="1:6" x14ac:dyDescent="0.25">
      <c r="A600" s="2"/>
      <c r="B600" s="2"/>
      <c r="C600" s="2"/>
      <c r="D600" s="2"/>
      <c r="E600" s="2"/>
      <c r="F600" s="2"/>
    </row>
    <row r="601" spans="1:6" x14ac:dyDescent="0.25">
      <c r="A601" s="2"/>
      <c r="B601" s="2"/>
      <c r="C601" s="2"/>
      <c r="D601" s="2"/>
      <c r="E601" s="2"/>
      <c r="F601" s="2"/>
    </row>
    <row r="602" spans="1:6" x14ac:dyDescent="0.25">
      <c r="A602" s="2"/>
      <c r="B602" s="2"/>
      <c r="C602" s="2"/>
      <c r="D602" s="2"/>
      <c r="E602" s="2"/>
      <c r="F602" s="2"/>
    </row>
    <row r="603" spans="1:6" x14ac:dyDescent="0.25">
      <c r="A603" s="2"/>
      <c r="B603" s="2"/>
      <c r="C603" s="2"/>
      <c r="D603" s="2"/>
      <c r="E603" s="2"/>
      <c r="F603" s="2"/>
    </row>
    <row r="604" spans="1:6" x14ac:dyDescent="0.25">
      <c r="A604" s="2"/>
      <c r="B604" s="2"/>
      <c r="C604" s="2"/>
      <c r="D604" s="2"/>
      <c r="E604" s="2"/>
      <c r="F604" s="2"/>
    </row>
    <row r="605" spans="1:6" x14ac:dyDescent="0.25">
      <c r="A605" s="2"/>
      <c r="B605" s="2"/>
      <c r="C605" s="2"/>
      <c r="D605" s="2"/>
      <c r="E605" s="2"/>
      <c r="F605" s="2"/>
    </row>
    <row r="606" spans="1:6" x14ac:dyDescent="0.25">
      <c r="A606" s="2"/>
      <c r="B606" s="2"/>
      <c r="C606" s="2"/>
      <c r="D606" s="2"/>
      <c r="E606" s="2"/>
      <c r="F606" s="2"/>
    </row>
    <row r="607" spans="1:6" x14ac:dyDescent="0.25">
      <c r="A607" s="2"/>
      <c r="B607" s="2"/>
      <c r="C607" s="2"/>
      <c r="D607" s="2"/>
      <c r="E607" s="2"/>
      <c r="F607" s="2"/>
    </row>
    <row r="608" spans="1:6" x14ac:dyDescent="0.25">
      <c r="A608" s="2"/>
      <c r="B608" s="2"/>
      <c r="C608" s="2"/>
      <c r="D608" s="2"/>
      <c r="E608" s="2"/>
      <c r="F608" s="2"/>
    </row>
    <row r="609" spans="1:6" x14ac:dyDescent="0.25">
      <c r="A609" s="2"/>
      <c r="B609" s="2"/>
      <c r="C609" s="2"/>
      <c r="D609" s="2"/>
      <c r="E609" s="2"/>
      <c r="F609" s="2"/>
    </row>
    <row r="610" spans="1:6" x14ac:dyDescent="0.25">
      <c r="A610" s="2"/>
      <c r="B610" s="2"/>
      <c r="C610" s="2"/>
      <c r="D610" s="2"/>
      <c r="E610" s="2"/>
      <c r="F610" s="2"/>
    </row>
    <row r="611" spans="1:6" x14ac:dyDescent="0.25">
      <c r="A611" s="2"/>
      <c r="B611" s="2"/>
      <c r="C611" s="2"/>
      <c r="D611" s="2"/>
      <c r="E611" s="2"/>
      <c r="F611" s="2"/>
    </row>
    <row r="612" spans="1:6" x14ac:dyDescent="0.25">
      <c r="A612" s="2"/>
      <c r="B612" s="2"/>
      <c r="C612" s="2"/>
      <c r="D612" s="2"/>
      <c r="E612" s="2"/>
      <c r="F612" s="2"/>
    </row>
    <row r="613" spans="1:6" x14ac:dyDescent="0.25">
      <c r="A613" s="2"/>
      <c r="B613" s="2"/>
      <c r="C613" s="2"/>
      <c r="D613" s="2"/>
      <c r="E613" s="2"/>
      <c r="F613" s="2"/>
    </row>
    <row r="614" spans="1:6" x14ac:dyDescent="0.25">
      <c r="A614" s="2"/>
      <c r="B614" s="2"/>
      <c r="C614" s="2"/>
      <c r="D614" s="2"/>
      <c r="E614" s="2"/>
      <c r="F614" s="2"/>
    </row>
    <row r="615" spans="1:6" x14ac:dyDescent="0.25">
      <c r="A615" s="2"/>
      <c r="B615" s="2"/>
      <c r="C615" s="2"/>
      <c r="D615" s="2"/>
      <c r="E615" s="2"/>
      <c r="F615" s="2"/>
    </row>
    <row r="616" spans="1:6" x14ac:dyDescent="0.25">
      <c r="A616" s="2"/>
      <c r="B616" s="2"/>
      <c r="C616" s="2"/>
      <c r="D616" s="2"/>
      <c r="E616" s="2"/>
      <c r="F616" s="2"/>
    </row>
    <row r="617" spans="1:6" x14ac:dyDescent="0.25">
      <c r="A617" s="2"/>
      <c r="B617" s="2"/>
      <c r="C617" s="2"/>
      <c r="D617" s="2"/>
      <c r="E617" s="2"/>
      <c r="F617" s="2"/>
    </row>
    <row r="618" spans="1:6" x14ac:dyDescent="0.25">
      <c r="A618" s="2"/>
      <c r="B618" s="2"/>
      <c r="C618" s="2"/>
      <c r="D618" s="2"/>
      <c r="E618" s="2"/>
      <c r="F618" s="2"/>
    </row>
    <row r="619" spans="1:6" x14ac:dyDescent="0.25">
      <c r="A619" s="2"/>
      <c r="B619" s="2"/>
      <c r="C619" s="2"/>
      <c r="D619" s="2"/>
      <c r="E619" s="2"/>
      <c r="F619" s="2"/>
    </row>
    <row r="620" spans="1:6" x14ac:dyDescent="0.25">
      <c r="A620" s="2"/>
      <c r="B620" s="2"/>
      <c r="C620" s="2"/>
      <c r="D620" s="2"/>
      <c r="E620" s="2"/>
      <c r="F620" s="2"/>
    </row>
    <row r="621" spans="1:6" x14ac:dyDescent="0.25">
      <c r="A621" s="2"/>
      <c r="B621" s="2"/>
      <c r="C621" s="2"/>
      <c r="D621" s="2"/>
      <c r="E621" s="2"/>
      <c r="F621" s="2"/>
    </row>
    <row r="622" spans="1:6" x14ac:dyDescent="0.25">
      <c r="A622" s="2"/>
      <c r="B622" s="2"/>
      <c r="C622" s="2"/>
      <c r="D622" s="2"/>
      <c r="E622" s="2"/>
      <c r="F622" s="2"/>
    </row>
    <row r="623" spans="1:6" x14ac:dyDescent="0.25">
      <c r="A623" s="2"/>
      <c r="B623" s="2"/>
      <c r="C623" s="2"/>
      <c r="D623" s="2"/>
      <c r="E623" s="2"/>
      <c r="F623" s="2"/>
    </row>
    <row r="624" spans="1:6" x14ac:dyDescent="0.25">
      <c r="A624" s="2"/>
      <c r="B624" s="2"/>
      <c r="C624" s="2"/>
      <c r="D624" s="2"/>
      <c r="E624" s="2"/>
      <c r="F624" s="2"/>
    </row>
    <row r="625" spans="1:6" x14ac:dyDescent="0.25">
      <c r="A625" s="2"/>
      <c r="B625" s="2"/>
      <c r="C625" s="2"/>
      <c r="D625" s="2"/>
      <c r="E625" s="2"/>
      <c r="F625" s="2"/>
    </row>
    <row r="626" spans="1:6" x14ac:dyDescent="0.25">
      <c r="A626" s="2"/>
      <c r="B626" s="2"/>
      <c r="C626" s="2"/>
      <c r="D626" s="2"/>
      <c r="E626" s="2"/>
      <c r="F626" s="2"/>
    </row>
    <row r="627" spans="1:6" x14ac:dyDescent="0.25">
      <c r="A627" s="2"/>
      <c r="B627" s="2"/>
      <c r="C627" s="2"/>
      <c r="D627" s="2"/>
      <c r="E627" s="2"/>
      <c r="F627" s="2"/>
    </row>
    <row r="628" spans="1:6" x14ac:dyDescent="0.25">
      <c r="A628" s="2"/>
      <c r="B628" s="2"/>
      <c r="C628" s="2"/>
      <c r="D628" s="2"/>
      <c r="E628" s="2"/>
      <c r="F628" s="2"/>
    </row>
    <row r="629" spans="1:6" x14ac:dyDescent="0.25">
      <c r="A629" s="2"/>
      <c r="B629" s="2"/>
      <c r="C629" s="2"/>
      <c r="D629" s="2"/>
      <c r="E629" s="2"/>
      <c r="F629" s="2"/>
    </row>
    <row r="630" spans="1:6" x14ac:dyDescent="0.25">
      <c r="A630" s="2"/>
      <c r="B630" s="2"/>
      <c r="C630" s="2"/>
      <c r="D630" s="2"/>
      <c r="E630" s="2"/>
      <c r="F630" s="2"/>
    </row>
    <row r="631" spans="1:6" x14ac:dyDescent="0.25">
      <c r="A631" s="2"/>
      <c r="B631" s="2"/>
      <c r="C631" s="2"/>
      <c r="D631" s="2"/>
      <c r="E631" s="2"/>
      <c r="F631" s="2"/>
    </row>
    <row r="632" spans="1:6" x14ac:dyDescent="0.25">
      <c r="A632" s="2"/>
      <c r="B632" s="2"/>
      <c r="C632" s="2"/>
      <c r="D632" s="2"/>
      <c r="E632" s="2"/>
      <c r="F632" s="2"/>
    </row>
    <row r="633" spans="1:6" x14ac:dyDescent="0.25">
      <c r="A633" s="2"/>
      <c r="B633" s="2"/>
      <c r="C633" s="2"/>
      <c r="D633" s="2"/>
      <c r="E633" s="2"/>
      <c r="F633" s="2"/>
    </row>
    <row r="634" spans="1:6" x14ac:dyDescent="0.25">
      <c r="A634" s="2"/>
      <c r="B634" s="2"/>
      <c r="C634" s="2"/>
      <c r="D634" s="2"/>
      <c r="E634" s="2"/>
      <c r="F634" s="2"/>
    </row>
    <row r="635" spans="1:6" x14ac:dyDescent="0.25">
      <c r="A635" s="2"/>
      <c r="B635" s="2"/>
      <c r="C635" s="2"/>
      <c r="D635" s="2"/>
      <c r="E635" s="2"/>
      <c r="F635" s="2"/>
    </row>
    <row r="636" spans="1:6" x14ac:dyDescent="0.25">
      <c r="A636" s="2"/>
      <c r="B636" s="2"/>
      <c r="C636" s="2"/>
      <c r="D636" s="2"/>
      <c r="E636" s="2"/>
      <c r="F636" s="2"/>
    </row>
    <row r="637" spans="1:6" x14ac:dyDescent="0.25">
      <c r="A637" s="2"/>
      <c r="B637" s="2"/>
      <c r="C637" s="2"/>
      <c r="D637" s="2"/>
      <c r="E637" s="2"/>
      <c r="F637" s="2"/>
    </row>
    <row r="638" spans="1:6" x14ac:dyDescent="0.25">
      <c r="A638" s="2"/>
      <c r="B638" s="2"/>
      <c r="C638" s="2"/>
      <c r="D638" s="2"/>
      <c r="E638" s="2"/>
      <c r="F638" s="2"/>
    </row>
    <row r="639" spans="1:6" x14ac:dyDescent="0.25">
      <c r="A639" s="2"/>
      <c r="B639" s="2"/>
      <c r="C639" s="2"/>
      <c r="D639" s="2"/>
      <c r="E639" s="2"/>
      <c r="F639" s="2"/>
    </row>
    <row r="640" spans="1:6" x14ac:dyDescent="0.25">
      <c r="A640" s="2"/>
      <c r="B640" s="2"/>
      <c r="C640" s="2"/>
      <c r="D640" s="2"/>
      <c r="E640" s="2"/>
      <c r="F640" s="2"/>
    </row>
    <row r="641" spans="1:6" x14ac:dyDescent="0.25">
      <c r="A641" s="2"/>
      <c r="B641" s="2"/>
      <c r="C641" s="2"/>
      <c r="D641" s="2"/>
      <c r="E641" s="2"/>
      <c r="F641" s="2"/>
    </row>
    <row r="642" spans="1:6" x14ac:dyDescent="0.25">
      <c r="A642" s="2"/>
      <c r="B642" s="2"/>
      <c r="C642" s="2"/>
      <c r="D642" s="2"/>
      <c r="E642" s="2"/>
      <c r="F642" s="2"/>
    </row>
    <row r="643" spans="1:6" x14ac:dyDescent="0.25">
      <c r="A643" s="2"/>
      <c r="B643" s="2"/>
      <c r="C643" s="2"/>
      <c r="D643" s="2"/>
      <c r="E643" s="2"/>
      <c r="F643" s="2"/>
    </row>
    <row r="644" spans="1:6" x14ac:dyDescent="0.25">
      <c r="A644" s="2"/>
      <c r="B644" s="2"/>
      <c r="C644" s="2"/>
      <c r="D644" s="2"/>
      <c r="E644" s="2"/>
      <c r="F644" s="2"/>
    </row>
    <row r="645" spans="1:6" x14ac:dyDescent="0.25">
      <c r="A645" s="2"/>
      <c r="B645" s="2"/>
      <c r="C645" s="2"/>
      <c r="D645" s="2"/>
      <c r="E645" s="2"/>
      <c r="F645" s="2"/>
    </row>
    <row r="646" spans="1:6" x14ac:dyDescent="0.25">
      <c r="A646" s="2"/>
      <c r="B646" s="2"/>
      <c r="C646" s="2"/>
      <c r="D646" s="2"/>
      <c r="E646" s="2"/>
      <c r="F646" s="2"/>
    </row>
    <row r="647" spans="1:6" x14ac:dyDescent="0.25">
      <c r="A647" s="2"/>
      <c r="B647" s="2"/>
      <c r="C647" s="2"/>
      <c r="D647" s="2"/>
      <c r="E647" s="2"/>
      <c r="F647" s="2"/>
    </row>
    <row r="648" spans="1:6" x14ac:dyDescent="0.25">
      <c r="A648" s="2"/>
      <c r="B648" s="2"/>
      <c r="C648" s="2"/>
      <c r="D648" s="2"/>
      <c r="E648" s="2"/>
      <c r="F648" s="2"/>
    </row>
    <row r="649" spans="1:6" x14ac:dyDescent="0.25">
      <c r="A649" s="2"/>
      <c r="B649" s="2"/>
      <c r="C649" s="2"/>
      <c r="D649" s="2"/>
      <c r="E649" s="2"/>
      <c r="F649" s="2"/>
    </row>
    <row r="650" spans="1:6" x14ac:dyDescent="0.25">
      <c r="A650" s="2"/>
      <c r="B650" s="2"/>
      <c r="C650" s="2"/>
      <c r="D650" s="2"/>
      <c r="E650" s="2"/>
      <c r="F650" s="2"/>
    </row>
    <row r="651" spans="1:6" x14ac:dyDescent="0.25">
      <c r="A651" s="2"/>
      <c r="B651" s="2"/>
      <c r="C651" s="2"/>
      <c r="D651" s="2"/>
      <c r="E651" s="2"/>
      <c r="F651" s="2"/>
    </row>
    <row r="652" spans="1:6" x14ac:dyDescent="0.25">
      <c r="A652" s="2"/>
      <c r="B652" s="2"/>
      <c r="C652" s="2"/>
      <c r="D652" s="2"/>
      <c r="E652" s="2"/>
      <c r="F652" s="2"/>
    </row>
    <row r="653" spans="1:6" x14ac:dyDescent="0.25">
      <c r="A653" s="2"/>
      <c r="B653" s="2"/>
      <c r="C653" s="2"/>
      <c r="D653" s="2"/>
      <c r="E653" s="2"/>
      <c r="F653" s="2"/>
    </row>
    <row r="654" spans="1:6" x14ac:dyDescent="0.25">
      <c r="A654" s="2"/>
      <c r="B654" s="2"/>
      <c r="C654" s="2"/>
      <c r="D654" s="2"/>
      <c r="E654" s="2"/>
      <c r="F654" s="2"/>
    </row>
    <row r="655" spans="1:6" x14ac:dyDescent="0.25">
      <c r="A655" s="2"/>
      <c r="B655" s="2"/>
      <c r="C655" s="2"/>
      <c r="D655" s="2"/>
      <c r="E655" s="2"/>
      <c r="F655" s="2"/>
    </row>
    <row r="656" spans="1:6" x14ac:dyDescent="0.25">
      <c r="A656" s="2"/>
      <c r="B656" s="2"/>
      <c r="C656" s="2"/>
      <c r="D656" s="2"/>
      <c r="E656" s="2"/>
      <c r="F656" s="2"/>
    </row>
    <row r="657" spans="1:6" x14ac:dyDescent="0.25">
      <c r="A657" s="2"/>
      <c r="B657" s="2"/>
      <c r="C657" s="2"/>
      <c r="D657" s="2"/>
      <c r="E657" s="2"/>
      <c r="F657" s="2"/>
    </row>
    <row r="658" spans="1:6" x14ac:dyDescent="0.25">
      <c r="A658" s="2"/>
      <c r="B658" s="2"/>
      <c r="C658" s="2"/>
      <c r="D658" s="2"/>
      <c r="E658" s="2"/>
      <c r="F658" s="2"/>
    </row>
    <row r="659" spans="1:6" x14ac:dyDescent="0.25">
      <c r="A659" s="2"/>
      <c r="B659" s="2"/>
      <c r="C659" s="2"/>
      <c r="D659" s="2"/>
      <c r="E659" s="2"/>
      <c r="F659" s="2"/>
    </row>
    <row r="660" spans="1:6" x14ac:dyDescent="0.25">
      <c r="A660" s="2"/>
      <c r="B660" s="2"/>
      <c r="C660" s="2"/>
      <c r="D660" s="2"/>
      <c r="E660" s="2"/>
      <c r="F660" s="2"/>
    </row>
    <row r="661" spans="1:6" x14ac:dyDescent="0.25">
      <c r="A661" s="2"/>
      <c r="B661" s="2"/>
      <c r="C661" s="2"/>
      <c r="D661" s="2"/>
      <c r="E661" s="2"/>
      <c r="F661" s="2"/>
    </row>
    <row r="662" spans="1:6" x14ac:dyDescent="0.25">
      <c r="A662" s="2"/>
      <c r="B662" s="2"/>
      <c r="C662" s="2"/>
      <c r="D662" s="2"/>
      <c r="E662" s="2"/>
      <c r="F662" s="2"/>
    </row>
    <row r="663" spans="1:6" x14ac:dyDescent="0.25">
      <c r="A663" s="2"/>
      <c r="B663" s="2"/>
      <c r="C663" s="2"/>
      <c r="D663" s="2"/>
      <c r="E663" s="2"/>
      <c r="F663" s="2"/>
    </row>
    <row r="664" spans="1:6" x14ac:dyDescent="0.25">
      <c r="A664" s="2"/>
      <c r="B664" s="2"/>
      <c r="C664" s="2"/>
      <c r="D664" s="2"/>
      <c r="E664" s="2"/>
      <c r="F664" s="2"/>
    </row>
    <row r="665" spans="1:6" x14ac:dyDescent="0.25">
      <c r="A665" s="2"/>
      <c r="B665" s="2"/>
      <c r="C665" s="2"/>
      <c r="D665" s="2"/>
      <c r="E665" s="2"/>
      <c r="F665" s="2"/>
    </row>
    <row r="666" spans="1:6" x14ac:dyDescent="0.25">
      <c r="A666" s="2"/>
      <c r="B666" s="2"/>
      <c r="C666" s="2"/>
      <c r="D666" s="2"/>
      <c r="E666" s="2"/>
      <c r="F666" s="2"/>
    </row>
    <row r="667" spans="1:6" x14ac:dyDescent="0.25">
      <c r="A667" s="2"/>
      <c r="B667" s="2"/>
      <c r="C667" s="2"/>
      <c r="D667" s="2"/>
      <c r="E667" s="2"/>
      <c r="F667" s="2"/>
    </row>
    <row r="668" spans="1:6" x14ac:dyDescent="0.25">
      <c r="A668" s="2"/>
      <c r="B668" s="2"/>
      <c r="C668" s="2"/>
      <c r="D668" s="2"/>
      <c r="E668" s="2"/>
      <c r="F668" s="2"/>
    </row>
    <row r="669" spans="1:6" x14ac:dyDescent="0.25">
      <c r="A669" s="2"/>
      <c r="B669" s="2"/>
      <c r="C669" s="2"/>
      <c r="D669" s="2"/>
      <c r="E669" s="2"/>
      <c r="F669" s="2"/>
    </row>
    <row r="670" spans="1:6" x14ac:dyDescent="0.25">
      <c r="A670" s="2"/>
      <c r="B670" s="2"/>
      <c r="C670" s="2"/>
      <c r="D670" s="2"/>
      <c r="E670" s="2"/>
      <c r="F670" s="2"/>
    </row>
    <row r="671" spans="1:6" x14ac:dyDescent="0.25">
      <c r="A671" s="2"/>
      <c r="B671" s="2"/>
      <c r="C671" s="2"/>
      <c r="D671" s="2"/>
      <c r="E671" s="2"/>
      <c r="F671" s="2"/>
    </row>
    <row r="672" spans="1:6" x14ac:dyDescent="0.25">
      <c r="A672" s="2"/>
      <c r="B672" s="2"/>
      <c r="C672" s="2"/>
      <c r="D672" s="2"/>
      <c r="E672" s="2"/>
      <c r="F672" s="2"/>
    </row>
    <row r="673" spans="1:6" x14ac:dyDescent="0.25">
      <c r="A673" s="2"/>
      <c r="B673" s="2"/>
      <c r="C673" s="2"/>
      <c r="D673" s="2"/>
      <c r="E673" s="2"/>
      <c r="F673" s="2"/>
    </row>
    <row r="674" spans="1:6" x14ac:dyDescent="0.25">
      <c r="A674" s="2"/>
      <c r="B674" s="2"/>
      <c r="C674" s="2"/>
      <c r="D674" s="2"/>
      <c r="E674" s="2"/>
      <c r="F674" s="2"/>
    </row>
    <row r="675" spans="1:6" x14ac:dyDescent="0.25">
      <c r="A675" s="2"/>
      <c r="B675" s="2"/>
      <c r="C675" s="2"/>
      <c r="D675" s="2"/>
      <c r="E675" s="2"/>
      <c r="F675" s="2"/>
    </row>
    <row r="676" spans="1:6" x14ac:dyDescent="0.25">
      <c r="A676" s="2"/>
      <c r="B676" s="2"/>
      <c r="C676" s="2"/>
      <c r="D676" s="2"/>
      <c r="E676" s="2"/>
      <c r="F676" s="2"/>
    </row>
    <row r="677" spans="1:6" x14ac:dyDescent="0.25">
      <c r="A677" s="2"/>
      <c r="B677" s="2"/>
      <c r="C677" s="2"/>
      <c r="D677" s="2"/>
      <c r="E677" s="2"/>
      <c r="F677" s="2"/>
    </row>
    <row r="678" spans="1:6" x14ac:dyDescent="0.25">
      <c r="A678" s="2"/>
      <c r="B678" s="2"/>
      <c r="C678" s="2"/>
      <c r="D678" s="2"/>
      <c r="E678" s="2"/>
      <c r="F678" s="2"/>
    </row>
    <row r="679" spans="1:6" x14ac:dyDescent="0.25">
      <c r="A679" s="2"/>
      <c r="B679" s="2"/>
      <c r="C679" s="2"/>
      <c r="D679" s="2"/>
      <c r="E679" s="2"/>
      <c r="F679" s="2"/>
    </row>
    <row r="680" spans="1:6" x14ac:dyDescent="0.25">
      <c r="A680" s="2"/>
      <c r="B680" s="2"/>
      <c r="C680" s="2"/>
      <c r="D680" s="2"/>
      <c r="E680" s="2"/>
      <c r="F680" s="2"/>
    </row>
    <row r="681" spans="1:6" x14ac:dyDescent="0.25">
      <c r="A681" s="2"/>
      <c r="B681" s="2"/>
      <c r="C681" s="2"/>
      <c r="D681" s="2"/>
      <c r="E681" s="2"/>
      <c r="F681" s="2"/>
    </row>
    <row r="682" spans="1:6" x14ac:dyDescent="0.25">
      <c r="A682" s="2"/>
      <c r="B682" s="2"/>
      <c r="C682" s="2"/>
      <c r="D682" s="2"/>
      <c r="E682" s="2"/>
      <c r="F682" s="2"/>
    </row>
    <row r="683" spans="1:6" x14ac:dyDescent="0.25">
      <c r="A683" s="2"/>
      <c r="B683" s="2"/>
      <c r="C683" s="2"/>
      <c r="D683" s="2"/>
      <c r="E683" s="2"/>
      <c r="F683" s="2"/>
    </row>
    <row r="684" spans="1:6" x14ac:dyDescent="0.25">
      <c r="A684" s="2"/>
      <c r="B684" s="2"/>
      <c r="C684" s="2"/>
      <c r="D684" s="2"/>
      <c r="E684" s="2"/>
      <c r="F684" s="2"/>
    </row>
    <row r="685" spans="1:6" x14ac:dyDescent="0.25">
      <c r="A685" s="2"/>
      <c r="B685" s="2"/>
      <c r="C685" s="2"/>
      <c r="D685" s="2"/>
      <c r="E685" s="2"/>
      <c r="F685" s="2"/>
    </row>
    <row r="686" spans="1:6" x14ac:dyDescent="0.25">
      <c r="A686" s="2"/>
      <c r="B686" s="2"/>
      <c r="C686" s="2"/>
      <c r="D686" s="2"/>
      <c r="E686" s="2"/>
      <c r="F686" s="2"/>
    </row>
    <row r="687" spans="1:6" x14ac:dyDescent="0.25">
      <c r="A687" s="2"/>
      <c r="B687" s="2"/>
      <c r="C687" s="2"/>
      <c r="D687" s="2"/>
      <c r="E687" s="2"/>
      <c r="F687" s="2"/>
    </row>
    <row r="688" spans="1:6" x14ac:dyDescent="0.25">
      <c r="A688" s="2"/>
      <c r="B688" s="2"/>
      <c r="C688" s="2"/>
      <c r="D688" s="2"/>
      <c r="E688" s="2"/>
      <c r="F688" s="2"/>
    </row>
    <row r="689" spans="1:6" x14ac:dyDescent="0.25">
      <c r="A689" s="2"/>
      <c r="B689" s="2"/>
      <c r="C689" s="2"/>
      <c r="D689" s="2"/>
      <c r="E689" s="2"/>
      <c r="F689" s="2"/>
    </row>
    <row r="690" spans="1:6" x14ac:dyDescent="0.25">
      <c r="A690" s="2"/>
      <c r="B690" s="2"/>
      <c r="C690" s="2"/>
      <c r="D690" s="2"/>
      <c r="E690" s="2"/>
      <c r="F690" s="2"/>
    </row>
    <row r="691" spans="1:6" x14ac:dyDescent="0.25">
      <c r="A691" s="2"/>
      <c r="B691" s="2"/>
      <c r="C691" s="2"/>
      <c r="D691" s="2"/>
      <c r="E691" s="2"/>
      <c r="F691" s="2"/>
    </row>
    <row r="692" spans="1:6" x14ac:dyDescent="0.25">
      <c r="A692" s="2"/>
      <c r="B692" s="2"/>
      <c r="C692" s="2"/>
      <c r="D692" s="2"/>
      <c r="E692" s="2"/>
      <c r="F692" s="2"/>
    </row>
    <row r="693" spans="1:6" x14ac:dyDescent="0.25">
      <c r="A693" s="2"/>
      <c r="B693" s="2"/>
      <c r="C693" s="2"/>
      <c r="D693" s="2"/>
      <c r="E693" s="2"/>
      <c r="F693" s="2"/>
    </row>
    <row r="694" spans="1:6" x14ac:dyDescent="0.25">
      <c r="A694" s="2"/>
      <c r="B694" s="2"/>
      <c r="C694" s="2"/>
      <c r="D694" s="2"/>
      <c r="E694" s="2"/>
      <c r="F694" s="2"/>
    </row>
    <row r="695" spans="1:6" x14ac:dyDescent="0.25">
      <c r="A695" s="2"/>
      <c r="B695" s="2"/>
      <c r="C695" s="2"/>
      <c r="D695" s="2"/>
      <c r="E695" s="2"/>
      <c r="F695" s="2"/>
    </row>
    <row r="696" spans="1:6" x14ac:dyDescent="0.25">
      <c r="A696" s="2"/>
      <c r="B696" s="2"/>
      <c r="C696" s="2"/>
      <c r="D696" s="2"/>
      <c r="E696" s="2"/>
      <c r="F696" s="2"/>
    </row>
    <row r="697" spans="1:6" x14ac:dyDescent="0.25">
      <c r="A697" s="2"/>
      <c r="B697" s="2"/>
      <c r="C697" s="2"/>
      <c r="D697" s="2"/>
      <c r="E697" s="2"/>
      <c r="F697" s="2"/>
    </row>
    <row r="698" spans="1:6" x14ac:dyDescent="0.25">
      <c r="A698" s="2"/>
      <c r="B698" s="2"/>
      <c r="C698" s="2"/>
      <c r="D698" s="2"/>
      <c r="E698" s="2"/>
      <c r="F698" s="2"/>
    </row>
    <row r="699" spans="1:6" x14ac:dyDescent="0.25">
      <c r="A699" s="2"/>
      <c r="B699" s="2"/>
      <c r="C699" s="2"/>
      <c r="D699" s="2"/>
      <c r="E699" s="2"/>
      <c r="F699" s="2"/>
    </row>
    <row r="700" spans="1:6" x14ac:dyDescent="0.25">
      <c r="A700" s="2"/>
      <c r="B700" s="2"/>
      <c r="C700" s="2"/>
      <c r="D700" s="2"/>
      <c r="E700" s="2"/>
      <c r="F700" s="2"/>
    </row>
    <row r="701" spans="1:6" x14ac:dyDescent="0.25">
      <c r="A701" s="2"/>
      <c r="B701" s="2"/>
      <c r="C701" s="2"/>
      <c r="D701" s="2"/>
      <c r="E701" s="2"/>
      <c r="F701" s="2"/>
    </row>
    <row r="702" spans="1:6" x14ac:dyDescent="0.25">
      <c r="A702" s="2"/>
      <c r="B702" s="2"/>
      <c r="C702" s="2"/>
      <c r="D702" s="2"/>
      <c r="E702" s="2"/>
      <c r="F702" s="2"/>
    </row>
    <row r="703" spans="1:6" x14ac:dyDescent="0.25">
      <c r="A703" s="2"/>
      <c r="B703" s="2"/>
      <c r="C703" s="2"/>
      <c r="D703" s="2"/>
      <c r="E703" s="2"/>
      <c r="F703" s="2"/>
    </row>
    <row r="704" spans="1:6" x14ac:dyDescent="0.25">
      <c r="A704" s="2"/>
      <c r="B704" s="2"/>
      <c r="C704" s="2"/>
      <c r="D704" s="2"/>
      <c r="E704" s="2"/>
      <c r="F704" s="2"/>
    </row>
    <row r="705" spans="1:6" x14ac:dyDescent="0.25">
      <c r="A705" s="2"/>
      <c r="B705" s="2"/>
      <c r="C705" s="2"/>
      <c r="D705" s="2"/>
      <c r="E705" s="2"/>
      <c r="F705" s="2"/>
    </row>
    <row r="706" spans="1:6" x14ac:dyDescent="0.25">
      <c r="A706" s="2"/>
      <c r="B706" s="2"/>
      <c r="C706" s="2"/>
      <c r="D706" s="2"/>
      <c r="E706" s="2"/>
      <c r="F706" s="2"/>
    </row>
    <row r="707" spans="1:6" x14ac:dyDescent="0.25">
      <c r="A707" s="2"/>
      <c r="B707" s="2"/>
      <c r="C707" s="2"/>
      <c r="D707" s="2"/>
      <c r="E707" s="2"/>
      <c r="F707" s="2"/>
    </row>
    <row r="708" spans="1:6" x14ac:dyDescent="0.25">
      <c r="A708" s="2"/>
      <c r="B708" s="2"/>
      <c r="C708" s="2"/>
      <c r="D708" s="2"/>
      <c r="E708" s="2"/>
      <c r="F708" s="2"/>
    </row>
    <row r="709" spans="1:6" x14ac:dyDescent="0.25">
      <c r="A709" s="2"/>
      <c r="B709" s="2"/>
      <c r="C709" s="2"/>
      <c r="D709" s="2"/>
      <c r="E709" s="2"/>
      <c r="F709" s="2"/>
    </row>
    <row r="710" spans="1:6" x14ac:dyDescent="0.25">
      <c r="A710" s="2"/>
      <c r="B710" s="2"/>
      <c r="C710" s="2"/>
      <c r="D710" s="2"/>
      <c r="E710" s="2"/>
      <c r="F710" s="2"/>
    </row>
    <row r="711" spans="1:6" x14ac:dyDescent="0.25">
      <c r="A711" s="2"/>
      <c r="B711" s="2"/>
      <c r="C711" s="2"/>
      <c r="D711" s="2"/>
      <c r="E711" s="2"/>
      <c r="F711" s="2"/>
    </row>
    <row r="712" spans="1:6" x14ac:dyDescent="0.25">
      <c r="A712" s="2"/>
      <c r="B712" s="2"/>
      <c r="C712" s="2"/>
      <c r="D712" s="2"/>
      <c r="E712" s="2"/>
      <c r="F712" s="2"/>
    </row>
    <row r="713" spans="1:6" x14ac:dyDescent="0.25">
      <c r="A713" s="2"/>
      <c r="B713" s="2"/>
      <c r="C713" s="2"/>
      <c r="D713" s="2"/>
      <c r="E713" s="2"/>
      <c r="F713" s="2"/>
    </row>
    <row r="714" spans="1:6" x14ac:dyDescent="0.25">
      <c r="A714" s="2"/>
      <c r="B714" s="2"/>
      <c r="C714" s="2"/>
      <c r="D714" s="2"/>
      <c r="E714" s="2"/>
      <c r="F714" s="2"/>
    </row>
    <row r="715" spans="1:6" x14ac:dyDescent="0.25">
      <c r="A715" s="2"/>
      <c r="B715" s="2"/>
      <c r="C715" s="2"/>
      <c r="D715" s="2"/>
      <c r="E715" s="2"/>
      <c r="F715" s="2"/>
    </row>
    <row r="716" spans="1:6" x14ac:dyDescent="0.25">
      <c r="A716" s="2"/>
      <c r="B716" s="2"/>
      <c r="C716" s="2"/>
      <c r="D716" s="2"/>
      <c r="E716" s="2"/>
      <c r="F716" s="2"/>
    </row>
    <row r="717" spans="1:6" x14ac:dyDescent="0.25">
      <c r="A717" s="2"/>
      <c r="B717" s="2"/>
      <c r="C717" s="2"/>
      <c r="D717" s="2"/>
      <c r="E717" s="2"/>
      <c r="F717" s="2"/>
    </row>
    <row r="718" spans="1:6" x14ac:dyDescent="0.25">
      <c r="A718" s="2"/>
      <c r="B718" s="2"/>
      <c r="C718" s="2"/>
      <c r="D718" s="2"/>
      <c r="E718" s="2"/>
      <c r="F718" s="2"/>
    </row>
    <row r="719" spans="1:6" x14ac:dyDescent="0.25">
      <c r="A719" s="2"/>
      <c r="B719" s="2"/>
      <c r="C719" s="2"/>
      <c r="D719" s="2"/>
      <c r="E719" s="2"/>
      <c r="F719" s="2"/>
    </row>
    <row r="720" spans="1:6" x14ac:dyDescent="0.25">
      <c r="A720" s="2"/>
      <c r="B720" s="2"/>
      <c r="C720" s="2"/>
      <c r="D720" s="2"/>
      <c r="E720" s="2"/>
      <c r="F720" s="2"/>
    </row>
    <row r="721" spans="1:6" x14ac:dyDescent="0.25">
      <c r="A721" s="2"/>
      <c r="B721" s="2"/>
      <c r="C721" s="2"/>
      <c r="D721" s="2"/>
      <c r="E721" s="2"/>
      <c r="F721" s="2"/>
    </row>
    <row r="722" spans="1:6" x14ac:dyDescent="0.25">
      <c r="A722" s="2"/>
      <c r="B722" s="2"/>
      <c r="C722" s="2"/>
      <c r="D722" s="2"/>
      <c r="E722" s="2"/>
      <c r="F722" s="2"/>
    </row>
    <row r="723" spans="1:6" x14ac:dyDescent="0.25">
      <c r="A723" s="2"/>
      <c r="B723" s="2"/>
      <c r="C723" s="2"/>
      <c r="D723" s="2"/>
      <c r="E723" s="2"/>
      <c r="F723" s="2"/>
    </row>
    <row r="724" spans="1:6" x14ac:dyDescent="0.25">
      <c r="A724" s="2"/>
      <c r="B724" s="2"/>
      <c r="C724" s="2"/>
      <c r="D724" s="2"/>
      <c r="E724" s="2"/>
      <c r="F724" s="2"/>
    </row>
    <row r="725" spans="1:6" x14ac:dyDescent="0.25">
      <c r="A725" s="2"/>
      <c r="B725" s="2"/>
      <c r="C725" s="2"/>
      <c r="D725" s="2"/>
      <c r="E725" s="2"/>
      <c r="F725" s="2"/>
    </row>
    <row r="726" spans="1:6" x14ac:dyDescent="0.25">
      <c r="A726" s="2"/>
      <c r="B726" s="2"/>
      <c r="C726" s="2"/>
      <c r="D726" s="2"/>
      <c r="E726" s="2"/>
      <c r="F726" s="2"/>
    </row>
    <row r="727" spans="1:6" x14ac:dyDescent="0.25">
      <c r="A727" s="2"/>
      <c r="B727" s="2"/>
      <c r="C727" s="2"/>
      <c r="D727" s="2"/>
      <c r="E727" s="2"/>
      <c r="F727" s="2"/>
    </row>
    <row r="728" spans="1:6" x14ac:dyDescent="0.25">
      <c r="A728" s="2"/>
      <c r="B728" s="2"/>
      <c r="C728" s="2"/>
      <c r="D728" s="2"/>
      <c r="E728" s="2"/>
      <c r="F728" s="2"/>
    </row>
    <row r="729" spans="1:6" x14ac:dyDescent="0.25">
      <c r="A729" s="2"/>
      <c r="B729" s="2"/>
      <c r="C729" s="2"/>
      <c r="D729" s="2"/>
      <c r="E729" s="2"/>
      <c r="F729" s="2"/>
    </row>
    <row r="730" spans="1:6" x14ac:dyDescent="0.25">
      <c r="A730" s="2"/>
      <c r="B730" s="2"/>
      <c r="C730" s="2"/>
      <c r="D730" s="2"/>
      <c r="E730" s="2"/>
      <c r="F730" s="2"/>
    </row>
    <row r="731" spans="1:6" x14ac:dyDescent="0.25">
      <c r="A731" s="2"/>
      <c r="B731" s="2"/>
      <c r="C731" s="2"/>
      <c r="D731" s="2"/>
      <c r="E731" s="2"/>
      <c r="F731" s="2"/>
    </row>
    <row r="732" spans="1:6" x14ac:dyDescent="0.25">
      <c r="A732" s="2"/>
      <c r="B732" s="2"/>
      <c r="C732" s="2"/>
      <c r="D732" s="2"/>
      <c r="E732" s="2"/>
      <c r="F732" s="2"/>
    </row>
    <row r="733" spans="1:6" x14ac:dyDescent="0.25">
      <c r="A733" s="2"/>
      <c r="B733" s="2"/>
      <c r="C733" s="2"/>
      <c r="D733" s="2"/>
      <c r="E733" s="2"/>
      <c r="F733" s="2"/>
    </row>
    <row r="734" spans="1:6" x14ac:dyDescent="0.25">
      <c r="A734" s="2"/>
      <c r="B734" s="2"/>
      <c r="C734" s="2"/>
      <c r="D734" s="2"/>
      <c r="E734" s="2"/>
      <c r="F734" s="2"/>
    </row>
    <row r="735" spans="1:6" x14ac:dyDescent="0.25">
      <c r="A735" s="2"/>
      <c r="B735" s="2"/>
      <c r="C735" s="2"/>
      <c r="D735" s="2"/>
      <c r="E735" s="2"/>
      <c r="F735" s="2"/>
    </row>
    <row r="736" spans="1:6" x14ac:dyDescent="0.25">
      <c r="A736" s="2"/>
      <c r="B736" s="2"/>
      <c r="C736" s="2"/>
      <c r="D736" s="2"/>
      <c r="E736" s="2"/>
      <c r="F736" s="2"/>
    </row>
    <row r="737" spans="1:6" x14ac:dyDescent="0.25">
      <c r="A737" s="2"/>
      <c r="B737" s="2"/>
      <c r="C737" s="2"/>
      <c r="D737" s="2"/>
      <c r="E737" s="2"/>
      <c r="F737" s="2"/>
    </row>
    <row r="738" spans="1:6" x14ac:dyDescent="0.25">
      <c r="A738" s="2"/>
      <c r="B738" s="2"/>
      <c r="C738" s="2"/>
      <c r="D738" s="2"/>
      <c r="E738" s="2"/>
      <c r="F738" s="2"/>
    </row>
    <row r="739" spans="1:6" x14ac:dyDescent="0.25">
      <c r="A739" s="2"/>
      <c r="B739" s="2"/>
      <c r="C739" s="2"/>
      <c r="D739" s="2"/>
      <c r="E739" s="2"/>
      <c r="F739" s="2"/>
    </row>
    <row r="740" spans="1:6" x14ac:dyDescent="0.25">
      <c r="A740" s="2"/>
      <c r="B740" s="2"/>
      <c r="C740" s="2"/>
      <c r="D740" s="2"/>
      <c r="E740" s="2"/>
      <c r="F740" s="2"/>
    </row>
    <row r="741" spans="1:6" x14ac:dyDescent="0.25">
      <c r="A741" s="2"/>
      <c r="B741" s="2"/>
      <c r="C741" s="2"/>
      <c r="D741" s="2"/>
      <c r="E741" s="2"/>
      <c r="F741" s="2"/>
    </row>
    <row r="742" spans="1:6" x14ac:dyDescent="0.25">
      <c r="A742" s="2"/>
      <c r="B742" s="2"/>
      <c r="C742" s="2"/>
      <c r="D742" s="2"/>
      <c r="E742" s="2"/>
      <c r="F742" s="2"/>
    </row>
    <row r="743" spans="1:6" x14ac:dyDescent="0.25">
      <c r="A743" s="2"/>
      <c r="B743" s="2"/>
      <c r="C743" s="2"/>
      <c r="D743" s="2"/>
      <c r="E743" s="2"/>
      <c r="F743" s="2"/>
    </row>
    <row r="744" spans="1:6" x14ac:dyDescent="0.25">
      <c r="A744" s="2"/>
      <c r="B744" s="2"/>
      <c r="C744" s="2"/>
      <c r="D744" s="2"/>
      <c r="E744" s="2"/>
      <c r="F744" s="2"/>
    </row>
    <row r="745" spans="1:6" x14ac:dyDescent="0.25">
      <c r="A745" s="2"/>
      <c r="B745" s="2"/>
      <c r="C745" s="2"/>
      <c r="D745" s="2"/>
      <c r="E745" s="2"/>
      <c r="F745" s="2"/>
    </row>
    <row r="746" spans="1:6" x14ac:dyDescent="0.25">
      <c r="A746" s="2"/>
      <c r="B746" s="2"/>
      <c r="C746" s="2"/>
      <c r="D746" s="2"/>
      <c r="E746" s="2"/>
      <c r="F746" s="2"/>
    </row>
    <row r="747" spans="1:6" x14ac:dyDescent="0.25">
      <c r="A747" s="2"/>
      <c r="B747" s="2"/>
      <c r="C747" s="2"/>
      <c r="D747" s="2"/>
      <c r="E747" s="2"/>
      <c r="F747" s="2"/>
    </row>
    <row r="748" spans="1:6" x14ac:dyDescent="0.25">
      <c r="A748" s="2"/>
      <c r="B748" s="2"/>
      <c r="C748" s="2"/>
      <c r="D748" s="2"/>
      <c r="E748" s="2"/>
      <c r="F748" s="2"/>
    </row>
    <row r="749" spans="1:6" x14ac:dyDescent="0.25">
      <c r="A749" s="2"/>
      <c r="B749" s="2"/>
      <c r="C749" s="2"/>
      <c r="D749" s="2"/>
      <c r="E749" s="2"/>
      <c r="F749" s="2"/>
    </row>
    <row r="750" spans="1:6" x14ac:dyDescent="0.25">
      <c r="A750" s="2"/>
      <c r="B750" s="2"/>
      <c r="C750" s="2"/>
      <c r="D750" s="2"/>
      <c r="E750" s="2"/>
      <c r="F750" s="2"/>
    </row>
    <row r="751" spans="1:6" x14ac:dyDescent="0.25">
      <c r="A751" s="2"/>
      <c r="B751" s="2"/>
      <c r="C751" s="2"/>
      <c r="D751" s="2"/>
      <c r="E751" s="2"/>
      <c r="F751" s="2"/>
    </row>
    <row r="752" spans="1:6" x14ac:dyDescent="0.25">
      <c r="A752" s="2"/>
      <c r="B752" s="2"/>
      <c r="C752" s="2"/>
      <c r="D752" s="2"/>
      <c r="E752" s="2"/>
      <c r="F752" s="2"/>
    </row>
    <row r="753" spans="1:6" x14ac:dyDescent="0.25">
      <c r="A753" s="2"/>
      <c r="B753" s="2"/>
      <c r="C753" s="2"/>
      <c r="D753" s="2"/>
      <c r="E753" s="2"/>
      <c r="F753" s="2"/>
    </row>
    <row r="754" spans="1:6" x14ac:dyDescent="0.25">
      <c r="A754" s="2"/>
      <c r="B754" s="2"/>
      <c r="C754" s="2"/>
      <c r="D754" s="2"/>
      <c r="E754" s="2"/>
      <c r="F754" s="2"/>
    </row>
    <row r="755" spans="1:6" x14ac:dyDescent="0.25">
      <c r="A755" s="2"/>
      <c r="B755" s="2"/>
      <c r="C755" s="2"/>
      <c r="D755" s="2"/>
      <c r="E755" s="2"/>
      <c r="F755" s="2"/>
    </row>
    <row r="756" spans="1:6" x14ac:dyDescent="0.25">
      <c r="A756" s="2"/>
      <c r="B756" s="2"/>
      <c r="C756" s="2"/>
      <c r="D756" s="2"/>
      <c r="E756" s="2"/>
      <c r="F756" s="2"/>
    </row>
    <row r="757" spans="1:6" x14ac:dyDescent="0.25">
      <c r="A757" s="2"/>
      <c r="B757" s="2"/>
      <c r="C757" s="2"/>
      <c r="D757" s="2"/>
      <c r="E757" s="2"/>
      <c r="F757" s="2"/>
    </row>
    <row r="758" spans="1:6" x14ac:dyDescent="0.25">
      <c r="A758" s="2"/>
      <c r="B758" s="2"/>
      <c r="C758" s="2"/>
      <c r="D758" s="2"/>
      <c r="E758" s="2"/>
      <c r="F758" s="2"/>
    </row>
    <row r="759" spans="1:6" x14ac:dyDescent="0.25">
      <c r="A759" s="2"/>
      <c r="B759" s="2"/>
      <c r="C759" s="2"/>
      <c r="D759" s="2"/>
      <c r="E759" s="2"/>
      <c r="F759" s="2"/>
    </row>
    <row r="760" spans="1:6" x14ac:dyDescent="0.25">
      <c r="A760" s="2"/>
      <c r="B760" s="2"/>
      <c r="C760" s="2"/>
      <c r="D760" s="2"/>
      <c r="E760" s="2"/>
      <c r="F760" s="2"/>
    </row>
    <row r="761" spans="1:6" x14ac:dyDescent="0.25">
      <c r="A761" s="2"/>
      <c r="B761" s="2"/>
      <c r="C761" s="2"/>
      <c r="D761" s="2"/>
      <c r="E761" s="2"/>
      <c r="F761" s="2"/>
    </row>
    <row r="762" spans="1:6" x14ac:dyDescent="0.25">
      <c r="A762" s="2"/>
      <c r="B762" s="2"/>
      <c r="C762" s="2"/>
      <c r="D762" s="2"/>
      <c r="E762" s="2"/>
      <c r="F762" s="2"/>
    </row>
    <row r="763" spans="1:6" x14ac:dyDescent="0.25">
      <c r="A763" s="2"/>
      <c r="B763" s="2"/>
      <c r="C763" s="2"/>
      <c r="D763" s="2"/>
      <c r="E763" s="2"/>
      <c r="F763" s="2"/>
    </row>
    <row r="764" spans="1:6" x14ac:dyDescent="0.25">
      <c r="A764" s="2"/>
      <c r="B764" s="2"/>
      <c r="C764" s="2"/>
      <c r="D764" s="2"/>
      <c r="E764" s="2"/>
      <c r="F764" s="2"/>
    </row>
    <row r="765" spans="1:6" x14ac:dyDescent="0.25">
      <c r="A765" s="2"/>
      <c r="B765" s="2"/>
      <c r="C765" s="2"/>
      <c r="D765" s="2"/>
      <c r="E765" s="2"/>
      <c r="F765" s="2"/>
    </row>
    <row r="766" spans="1:6" x14ac:dyDescent="0.25">
      <c r="A766" s="2"/>
      <c r="B766" s="2"/>
      <c r="C766" s="2"/>
      <c r="D766" s="2"/>
      <c r="E766" s="2"/>
      <c r="F766" s="2"/>
    </row>
    <row r="767" spans="1:6" x14ac:dyDescent="0.25">
      <c r="A767" s="2"/>
      <c r="B767" s="2"/>
      <c r="C767" s="2"/>
      <c r="D767" s="2"/>
      <c r="E767" s="2"/>
      <c r="F767" s="2"/>
    </row>
    <row r="768" spans="1:6" x14ac:dyDescent="0.25">
      <c r="A768" s="2"/>
      <c r="B768" s="2"/>
      <c r="C768" s="2"/>
      <c r="D768" s="2"/>
      <c r="E768" s="2"/>
      <c r="F768" s="2"/>
    </row>
    <row r="769" spans="1:6" x14ac:dyDescent="0.25">
      <c r="A769" s="2"/>
      <c r="B769" s="2"/>
      <c r="C769" s="2"/>
      <c r="D769" s="2"/>
      <c r="E769" s="2"/>
      <c r="F769" s="2"/>
    </row>
    <row r="770" spans="1:6" x14ac:dyDescent="0.25">
      <c r="A770" s="2"/>
      <c r="B770" s="2"/>
      <c r="C770" s="2"/>
      <c r="D770" s="2"/>
      <c r="E770" s="2"/>
      <c r="F770" s="2"/>
    </row>
    <row r="771" spans="1:6" x14ac:dyDescent="0.25">
      <c r="A771" s="2"/>
      <c r="B771" s="2"/>
      <c r="C771" s="2"/>
      <c r="D771" s="2"/>
      <c r="E771" s="2"/>
      <c r="F771" s="2"/>
    </row>
    <row r="772" spans="1:6" x14ac:dyDescent="0.25">
      <c r="A772" s="2"/>
      <c r="B772" s="2"/>
      <c r="C772" s="2"/>
      <c r="D772" s="2"/>
      <c r="E772" s="2"/>
      <c r="F772" s="2"/>
    </row>
    <row r="773" spans="1:6" x14ac:dyDescent="0.25">
      <c r="A773" s="2"/>
      <c r="B773" s="2"/>
      <c r="C773" s="2"/>
      <c r="D773" s="2"/>
      <c r="E773" s="2"/>
      <c r="F773" s="2"/>
    </row>
    <row r="774" spans="1:6" x14ac:dyDescent="0.25">
      <c r="A774" s="2"/>
      <c r="B774" s="2"/>
      <c r="C774" s="2"/>
      <c r="D774" s="2"/>
      <c r="E774" s="2"/>
      <c r="F774" s="2"/>
    </row>
    <row r="775" spans="1:6" x14ac:dyDescent="0.25">
      <c r="A775" s="2"/>
      <c r="B775" s="2"/>
      <c r="C775" s="2"/>
      <c r="D775" s="2"/>
      <c r="E775" s="2"/>
      <c r="F775" s="2"/>
    </row>
    <row r="776" spans="1:6" x14ac:dyDescent="0.25">
      <c r="A776" s="2"/>
      <c r="B776" s="2"/>
      <c r="C776" s="2"/>
      <c r="D776" s="2"/>
      <c r="E776" s="2"/>
      <c r="F776" s="2"/>
    </row>
    <row r="777" spans="1:6" x14ac:dyDescent="0.25">
      <c r="A777" s="2"/>
      <c r="B777" s="2"/>
      <c r="C777" s="2"/>
      <c r="D777" s="2"/>
      <c r="E777" s="2"/>
      <c r="F777" s="2"/>
    </row>
    <row r="778" spans="1:6" x14ac:dyDescent="0.25">
      <c r="A778" s="2"/>
      <c r="B778" s="2"/>
      <c r="C778" s="2"/>
      <c r="D778" s="2"/>
      <c r="E778" s="2"/>
      <c r="F778" s="2"/>
    </row>
    <row r="779" spans="1:6" x14ac:dyDescent="0.25">
      <c r="A779" s="2"/>
      <c r="B779" s="2"/>
      <c r="C779" s="2"/>
      <c r="D779" s="2"/>
      <c r="E779" s="2"/>
      <c r="F779" s="2"/>
    </row>
    <row r="780" spans="1:6" x14ac:dyDescent="0.25">
      <c r="A780" s="2"/>
      <c r="B780" s="2"/>
      <c r="C780" s="2"/>
      <c r="D780" s="2"/>
      <c r="E780" s="2"/>
      <c r="F780" s="2"/>
    </row>
    <row r="781" spans="1:6" x14ac:dyDescent="0.25">
      <c r="A781" s="2"/>
      <c r="B781" s="2"/>
      <c r="C781" s="2"/>
      <c r="D781" s="2"/>
      <c r="E781" s="2"/>
      <c r="F781" s="2"/>
    </row>
    <row r="782" spans="1:6" x14ac:dyDescent="0.25">
      <c r="A782" s="2"/>
      <c r="B782" s="2"/>
      <c r="C782" s="2"/>
      <c r="D782" s="2"/>
      <c r="E782" s="2"/>
      <c r="F782" s="2"/>
    </row>
    <row r="783" spans="1:6" x14ac:dyDescent="0.25">
      <c r="A783" s="2"/>
      <c r="B783" s="2"/>
      <c r="C783" s="2"/>
      <c r="D783" s="2"/>
      <c r="E783" s="2"/>
      <c r="F783" s="2"/>
    </row>
    <row r="784" spans="1:6" x14ac:dyDescent="0.25">
      <c r="A784" s="2"/>
      <c r="B784" s="2"/>
      <c r="C784" s="2"/>
      <c r="D784" s="2"/>
      <c r="E784" s="2"/>
      <c r="F784" s="2"/>
    </row>
    <row r="785" spans="1:6" x14ac:dyDescent="0.25">
      <c r="A785" s="2"/>
      <c r="B785" s="2"/>
      <c r="C785" s="2"/>
      <c r="D785" s="2"/>
      <c r="E785" s="2"/>
      <c r="F785" s="2"/>
    </row>
    <row r="786" spans="1:6" x14ac:dyDescent="0.25">
      <c r="A786" s="2"/>
      <c r="B786" s="2"/>
      <c r="C786" s="2"/>
      <c r="D786" s="2"/>
      <c r="E786" s="2"/>
      <c r="F786" s="2"/>
    </row>
    <row r="787" spans="1:6" x14ac:dyDescent="0.25">
      <c r="A787" s="2"/>
      <c r="B787" s="2"/>
      <c r="C787" s="2"/>
      <c r="D787" s="2"/>
      <c r="E787" s="2"/>
      <c r="F787" s="2"/>
    </row>
    <row r="788" spans="1:6" x14ac:dyDescent="0.25">
      <c r="A788" s="2"/>
      <c r="B788" s="2"/>
      <c r="C788" s="2"/>
      <c r="D788" s="2"/>
      <c r="E788" s="2"/>
      <c r="F788" s="2"/>
    </row>
    <row r="789" spans="1:6" x14ac:dyDescent="0.25">
      <c r="A789" s="2"/>
      <c r="B789" s="2"/>
      <c r="C789" s="2"/>
      <c r="D789" s="2"/>
      <c r="E789" s="2"/>
      <c r="F789" s="2"/>
    </row>
    <row r="790" spans="1:6" x14ac:dyDescent="0.25">
      <c r="A790" s="2"/>
      <c r="B790" s="2"/>
      <c r="C790" s="2"/>
      <c r="D790" s="2"/>
      <c r="E790" s="2"/>
      <c r="F790" s="2"/>
    </row>
    <row r="791" spans="1:6" x14ac:dyDescent="0.25">
      <c r="A791" s="2"/>
      <c r="B791" s="2"/>
      <c r="C791" s="2"/>
      <c r="D791" s="2"/>
      <c r="E791" s="2"/>
      <c r="F791" s="2"/>
    </row>
    <row r="792" spans="1:6" x14ac:dyDescent="0.25">
      <c r="A792" s="2"/>
      <c r="B792" s="2"/>
      <c r="C792" s="2"/>
      <c r="D792" s="2"/>
      <c r="E792" s="2"/>
      <c r="F792" s="2"/>
    </row>
    <row r="793" spans="1:6" x14ac:dyDescent="0.25">
      <c r="A793" s="2"/>
      <c r="B793" s="2"/>
      <c r="C793" s="2"/>
      <c r="D793" s="2"/>
      <c r="E793" s="2"/>
      <c r="F793" s="2"/>
    </row>
    <row r="794" spans="1:6" x14ac:dyDescent="0.25">
      <c r="A794" s="2"/>
      <c r="B794" s="2"/>
      <c r="C794" s="2"/>
      <c r="D794" s="2"/>
      <c r="E794" s="2"/>
      <c r="F794" s="2"/>
    </row>
    <row r="795" spans="1:6" x14ac:dyDescent="0.25">
      <c r="A795" s="2"/>
      <c r="B795" s="2"/>
      <c r="C795" s="2"/>
      <c r="D795" s="2"/>
      <c r="E795" s="2"/>
      <c r="F795" s="2"/>
    </row>
    <row r="796" spans="1:6" x14ac:dyDescent="0.25">
      <c r="A796" s="2"/>
      <c r="B796" s="2"/>
      <c r="C796" s="2"/>
      <c r="D796" s="2"/>
      <c r="E796" s="2"/>
      <c r="F796" s="2"/>
    </row>
    <row r="797" spans="1:6" x14ac:dyDescent="0.25">
      <c r="A797" s="2"/>
      <c r="B797" s="2"/>
      <c r="C797" s="2"/>
      <c r="D797" s="2"/>
      <c r="E797" s="2"/>
      <c r="F797" s="2"/>
    </row>
    <row r="798" spans="1:6" x14ac:dyDescent="0.25">
      <c r="A798" s="2"/>
      <c r="B798" s="2"/>
      <c r="C798" s="2"/>
      <c r="D798" s="2"/>
      <c r="E798" s="2"/>
      <c r="F798" s="2"/>
    </row>
    <row r="799" spans="1:6" x14ac:dyDescent="0.25">
      <c r="A799" s="2"/>
      <c r="B799" s="2"/>
      <c r="C799" s="2"/>
      <c r="D799" s="2"/>
      <c r="E799" s="2"/>
      <c r="F799" s="2"/>
    </row>
    <row r="800" spans="1:6" x14ac:dyDescent="0.25">
      <c r="A800" s="2"/>
      <c r="B800" s="2"/>
      <c r="C800" s="2"/>
      <c r="D800" s="2"/>
      <c r="E800" s="2"/>
      <c r="F800" s="2"/>
    </row>
    <row r="801" spans="1:6" x14ac:dyDescent="0.25">
      <c r="A801" s="2"/>
      <c r="B801" s="2"/>
      <c r="C801" s="2"/>
      <c r="D801" s="2"/>
      <c r="E801" s="2"/>
      <c r="F801" s="2"/>
    </row>
    <row r="802" spans="1:6" x14ac:dyDescent="0.25">
      <c r="A802" s="2"/>
      <c r="B802" s="2"/>
      <c r="C802" s="2"/>
      <c r="D802" s="2"/>
      <c r="E802" s="2"/>
      <c r="F802" s="2"/>
    </row>
    <row r="803" spans="1:6" x14ac:dyDescent="0.25">
      <c r="A803" s="2"/>
      <c r="B803" s="2"/>
      <c r="C803" s="2"/>
      <c r="D803" s="2"/>
      <c r="E803" s="2"/>
      <c r="F803" s="2"/>
    </row>
    <row r="804" spans="1:6" x14ac:dyDescent="0.25">
      <c r="A804" s="2"/>
      <c r="B804" s="2"/>
      <c r="C804" s="2"/>
      <c r="D804" s="2"/>
      <c r="E804" s="2"/>
      <c r="F804" s="2"/>
    </row>
    <row r="805" spans="1:6" x14ac:dyDescent="0.25">
      <c r="A805" s="2"/>
      <c r="B805" s="2"/>
      <c r="C805" s="2"/>
      <c r="D805" s="2"/>
      <c r="E805" s="2"/>
      <c r="F805" s="2"/>
    </row>
    <row r="806" spans="1:6" x14ac:dyDescent="0.25">
      <c r="A806" s="2"/>
      <c r="B806" s="2"/>
      <c r="C806" s="2"/>
      <c r="D806" s="2"/>
      <c r="E806" s="2"/>
      <c r="F806" s="2"/>
    </row>
    <row r="807" spans="1:6" x14ac:dyDescent="0.25">
      <c r="A807" s="2"/>
      <c r="B807" s="2"/>
      <c r="C807" s="2"/>
      <c r="D807" s="2"/>
      <c r="E807" s="2"/>
      <c r="F807" s="2"/>
    </row>
    <row r="808" spans="1:6" x14ac:dyDescent="0.25">
      <c r="A808" s="2"/>
      <c r="B808" s="2"/>
      <c r="C808" s="2"/>
      <c r="D808" s="2"/>
      <c r="E808" s="2"/>
      <c r="F808" s="2"/>
    </row>
    <row r="809" spans="1:6" x14ac:dyDescent="0.25">
      <c r="A809" s="2"/>
      <c r="B809" s="2"/>
      <c r="C809" s="2"/>
      <c r="D809" s="2"/>
      <c r="E809" s="2"/>
      <c r="F809" s="2"/>
    </row>
    <row r="810" spans="1:6" x14ac:dyDescent="0.25">
      <c r="A810" s="2"/>
      <c r="B810" s="2"/>
      <c r="C810" s="2"/>
      <c r="D810" s="2"/>
      <c r="E810" s="2"/>
      <c r="F810" s="2"/>
    </row>
    <row r="811" spans="1:6" x14ac:dyDescent="0.25">
      <c r="A811" s="2"/>
      <c r="B811" s="2"/>
      <c r="C811" s="2"/>
      <c r="D811" s="2"/>
      <c r="E811" s="2"/>
      <c r="F811" s="2"/>
    </row>
    <row r="812" spans="1:6" x14ac:dyDescent="0.25">
      <c r="A812" s="2"/>
      <c r="B812" s="2"/>
      <c r="C812" s="2"/>
      <c r="D812" s="2"/>
      <c r="E812" s="2"/>
      <c r="F812" s="2"/>
    </row>
    <row r="813" spans="1:6" x14ac:dyDescent="0.25">
      <c r="A813" s="2"/>
      <c r="B813" s="2"/>
      <c r="C813" s="2"/>
      <c r="D813" s="2"/>
      <c r="E813" s="2"/>
      <c r="F813" s="2"/>
    </row>
    <row r="814" spans="1:6" x14ac:dyDescent="0.25">
      <c r="A814" s="2"/>
      <c r="B814" s="2"/>
      <c r="C814" s="2"/>
      <c r="D814" s="2"/>
      <c r="E814" s="2"/>
      <c r="F814" s="2"/>
    </row>
    <row r="815" spans="1:6" x14ac:dyDescent="0.25">
      <c r="A815" s="2"/>
      <c r="B815" s="2"/>
      <c r="C815" s="2"/>
      <c r="D815" s="2"/>
      <c r="E815" s="2"/>
      <c r="F815" s="2"/>
    </row>
    <row r="816" spans="1:6" x14ac:dyDescent="0.25">
      <c r="A816" s="2"/>
      <c r="B816" s="2"/>
      <c r="C816" s="2"/>
      <c r="D816" s="2"/>
      <c r="E816" s="2"/>
      <c r="F816" s="2"/>
    </row>
    <row r="817" spans="1:6" x14ac:dyDescent="0.25">
      <c r="A817" s="2"/>
      <c r="B817" s="2"/>
      <c r="C817" s="2"/>
      <c r="D817" s="2"/>
      <c r="E817" s="2"/>
      <c r="F817" s="2"/>
    </row>
    <row r="818" spans="1:6" x14ac:dyDescent="0.25">
      <c r="A818" s="2"/>
      <c r="B818" s="2"/>
      <c r="C818" s="2"/>
      <c r="D818" s="2"/>
      <c r="E818" s="2"/>
      <c r="F818" s="2"/>
    </row>
    <row r="819" spans="1:6" x14ac:dyDescent="0.25">
      <c r="A819" s="2"/>
      <c r="B819" s="2"/>
      <c r="C819" s="2"/>
      <c r="D819" s="2"/>
      <c r="E819" s="2"/>
      <c r="F819" s="2"/>
    </row>
    <row r="820" spans="1:6" x14ac:dyDescent="0.25">
      <c r="A820" s="2"/>
      <c r="B820" s="2"/>
      <c r="C820" s="2"/>
      <c r="D820" s="2"/>
      <c r="E820" s="2"/>
      <c r="F820" s="2"/>
    </row>
    <row r="821" spans="1:6" x14ac:dyDescent="0.25">
      <c r="A821" s="2"/>
      <c r="B821" s="2"/>
      <c r="C821" s="2"/>
      <c r="D821" s="2"/>
      <c r="E821" s="2"/>
      <c r="F821" s="2"/>
    </row>
    <row r="822" spans="1:6" x14ac:dyDescent="0.25">
      <c r="A822" s="2"/>
      <c r="B822" s="2"/>
      <c r="C822" s="2"/>
      <c r="D822" s="2"/>
      <c r="E822" s="2"/>
      <c r="F822" s="2"/>
    </row>
    <row r="823" spans="1:6" x14ac:dyDescent="0.25">
      <c r="A823" s="2"/>
      <c r="B823" s="2"/>
      <c r="C823" s="2"/>
      <c r="D823" s="2"/>
      <c r="E823" s="2"/>
      <c r="F823" s="2"/>
    </row>
    <row r="824" spans="1:6" x14ac:dyDescent="0.25">
      <c r="A824" s="2"/>
      <c r="B824" s="2"/>
      <c r="C824" s="2"/>
      <c r="D824" s="2"/>
      <c r="E824" s="2"/>
      <c r="F824" s="2"/>
    </row>
    <row r="825" spans="1:6" x14ac:dyDescent="0.25">
      <c r="A825" s="2"/>
      <c r="B825" s="2"/>
      <c r="C825" s="2"/>
      <c r="D825" s="2"/>
      <c r="E825" s="2"/>
      <c r="F825" s="2"/>
    </row>
    <row r="826" spans="1:6" x14ac:dyDescent="0.25">
      <c r="A826" s="2"/>
      <c r="B826" s="2"/>
      <c r="C826" s="2"/>
      <c r="D826" s="2"/>
      <c r="E826" s="2"/>
      <c r="F826" s="2"/>
    </row>
    <row r="827" spans="1:6" x14ac:dyDescent="0.25">
      <c r="A827" s="2"/>
      <c r="B827" s="2"/>
      <c r="C827" s="2"/>
      <c r="D827" s="2"/>
      <c r="E827" s="2"/>
      <c r="F827" s="2"/>
    </row>
    <row r="828" spans="1:6" x14ac:dyDescent="0.25">
      <c r="A828" s="2"/>
      <c r="B828" s="2"/>
      <c r="C828" s="2"/>
      <c r="D828" s="2"/>
      <c r="E828" s="2"/>
      <c r="F828" s="2"/>
    </row>
    <row r="829" spans="1:6" x14ac:dyDescent="0.25">
      <c r="A829" s="2"/>
      <c r="B829" s="2"/>
      <c r="C829" s="2"/>
      <c r="D829" s="2"/>
      <c r="E829" s="2"/>
      <c r="F829" s="2"/>
    </row>
    <row r="830" spans="1:6" x14ac:dyDescent="0.25">
      <c r="A830" s="2"/>
      <c r="B830" s="2"/>
      <c r="C830" s="2"/>
      <c r="D830" s="2"/>
      <c r="E830" s="2"/>
      <c r="F830" s="2"/>
    </row>
    <row r="831" spans="1:6" x14ac:dyDescent="0.25">
      <c r="A831" s="2"/>
      <c r="B831" s="2"/>
      <c r="C831" s="2"/>
      <c r="D831" s="2"/>
      <c r="E831" s="2"/>
      <c r="F831" s="2"/>
    </row>
    <row r="832" spans="1:6" x14ac:dyDescent="0.25">
      <c r="A832" s="2"/>
      <c r="B832" s="2"/>
      <c r="C832" s="2"/>
      <c r="D832" s="2"/>
      <c r="E832" s="2"/>
      <c r="F832" s="2"/>
    </row>
    <row r="833" spans="1:6" x14ac:dyDescent="0.25">
      <c r="A833" s="2"/>
      <c r="B833" s="2"/>
      <c r="C833" s="2"/>
      <c r="D833" s="2"/>
      <c r="E833" s="2"/>
      <c r="F833" s="2"/>
    </row>
    <row r="834" spans="1:6" x14ac:dyDescent="0.25">
      <c r="A834" s="2"/>
      <c r="B834" s="2"/>
      <c r="C834" s="2"/>
      <c r="D834" s="2"/>
      <c r="E834" s="2"/>
      <c r="F834" s="2"/>
    </row>
    <row r="835" spans="1:6" x14ac:dyDescent="0.25">
      <c r="A835" s="2"/>
      <c r="B835" s="2"/>
      <c r="C835" s="2"/>
      <c r="D835" s="2"/>
      <c r="E835" s="2"/>
      <c r="F835" s="2"/>
    </row>
    <row r="836" spans="1:6" x14ac:dyDescent="0.25">
      <c r="A836" s="2"/>
      <c r="B836" s="2"/>
      <c r="C836" s="2"/>
      <c r="D836" s="2"/>
      <c r="E836" s="2"/>
      <c r="F836" s="2"/>
    </row>
    <row r="837" spans="1:6" x14ac:dyDescent="0.25">
      <c r="A837" s="2"/>
      <c r="B837" s="2"/>
      <c r="C837" s="2"/>
      <c r="D837" s="2"/>
      <c r="E837" s="2"/>
      <c r="F837" s="2"/>
    </row>
    <row r="838" spans="1:6" x14ac:dyDescent="0.25">
      <c r="A838" s="2"/>
      <c r="B838" s="2"/>
      <c r="C838" s="2"/>
      <c r="D838" s="2"/>
      <c r="E838" s="2"/>
      <c r="F838" s="2"/>
    </row>
    <row r="839" spans="1:6" x14ac:dyDescent="0.25">
      <c r="A839" s="2"/>
      <c r="B839" s="2"/>
      <c r="C839" s="2"/>
      <c r="D839" s="2"/>
      <c r="E839" s="2"/>
      <c r="F839" s="2"/>
    </row>
    <row r="840" spans="1:6" x14ac:dyDescent="0.25">
      <c r="A840" s="2"/>
      <c r="B840" s="2"/>
      <c r="C840" s="2"/>
      <c r="D840" s="2"/>
      <c r="E840" s="2"/>
      <c r="F840" s="2"/>
    </row>
    <row r="841" spans="1:6" x14ac:dyDescent="0.25">
      <c r="A841" s="2"/>
      <c r="B841" s="2"/>
      <c r="C841" s="2"/>
      <c r="D841" s="2"/>
      <c r="E841" s="2"/>
      <c r="F841" s="2"/>
    </row>
    <row r="842" spans="1:6" x14ac:dyDescent="0.25">
      <c r="A842" s="2"/>
      <c r="B842" s="2"/>
      <c r="C842" s="2"/>
      <c r="D842" s="2"/>
      <c r="E842" s="2"/>
      <c r="F842" s="2"/>
    </row>
    <row r="843" spans="1:6" x14ac:dyDescent="0.25">
      <c r="A843" s="2"/>
      <c r="B843" s="2"/>
      <c r="C843" s="2"/>
      <c r="D843" s="2"/>
      <c r="E843" s="2"/>
      <c r="F843" s="2"/>
    </row>
    <row r="844" spans="1:6" x14ac:dyDescent="0.25">
      <c r="A844" s="2"/>
      <c r="B844" s="2"/>
      <c r="C844" s="2"/>
      <c r="D844" s="2"/>
      <c r="E844" s="2"/>
      <c r="F844" s="2"/>
    </row>
    <row r="845" spans="1:6" x14ac:dyDescent="0.25">
      <c r="A845" s="2"/>
      <c r="B845" s="2"/>
      <c r="C845" s="2"/>
      <c r="D845" s="2"/>
      <c r="E845" s="2"/>
      <c r="F845" s="2"/>
    </row>
    <row r="846" spans="1:6" x14ac:dyDescent="0.25">
      <c r="A846" s="2"/>
      <c r="B846" s="2"/>
      <c r="C846" s="2"/>
      <c r="D846" s="2"/>
      <c r="E846" s="2"/>
      <c r="F846" s="2"/>
    </row>
    <row r="847" spans="1:6" x14ac:dyDescent="0.25">
      <c r="A847" s="2"/>
      <c r="B847" s="2"/>
      <c r="C847" s="2"/>
      <c r="D847" s="2"/>
      <c r="E847" s="2"/>
      <c r="F847" s="2"/>
    </row>
    <row r="848" spans="1:6" x14ac:dyDescent="0.25">
      <c r="A848" s="2"/>
      <c r="B848" s="2"/>
      <c r="C848" s="2"/>
      <c r="D848" s="2"/>
      <c r="E848" s="2"/>
      <c r="F848" s="2"/>
    </row>
    <row r="849" spans="1:6" x14ac:dyDescent="0.25">
      <c r="A849" s="2"/>
      <c r="B849" s="2"/>
      <c r="C849" s="2"/>
      <c r="D849" s="2"/>
      <c r="E849" s="2"/>
      <c r="F849" s="2"/>
    </row>
    <row r="850" spans="1:6" x14ac:dyDescent="0.25">
      <c r="A850" s="2"/>
      <c r="B850" s="2"/>
      <c r="C850" s="2"/>
      <c r="D850" s="2"/>
      <c r="E850" s="2"/>
      <c r="F850" s="2"/>
    </row>
    <row r="851" spans="1:6" x14ac:dyDescent="0.25">
      <c r="A851" s="2"/>
      <c r="B851" s="2"/>
      <c r="C851" s="2"/>
      <c r="D851" s="2"/>
      <c r="E851" s="2"/>
      <c r="F851" s="2"/>
    </row>
    <row r="852" spans="1:6" x14ac:dyDescent="0.25">
      <c r="A852" s="2"/>
      <c r="B852" s="2"/>
      <c r="C852" s="2"/>
      <c r="D852" s="2"/>
      <c r="E852" s="2"/>
      <c r="F852" s="2"/>
    </row>
    <row r="853" spans="1:6" x14ac:dyDescent="0.25">
      <c r="A853" s="2"/>
      <c r="B853" s="2"/>
      <c r="C853" s="2"/>
      <c r="D853" s="2"/>
      <c r="E853" s="2"/>
      <c r="F853" s="2"/>
    </row>
    <row r="854" spans="1:6" x14ac:dyDescent="0.25">
      <c r="A854" s="2"/>
      <c r="B854" s="2"/>
      <c r="C854" s="2"/>
      <c r="D854" s="2"/>
      <c r="E854" s="2"/>
      <c r="F854" s="2"/>
    </row>
    <row r="855" spans="1:6" x14ac:dyDescent="0.25">
      <c r="A855" s="2"/>
      <c r="B855" s="2"/>
      <c r="C855" s="2"/>
      <c r="D855" s="2"/>
      <c r="E855" s="2"/>
      <c r="F855" s="2"/>
    </row>
    <row r="856" spans="1:6" x14ac:dyDescent="0.25">
      <c r="A856" s="2"/>
      <c r="B856" s="2"/>
      <c r="C856" s="2"/>
      <c r="D856" s="2"/>
      <c r="E856" s="2"/>
      <c r="F856" s="2"/>
    </row>
    <row r="857" spans="1:6" x14ac:dyDescent="0.25">
      <c r="A857" s="2"/>
      <c r="B857" s="2"/>
      <c r="C857" s="2"/>
      <c r="D857" s="2"/>
      <c r="E857" s="2"/>
      <c r="F857" s="2"/>
    </row>
    <row r="858" spans="1:6" x14ac:dyDescent="0.25">
      <c r="A858" s="2"/>
      <c r="B858" s="2"/>
      <c r="C858" s="2"/>
      <c r="D858" s="2"/>
      <c r="E858" s="2"/>
      <c r="F858" s="2"/>
    </row>
    <row r="859" spans="1:6" x14ac:dyDescent="0.25">
      <c r="A859" s="2"/>
      <c r="B859" s="2"/>
      <c r="C859" s="2"/>
      <c r="D859" s="2"/>
      <c r="E859" s="2"/>
      <c r="F859" s="2"/>
    </row>
    <row r="860" spans="1:6" x14ac:dyDescent="0.25">
      <c r="A860" s="2"/>
      <c r="B860" s="2"/>
      <c r="C860" s="2"/>
      <c r="D860" s="2"/>
      <c r="E860" s="2"/>
      <c r="F860" s="2"/>
    </row>
    <row r="861" spans="1:6" x14ac:dyDescent="0.25">
      <c r="A861" s="2"/>
      <c r="B861" s="2"/>
      <c r="C861" s="2"/>
      <c r="D861" s="2"/>
      <c r="E861" s="2"/>
      <c r="F861" s="2"/>
    </row>
    <row r="862" spans="1:6" x14ac:dyDescent="0.25">
      <c r="A862" s="2"/>
      <c r="B862" s="2"/>
      <c r="C862" s="2"/>
      <c r="D862" s="2"/>
      <c r="E862" s="2"/>
      <c r="F862" s="2"/>
    </row>
    <row r="863" spans="1:6" x14ac:dyDescent="0.25">
      <c r="A863" s="2"/>
      <c r="B863" s="2"/>
      <c r="C863" s="2"/>
      <c r="D863" s="2"/>
      <c r="E863" s="2"/>
      <c r="F863" s="2"/>
    </row>
    <row r="864" spans="1:6" x14ac:dyDescent="0.25">
      <c r="A864" s="2"/>
      <c r="B864" s="2"/>
      <c r="C864" s="2"/>
      <c r="D864" s="2"/>
      <c r="E864" s="2"/>
      <c r="F864" s="2"/>
    </row>
    <row r="865" spans="1:6" x14ac:dyDescent="0.25">
      <c r="A865" s="2"/>
      <c r="B865" s="2"/>
      <c r="C865" s="2"/>
      <c r="D865" s="2"/>
      <c r="E865" s="2"/>
      <c r="F865" s="2"/>
    </row>
    <row r="866" spans="1:6" x14ac:dyDescent="0.25">
      <c r="A866" s="2"/>
      <c r="B866" s="2"/>
      <c r="C866" s="2"/>
      <c r="D866" s="2"/>
      <c r="E866" s="2"/>
      <c r="F866" s="2"/>
    </row>
    <row r="867" spans="1:6" x14ac:dyDescent="0.25">
      <c r="A867" s="2"/>
      <c r="B867" s="2"/>
      <c r="C867" s="2"/>
      <c r="D867" s="2"/>
      <c r="E867" s="2"/>
      <c r="F867" s="2"/>
    </row>
    <row r="868" spans="1:6" x14ac:dyDescent="0.25">
      <c r="A868" s="2"/>
      <c r="B868" s="2"/>
      <c r="C868" s="2"/>
      <c r="D868" s="2"/>
      <c r="E868" s="2"/>
      <c r="F868" s="2"/>
    </row>
    <row r="869" spans="1:6" x14ac:dyDescent="0.25">
      <c r="A869" s="2"/>
      <c r="B869" s="2"/>
      <c r="C869" s="2"/>
      <c r="D869" s="2"/>
      <c r="E869" s="2"/>
      <c r="F869" s="2"/>
    </row>
    <row r="870" spans="1:6" x14ac:dyDescent="0.25">
      <c r="A870" s="2"/>
      <c r="B870" s="2"/>
      <c r="C870" s="2"/>
      <c r="D870" s="2"/>
      <c r="E870" s="2"/>
      <c r="F870" s="2"/>
    </row>
    <row r="871" spans="1:6" x14ac:dyDescent="0.25">
      <c r="A871" s="2"/>
      <c r="B871" s="2"/>
      <c r="C871" s="2"/>
      <c r="D871" s="2"/>
      <c r="E871" s="2"/>
      <c r="F871" s="2"/>
    </row>
    <row r="872" spans="1:6" x14ac:dyDescent="0.25">
      <c r="A872" s="2"/>
      <c r="B872" s="2"/>
      <c r="C872" s="2"/>
      <c r="D872" s="2"/>
      <c r="E872" s="2"/>
      <c r="F872" s="2"/>
    </row>
    <row r="873" spans="1:6" x14ac:dyDescent="0.25">
      <c r="A873" s="2"/>
      <c r="B873" s="2"/>
      <c r="C873" s="2"/>
      <c r="D873" s="2"/>
      <c r="E873" s="2"/>
      <c r="F873" s="2"/>
    </row>
    <row r="874" spans="1:6" x14ac:dyDescent="0.25">
      <c r="A874" s="2"/>
      <c r="B874" s="2"/>
      <c r="C874" s="2"/>
      <c r="D874" s="2"/>
      <c r="E874" s="2"/>
      <c r="F874" s="2"/>
    </row>
    <row r="875" spans="1:6" x14ac:dyDescent="0.25">
      <c r="A875" s="2"/>
      <c r="B875" s="2"/>
      <c r="C875" s="2"/>
      <c r="D875" s="2"/>
      <c r="E875" s="2"/>
      <c r="F875" s="2"/>
    </row>
    <row r="876" spans="1:6" x14ac:dyDescent="0.25">
      <c r="A876" s="2"/>
      <c r="B876" s="2"/>
      <c r="C876" s="2"/>
      <c r="D876" s="2"/>
      <c r="E876" s="2"/>
      <c r="F876" s="2"/>
    </row>
    <row r="877" spans="1:6" x14ac:dyDescent="0.25">
      <c r="A877" s="2"/>
      <c r="B877" s="2"/>
      <c r="C877" s="2"/>
      <c r="D877" s="2"/>
      <c r="E877" s="2"/>
      <c r="F877" s="2"/>
    </row>
    <row r="878" spans="1:6" x14ac:dyDescent="0.25">
      <c r="A878" s="2"/>
      <c r="B878" s="2"/>
      <c r="C878" s="2"/>
      <c r="D878" s="2"/>
      <c r="E878" s="2"/>
      <c r="F878" s="2"/>
    </row>
    <row r="879" spans="1:6" x14ac:dyDescent="0.25">
      <c r="A879" s="2"/>
      <c r="B879" s="2"/>
      <c r="C879" s="2"/>
      <c r="D879" s="2"/>
      <c r="E879" s="2"/>
      <c r="F879" s="2"/>
    </row>
    <row r="880" spans="1:6" x14ac:dyDescent="0.25">
      <c r="A880" s="2"/>
      <c r="B880" s="2"/>
      <c r="C880" s="2"/>
      <c r="D880" s="2"/>
      <c r="E880" s="2"/>
      <c r="F880" s="2"/>
    </row>
    <row r="881" spans="1:6" x14ac:dyDescent="0.25">
      <c r="A881" s="2"/>
      <c r="B881" s="2"/>
      <c r="C881" s="2"/>
      <c r="D881" s="2"/>
      <c r="E881" s="2"/>
      <c r="F881" s="2"/>
    </row>
    <row r="882" spans="1:6" x14ac:dyDescent="0.25">
      <c r="A882" s="2"/>
      <c r="B882" s="2"/>
      <c r="C882" s="2"/>
      <c r="D882" s="2"/>
      <c r="E882" s="2"/>
      <c r="F882" s="2"/>
    </row>
    <row r="883" spans="1:6" x14ac:dyDescent="0.25">
      <c r="A883" s="2"/>
      <c r="B883" s="2"/>
      <c r="C883" s="2"/>
      <c r="D883" s="2"/>
      <c r="E883" s="2"/>
      <c r="F883" s="2"/>
    </row>
    <row r="884" spans="1:6" x14ac:dyDescent="0.25">
      <c r="A884" s="2"/>
      <c r="B884" s="2"/>
      <c r="C884" s="2"/>
      <c r="D884" s="2"/>
      <c r="E884" s="2"/>
      <c r="F884" s="2"/>
    </row>
    <row r="885" spans="1:6" x14ac:dyDescent="0.25">
      <c r="A885" s="2"/>
      <c r="B885" s="2"/>
      <c r="C885" s="2"/>
      <c r="D885" s="2"/>
      <c r="E885" s="2"/>
      <c r="F885" s="2"/>
    </row>
    <row r="886" spans="1:6" x14ac:dyDescent="0.25">
      <c r="A886" s="2"/>
      <c r="B886" s="2"/>
      <c r="C886" s="2"/>
      <c r="D886" s="2"/>
      <c r="E886" s="2"/>
      <c r="F886" s="2"/>
    </row>
    <row r="887" spans="1:6" x14ac:dyDescent="0.25">
      <c r="A887" s="2"/>
      <c r="B887" s="2"/>
      <c r="C887" s="2"/>
      <c r="D887" s="2"/>
      <c r="E887" s="2"/>
      <c r="F887" s="2"/>
    </row>
    <row r="888" spans="1:6" x14ac:dyDescent="0.25">
      <c r="A888" s="2"/>
      <c r="B888" s="2"/>
      <c r="C888" s="2"/>
      <c r="D888" s="2"/>
      <c r="E888" s="2"/>
      <c r="F888" s="2"/>
    </row>
    <row r="889" spans="1:6" x14ac:dyDescent="0.25">
      <c r="A889" s="2"/>
      <c r="B889" s="2"/>
      <c r="C889" s="2"/>
      <c r="D889" s="2"/>
      <c r="E889" s="2"/>
      <c r="F889" s="2"/>
    </row>
    <row r="890" spans="1:6" x14ac:dyDescent="0.25">
      <c r="A890" s="2"/>
      <c r="B890" s="2"/>
      <c r="C890" s="2"/>
      <c r="D890" s="2"/>
      <c r="E890" s="2"/>
      <c r="F890" s="2"/>
    </row>
    <row r="891" spans="1:6" x14ac:dyDescent="0.25">
      <c r="A891" s="2"/>
      <c r="B891" s="2"/>
      <c r="C891" s="2"/>
      <c r="D891" s="2"/>
      <c r="E891" s="2"/>
      <c r="F891" s="2"/>
    </row>
    <row r="892" spans="1:6" x14ac:dyDescent="0.25">
      <c r="A892" s="2"/>
      <c r="B892" s="2"/>
      <c r="C892" s="2"/>
      <c r="D892" s="2"/>
      <c r="E892" s="2"/>
      <c r="F892" s="2"/>
    </row>
    <row r="893" spans="1:6" x14ac:dyDescent="0.25">
      <c r="A893" s="2"/>
      <c r="B893" s="2"/>
      <c r="C893" s="2"/>
      <c r="D893" s="2"/>
      <c r="E893" s="2"/>
      <c r="F893" s="2"/>
    </row>
    <row r="894" spans="1:6" x14ac:dyDescent="0.25">
      <c r="A894" s="2"/>
      <c r="B894" s="2"/>
      <c r="C894" s="2"/>
      <c r="D894" s="2"/>
      <c r="E894" s="2"/>
      <c r="F894" s="2"/>
    </row>
    <row r="895" spans="1:6" x14ac:dyDescent="0.25">
      <c r="A895" s="2"/>
      <c r="B895" s="2"/>
      <c r="C895" s="2"/>
      <c r="D895" s="2"/>
      <c r="E895" s="2"/>
      <c r="F895" s="2"/>
    </row>
    <row r="896" spans="1:6" x14ac:dyDescent="0.25">
      <c r="A896" s="2"/>
      <c r="B896" s="2"/>
      <c r="C896" s="2"/>
      <c r="D896" s="2"/>
      <c r="E896" s="2"/>
      <c r="F896" s="2"/>
    </row>
    <row r="897" spans="1:6" x14ac:dyDescent="0.25">
      <c r="A897" s="2"/>
      <c r="B897" s="2"/>
      <c r="C897" s="2"/>
      <c r="D897" s="2"/>
      <c r="E897" s="2"/>
      <c r="F897" s="2"/>
    </row>
    <row r="898" spans="1:6" x14ac:dyDescent="0.25">
      <c r="A898" s="2"/>
      <c r="B898" s="2"/>
      <c r="C898" s="2"/>
      <c r="D898" s="2"/>
      <c r="E898" s="2"/>
      <c r="F898" s="2"/>
    </row>
    <row r="899" spans="1:6" x14ac:dyDescent="0.25">
      <c r="A899" s="2"/>
      <c r="B899" s="2"/>
      <c r="C899" s="2"/>
      <c r="D899" s="2"/>
      <c r="E899" s="2"/>
      <c r="F899" s="2"/>
    </row>
    <row r="900" spans="1:6" x14ac:dyDescent="0.25">
      <c r="A900" s="2"/>
      <c r="B900" s="2"/>
      <c r="C900" s="2"/>
      <c r="D900" s="2"/>
      <c r="E900" s="2"/>
      <c r="F900" s="2"/>
    </row>
    <row r="901" spans="1:6" x14ac:dyDescent="0.25">
      <c r="A901" s="2"/>
      <c r="B901" s="2"/>
      <c r="C901" s="2"/>
      <c r="D901" s="2"/>
      <c r="E901" s="2"/>
      <c r="F901" s="2"/>
    </row>
    <row r="902" spans="1:6" x14ac:dyDescent="0.25">
      <c r="A902" s="2"/>
      <c r="B902" s="2"/>
      <c r="C902" s="2"/>
      <c r="D902" s="2"/>
      <c r="E902" s="2"/>
      <c r="F902" s="2"/>
    </row>
    <row r="903" spans="1:6" x14ac:dyDescent="0.25">
      <c r="A903" s="2"/>
      <c r="B903" s="2"/>
      <c r="C903" s="2"/>
      <c r="D903" s="2"/>
      <c r="E903" s="2"/>
      <c r="F903" s="2"/>
    </row>
    <row r="904" spans="1:6" x14ac:dyDescent="0.25">
      <c r="A904" s="2"/>
      <c r="B904" s="2"/>
      <c r="C904" s="2"/>
      <c r="D904" s="2"/>
      <c r="E904" s="2"/>
      <c r="F904" s="2"/>
    </row>
    <row r="905" spans="1:6" x14ac:dyDescent="0.25">
      <c r="A905" s="2"/>
      <c r="B905" s="2"/>
      <c r="C905" s="2"/>
      <c r="D905" s="2"/>
      <c r="E905" s="2"/>
      <c r="F905" s="2"/>
    </row>
    <row r="906" spans="1:6" x14ac:dyDescent="0.25">
      <c r="A906" s="2"/>
      <c r="B906" s="2"/>
      <c r="C906" s="2"/>
      <c r="D906" s="2"/>
      <c r="E906" s="2"/>
      <c r="F906" s="2"/>
    </row>
    <row r="907" spans="1:6" x14ac:dyDescent="0.25">
      <c r="A907" s="2"/>
      <c r="B907" s="2"/>
      <c r="C907" s="2"/>
      <c r="D907" s="2"/>
      <c r="E907" s="2"/>
      <c r="F907" s="2"/>
    </row>
    <row r="908" spans="1:6" x14ac:dyDescent="0.25">
      <c r="A908" s="2"/>
      <c r="B908" s="2"/>
      <c r="C908" s="2"/>
      <c r="D908" s="2"/>
      <c r="E908" s="2"/>
      <c r="F908" s="2"/>
    </row>
    <row r="909" spans="1:6" x14ac:dyDescent="0.25">
      <c r="A909" s="2"/>
      <c r="B909" s="2"/>
      <c r="C909" s="2"/>
      <c r="D909" s="2"/>
      <c r="E909" s="2"/>
      <c r="F909" s="2"/>
    </row>
    <row r="910" spans="1:6" x14ac:dyDescent="0.25">
      <c r="A910" s="2"/>
      <c r="B910" s="2"/>
      <c r="C910" s="2"/>
      <c r="D910" s="2"/>
      <c r="E910" s="2"/>
      <c r="F910" s="2"/>
    </row>
    <row r="911" spans="1:6" x14ac:dyDescent="0.25">
      <c r="A911" s="2"/>
      <c r="B911" s="2"/>
      <c r="C911" s="2"/>
      <c r="D911" s="2"/>
      <c r="E911" s="2"/>
      <c r="F911" s="2"/>
    </row>
    <row r="912" spans="1:6" x14ac:dyDescent="0.25">
      <c r="A912" s="2"/>
      <c r="B912" s="2"/>
      <c r="C912" s="2"/>
      <c r="D912" s="2"/>
      <c r="E912" s="2"/>
      <c r="F912" s="2"/>
    </row>
    <row r="913" spans="1:6" x14ac:dyDescent="0.25">
      <c r="A913" s="2"/>
      <c r="B913" s="2"/>
      <c r="C913" s="2"/>
      <c r="D913" s="2"/>
      <c r="E913" s="2"/>
      <c r="F913" s="2"/>
    </row>
    <row r="914" spans="1:6" x14ac:dyDescent="0.25">
      <c r="A914" s="2"/>
      <c r="B914" s="2"/>
      <c r="C914" s="2"/>
      <c r="D914" s="2"/>
      <c r="E914" s="2"/>
      <c r="F914" s="2"/>
    </row>
    <row r="915" spans="1:6" x14ac:dyDescent="0.25">
      <c r="A915" s="2"/>
      <c r="B915" s="2"/>
      <c r="C915" s="2"/>
      <c r="D915" s="2"/>
      <c r="E915" s="2"/>
      <c r="F915" s="2"/>
    </row>
    <row r="916" spans="1:6" x14ac:dyDescent="0.25">
      <c r="A916" s="2"/>
      <c r="B916" s="2"/>
      <c r="C916" s="2"/>
      <c r="D916" s="2"/>
      <c r="E916" s="2"/>
      <c r="F916" s="2"/>
    </row>
    <row r="917" spans="1:6" x14ac:dyDescent="0.25">
      <c r="A917" s="2"/>
      <c r="B917" s="2"/>
      <c r="C917" s="2"/>
      <c r="D917" s="2"/>
      <c r="E917" s="2"/>
      <c r="F917" s="2"/>
    </row>
    <row r="918" spans="1:6" x14ac:dyDescent="0.25">
      <c r="A918" s="2"/>
      <c r="B918" s="2"/>
      <c r="C918" s="2"/>
      <c r="D918" s="2"/>
      <c r="E918" s="2"/>
      <c r="F918" s="2"/>
    </row>
    <row r="919" spans="1:6" x14ac:dyDescent="0.25">
      <c r="A919" s="2"/>
      <c r="B919" s="2"/>
      <c r="C919" s="2"/>
      <c r="D919" s="2"/>
      <c r="E919" s="2"/>
      <c r="F919" s="2"/>
    </row>
    <row r="920" spans="1:6" x14ac:dyDescent="0.25">
      <c r="A920" s="2"/>
      <c r="B920" s="2"/>
      <c r="C920" s="2"/>
      <c r="D920" s="2"/>
      <c r="E920" s="2"/>
      <c r="F920" s="2"/>
    </row>
    <row r="921" spans="1:6" x14ac:dyDescent="0.25">
      <c r="A921" s="2"/>
      <c r="B921" s="2"/>
      <c r="C921" s="2"/>
      <c r="D921" s="2"/>
      <c r="E921" s="2"/>
      <c r="F921" s="2"/>
    </row>
    <row r="922" spans="1:6" x14ac:dyDescent="0.25">
      <c r="A922" s="2"/>
      <c r="B922" s="2"/>
      <c r="C922" s="2"/>
      <c r="D922" s="2"/>
      <c r="E922" s="2"/>
      <c r="F922" s="2"/>
    </row>
    <row r="923" spans="1:6" x14ac:dyDescent="0.25">
      <c r="A923" s="2"/>
      <c r="B923" s="2"/>
      <c r="C923" s="2"/>
      <c r="D923" s="2"/>
      <c r="E923" s="2"/>
      <c r="F923" s="2"/>
    </row>
    <row r="924" spans="1:6" x14ac:dyDescent="0.25">
      <c r="A924" s="2"/>
      <c r="B924" s="2"/>
      <c r="C924" s="2"/>
      <c r="D924" s="2"/>
      <c r="E924" s="2"/>
      <c r="F924" s="2"/>
    </row>
    <row r="925" spans="1:6" x14ac:dyDescent="0.25">
      <c r="A925" s="2"/>
      <c r="B925" s="2"/>
      <c r="C925" s="2"/>
      <c r="D925" s="2"/>
      <c r="E925" s="2"/>
      <c r="F925" s="2"/>
    </row>
    <row r="926" spans="1:6" x14ac:dyDescent="0.25">
      <c r="A926" s="2"/>
      <c r="B926" s="2"/>
      <c r="C926" s="2"/>
      <c r="D926" s="2"/>
      <c r="E926" s="2"/>
      <c r="F926" s="2"/>
    </row>
    <row r="927" spans="1:6" x14ac:dyDescent="0.25">
      <c r="A927" s="2"/>
      <c r="B927" s="2"/>
      <c r="C927" s="2"/>
      <c r="D927" s="2"/>
      <c r="E927" s="2"/>
      <c r="F927" s="2"/>
    </row>
    <row r="928" spans="1:6" x14ac:dyDescent="0.25">
      <c r="A928" s="2"/>
      <c r="B928" s="2"/>
      <c r="C928" s="2"/>
      <c r="D928" s="2"/>
      <c r="E928" s="2"/>
      <c r="F928" s="2"/>
    </row>
    <row r="929" spans="1:6" x14ac:dyDescent="0.25">
      <c r="A929" s="2"/>
      <c r="B929" s="2"/>
      <c r="C929" s="2"/>
      <c r="D929" s="2"/>
      <c r="E929" s="2"/>
      <c r="F929" s="2"/>
    </row>
    <row r="930" spans="1:6" x14ac:dyDescent="0.25">
      <c r="A930" s="2"/>
      <c r="B930" s="2"/>
      <c r="C930" s="2"/>
      <c r="D930" s="2"/>
      <c r="E930" s="2"/>
      <c r="F930" s="2"/>
    </row>
    <row r="931" spans="1:6" x14ac:dyDescent="0.25">
      <c r="A931" s="2"/>
      <c r="B931" s="2"/>
      <c r="C931" s="2"/>
      <c r="D931" s="2"/>
      <c r="E931" s="2"/>
      <c r="F931" s="2"/>
    </row>
    <row r="932" spans="1:6" x14ac:dyDescent="0.25">
      <c r="A932" s="2"/>
      <c r="B932" s="2"/>
      <c r="C932" s="2"/>
      <c r="D932" s="2"/>
      <c r="E932" s="2"/>
      <c r="F932" s="2"/>
    </row>
    <row r="933" spans="1:6" x14ac:dyDescent="0.25">
      <c r="A933" s="2"/>
      <c r="B933" s="2"/>
      <c r="C933" s="2"/>
      <c r="D933" s="2"/>
      <c r="E933" s="2"/>
      <c r="F933" s="2"/>
    </row>
    <row r="934" spans="1:6" x14ac:dyDescent="0.25">
      <c r="A934" s="2"/>
      <c r="B934" s="2"/>
      <c r="C934" s="2"/>
      <c r="D934" s="2"/>
      <c r="E934" s="2"/>
      <c r="F934" s="2"/>
    </row>
    <row r="935" spans="1:6" x14ac:dyDescent="0.25">
      <c r="A935" s="2"/>
      <c r="B935" s="2"/>
      <c r="C935" s="2"/>
      <c r="D935" s="2"/>
      <c r="E935" s="2"/>
      <c r="F935" s="2"/>
    </row>
    <row r="936" spans="1:6" x14ac:dyDescent="0.25">
      <c r="A936" s="2"/>
      <c r="B936" s="2"/>
      <c r="C936" s="2"/>
      <c r="D936" s="2"/>
      <c r="E936" s="2"/>
      <c r="F936" s="2"/>
    </row>
    <row r="937" spans="1:6" x14ac:dyDescent="0.25">
      <c r="A937" s="2"/>
      <c r="B937" s="2"/>
      <c r="C937" s="2"/>
      <c r="D937" s="2"/>
      <c r="E937" s="2"/>
      <c r="F937" s="2"/>
    </row>
    <row r="938" spans="1:6" x14ac:dyDescent="0.25">
      <c r="A938" s="2"/>
      <c r="B938" s="2"/>
      <c r="C938" s="2"/>
      <c r="D938" s="2"/>
      <c r="E938" s="2"/>
      <c r="F938" s="2"/>
    </row>
    <row r="939" spans="1:6" x14ac:dyDescent="0.25">
      <c r="A939" s="2"/>
      <c r="B939" s="2"/>
      <c r="C939" s="2"/>
      <c r="D939" s="2"/>
      <c r="E939" s="2"/>
      <c r="F939" s="2"/>
    </row>
    <row r="940" spans="1:6" x14ac:dyDescent="0.25">
      <c r="A940" s="2"/>
      <c r="B940" s="2"/>
      <c r="C940" s="2"/>
      <c r="D940" s="2"/>
      <c r="E940" s="2"/>
      <c r="F940" s="2"/>
    </row>
    <row r="941" spans="1:6" x14ac:dyDescent="0.25">
      <c r="A941" s="2"/>
      <c r="B941" s="2"/>
      <c r="C941" s="2"/>
      <c r="D941" s="2"/>
      <c r="E941" s="2"/>
      <c r="F941" s="2"/>
    </row>
    <row r="942" spans="1:6" x14ac:dyDescent="0.25">
      <c r="A942" s="2"/>
      <c r="B942" s="2"/>
      <c r="C942" s="2"/>
      <c r="D942" s="2"/>
      <c r="E942" s="2"/>
      <c r="F942" s="2"/>
    </row>
    <row r="943" spans="1:6" x14ac:dyDescent="0.25">
      <c r="A943" s="2"/>
      <c r="B943" s="2"/>
      <c r="C943" s="2"/>
      <c r="D943" s="2"/>
      <c r="E943" s="2"/>
      <c r="F943" s="2"/>
    </row>
    <row r="944" spans="1:6" x14ac:dyDescent="0.25">
      <c r="A944" s="2"/>
      <c r="B944" s="2"/>
      <c r="C944" s="2"/>
      <c r="D944" s="2"/>
      <c r="E944" s="2"/>
      <c r="F944" s="2"/>
    </row>
    <row r="945" spans="1:6" x14ac:dyDescent="0.25">
      <c r="A945" s="2"/>
      <c r="B945" s="2"/>
      <c r="C945" s="2"/>
      <c r="D945" s="2"/>
      <c r="E945" s="2"/>
      <c r="F945" s="2"/>
    </row>
    <row r="946" spans="1:6" x14ac:dyDescent="0.25">
      <c r="A946" s="2"/>
      <c r="B946" s="2"/>
      <c r="C946" s="2"/>
      <c r="D946" s="2"/>
      <c r="E946" s="2"/>
      <c r="F946" s="2"/>
    </row>
    <row r="947" spans="1:6" x14ac:dyDescent="0.25">
      <c r="A947" s="2"/>
      <c r="B947" s="2"/>
      <c r="C947" s="2"/>
      <c r="D947" s="2"/>
      <c r="E947" s="2"/>
      <c r="F947" s="2"/>
    </row>
    <row r="948" spans="1:6" x14ac:dyDescent="0.25">
      <c r="A948" s="2"/>
      <c r="B948" s="2"/>
      <c r="C948" s="2"/>
      <c r="D948" s="2"/>
      <c r="E948" s="2"/>
      <c r="F948" s="2"/>
    </row>
    <row r="949" spans="1:6" x14ac:dyDescent="0.25">
      <c r="A949" s="2"/>
      <c r="B949" s="2"/>
      <c r="C949" s="2"/>
      <c r="D949" s="2"/>
      <c r="E949" s="2"/>
      <c r="F949" s="2"/>
    </row>
    <row r="950" spans="1:6" x14ac:dyDescent="0.25">
      <c r="A950" s="2"/>
      <c r="B950" s="2"/>
      <c r="C950" s="2"/>
      <c r="D950" s="2"/>
      <c r="E950" s="2"/>
      <c r="F950" s="2"/>
    </row>
    <row r="951" spans="1:6" x14ac:dyDescent="0.25">
      <c r="A951" s="2"/>
      <c r="B951" s="2"/>
      <c r="C951" s="2"/>
      <c r="D951" s="2"/>
      <c r="E951" s="2"/>
      <c r="F951" s="2"/>
    </row>
    <row r="952" spans="1:6" x14ac:dyDescent="0.25">
      <c r="A952" s="2"/>
      <c r="B952" s="2"/>
      <c r="C952" s="2"/>
      <c r="D952" s="2"/>
      <c r="E952" s="2"/>
      <c r="F952" s="2"/>
    </row>
    <row r="953" spans="1:6" x14ac:dyDescent="0.25">
      <c r="A953" s="2"/>
      <c r="B953" s="2"/>
      <c r="C953" s="2"/>
      <c r="D953" s="2"/>
      <c r="E953" s="2"/>
      <c r="F953" s="2"/>
    </row>
    <row r="954" spans="1:6" x14ac:dyDescent="0.25">
      <c r="A954" s="2"/>
      <c r="B954" s="2"/>
      <c r="C954" s="2"/>
      <c r="D954" s="2"/>
      <c r="E954" s="2"/>
      <c r="F954" s="2"/>
    </row>
    <row r="955" spans="1:6" x14ac:dyDescent="0.25">
      <c r="A955" s="2"/>
      <c r="B955" s="2"/>
      <c r="C955" s="2"/>
      <c r="D955" s="2"/>
      <c r="E955" s="2"/>
      <c r="F955" s="2"/>
    </row>
    <row r="956" spans="1:6" x14ac:dyDescent="0.25">
      <c r="A956" s="2"/>
      <c r="B956" s="2"/>
      <c r="C956" s="2"/>
      <c r="D956" s="2"/>
      <c r="E956" s="2"/>
      <c r="F956" s="2"/>
    </row>
    <row r="957" spans="1:6" x14ac:dyDescent="0.25">
      <c r="A957" s="2"/>
      <c r="B957" s="2"/>
      <c r="C957" s="2"/>
      <c r="D957" s="2"/>
      <c r="E957" s="2"/>
      <c r="F957" s="2"/>
    </row>
    <row r="958" spans="1:6" x14ac:dyDescent="0.25">
      <c r="A958" s="2"/>
      <c r="B958" s="2"/>
      <c r="C958" s="2"/>
      <c r="D958" s="2"/>
      <c r="E958" s="2"/>
      <c r="F958" s="2"/>
    </row>
    <row r="959" spans="1:6" x14ac:dyDescent="0.25">
      <c r="A959" s="2"/>
      <c r="B959" s="2"/>
      <c r="C959" s="2"/>
      <c r="D959" s="2"/>
      <c r="E959" s="2"/>
      <c r="F959" s="2"/>
    </row>
    <row r="960" spans="1:6" x14ac:dyDescent="0.25">
      <c r="A960" s="2"/>
      <c r="B960" s="2"/>
      <c r="C960" s="2"/>
      <c r="D960" s="2"/>
      <c r="E960" s="2"/>
      <c r="F960" s="2"/>
    </row>
    <row r="961" spans="1:6" x14ac:dyDescent="0.25">
      <c r="A961" s="2"/>
      <c r="B961" s="2"/>
      <c r="C961" s="2"/>
      <c r="D961" s="2"/>
      <c r="E961" s="2"/>
      <c r="F961" s="2"/>
    </row>
    <row r="962" spans="1:6" x14ac:dyDescent="0.25">
      <c r="A962" s="2"/>
      <c r="B962" s="2"/>
      <c r="C962" s="2"/>
      <c r="D962" s="2"/>
      <c r="E962" s="2"/>
      <c r="F962" s="2"/>
    </row>
    <row r="963" spans="1:6" x14ac:dyDescent="0.25">
      <c r="A963" s="2"/>
      <c r="B963" s="2"/>
      <c r="C963" s="2"/>
      <c r="D963" s="2"/>
      <c r="E963" s="2"/>
      <c r="F963" s="2"/>
    </row>
    <row r="964" spans="1:6" x14ac:dyDescent="0.25">
      <c r="A964" s="2"/>
      <c r="B964" s="2"/>
      <c r="C964" s="2"/>
      <c r="D964" s="2"/>
      <c r="E964" s="2"/>
      <c r="F964" s="2"/>
    </row>
    <row r="965" spans="1:6" x14ac:dyDescent="0.25">
      <c r="A965" s="2"/>
      <c r="B965" s="2"/>
      <c r="C965" s="2"/>
      <c r="D965" s="2"/>
      <c r="E965" s="2"/>
      <c r="F965" s="2"/>
    </row>
    <row r="966" spans="1:6" x14ac:dyDescent="0.25">
      <c r="A966" s="2"/>
      <c r="B966" s="2"/>
      <c r="C966" s="2"/>
      <c r="D966" s="2"/>
      <c r="E966" s="2"/>
      <c r="F966" s="2"/>
    </row>
    <row r="967" spans="1:6" x14ac:dyDescent="0.25">
      <c r="A967" s="2"/>
      <c r="B967" s="2"/>
      <c r="C967" s="2"/>
      <c r="D967" s="2"/>
      <c r="E967" s="2"/>
      <c r="F967" s="2"/>
    </row>
    <row r="968" spans="1:6" x14ac:dyDescent="0.25">
      <c r="A968" s="2"/>
      <c r="B968" s="2"/>
      <c r="C968" s="2"/>
      <c r="D968" s="2"/>
      <c r="E968" s="2"/>
      <c r="F968" s="2"/>
    </row>
    <row r="969" spans="1:6" x14ac:dyDescent="0.25">
      <c r="A969" s="2"/>
      <c r="B969" s="2"/>
      <c r="C969" s="2"/>
      <c r="D969" s="2"/>
      <c r="E969" s="2"/>
      <c r="F969" s="2"/>
    </row>
    <row r="970" spans="1:6" x14ac:dyDescent="0.25">
      <c r="A970" s="2"/>
      <c r="B970" s="2"/>
      <c r="C970" s="2"/>
      <c r="D970" s="2"/>
      <c r="E970" s="2"/>
      <c r="F970" s="2"/>
    </row>
    <row r="971" spans="1:6" x14ac:dyDescent="0.25">
      <c r="A971" s="2"/>
      <c r="B971" s="2"/>
      <c r="C971" s="2"/>
      <c r="D971" s="2"/>
      <c r="E971" s="2"/>
      <c r="F971" s="2"/>
    </row>
    <row r="972" spans="1:6" x14ac:dyDescent="0.25">
      <c r="A972" s="2"/>
      <c r="B972" s="2"/>
      <c r="C972" s="2"/>
      <c r="D972" s="2"/>
      <c r="E972" s="2"/>
      <c r="F972" s="2"/>
    </row>
    <row r="973" spans="1:6" x14ac:dyDescent="0.25">
      <c r="A973" s="2"/>
      <c r="B973" s="2"/>
      <c r="C973" s="2"/>
      <c r="D973" s="2"/>
      <c r="E973" s="2"/>
      <c r="F973" s="2"/>
    </row>
    <row r="974" spans="1:6" x14ac:dyDescent="0.25">
      <c r="A974" s="2"/>
      <c r="B974" s="2"/>
      <c r="C974" s="2"/>
      <c r="D974" s="2"/>
      <c r="E974" s="2"/>
      <c r="F974" s="2"/>
    </row>
    <row r="975" spans="1:6" x14ac:dyDescent="0.25">
      <c r="A975" s="2"/>
      <c r="B975" s="2"/>
      <c r="C975" s="2"/>
      <c r="D975" s="2"/>
      <c r="E975" s="2"/>
      <c r="F975" s="2"/>
    </row>
    <row r="976" spans="1:6" x14ac:dyDescent="0.25">
      <c r="A976" s="2"/>
      <c r="B976" s="2"/>
      <c r="C976" s="2"/>
      <c r="D976" s="2"/>
      <c r="E976" s="2"/>
      <c r="F976" s="2"/>
    </row>
    <row r="977" spans="1:6" x14ac:dyDescent="0.25">
      <c r="A977" s="2"/>
      <c r="B977" s="2"/>
      <c r="C977" s="2"/>
      <c r="D977" s="2"/>
      <c r="E977" s="2"/>
      <c r="F977" s="2"/>
    </row>
    <row r="978" spans="1:6" x14ac:dyDescent="0.25">
      <c r="A978" s="2"/>
      <c r="B978" s="2"/>
      <c r="C978" s="2"/>
      <c r="D978" s="2"/>
      <c r="E978" s="2"/>
      <c r="F978" s="2"/>
    </row>
    <row r="979" spans="1:6" x14ac:dyDescent="0.25">
      <c r="A979" s="2"/>
      <c r="B979" s="2"/>
      <c r="C979" s="2"/>
      <c r="D979" s="2"/>
      <c r="E979" s="2"/>
      <c r="F979" s="2"/>
    </row>
    <row r="980" spans="1:6" x14ac:dyDescent="0.25">
      <c r="A980" s="2"/>
      <c r="B980" s="2"/>
      <c r="C980" s="2"/>
      <c r="D980" s="2"/>
      <c r="E980" s="2"/>
      <c r="F980" s="2"/>
    </row>
    <row r="981" spans="1:6" x14ac:dyDescent="0.25">
      <c r="A981" s="2"/>
      <c r="B981" s="2"/>
      <c r="C981" s="2"/>
      <c r="D981" s="2"/>
      <c r="E981" s="2"/>
      <c r="F981" s="2"/>
    </row>
    <row r="982" spans="1:6" x14ac:dyDescent="0.25">
      <c r="A982" s="2"/>
      <c r="B982" s="2"/>
      <c r="C982" s="2"/>
      <c r="D982" s="2"/>
      <c r="E982" s="2"/>
      <c r="F982" s="2"/>
    </row>
    <row r="983" spans="1:6" x14ac:dyDescent="0.25">
      <c r="A983" s="2"/>
      <c r="B983" s="2"/>
      <c r="C983" s="2"/>
      <c r="D983" s="2"/>
      <c r="E983" s="2"/>
      <c r="F983" s="2"/>
    </row>
    <row r="984" spans="1:6" x14ac:dyDescent="0.25">
      <c r="A984" s="2"/>
      <c r="B984" s="2"/>
      <c r="C984" s="2"/>
      <c r="D984" s="2"/>
      <c r="E984" s="2"/>
      <c r="F984" s="2"/>
    </row>
    <row r="985" spans="1:6" x14ac:dyDescent="0.25">
      <c r="A985" s="2"/>
      <c r="B985" s="2"/>
      <c r="C985" s="2"/>
      <c r="D985" s="2"/>
      <c r="E985" s="2"/>
      <c r="F985" s="2"/>
    </row>
    <row r="986" spans="1:6" x14ac:dyDescent="0.25">
      <c r="A986" s="2"/>
      <c r="B986" s="2"/>
      <c r="C986" s="2"/>
      <c r="D986" s="2"/>
      <c r="E986" s="2"/>
      <c r="F986" s="2"/>
    </row>
    <row r="987" spans="1:6" x14ac:dyDescent="0.25">
      <c r="A987" s="2"/>
      <c r="B987" s="2"/>
      <c r="C987" s="2"/>
      <c r="D987" s="2"/>
      <c r="E987" s="2"/>
      <c r="F987" s="2"/>
    </row>
    <row r="988" spans="1:6" x14ac:dyDescent="0.25">
      <c r="A988" s="2"/>
      <c r="B988" s="2"/>
      <c r="C988" s="2"/>
      <c r="D988" s="2"/>
      <c r="E988" s="2"/>
      <c r="F988" s="2"/>
    </row>
    <row r="989" spans="1:6" x14ac:dyDescent="0.25">
      <c r="A989" s="2"/>
      <c r="B989" s="2"/>
      <c r="C989" s="2"/>
      <c r="D989" s="2"/>
      <c r="E989" s="2"/>
      <c r="F989" s="2"/>
    </row>
    <row r="990" spans="1:6" x14ac:dyDescent="0.25">
      <c r="A990" s="2"/>
      <c r="B990" s="2"/>
      <c r="C990" s="2"/>
      <c r="D990" s="2"/>
      <c r="E990" s="2"/>
      <c r="F990" s="2"/>
    </row>
    <row r="991" spans="1:6" x14ac:dyDescent="0.25">
      <c r="A991" s="2"/>
      <c r="B991" s="2"/>
      <c r="C991" s="2"/>
      <c r="D991" s="2"/>
      <c r="E991" s="2"/>
      <c r="F991" s="2"/>
    </row>
    <row r="992" spans="1:6" x14ac:dyDescent="0.25">
      <c r="A992" s="2"/>
      <c r="B992" s="2"/>
      <c r="C992" s="2"/>
      <c r="D992" s="2"/>
      <c r="E992" s="2"/>
      <c r="F992" s="2"/>
    </row>
    <row r="993" spans="1:6" x14ac:dyDescent="0.25">
      <c r="A993" s="2"/>
      <c r="B993" s="2"/>
      <c r="C993" s="2"/>
      <c r="D993" s="2"/>
      <c r="E993" s="2"/>
      <c r="F993" s="2"/>
    </row>
    <row r="994" spans="1:6" x14ac:dyDescent="0.25">
      <c r="A994" s="2"/>
      <c r="B994" s="2"/>
      <c r="C994" s="2"/>
      <c r="D994" s="2"/>
      <c r="E994" s="2"/>
      <c r="F994" s="2"/>
    </row>
    <row r="995" spans="1:6" x14ac:dyDescent="0.25">
      <c r="A995" s="2"/>
      <c r="B995" s="2"/>
      <c r="C995" s="2"/>
      <c r="D995" s="2"/>
      <c r="E995" s="2"/>
      <c r="F995" s="2"/>
    </row>
    <row r="996" spans="1:6" x14ac:dyDescent="0.25">
      <c r="A996" s="2"/>
      <c r="B996" s="2"/>
      <c r="C996" s="2"/>
      <c r="D996" s="2"/>
      <c r="E996" s="2"/>
      <c r="F996" s="2"/>
    </row>
    <row r="997" spans="1:6" x14ac:dyDescent="0.25">
      <c r="A997" s="2"/>
      <c r="B997" s="2"/>
      <c r="C997" s="2"/>
      <c r="D997" s="2"/>
      <c r="E997" s="2"/>
      <c r="F997" s="2"/>
    </row>
    <row r="998" spans="1:6" x14ac:dyDescent="0.25">
      <c r="A998" s="2"/>
      <c r="B998" s="2"/>
      <c r="C998" s="2"/>
      <c r="D998" s="2"/>
      <c r="E998" s="2"/>
      <c r="F998" s="2"/>
    </row>
    <row r="999" spans="1:6" x14ac:dyDescent="0.25">
      <c r="A999" s="2"/>
      <c r="B999" s="2"/>
      <c r="C999" s="2"/>
      <c r="D999" s="2"/>
      <c r="E999" s="2"/>
      <c r="F999" s="2"/>
    </row>
    <row r="1000" spans="1:6" x14ac:dyDescent="0.25">
      <c r="A1000" s="2"/>
      <c r="B1000" s="2"/>
      <c r="C1000" s="2"/>
      <c r="D1000" s="2"/>
      <c r="E1000" s="2"/>
      <c r="F1000" s="2"/>
    </row>
    <row r="1001" spans="1:6" x14ac:dyDescent="0.25">
      <c r="A1001" s="2"/>
      <c r="B1001" s="2"/>
      <c r="C1001" s="2"/>
      <c r="D1001" s="2"/>
      <c r="E1001" s="2"/>
      <c r="F1001" s="2"/>
    </row>
    <row r="1002" spans="1:6" x14ac:dyDescent="0.25">
      <c r="A1002" s="2"/>
      <c r="B1002" s="2"/>
      <c r="C1002" s="2"/>
      <c r="D1002" s="2"/>
      <c r="E1002" s="2"/>
      <c r="F1002" s="2"/>
    </row>
    <row r="1003" spans="1:6" x14ac:dyDescent="0.25">
      <c r="A1003" s="2"/>
      <c r="B1003" s="2"/>
      <c r="C1003" s="2"/>
      <c r="D1003" s="2"/>
      <c r="E1003" s="2"/>
      <c r="F1003" s="2"/>
    </row>
    <row r="1004" spans="1:6" x14ac:dyDescent="0.25">
      <c r="A1004" s="2"/>
      <c r="B1004" s="2"/>
      <c r="C1004" s="2"/>
      <c r="D1004" s="2"/>
      <c r="E1004" s="2"/>
      <c r="F1004" s="2"/>
    </row>
    <row r="1005" spans="1:6" x14ac:dyDescent="0.25">
      <c r="A1005" s="2"/>
      <c r="B1005" s="2"/>
      <c r="C1005" s="2"/>
      <c r="D1005" s="2"/>
      <c r="E1005" s="2"/>
      <c r="F1005" s="2"/>
    </row>
    <row r="1006" spans="1:6" x14ac:dyDescent="0.25">
      <c r="A1006" s="2"/>
      <c r="B1006" s="2"/>
      <c r="C1006" s="2"/>
      <c r="D1006" s="2"/>
      <c r="E1006" s="2"/>
      <c r="F1006" s="2"/>
    </row>
    <row r="1007" spans="1:6" x14ac:dyDescent="0.25">
      <c r="A1007" s="2"/>
      <c r="B1007" s="2"/>
      <c r="C1007" s="2"/>
      <c r="D1007" s="2"/>
      <c r="E1007" s="2"/>
      <c r="F1007" s="2"/>
    </row>
    <row r="1008" spans="1:6" x14ac:dyDescent="0.25">
      <c r="A1008" s="2"/>
      <c r="B1008" s="2"/>
      <c r="C1008" s="2"/>
      <c r="D1008" s="2"/>
      <c r="E1008" s="2"/>
      <c r="F1008" s="2"/>
    </row>
    <row r="1009" spans="1:6" x14ac:dyDescent="0.25">
      <c r="A1009" s="2"/>
      <c r="B1009" s="2"/>
      <c r="C1009" s="2"/>
      <c r="D1009" s="2"/>
      <c r="E1009" s="2"/>
      <c r="F1009" s="2"/>
    </row>
    <row r="1010" spans="1:6" x14ac:dyDescent="0.25">
      <c r="A1010" s="2"/>
      <c r="B1010" s="2"/>
      <c r="C1010" s="2"/>
      <c r="D1010" s="2"/>
      <c r="E1010" s="2"/>
      <c r="F1010" s="2"/>
    </row>
    <row r="1011" spans="1:6" x14ac:dyDescent="0.25">
      <c r="A1011" s="2"/>
      <c r="B1011" s="2"/>
      <c r="C1011" s="2"/>
      <c r="D1011" s="2"/>
      <c r="E1011" s="2"/>
      <c r="F1011" s="2"/>
    </row>
    <row r="1012" spans="1:6" x14ac:dyDescent="0.25">
      <c r="A1012" s="2"/>
      <c r="B1012" s="2"/>
      <c r="C1012" s="2"/>
      <c r="D1012" s="2"/>
      <c r="E1012" s="2"/>
      <c r="F1012" s="2"/>
    </row>
    <row r="1013" spans="1:6" x14ac:dyDescent="0.25">
      <c r="A1013" s="2"/>
      <c r="B1013" s="2"/>
      <c r="C1013" s="2"/>
      <c r="D1013" s="2"/>
      <c r="E1013" s="2"/>
      <c r="F1013" s="2"/>
    </row>
    <row r="1014" spans="1:6" x14ac:dyDescent="0.25">
      <c r="A1014" s="2"/>
      <c r="B1014" s="2"/>
      <c r="C1014" s="2"/>
      <c r="D1014" s="2"/>
      <c r="E1014" s="2"/>
      <c r="F1014" s="2"/>
    </row>
    <row r="1015" spans="1:6" x14ac:dyDescent="0.25">
      <c r="A1015" s="2"/>
      <c r="B1015" s="2"/>
      <c r="C1015" s="2"/>
      <c r="D1015" s="2"/>
      <c r="E1015" s="2"/>
      <c r="F1015" s="2"/>
    </row>
    <row r="1016" spans="1:6" x14ac:dyDescent="0.25">
      <c r="A1016" s="2"/>
      <c r="B1016" s="2"/>
      <c r="C1016" s="2"/>
      <c r="D1016" s="2"/>
      <c r="E1016" s="2"/>
      <c r="F1016" s="2"/>
    </row>
    <row r="1017" spans="1:6" x14ac:dyDescent="0.25">
      <c r="A1017" s="2"/>
      <c r="B1017" s="2"/>
      <c r="C1017" s="2"/>
      <c r="D1017" s="2"/>
      <c r="E1017" s="2"/>
      <c r="F1017" s="2"/>
    </row>
    <row r="1018" spans="1:6" x14ac:dyDescent="0.25">
      <c r="A1018" s="2"/>
      <c r="B1018" s="2"/>
      <c r="C1018" s="2"/>
      <c r="D1018" s="2"/>
      <c r="E1018" s="2"/>
      <c r="F1018" s="2"/>
    </row>
    <row r="1019" spans="1:6" x14ac:dyDescent="0.25">
      <c r="A1019" s="2"/>
      <c r="B1019" s="2"/>
      <c r="C1019" s="2"/>
      <c r="D1019" s="2"/>
      <c r="E1019" s="2"/>
      <c r="F1019" s="2"/>
    </row>
    <row r="1020" spans="1:6" x14ac:dyDescent="0.25">
      <c r="A1020" s="2"/>
      <c r="B1020" s="2"/>
      <c r="C1020" s="2"/>
      <c r="D1020" s="2"/>
      <c r="E1020" s="2"/>
      <c r="F1020" s="2"/>
    </row>
    <row r="1021" spans="1:6" x14ac:dyDescent="0.25">
      <c r="A1021" s="2"/>
      <c r="B1021" s="2"/>
      <c r="C1021" s="2"/>
      <c r="D1021" s="2"/>
      <c r="E1021" s="2"/>
      <c r="F1021" s="2"/>
    </row>
    <row r="1022" spans="1:6" x14ac:dyDescent="0.25">
      <c r="A1022" s="2"/>
      <c r="B1022" s="2"/>
      <c r="C1022" s="2"/>
      <c r="D1022" s="2"/>
      <c r="E1022" s="2"/>
      <c r="F1022" s="2"/>
    </row>
    <row r="1023" spans="1:6" x14ac:dyDescent="0.25">
      <c r="A1023" s="2"/>
      <c r="B1023" s="2"/>
      <c r="C1023" s="2"/>
      <c r="D1023" s="2"/>
      <c r="E1023" s="2"/>
      <c r="F1023" s="2"/>
    </row>
    <row r="1024" spans="1:6" x14ac:dyDescent="0.25">
      <c r="A1024" s="2"/>
      <c r="B1024" s="2"/>
      <c r="C1024" s="2"/>
      <c r="D1024" s="2"/>
      <c r="E1024" s="2"/>
      <c r="F1024" s="2"/>
    </row>
    <row r="1025" spans="1:6" x14ac:dyDescent="0.25">
      <c r="A1025" s="2"/>
      <c r="B1025" s="2"/>
      <c r="C1025" s="2"/>
      <c r="D1025" s="2"/>
      <c r="E1025" s="2"/>
      <c r="F1025" s="2"/>
    </row>
    <row r="1026" spans="1:6" x14ac:dyDescent="0.25">
      <c r="A1026" s="2"/>
      <c r="B1026" s="2"/>
      <c r="C1026" s="2"/>
      <c r="D1026" s="2"/>
      <c r="E1026" s="2"/>
      <c r="F1026" s="2"/>
    </row>
    <row r="1027" spans="1:6" x14ac:dyDescent="0.25">
      <c r="A1027" s="2"/>
      <c r="B1027" s="2"/>
      <c r="C1027" s="2"/>
      <c r="D1027" s="2"/>
      <c r="E1027" s="2"/>
      <c r="F1027" s="2"/>
    </row>
    <row r="1028" spans="1:6" x14ac:dyDescent="0.25">
      <c r="A1028" s="2"/>
      <c r="B1028" s="2"/>
      <c r="C1028" s="2"/>
      <c r="D1028" s="2"/>
      <c r="E1028" s="2"/>
      <c r="F1028" s="2"/>
    </row>
    <row r="1029" spans="1:6" x14ac:dyDescent="0.25">
      <c r="A1029" s="2"/>
      <c r="B1029" s="2"/>
      <c r="C1029" s="2"/>
      <c r="D1029" s="2"/>
      <c r="E1029" s="2"/>
      <c r="F1029" s="2"/>
    </row>
    <row r="1030" spans="1:6" x14ac:dyDescent="0.25">
      <c r="A1030" s="2"/>
      <c r="B1030" s="2"/>
      <c r="C1030" s="2"/>
      <c r="D1030" s="2"/>
      <c r="E1030" s="2"/>
      <c r="F1030" s="2"/>
    </row>
    <row r="1031" spans="1:6" x14ac:dyDescent="0.25">
      <c r="A1031" s="2"/>
      <c r="B1031" s="2"/>
      <c r="C1031" s="2"/>
      <c r="D1031" s="2"/>
      <c r="E1031" s="2"/>
      <c r="F1031" s="2"/>
    </row>
    <row r="1032" spans="1:6" x14ac:dyDescent="0.25">
      <c r="A1032" s="2"/>
      <c r="B1032" s="2"/>
      <c r="C1032" s="2"/>
      <c r="D1032" s="2"/>
      <c r="E1032" s="2"/>
      <c r="F1032" s="2"/>
    </row>
    <row r="1033" spans="1:6" x14ac:dyDescent="0.25">
      <c r="A1033" s="2"/>
      <c r="B1033" s="2"/>
      <c r="C1033" s="2"/>
      <c r="D1033" s="2"/>
      <c r="E1033" s="2"/>
      <c r="F1033" s="2"/>
    </row>
    <row r="1034" spans="1:6" x14ac:dyDescent="0.25">
      <c r="A1034" s="2"/>
      <c r="B1034" s="2"/>
      <c r="C1034" s="2"/>
      <c r="D1034" s="2"/>
      <c r="E1034" s="2"/>
      <c r="F1034" s="2"/>
    </row>
    <row r="1035" spans="1:6" x14ac:dyDescent="0.25">
      <c r="A1035" s="2"/>
      <c r="B1035" s="2"/>
      <c r="C1035" s="2"/>
      <c r="D1035" s="2"/>
      <c r="E1035" s="2"/>
      <c r="F1035" s="2"/>
    </row>
    <row r="1036" spans="1:6" x14ac:dyDescent="0.25">
      <c r="A1036" s="2"/>
      <c r="B1036" s="2"/>
      <c r="C1036" s="2"/>
      <c r="D1036" s="2"/>
      <c r="E1036" s="2"/>
      <c r="F1036" s="2"/>
    </row>
    <row r="1037" spans="1:6" x14ac:dyDescent="0.25">
      <c r="A1037" s="2"/>
      <c r="B1037" s="2"/>
      <c r="C1037" s="2"/>
      <c r="D1037" s="2"/>
      <c r="E1037" s="2"/>
      <c r="F1037" s="2"/>
    </row>
    <row r="1038" spans="1:6" x14ac:dyDescent="0.25">
      <c r="A1038" s="2"/>
      <c r="B1038" s="2"/>
      <c r="C1038" s="2"/>
      <c r="D1038" s="2"/>
      <c r="E1038" s="2"/>
      <c r="F1038" s="2"/>
    </row>
    <row r="1039" spans="1:6" x14ac:dyDescent="0.25">
      <c r="A1039" s="2"/>
      <c r="B1039" s="2"/>
      <c r="C1039" s="2"/>
      <c r="D1039" s="2"/>
      <c r="E1039" s="2"/>
      <c r="F1039" s="2"/>
    </row>
    <row r="1040" spans="1:6" x14ac:dyDescent="0.25">
      <c r="A1040" s="2"/>
      <c r="B1040" s="2"/>
      <c r="C1040" s="2"/>
      <c r="D1040" s="2"/>
      <c r="E1040" s="2"/>
      <c r="F1040" s="2"/>
    </row>
    <row r="1041" spans="1:6" x14ac:dyDescent="0.25">
      <c r="A1041" s="2"/>
      <c r="B1041" s="2"/>
      <c r="C1041" s="2"/>
      <c r="D1041" s="2"/>
      <c r="E1041" s="2"/>
      <c r="F1041" s="2"/>
    </row>
    <row r="1042" spans="1:6" x14ac:dyDescent="0.25">
      <c r="A1042" s="2"/>
      <c r="B1042" s="2"/>
      <c r="C1042" s="2"/>
      <c r="D1042" s="2"/>
      <c r="E1042" s="2"/>
      <c r="F1042" s="2"/>
    </row>
    <row r="1043" spans="1:6" x14ac:dyDescent="0.25">
      <c r="A1043" s="2"/>
      <c r="B1043" s="2"/>
      <c r="C1043" s="2"/>
      <c r="D1043" s="2"/>
      <c r="E1043" s="2"/>
      <c r="F1043" s="2"/>
    </row>
    <row r="1044" spans="1:6" x14ac:dyDescent="0.25">
      <c r="A1044" s="2"/>
      <c r="B1044" s="2"/>
      <c r="C1044" s="2"/>
      <c r="D1044" s="2"/>
      <c r="E1044" s="2"/>
      <c r="F1044" s="2"/>
    </row>
    <row r="1045" spans="1:6" x14ac:dyDescent="0.25">
      <c r="A1045" s="2"/>
      <c r="B1045" s="2"/>
      <c r="C1045" s="2"/>
      <c r="D1045" s="2"/>
      <c r="E1045" s="2"/>
      <c r="F1045" s="2"/>
    </row>
    <row r="1046" spans="1:6" x14ac:dyDescent="0.25">
      <c r="A1046" s="2"/>
      <c r="B1046" s="2"/>
      <c r="C1046" s="2"/>
      <c r="D1046" s="2"/>
      <c r="E1046" s="2"/>
      <c r="F1046" s="2"/>
    </row>
    <row r="1047" spans="1:6" x14ac:dyDescent="0.25">
      <c r="A1047" s="2"/>
      <c r="B1047" s="2"/>
      <c r="C1047" s="2"/>
      <c r="D1047" s="2"/>
      <c r="E1047" s="2"/>
      <c r="F1047" s="2"/>
    </row>
    <row r="1048" spans="1:6" x14ac:dyDescent="0.25">
      <c r="A1048" s="2"/>
      <c r="B1048" s="2"/>
      <c r="C1048" s="2"/>
      <c r="D1048" s="2"/>
      <c r="E1048" s="2"/>
      <c r="F1048" s="2"/>
    </row>
    <row r="1049" spans="1:6" x14ac:dyDescent="0.25">
      <c r="A1049" s="2"/>
      <c r="B1049" s="2"/>
      <c r="C1049" s="2"/>
      <c r="D1049" s="2"/>
      <c r="E1049" s="2"/>
      <c r="F1049" s="2"/>
    </row>
    <row r="1050" spans="1:6" x14ac:dyDescent="0.25">
      <c r="A1050" s="2"/>
      <c r="B1050" s="2"/>
      <c r="C1050" s="2"/>
      <c r="D1050" s="2"/>
      <c r="E1050" s="2"/>
      <c r="F1050" s="2"/>
    </row>
    <row r="1051" spans="1:6" x14ac:dyDescent="0.25">
      <c r="A1051" s="2"/>
      <c r="B1051" s="2"/>
      <c r="C1051" s="2"/>
      <c r="D1051" s="2"/>
      <c r="E1051" s="2"/>
      <c r="F1051" s="2"/>
    </row>
    <row r="1052" spans="1:6" x14ac:dyDescent="0.25">
      <c r="A1052" s="2"/>
      <c r="B1052" s="2"/>
      <c r="C1052" s="2"/>
      <c r="D1052" s="2"/>
      <c r="E1052" s="2"/>
      <c r="F1052" s="2"/>
    </row>
    <row r="1053" spans="1:6" x14ac:dyDescent="0.25">
      <c r="A1053" s="2"/>
      <c r="B1053" s="2"/>
      <c r="C1053" s="2"/>
      <c r="D1053" s="2"/>
      <c r="E1053" s="2"/>
      <c r="F1053" s="2"/>
    </row>
    <row r="1054" spans="1:6" x14ac:dyDescent="0.25">
      <c r="A1054" s="2"/>
      <c r="B1054" s="2"/>
      <c r="C1054" s="2"/>
      <c r="D1054" s="2"/>
      <c r="E1054" s="2"/>
      <c r="F1054" s="2"/>
    </row>
    <row r="1055" spans="1:6" x14ac:dyDescent="0.25">
      <c r="A1055" s="2"/>
      <c r="B1055" s="2"/>
      <c r="C1055" s="2"/>
      <c r="D1055" s="2"/>
      <c r="E1055" s="2"/>
      <c r="F1055" s="2"/>
    </row>
    <row r="1056" spans="1:6" x14ac:dyDescent="0.25">
      <c r="A1056" s="2"/>
      <c r="B1056" s="2"/>
      <c r="C1056" s="2"/>
      <c r="D1056" s="2"/>
      <c r="E1056" s="2"/>
      <c r="F1056" s="2"/>
    </row>
    <row r="1057" spans="1:6" x14ac:dyDescent="0.25">
      <c r="A1057" s="2"/>
      <c r="B1057" s="2"/>
      <c r="C1057" s="2"/>
      <c r="D1057" s="2"/>
      <c r="E1057" s="2"/>
      <c r="F1057" s="2"/>
    </row>
    <row r="1058" spans="1:6" x14ac:dyDescent="0.25">
      <c r="A1058" s="2"/>
      <c r="B1058" s="2"/>
      <c r="C1058" s="2"/>
      <c r="D1058" s="2"/>
      <c r="E1058" s="2"/>
      <c r="F1058" s="2"/>
    </row>
    <row r="1059" spans="1:6" x14ac:dyDescent="0.25">
      <c r="A1059" s="2"/>
      <c r="B1059" s="2"/>
      <c r="C1059" s="2"/>
      <c r="D1059" s="2"/>
      <c r="E1059" s="2"/>
      <c r="F1059" s="2"/>
    </row>
    <row r="1060" spans="1:6" x14ac:dyDescent="0.25">
      <c r="A1060" s="2"/>
      <c r="B1060" s="2"/>
      <c r="C1060" s="2"/>
      <c r="D1060" s="2"/>
      <c r="E1060" s="2"/>
      <c r="F1060" s="2"/>
    </row>
    <row r="1061" spans="1:6" x14ac:dyDescent="0.25">
      <c r="A1061" s="2"/>
      <c r="B1061" s="2"/>
      <c r="C1061" s="2"/>
      <c r="D1061" s="2"/>
      <c r="E1061" s="2"/>
      <c r="F1061" s="2"/>
    </row>
    <row r="1062" spans="1:6" x14ac:dyDescent="0.25">
      <c r="A1062" s="2"/>
      <c r="B1062" s="2"/>
      <c r="C1062" s="2"/>
      <c r="D1062" s="2"/>
      <c r="E1062" s="2"/>
      <c r="F1062" s="2"/>
    </row>
    <row r="1063" spans="1:6" x14ac:dyDescent="0.25">
      <c r="A1063" s="2"/>
      <c r="B1063" s="2"/>
      <c r="C1063" s="2"/>
      <c r="D1063" s="2"/>
      <c r="E1063" s="2"/>
      <c r="F1063" s="2"/>
    </row>
    <row r="1064" spans="1:6" x14ac:dyDescent="0.25">
      <c r="A1064" s="2"/>
      <c r="B1064" s="2"/>
      <c r="C1064" s="2"/>
      <c r="D1064" s="2"/>
      <c r="E1064" s="2"/>
      <c r="F1064" s="2"/>
    </row>
    <row r="1065" spans="1:6" x14ac:dyDescent="0.25">
      <c r="A1065" s="2"/>
      <c r="B1065" s="2"/>
      <c r="C1065" s="2"/>
      <c r="D1065" s="2"/>
      <c r="E1065" s="2"/>
      <c r="F1065" s="2"/>
    </row>
    <row r="1066" spans="1:6" x14ac:dyDescent="0.25">
      <c r="A1066" s="2"/>
      <c r="B1066" s="2"/>
      <c r="C1066" s="2"/>
      <c r="D1066" s="2"/>
      <c r="E1066" s="2"/>
      <c r="F1066" s="2"/>
    </row>
    <row r="1067" spans="1:6" x14ac:dyDescent="0.25">
      <c r="A1067" s="2"/>
      <c r="B1067" s="2"/>
      <c r="C1067" s="2"/>
      <c r="D1067" s="2"/>
      <c r="E1067" s="2"/>
      <c r="F1067" s="2"/>
    </row>
    <row r="1068" spans="1:6" x14ac:dyDescent="0.25">
      <c r="A1068" s="2"/>
      <c r="B1068" s="2"/>
      <c r="C1068" s="2"/>
      <c r="D1068" s="2"/>
      <c r="E1068" s="2"/>
      <c r="F1068" s="2"/>
    </row>
    <row r="1069" spans="1:6" x14ac:dyDescent="0.25">
      <c r="A1069" s="2"/>
      <c r="B1069" s="2"/>
      <c r="C1069" s="2"/>
      <c r="D1069" s="2"/>
      <c r="E1069" s="2"/>
      <c r="F1069" s="2"/>
    </row>
    <row r="1070" spans="1:6" x14ac:dyDescent="0.25">
      <c r="A1070" s="2"/>
      <c r="B1070" s="2"/>
      <c r="C1070" s="2"/>
      <c r="D1070" s="2"/>
      <c r="E1070" s="2"/>
      <c r="F1070" s="2"/>
    </row>
    <row r="1071" spans="1:6" x14ac:dyDescent="0.25">
      <c r="A1071" s="2"/>
      <c r="B1071" s="2"/>
      <c r="C1071" s="2"/>
      <c r="D1071" s="2"/>
      <c r="E1071" s="2"/>
      <c r="F1071" s="2"/>
    </row>
    <row r="1072" spans="1:6" x14ac:dyDescent="0.25">
      <c r="A1072" s="2"/>
      <c r="B1072" s="2"/>
      <c r="C1072" s="2"/>
      <c r="D1072" s="2"/>
      <c r="E1072" s="2"/>
      <c r="F1072" s="2"/>
    </row>
    <row r="1073" spans="1:6" x14ac:dyDescent="0.25">
      <c r="A1073" s="2"/>
      <c r="B1073" s="2"/>
      <c r="C1073" s="2"/>
      <c r="D1073" s="2"/>
      <c r="E1073" s="2"/>
      <c r="F1073" s="2"/>
    </row>
    <row r="1074" spans="1:6" x14ac:dyDescent="0.25">
      <c r="A1074" s="2"/>
      <c r="B1074" s="2"/>
      <c r="C1074" s="2"/>
      <c r="D1074" s="2"/>
      <c r="E1074" s="2"/>
      <c r="F1074" s="2"/>
    </row>
    <row r="1075" spans="1:6" x14ac:dyDescent="0.25">
      <c r="A1075" s="2"/>
      <c r="B1075" s="2"/>
      <c r="C1075" s="2"/>
      <c r="D1075" s="2"/>
      <c r="E1075" s="2"/>
      <c r="F1075" s="2"/>
    </row>
    <row r="1076" spans="1:6" x14ac:dyDescent="0.25">
      <c r="A1076" s="2"/>
      <c r="B1076" s="2"/>
      <c r="C1076" s="2"/>
      <c r="D1076" s="2"/>
      <c r="E1076" s="2"/>
      <c r="F1076" s="2"/>
    </row>
    <row r="1077" spans="1:6" x14ac:dyDescent="0.25">
      <c r="A1077" s="2"/>
      <c r="B1077" s="2"/>
      <c r="C1077" s="2"/>
      <c r="D1077" s="2"/>
      <c r="E1077" s="2"/>
      <c r="F1077" s="2"/>
    </row>
    <row r="1078" spans="1:6" x14ac:dyDescent="0.25">
      <c r="A1078" s="2"/>
      <c r="B1078" s="2"/>
      <c r="C1078" s="2"/>
      <c r="D1078" s="2"/>
      <c r="E1078" s="2"/>
      <c r="F1078" s="2"/>
    </row>
    <row r="1079" spans="1:6" x14ac:dyDescent="0.25">
      <c r="A1079" s="2"/>
      <c r="B1079" s="2"/>
      <c r="C1079" s="2"/>
      <c r="D1079" s="2"/>
      <c r="E1079" s="2"/>
      <c r="F1079" s="2"/>
    </row>
    <row r="1080" spans="1:6" x14ac:dyDescent="0.25">
      <c r="A1080" s="2"/>
      <c r="B1080" s="2"/>
      <c r="C1080" s="2"/>
      <c r="D1080" s="2"/>
      <c r="E1080" s="2"/>
      <c r="F1080" s="2"/>
    </row>
    <row r="1081" spans="1:6" x14ac:dyDescent="0.25">
      <c r="A1081" s="2"/>
      <c r="B1081" s="2"/>
      <c r="C1081" s="2"/>
      <c r="D1081" s="2"/>
      <c r="E1081" s="2"/>
      <c r="F1081" s="2"/>
    </row>
    <row r="1082" spans="1:6" x14ac:dyDescent="0.25">
      <c r="A1082" s="2"/>
      <c r="B1082" s="2"/>
      <c r="C1082" s="2"/>
      <c r="D1082" s="2"/>
      <c r="E1082" s="2"/>
      <c r="F1082" s="2"/>
    </row>
    <row r="1083" spans="1:6" x14ac:dyDescent="0.25">
      <c r="A1083" s="2"/>
      <c r="B1083" s="2"/>
      <c r="C1083" s="2"/>
      <c r="D1083" s="2"/>
      <c r="E1083" s="2"/>
      <c r="F1083" s="2"/>
    </row>
    <row r="1084" spans="1:6" x14ac:dyDescent="0.25">
      <c r="A1084" s="2"/>
      <c r="B1084" s="2"/>
      <c r="C1084" s="2"/>
      <c r="D1084" s="2"/>
      <c r="E1084" s="2"/>
      <c r="F1084" s="2"/>
    </row>
    <row r="1085" spans="1:6" x14ac:dyDescent="0.25">
      <c r="A1085" s="2"/>
      <c r="B1085" s="2"/>
      <c r="C1085" s="2"/>
      <c r="D1085" s="2"/>
      <c r="E1085" s="2"/>
      <c r="F1085" s="2"/>
    </row>
    <row r="1086" spans="1:6" x14ac:dyDescent="0.25">
      <c r="A1086" s="2"/>
      <c r="B1086" s="2"/>
      <c r="C1086" s="2"/>
      <c r="D1086" s="2"/>
      <c r="E1086" s="2"/>
      <c r="F1086" s="2"/>
    </row>
    <row r="1087" spans="1:6" x14ac:dyDescent="0.25">
      <c r="A1087" s="2"/>
      <c r="B1087" s="2"/>
      <c r="C1087" s="2"/>
      <c r="D1087" s="2"/>
      <c r="E1087" s="2"/>
      <c r="F1087" s="2"/>
    </row>
    <row r="1088" spans="1:6" x14ac:dyDescent="0.25">
      <c r="A1088" s="2"/>
      <c r="B1088" s="2"/>
      <c r="C1088" s="2"/>
      <c r="D1088" s="2"/>
      <c r="E1088" s="2"/>
      <c r="F1088" s="2"/>
    </row>
    <row r="1089" spans="1:6" x14ac:dyDescent="0.25">
      <c r="A1089" s="2"/>
      <c r="B1089" s="2"/>
      <c r="C1089" s="2"/>
      <c r="D1089" s="2"/>
      <c r="E1089" s="2"/>
      <c r="F1089" s="2"/>
    </row>
    <row r="1090" spans="1:6" x14ac:dyDescent="0.25">
      <c r="A1090" s="2"/>
      <c r="B1090" s="2"/>
      <c r="C1090" s="2"/>
      <c r="D1090" s="2"/>
      <c r="E1090" s="2"/>
      <c r="F1090" s="2"/>
    </row>
    <row r="1091" spans="1:6" x14ac:dyDescent="0.25">
      <c r="A1091" s="2"/>
      <c r="B1091" s="2"/>
      <c r="C1091" s="2"/>
      <c r="D1091" s="2"/>
      <c r="E1091" s="2"/>
      <c r="F1091" s="2"/>
    </row>
    <row r="1092" spans="1:6" x14ac:dyDescent="0.25">
      <c r="A1092" s="2"/>
      <c r="B1092" s="2"/>
      <c r="C1092" s="2"/>
      <c r="D1092" s="2"/>
      <c r="E1092" s="2"/>
      <c r="F1092" s="2"/>
    </row>
    <row r="1093" spans="1:6" x14ac:dyDescent="0.25">
      <c r="A1093" s="2"/>
      <c r="B1093" s="2"/>
      <c r="C1093" s="2"/>
      <c r="D1093" s="2"/>
      <c r="E1093" s="2"/>
      <c r="F1093" s="2"/>
    </row>
    <row r="1094" spans="1:6" x14ac:dyDescent="0.25">
      <c r="A1094" s="2"/>
      <c r="B1094" s="2"/>
      <c r="C1094" s="2"/>
      <c r="D1094" s="2"/>
      <c r="E1094" s="2"/>
      <c r="F1094" s="2"/>
    </row>
    <row r="1095" spans="1:6" x14ac:dyDescent="0.25">
      <c r="A1095" s="2"/>
      <c r="B1095" s="2"/>
      <c r="C1095" s="2"/>
      <c r="D1095" s="2"/>
      <c r="E1095" s="2"/>
      <c r="F1095" s="2"/>
    </row>
    <row r="1096" spans="1:6" x14ac:dyDescent="0.25">
      <c r="A1096" s="2"/>
      <c r="B1096" s="2"/>
      <c r="C1096" s="2"/>
      <c r="D1096" s="2"/>
      <c r="E1096" s="2"/>
      <c r="F1096" s="2"/>
    </row>
    <row r="1097" spans="1:6" x14ac:dyDescent="0.25">
      <c r="A1097" s="2"/>
      <c r="B1097" s="2"/>
      <c r="C1097" s="2"/>
      <c r="D1097" s="2"/>
      <c r="E1097" s="2"/>
      <c r="F1097" s="2"/>
    </row>
    <row r="1098" spans="1:6" x14ac:dyDescent="0.25">
      <c r="A1098" s="2"/>
      <c r="B1098" s="2"/>
      <c r="C1098" s="2"/>
      <c r="D1098" s="2"/>
      <c r="E1098" s="2"/>
      <c r="F1098" s="2"/>
    </row>
    <row r="1099" spans="1:6" x14ac:dyDescent="0.25">
      <c r="A1099" s="2"/>
      <c r="B1099" s="2"/>
      <c r="C1099" s="2"/>
      <c r="D1099" s="2"/>
      <c r="E1099" s="2"/>
      <c r="F1099" s="2"/>
    </row>
    <row r="1100" spans="1:6" x14ac:dyDescent="0.25">
      <c r="A1100" s="2"/>
      <c r="B1100" s="2"/>
      <c r="C1100" s="2"/>
      <c r="D1100" s="2"/>
      <c r="E1100" s="2"/>
      <c r="F1100" s="2"/>
    </row>
    <row r="1101" spans="1:6" x14ac:dyDescent="0.25">
      <c r="A1101" s="2"/>
      <c r="B1101" s="2"/>
      <c r="C1101" s="2"/>
      <c r="D1101" s="2"/>
      <c r="E1101" s="2"/>
      <c r="F1101" s="2"/>
    </row>
    <row r="1102" spans="1:6" x14ac:dyDescent="0.25">
      <c r="A1102" s="2"/>
      <c r="B1102" s="2"/>
      <c r="C1102" s="2"/>
      <c r="D1102" s="2"/>
      <c r="E1102" s="2"/>
      <c r="F1102" s="2"/>
    </row>
    <row r="1103" spans="1:6" x14ac:dyDescent="0.25">
      <c r="A1103" s="2"/>
      <c r="B1103" s="2"/>
      <c r="C1103" s="2"/>
      <c r="D1103" s="2"/>
      <c r="E1103" s="2"/>
      <c r="F1103" s="2"/>
    </row>
    <row r="1104" spans="1:6" x14ac:dyDescent="0.25">
      <c r="A1104" s="2"/>
      <c r="B1104" s="2"/>
      <c r="C1104" s="2"/>
      <c r="D1104" s="2"/>
      <c r="E1104" s="2"/>
      <c r="F1104" s="2"/>
    </row>
    <row r="1105" spans="1:6" x14ac:dyDescent="0.25">
      <c r="A1105" s="2"/>
      <c r="B1105" s="2"/>
      <c r="C1105" s="2"/>
      <c r="D1105" s="2"/>
      <c r="E1105" s="2"/>
      <c r="F1105" s="2"/>
    </row>
    <row r="1106" spans="1:6" x14ac:dyDescent="0.25">
      <c r="A1106" s="2"/>
      <c r="B1106" s="2"/>
      <c r="C1106" s="2"/>
      <c r="D1106" s="2"/>
      <c r="E1106" s="2"/>
      <c r="F1106" s="2"/>
    </row>
    <row r="1107" spans="1:6" x14ac:dyDescent="0.25">
      <c r="A1107" s="2"/>
      <c r="B1107" s="2"/>
      <c r="C1107" s="2"/>
      <c r="D1107" s="2"/>
      <c r="E1107" s="2"/>
      <c r="F1107" s="2"/>
    </row>
    <row r="1108" spans="1:6" x14ac:dyDescent="0.25">
      <c r="A1108" s="2"/>
      <c r="B1108" s="2"/>
      <c r="C1108" s="2"/>
      <c r="D1108" s="2"/>
      <c r="E1108" s="2"/>
      <c r="F1108" s="2"/>
    </row>
    <row r="1109" spans="1:6" x14ac:dyDescent="0.25">
      <c r="A1109" s="2"/>
      <c r="B1109" s="2"/>
      <c r="C1109" s="2"/>
      <c r="D1109" s="2"/>
      <c r="E1109" s="2"/>
      <c r="F1109" s="2"/>
    </row>
    <row r="1110" spans="1:6" x14ac:dyDescent="0.25">
      <c r="A1110" s="2"/>
      <c r="B1110" s="2"/>
      <c r="C1110" s="2"/>
      <c r="D1110" s="2"/>
      <c r="E1110" s="2"/>
      <c r="F1110" s="2"/>
    </row>
    <row r="1111" spans="1:6" x14ac:dyDescent="0.25">
      <c r="A1111" s="2"/>
      <c r="B1111" s="2"/>
      <c r="C1111" s="2"/>
      <c r="D1111" s="2"/>
      <c r="E1111" s="2"/>
      <c r="F1111" s="2"/>
    </row>
    <row r="1112" spans="1:6" x14ac:dyDescent="0.25">
      <c r="A1112" s="2"/>
      <c r="B1112" s="2"/>
      <c r="C1112" s="2"/>
      <c r="D1112" s="2"/>
      <c r="E1112" s="2"/>
      <c r="F1112" s="2"/>
    </row>
    <row r="1113" spans="1:6" x14ac:dyDescent="0.25">
      <c r="A1113" s="2"/>
      <c r="B1113" s="2"/>
      <c r="C1113" s="2"/>
      <c r="D1113" s="2"/>
      <c r="E1113" s="2"/>
      <c r="F1113" s="2"/>
    </row>
    <row r="1114" spans="1:6" x14ac:dyDescent="0.25">
      <c r="A1114" s="2"/>
      <c r="B1114" s="2"/>
      <c r="C1114" s="2"/>
      <c r="D1114" s="2"/>
      <c r="E1114" s="2"/>
      <c r="F1114" s="2"/>
    </row>
    <row r="1115" spans="1:6" x14ac:dyDescent="0.25">
      <c r="A1115" s="2"/>
      <c r="B1115" s="2"/>
      <c r="C1115" s="2"/>
      <c r="D1115" s="2"/>
      <c r="E1115" s="2"/>
      <c r="F1115" s="2"/>
    </row>
    <row r="1116" spans="1:6" x14ac:dyDescent="0.25">
      <c r="A1116" s="2"/>
      <c r="B1116" s="2"/>
      <c r="C1116" s="2"/>
      <c r="D1116" s="2"/>
      <c r="E1116" s="2"/>
      <c r="F1116" s="2"/>
    </row>
    <row r="1117" spans="1:6" x14ac:dyDescent="0.25">
      <c r="A1117" s="2"/>
      <c r="B1117" s="2"/>
      <c r="C1117" s="2"/>
      <c r="D1117" s="2"/>
      <c r="E1117" s="2"/>
      <c r="F1117" s="2"/>
    </row>
    <row r="1118" spans="1:6" x14ac:dyDescent="0.25">
      <c r="A1118" s="2"/>
      <c r="B1118" s="2"/>
      <c r="C1118" s="2"/>
      <c r="D1118" s="2"/>
      <c r="E1118" s="2"/>
      <c r="F1118" s="2"/>
    </row>
    <row r="1119" spans="1:6" x14ac:dyDescent="0.25">
      <c r="A1119" s="2"/>
      <c r="B1119" s="2"/>
      <c r="C1119" s="2"/>
      <c r="D1119" s="2"/>
      <c r="E1119" s="2"/>
      <c r="F1119" s="2"/>
    </row>
    <row r="1120" spans="1:6" x14ac:dyDescent="0.25">
      <c r="A1120" s="2"/>
      <c r="B1120" s="2"/>
      <c r="C1120" s="2"/>
      <c r="D1120" s="2"/>
      <c r="E1120" s="2"/>
      <c r="F1120" s="2"/>
    </row>
    <row r="1121" spans="1:6" x14ac:dyDescent="0.25">
      <c r="A1121" s="2"/>
      <c r="B1121" s="2"/>
      <c r="C1121" s="2"/>
      <c r="D1121" s="2"/>
      <c r="E1121" s="2"/>
      <c r="F1121" s="2"/>
    </row>
    <row r="1122" spans="1:6" x14ac:dyDescent="0.25">
      <c r="A1122" s="2"/>
      <c r="B1122" s="2"/>
      <c r="C1122" s="2"/>
      <c r="D1122" s="2"/>
      <c r="E1122" s="2"/>
      <c r="F1122" s="2"/>
    </row>
    <row r="1123" spans="1:6" x14ac:dyDescent="0.25">
      <c r="A1123" s="2"/>
      <c r="B1123" s="2"/>
      <c r="C1123" s="2"/>
      <c r="D1123" s="2"/>
      <c r="E1123" s="2"/>
      <c r="F1123" s="2"/>
    </row>
    <row r="1124" spans="1:6" x14ac:dyDescent="0.25">
      <c r="A1124" s="2"/>
      <c r="B1124" s="2"/>
      <c r="C1124" s="2"/>
      <c r="D1124" s="2"/>
      <c r="E1124" s="2"/>
      <c r="F1124" s="2"/>
    </row>
    <row r="1125" spans="1:6" x14ac:dyDescent="0.25">
      <c r="A1125" s="2"/>
      <c r="B1125" s="2"/>
      <c r="C1125" s="2"/>
      <c r="D1125" s="2"/>
      <c r="E1125" s="2"/>
      <c r="F1125" s="2"/>
    </row>
    <row r="1126" spans="1:6" x14ac:dyDescent="0.25">
      <c r="A1126" s="2"/>
      <c r="B1126" s="2"/>
      <c r="C1126" s="2"/>
      <c r="D1126" s="2"/>
      <c r="E1126" s="2"/>
      <c r="F1126" s="2"/>
    </row>
    <row r="1127" spans="1:6" x14ac:dyDescent="0.25">
      <c r="A1127" s="2"/>
      <c r="B1127" s="2"/>
      <c r="C1127" s="2"/>
      <c r="D1127" s="2"/>
      <c r="E1127" s="2"/>
      <c r="F1127" s="2"/>
    </row>
    <row r="1128" spans="1:6" x14ac:dyDescent="0.25">
      <c r="A1128" s="2"/>
      <c r="B1128" s="2"/>
      <c r="C1128" s="2"/>
      <c r="D1128" s="2"/>
      <c r="E1128" s="2"/>
      <c r="F1128" s="2"/>
    </row>
    <row r="1129" spans="1:6" x14ac:dyDescent="0.25">
      <c r="A1129" s="2"/>
      <c r="B1129" s="2"/>
      <c r="C1129" s="2"/>
      <c r="D1129" s="2"/>
      <c r="E1129" s="2"/>
      <c r="F1129" s="2"/>
    </row>
    <row r="1130" spans="1:6" x14ac:dyDescent="0.25">
      <c r="A1130" s="2"/>
      <c r="B1130" s="2"/>
      <c r="C1130" s="2"/>
      <c r="D1130" s="2"/>
      <c r="E1130" s="2"/>
      <c r="F1130" s="2"/>
    </row>
    <row r="1131" spans="1:6" x14ac:dyDescent="0.25">
      <c r="A1131" s="2"/>
      <c r="B1131" s="2"/>
      <c r="C1131" s="2"/>
      <c r="D1131" s="2"/>
      <c r="E1131" s="2"/>
      <c r="F1131" s="2"/>
    </row>
    <row r="1132" spans="1:6" x14ac:dyDescent="0.25">
      <c r="A1132" s="2"/>
      <c r="B1132" s="2"/>
      <c r="C1132" s="2"/>
      <c r="D1132" s="2"/>
      <c r="E1132" s="2"/>
      <c r="F1132" s="2"/>
    </row>
    <row r="1133" spans="1:6" x14ac:dyDescent="0.25">
      <c r="A1133" s="2"/>
      <c r="B1133" s="2"/>
      <c r="C1133" s="2"/>
      <c r="D1133" s="2"/>
      <c r="E1133" s="2"/>
      <c r="F1133" s="2"/>
    </row>
    <row r="1134" spans="1:6" x14ac:dyDescent="0.25">
      <c r="A1134" s="2"/>
      <c r="B1134" s="2"/>
      <c r="C1134" s="2"/>
      <c r="D1134" s="2"/>
      <c r="E1134" s="2"/>
      <c r="F1134" s="2"/>
    </row>
    <row r="1135" spans="1:6" x14ac:dyDescent="0.25">
      <c r="A1135" s="2"/>
      <c r="B1135" s="2"/>
      <c r="C1135" s="2"/>
      <c r="D1135" s="2"/>
      <c r="E1135" s="2"/>
      <c r="F1135" s="2"/>
    </row>
    <row r="1136" spans="1:6" x14ac:dyDescent="0.25">
      <c r="A1136" s="2"/>
      <c r="B1136" s="2"/>
      <c r="C1136" s="2"/>
      <c r="D1136" s="2"/>
      <c r="E1136" s="2"/>
      <c r="F1136" s="2"/>
    </row>
    <row r="1137" spans="1:6" x14ac:dyDescent="0.25">
      <c r="A1137" s="2"/>
      <c r="B1137" s="2"/>
      <c r="C1137" s="2"/>
      <c r="D1137" s="2"/>
      <c r="E1137" s="2"/>
      <c r="F1137" s="2"/>
    </row>
    <row r="1138" spans="1:6" x14ac:dyDescent="0.25">
      <c r="A1138" s="2"/>
      <c r="B1138" s="2"/>
      <c r="C1138" s="2"/>
      <c r="D1138" s="2"/>
      <c r="E1138" s="2"/>
      <c r="F1138" s="2"/>
    </row>
    <row r="1139" spans="1:6" x14ac:dyDescent="0.25">
      <c r="A1139" s="2"/>
      <c r="B1139" s="2"/>
      <c r="C1139" s="2"/>
      <c r="D1139" s="2"/>
      <c r="E1139" s="2"/>
      <c r="F1139" s="2"/>
    </row>
    <row r="1140" spans="1:6" x14ac:dyDescent="0.25">
      <c r="A1140" s="2"/>
      <c r="B1140" s="2"/>
      <c r="C1140" s="2"/>
      <c r="D1140" s="2"/>
      <c r="E1140" s="2"/>
      <c r="F1140" s="2"/>
    </row>
    <row r="1141" spans="1:6" x14ac:dyDescent="0.25">
      <c r="A1141" s="2"/>
      <c r="B1141" s="2"/>
      <c r="C1141" s="2"/>
      <c r="D1141" s="2"/>
      <c r="E1141" s="2"/>
      <c r="F1141" s="2"/>
    </row>
    <row r="1142" spans="1:6" x14ac:dyDescent="0.25">
      <c r="A1142" s="2"/>
      <c r="B1142" s="2"/>
      <c r="C1142" s="2"/>
      <c r="D1142" s="2"/>
      <c r="E1142" s="2"/>
      <c r="F1142" s="2"/>
    </row>
    <row r="1143" spans="1:6" x14ac:dyDescent="0.25">
      <c r="A1143" s="2"/>
      <c r="B1143" s="2"/>
      <c r="C1143" s="2"/>
      <c r="D1143" s="2"/>
      <c r="E1143" s="2"/>
      <c r="F1143" s="2"/>
    </row>
    <row r="1144" spans="1:6" x14ac:dyDescent="0.25">
      <c r="A1144" s="2"/>
      <c r="B1144" s="2"/>
      <c r="C1144" s="2"/>
      <c r="D1144" s="2"/>
      <c r="E1144" s="2"/>
      <c r="F1144" s="2"/>
    </row>
    <row r="1145" spans="1:6" x14ac:dyDescent="0.25">
      <c r="A1145" s="2"/>
      <c r="B1145" s="2"/>
      <c r="C1145" s="2"/>
      <c r="D1145" s="2"/>
      <c r="E1145" s="2"/>
      <c r="F1145" s="2"/>
    </row>
    <row r="1146" spans="1:6" x14ac:dyDescent="0.25">
      <c r="A1146" s="2"/>
      <c r="B1146" s="2"/>
      <c r="C1146" s="2"/>
      <c r="D1146" s="2"/>
      <c r="E1146" s="2"/>
      <c r="F1146" s="2"/>
    </row>
    <row r="1147" spans="1:6" x14ac:dyDescent="0.25">
      <c r="A1147" s="2"/>
      <c r="B1147" s="2"/>
      <c r="C1147" s="2"/>
      <c r="D1147" s="2"/>
      <c r="E1147" s="2"/>
      <c r="F1147" s="2"/>
    </row>
    <row r="1148" spans="1:6" x14ac:dyDescent="0.25">
      <c r="A1148" s="2"/>
      <c r="B1148" s="2"/>
      <c r="C1148" s="2"/>
      <c r="D1148" s="2"/>
      <c r="E1148" s="2"/>
      <c r="F1148" s="2"/>
    </row>
    <row r="1149" spans="1:6" x14ac:dyDescent="0.25">
      <c r="A1149" s="2"/>
      <c r="B1149" s="2"/>
      <c r="C1149" s="2"/>
      <c r="D1149" s="2"/>
      <c r="E1149" s="2"/>
      <c r="F1149" s="2"/>
    </row>
    <row r="1150" spans="1:6" x14ac:dyDescent="0.25">
      <c r="A1150" s="2"/>
      <c r="B1150" s="2"/>
      <c r="C1150" s="2"/>
      <c r="D1150" s="2"/>
      <c r="E1150" s="2"/>
      <c r="F1150" s="2"/>
    </row>
    <row r="1151" spans="1:6" x14ac:dyDescent="0.25">
      <c r="A1151" s="2"/>
      <c r="B1151" s="2"/>
      <c r="C1151" s="2"/>
      <c r="D1151" s="2"/>
      <c r="E1151" s="2"/>
      <c r="F1151" s="2"/>
    </row>
    <row r="1152" spans="1:6" x14ac:dyDescent="0.25">
      <c r="A1152" s="2"/>
      <c r="B1152" s="2"/>
      <c r="C1152" s="2"/>
      <c r="D1152" s="2"/>
      <c r="E1152" s="2"/>
      <c r="F1152" s="2"/>
    </row>
    <row r="1153" spans="1:6" x14ac:dyDescent="0.25">
      <c r="A1153" s="2"/>
      <c r="B1153" s="2"/>
      <c r="C1153" s="2"/>
      <c r="D1153" s="2"/>
      <c r="E1153" s="2"/>
      <c r="F1153" s="2"/>
    </row>
    <row r="1154" spans="1:6" x14ac:dyDescent="0.25">
      <c r="A1154" s="2"/>
      <c r="B1154" s="2"/>
      <c r="C1154" s="2"/>
      <c r="D1154" s="2"/>
      <c r="E1154" s="2"/>
      <c r="F1154" s="2"/>
    </row>
    <row r="1155" spans="1:6" x14ac:dyDescent="0.25">
      <c r="A1155" s="2"/>
      <c r="B1155" s="2"/>
      <c r="C1155" s="2"/>
      <c r="D1155" s="2"/>
      <c r="E1155" s="2"/>
      <c r="F1155" s="2"/>
    </row>
    <row r="1156" spans="1:6" x14ac:dyDescent="0.25">
      <c r="A1156" s="2"/>
      <c r="B1156" s="2"/>
      <c r="C1156" s="2"/>
      <c r="D1156" s="2"/>
      <c r="E1156" s="2"/>
      <c r="F1156" s="2"/>
    </row>
    <row r="1157" spans="1:6" x14ac:dyDescent="0.25">
      <c r="A1157" s="2"/>
      <c r="B1157" s="2"/>
      <c r="C1157" s="2"/>
      <c r="D1157" s="2"/>
      <c r="E1157" s="2"/>
      <c r="F1157" s="2"/>
    </row>
    <row r="1158" spans="1:6" x14ac:dyDescent="0.25">
      <c r="A1158" s="2"/>
      <c r="B1158" s="2"/>
      <c r="C1158" s="2"/>
      <c r="D1158" s="2"/>
      <c r="E1158" s="2"/>
      <c r="F1158" s="2"/>
    </row>
    <row r="1159" spans="1:6" x14ac:dyDescent="0.25">
      <c r="A1159" s="2"/>
      <c r="B1159" s="2"/>
      <c r="C1159" s="2"/>
      <c r="D1159" s="2"/>
      <c r="E1159" s="2"/>
      <c r="F1159" s="2"/>
    </row>
    <row r="1160" spans="1:6" x14ac:dyDescent="0.25">
      <c r="A1160" s="2"/>
      <c r="B1160" s="2"/>
      <c r="C1160" s="2"/>
      <c r="D1160" s="2"/>
      <c r="E1160" s="2"/>
      <c r="F1160" s="2"/>
    </row>
    <row r="1161" spans="1:6" x14ac:dyDescent="0.25">
      <c r="A1161" s="2"/>
      <c r="B1161" s="2"/>
      <c r="C1161" s="2"/>
      <c r="D1161" s="2"/>
      <c r="E1161" s="2"/>
      <c r="F1161" s="2"/>
    </row>
    <row r="1162" spans="1:6" x14ac:dyDescent="0.25">
      <c r="A1162" s="2"/>
      <c r="B1162" s="2"/>
      <c r="C1162" s="2"/>
      <c r="D1162" s="2"/>
      <c r="E1162" s="2"/>
      <c r="F1162" s="2"/>
    </row>
    <row r="1163" spans="1:6" x14ac:dyDescent="0.25">
      <c r="A1163" s="2"/>
      <c r="B1163" s="2"/>
      <c r="C1163" s="2"/>
      <c r="D1163" s="2"/>
      <c r="E1163" s="2"/>
      <c r="F1163" s="2"/>
    </row>
    <row r="1164" spans="1:6" x14ac:dyDescent="0.25">
      <c r="A1164" s="2"/>
      <c r="B1164" s="2"/>
      <c r="C1164" s="2"/>
      <c r="D1164" s="2"/>
      <c r="E1164" s="2"/>
      <c r="F1164" s="2"/>
    </row>
    <row r="1165" spans="1:6" x14ac:dyDescent="0.25">
      <c r="A1165" s="2"/>
      <c r="B1165" s="2"/>
      <c r="C1165" s="2"/>
      <c r="D1165" s="2"/>
      <c r="E1165" s="2"/>
      <c r="F1165" s="2"/>
    </row>
    <row r="1166" spans="1:6" x14ac:dyDescent="0.25">
      <c r="A1166" s="2"/>
      <c r="B1166" s="2"/>
      <c r="C1166" s="2"/>
      <c r="D1166" s="2"/>
      <c r="E1166" s="2"/>
      <c r="F1166" s="2"/>
    </row>
    <row r="1167" spans="1:6" x14ac:dyDescent="0.25">
      <c r="A1167" s="2"/>
      <c r="B1167" s="2"/>
      <c r="C1167" s="2"/>
      <c r="D1167" s="2"/>
      <c r="E1167" s="2"/>
      <c r="F1167" s="2"/>
    </row>
    <row r="1168" spans="1:6" x14ac:dyDescent="0.25">
      <c r="A1168" s="2"/>
      <c r="B1168" s="2"/>
      <c r="C1168" s="2"/>
      <c r="D1168" s="2"/>
      <c r="E1168" s="2"/>
      <c r="F1168" s="2"/>
    </row>
    <row r="1169" spans="1:6" x14ac:dyDescent="0.25">
      <c r="A1169" s="2"/>
      <c r="B1169" s="2"/>
      <c r="C1169" s="2"/>
      <c r="D1169" s="2"/>
      <c r="E1169" s="2"/>
      <c r="F1169" s="2"/>
    </row>
    <row r="1170" spans="1:6" x14ac:dyDescent="0.25">
      <c r="A1170" s="2"/>
      <c r="B1170" s="2"/>
      <c r="C1170" s="2"/>
      <c r="D1170" s="2"/>
      <c r="E1170" s="2"/>
      <c r="F1170" s="2"/>
    </row>
    <row r="1171" spans="1:6" x14ac:dyDescent="0.25">
      <c r="A1171" s="2"/>
      <c r="B1171" s="2"/>
      <c r="C1171" s="2"/>
      <c r="D1171" s="2"/>
      <c r="E1171" s="2"/>
      <c r="F1171" s="2"/>
    </row>
    <row r="1172" spans="1:6" x14ac:dyDescent="0.25">
      <c r="A1172" s="2"/>
      <c r="B1172" s="2"/>
      <c r="C1172" s="2"/>
      <c r="D1172" s="2"/>
      <c r="E1172" s="2"/>
      <c r="F1172" s="2"/>
    </row>
    <row r="1173" spans="1:6" x14ac:dyDescent="0.25">
      <c r="A1173" s="2"/>
      <c r="B1173" s="2"/>
      <c r="C1173" s="2"/>
      <c r="D1173" s="2"/>
      <c r="E1173" s="2"/>
      <c r="F1173" s="2"/>
    </row>
    <row r="1174" spans="1:6" x14ac:dyDescent="0.25">
      <c r="A1174" s="2"/>
      <c r="B1174" s="2"/>
      <c r="C1174" s="2"/>
      <c r="D1174" s="2"/>
      <c r="E1174" s="2"/>
      <c r="F1174" s="2"/>
    </row>
    <row r="1175" spans="1:6" x14ac:dyDescent="0.25">
      <c r="A1175" s="2"/>
      <c r="B1175" s="2"/>
      <c r="C1175" s="2"/>
      <c r="D1175" s="2"/>
      <c r="E1175" s="2"/>
      <c r="F1175" s="2"/>
    </row>
    <row r="1176" spans="1:6" x14ac:dyDescent="0.25">
      <c r="A1176" s="2"/>
      <c r="B1176" s="2"/>
      <c r="C1176" s="2"/>
      <c r="D1176" s="2"/>
      <c r="E1176" s="2"/>
      <c r="F1176" s="2"/>
    </row>
    <row r="1177" spans="1:6" x14ac:dyDescent="0.25">
      <c r="A1177" s="2"/>
      <c r="B1177" s="2"/>
      <c r="C1177" s="2"/>
      <c r="D1177" s="2"/>
      <c r="E1177" s="2"/>
      <c r="F1177" s="2"/>
    </row>
    <row r="1178" spans="1:6" x14ac:dyDescent="0.25">
      <c r="A1178" s="2"/>
      <c r="B1178" s="2"/>
      <c r="C1178" s="2"/>
      <c r="D1178" s="2"/>
      <c r="E1178" s="2"/>
      <c r="F1178" s="2"/>
    </row>
    <row r="1179" spans="1:6" x14ac:dyDescent="0.25">
      <c r="A1179" s="2"/>
      <c r="B1179" s="2"/>
      <c r="C1179" s="2"/>
      <c r="D1179" s="2"/>
      <c r="E1179" s="2"/>
      <c r="F1179" s="2"/>
    </row>
    <row r="1180" spans="1:6" x14ac:dyDescent="0.25">
      <c r="A1180" s="2"/>
      <c r="B1180" s="2"/>
      <c r="C1180" s="2"/>
      <c r="D1180" s="2"/>
      <c r="E1180" s="2"/>
      <c r="F1180" s="2"/>
    </row>
    <row r="1181" spans="1:6" x14ac:dyDescent="0.25">
      <c r="A1181" s="2"/>
      <c r="B1181" s="2"/>
      <c r="C1181" s="2"/>
      <c r="D1181" s="2"/>
      <c r="E1181" s="2"/>
      <c r="F1181" s="2"/>
    </row>
    <row r="1182" spans="1:6" x14ac:dyDescent="0.25">
      <c r="A1182" s="2"/>
      <c r="B1182" s="2"/>
      <c r="C1182" s="2"/>
      <c r="D1182" s="2"/>
      <c r="E1182" s="2"/>
      <c r="F1182" s="2"/>
    </row>
    <row r="1183" spans="1:6" x14ac:dyDescent="0.25">
      <c r="A1183" s="2"/>
      <c r="B1183" s="2"/>
      <c r="C1183" s="2"/>
      <c r="D1183" s="2"/>
      <c r="E1183" s="2"/>
      <c r="F1183" s="2"/>
    </row>
    <row r="1184" spans="1:6" x14ac:dyDescent="0.25">
      <c r="A1184" s="2"/>
      <c r="B1184" s="2"/>
      <c r="C1184" s="2"/>
      <c r="D1184" s="2"/>
      <c r="E1184" s="2"/>
      <c r="F1184" s="2"/>
    </row>
    <row r="1185" spans="1:6" x14ac:dyDescent="0.25">
      <c r="A1185" s="2"/>
      <c r="B1185" s="2"/>
      <c r="C1185" s="2"/>
      <c r="D1185" s="2"/>
      <c r="E1185" s="2"/>
      <c r="F1185" s="2"/>
    </row>
    <row r="1186" spans="1:6" x14ac:dyDescent="0.25">
      <c r="A1186" s="2"/>
      <c r="B1186" s="2"/>
      <c r="C1186" s="2"/>
      <c r="D1186" s="2"/>
      <c r="E1186" s="2"/>
      <c r="F1186" s="2"/>
    </row>
    <row r="1187" spans="1:6" x14ac:dyDescent="0.25">
      <c r="A1187" s="2"/>
      <c r="B1187" s="2"/>
      <c r="C1187" s="2"/>
      <c r="D1187" s="2"/>
      <c r="E1187" s="2"/>
      <c r="F1187" s="2"/>
    </row>
    <row r="1188" spans="1:6" x14ac:dyDescent="0.25">
      <c r="A1188" s="2"/>
      <c r="B1188" s="2"/>
      <c r="C1188" s="2"/>
      <c r="D1188" s="2"/>
      <c r="E1188" s="2"/>
      <c r="F1188" s="2"/>
    </row>
    <row r="1189" spans="1:6" x14ac:dyDescent="0.25">
      <c r="A1189" s="2"/>
      <c r="B1189" s="2"/>
      <c r="C1189" s="2"/>
      <c r="D1189" s="2"/>
      <c r="E1189" s="2"/>
      <c r="F1189" s="2"/>
    </row>
    <row r="1190" spans="1:6" x14ac:dyDescent="0.25">
      <c r="A1190" s="2"/>
      <c r="B1190" s="2"/>
      <c r="C1190" s="2"/>
      <c r="D1190" s="2"/>
      <c r="E1190" s="2"/>
      <c r="F1190" s="2"/>
    </row>
    <row r="1191" spans="1:6" x14ac:dyDescent="0.25">
      <c r="A1191" s="2"/>
      <c r="B1191" s="2"/>
      <c r="C1191" s="2"/>
      <c r="D1191" s="2"/>
      <c r="E1191" s="2"/>
      <c r="F1191" s="2"/>
    </row>
    <row r="1192" spans="1:6" x14ac:dyDescent="0.25">
      <c r="A1192" s="2"/>
      <c r="B1192" s="2"/>
      <c r="C1192" s="2"/>
      <c r="D1192" s="2"/>
      <c r="E1192" s="2"/>
      <c r="F1192" s="2"/>
    </row>
    <row r="1193" spans="1:6" x14ac:dyDescent="0.25">
      <c r="A1193" s="2"/>
      <c r="B1193" s="2"/>
      <c r="C1193" s="2"/>
      <c r="D1193" s="2"/>
      <c r="E1193" s="2"/>
      <c r="F1193" s="2"/>
    </row>
    <row r="1194" spans="1:6" x14ac:dyDescent="0.25">
      <c r="A1194" s="2"/>
      <c r="B1194" s="2"/>
      <c r="C1194" s="2"/>
      <c r="D1194" s="2"/>
      <c r="E1194" s="2"/>
      <c r="F1194" s="2"/>
    </row>
    <row r="1195" spans="1:6" x14ac:dyDescent="0.25">
      <c r="A1195" s="2"/>
      <c r="B1195" s="2"/>
      <c r="C1195" s="2"/>
      <c r="D1195" s="2"/>
      <c r="E1195" s="2"/>
      <c r="F1195" s="2"/>
    </row>
    <row r="1196" spans="1:6" x14ac:dyDescent="0.25">
      <c r="A1196" s="2"/>
      <c r="B1196" s="2"/>
      <c r="C1196" s="2"/>
      <c r="D1196" s="2"/>
      <c r="E1196" s="2"/>
      <c r="F1196" s="2"/>
    </row>
    <row r="1197" spans="1:6" x14ac:dyDescent="0.25">
      <c r="A1197" s="2"/>
      <c r="B1197" s="2"/>
      <c r="C1197" s="2"/>
      <c r="D1197" s="2"/>
      <c r="E1197" s="2"/>
      <c r="F1197" s="2"/>
    </row>
    <row r="1198" spans="1:6" x14ac:dyDescent="0.25">
      <c r="A1198" s="2"/>
      <c r="B1198" s="2"/>
      <c r="C1198" s="2"/>
      <c r="D1198" s="2"/>
      <c r="E1198" s="2"/>
      <c r="F1198" s="2"/>
    </row>
    <row r="1199" spans="1:6" x14ac:dyDescent="0.25">
      <c r="A1199" s="2"/>
      <c r="B1199" s="2"/>
      <c r="C1199" s="2"/>
      <c r="D1199" s="2"/>
      <c r="E1199" s="2"/>
      <c r="F1199" s="2"/>
    </row>
    <row r="1200" spans="1:6" x14ac:dyDescent="0.25">
      <c r="A1200" s="2"/>
      <c r="B1200" s="2"/>
      <c r="C1200" s="2"/>
      <c r="D1200" s="2"/>
      <c r="E1200" s="2"/>
      <c r="F1200" s="2"/>
    </row>
    <row r="1201" spans="1:6" x14ac:dyDescent="0.25">
      <c r="A1201" s="2"/>
      <c r="B1201" s="2"/>
      <c r="C1201" s="2"/>
      <c r="D1201" s="2"/>
      <c r="E1201" s="2"/>
      <c r="F1201" s="2"/>
    </row>
    <row r="1202" spans="1:6" x14ac:dyDescent="0.25">
      <c r="A1202" s="2"/>
      <c r="B1202" s="2"/>
      <c r="C1202" s="2"/>
      <c r="D1202" s="2"/>
      <c r="E1202" s="2"/>
      <c r="F1202" s="2"/>
    </row>
    <row r="1203" spans="1:6" x14ac:dyDescent="0.25">
      <c r="A1203" s="2"/>
      <c r="B1203" s="2"/>
      <c r="C1203" s="2"/>
      <c r="D1203" s="2"/>
      <c r="E1203" s="2"/>
      <c r="F1203" s="2"/>
    </row>
    <row r="1204" spans="1:6" x14ac:dyDescent="0.25">
      <c r="A1204" s="2"/>
      <c r="B1204" s="2"/>
      <c r="C1204" s="2"/>
      <c r="D1204" s="2"/>
      <c r="E1204" s="2"/>
      <c r="F1204" s="2"/>
    </row>
    <row r="1205" spans="1:6" x14ac:dyDescent="0.25">
      <c r="A1205" s="2"/>
      <c r="B1205" s="2"/>
      <c r="C1205" s="2"/>
      <c r="D1205" s="2"/>
      <c r="E1205" s="2"/>
      <c r="F1205" s="2"/>
    </row>
    <row r="1206" spans="1:6" x14ac:dyDescent="0.25">
      <c r="A1206" s="2"/>
      <c r="B1206" s="2"/>
      <c r="C1206" s="2"/>
      <c r="D1206" s="2"/>
      <c r="E1206" s="2"/>
      <c r="F1206" s="2"/>
    </row>
    <row r="1207" spans="1:6" x14ac:dyDescent="0.25">
      <c r="A1207" s="2"/>
      <c r="B1207" s="2"/>
      <c r="C1207" s="2"/>
      <c r="D1207" s="2"/>
      <c r="E1207" s="2"/>
      <c r="F1207" s="2"/>
    </row>
    <row r="1208" spans="1:6" x14ac:dyDescent="0.25">
      <c r="A1208" s="2"/>
      <c r="B1208" s="2"/>
      <c r="C1208" s="2"/>
      <c r="D1208" s="2"/>
      <c r="E1208" s="2"/>
      <c r="F1208" s="2"/>
    </row>
    <row r="1209" spans="1:6" x14ac:dyDescent="0.25">
      <c r="A1209" s="2"/>
      <c r="B1209" s="2"/>
      <c r="C1209" s="2"/>
      <c r="D1209" s="2"/>
      <c r="E1209" s="2"/>
      <c r="F1209" s="2"/>
    </row>
    <row r="1210" spans="1:6" x14ac:dyDescent="0.25">
      <c r="A1210" s="2"/>
      <c r="B1210" s="2"/>
      <c r="C1210" s="2"/>
      <c r="D1210" s="2"/>
      <c r="E1210" s="2"/>
      <c r="F1210" s="2"/>
    </row>
    <row r="1211" spans="1:6" x14ac:dyDescent="0.25">
      <c r="A1211" s="2"/>
      <c r="B1211" s="2"/>
      <c r="C1211" s="2"/>
      <c r="D1211" s="2"/>
      <c r="E1211" s="2"/>
      <c r="F1211" s="2"/>
    </row>
    <row r="1212" spans="1:6" x14ac:dyDescent="0.25">
      <c r="A1212" s="2"/>
      <c r="B1212" s="2"/>
      <c r="C1212" s="2"/>
      <c r="D1212" s="2"/>
      <c r="E1212" s="2"/>
      <c r="F1212" s="2"/>
    </row>
    <row r="1213" spans="1:6" x14ac:dyDescent="0.25">
      <c r="A1213" s="2"/>
      <c r="B1213" s="2"/>
      <c r="C1213" s="2"/>
      <c r="D1213" s="2"/>
      <c r="E1213" s="2"/>
      <c r="F1213" s="2"/>
    </row>
    <row r="1214" spans="1:6" x14ac:dyDescent="0.25">
      <c r="A1214" s="2"/>
      <c r="B1214" s="2"/>
      <c r="C1214" s="2"/>
      <c r="D1214" s="2"/>
      <c r="E1214" s="2"/>
      <c r="F1214" s="2"/>
    </row>
    <row r="1215" spans="1:6" x14ac:dyDescent="0.25">
      <c r="A1215" s="2"/>
      <c r="B1215" s="2"/>
      <c r="C1215" s="2"/>
      <c r="D1215" s="2"/>
      <c r="E1215" s="2"/>
      <c r="F1215" s="2"/>
    </row>
    <row r="1216" spans="1:6" x14ac:dyDescent="0.25">
      <c r="A1216" s="2"/>
      <c r="B1216" s="2"/>
      <c r="C1216" s="2"/>
      <c r="D1216" s="2"/>
      <c r="E1216" s="2"/>
      <c r="F1216" s="2"/>
    </row>
    <row r="1217" spans="1:6" x14ac:dyDescent="0.25">
      <c r="A1217" s="2"/>
      <c r="B1217" s="2"/>
      <c r="C1217" s="2"/>
      <c r="D1217" s="2"/>
      <c r="E1217" s="2"/>
      <c r="F1217" s="2"/>
    </row>
    <row r="1218" spans="1:6" x14ac:dyDescent="0.25">
      <c r="A1218" s="2"/>
      <c r="B1218" s="2"/>
      <c r="C1218" s="2"/>
      <c r="D1218" s="2"/>
      <c r="E1218" s="2"/>
      <c r="F1218" s="2"/>
    </row>
    <row r="1219" spans="1:6" x14ac:dyDescent="0.25">
      <c r="A1219" s="2"/>
      <c r="B1219" s="2"/>
      <c r="C1219" s="2"/>
      <c r="D1219" s="2"/>
      <c r="E1219" s="2"/>
      <c r="F1219" s="2"/>
    </row>
    <row r="1220" spans="1:6" x14ac:dyDescent="0.25">
      <c r="A1220" s="2"/>
      <c r="B1220" s="2"/>
      <c r="C1220" s="2"/>
      <c r="D1220" s="2"/>
      <c r="E1220" s="2"/>
      <c r="F1220" s="2"/>
    </row>
    <row r="1221" spans="1:6" x14ac:dyDescent="0.25">
      <c r="A1221" s="2"/>
      <c r="B1221" s="2"/>
      <c r="C1221" s="2"/>
      <c r="D1221" s="2"/>
      <c r="E1221" s="2"/>
      <c r="F1221" s="2"/>
    </row>
    <row r="1222" spans="1:6" x14ac:dyDescent="0.25">
      <c r="A1222" s="2"/>
      <c r="B1222" s="2"/>
      <c r="C1222" s="2"/>
      <c r="D1222" s="2"/>
      <c r="E1222" s="2"/>
      <c r="F1222" s="2"/>
    </row>
    <row r="1223" spans="1:6" x14ac:dyDescent="0.25">
      <c r="A1223" s="2"/>
      <c r="B1223" s="2"/>
      <c r="C1223" s="2"/>
      <c r="D1223" s="2"/>
      <c r="E1223" s="2"/>
      <c r="F1223" s="2"/>
    </row>
    <row r="1224" spans="1:6" x14ac:dyDescent="0.25">
      <c r="A1224" s="2"/>
      <c r="B1224" s="2"/>
      <c r="C1224" s="2"/>
      <c r="D1224" s="2"/>
      <c r="E1224" s="2"/>
      <c r="F1224" s="2"/>
    </row>
    <row r="1225" spans="1:6" x14ac:dyDescent="0.25">
      <c r="A1225" s="2"/>
      <c r="B1225" s="2"/>
      <c r="C1225" s="2"/>
      <c r="D1225" s="2"/>
      <c r="E1225" s="2"/>
      <c r="F1225" s="2"/>
    </row>
    <row r="1226" spans="1:6" x14ac:dyDescent="0.25">
      <c r="A1226" s="2"/>
      <c r="B1226" s="2"/>
      <c r="C1226" s="2"/>
      <c r="D1226" s="2"/>
      <c r="E1226" s="2"/>
      <c r="F1226" s="2"/>
    </row>
    <row r="1227" spans="1:6" x14ac:dyDescent="0.25">
      <c r="A1227" s="2"/>
      <c r="B1227" s="2"/>
      <c r="C1227" s="2"/>
      <c r="D1227" s="2"/>
      <c r="E1227" s="2"/>
      <c r="F1227" s="2"/>
    </row>
    <row r="1228" spans="1:6" x14ac:dyDescent="0.25">
      <c r="A1228" s="2"/>
      <c r="B1228" s="2"/>
      <c r="C1228" s="2"/>
      <c r="D1228" s="2"/>
      <c r="E1228" s="2"/>
      <c r="F1228" s="2"/>
    </row>
    <row r="1229" spans="1:6" x14ac:dyDescent="0.25">
      <c r="A1229" s="2"/>
      <c r="B1229" s="2"/>
      <c r="C1229" s="2"/>
      <c r="D1229" s="2"/>
      <c r="E1229" s="2"/>
      <c r="F1229" s="2"/>
    </row>
    <row r="1230" spans="1:6" x14ac:dyDescent="0.25">
      <c r="A1230" s="2"/>
      <c r="B1230" s="2"/>
      <c r="C1230" s="2"/>
      <c r="D1230" s="2"/>
      <c r="E1230" s="2"/>
      <c r="F1230" s="2"/>
    </row>
    <row r="1231" spans="1:6" x14ac:dyDescent="0.25">
      <c r="A1231" s="2"/>
      <c r="B1231" s="2"/>
      <c r="C1231" s="2"/>
      <c r="D1231" s="2"/>
      <c r="E1231" s="2"/>
      <c r="F1231" s="2"/>
    </row>
    <row r="1232" spans="1:6" x14ac:dyDescent="0.25">
      <c r="A1232" s="2"/>
      <c r="B1232" s="2"/>
      <c r="C1232" s="2"/>
      <c r="D1232" s="2"/>
      <c r="E1232" s="2"/>
      <c r="F1232" s="2"/>
    </row>
    <row r="1233" spans="1:6" x14ac:dyDescent="0.25">
      <c r="A1233" s="2"/>
      <c r="B1233" s="2"/>
      <c r="C1233" s="2"/>
      <c r="D1233" s="2"/>
      <c r="E1233" s="2"/>
      <c r="F1233" s="2"/>
    </row>
    <row r="1234" spans="1:6" x14ac:dyDescent="0.25">
      <c r="A1234" s="2"/>
      <c r="B1234" s="2"/>
      <c r="C1234" s="2"/>
      <c r="D1234" s="2"/>
      <c r="E1234" s="2"/>
      <c r="F1234" s="2"/>
    </row>
    <row r="1235" spans="1:6" x14ac:dyDescent="0.25">
      <c r="A1235" s="2"/>
      <c r="B1235" s="2"/>
      <c r="C1235" s="2"/>
      <c r="D1235" s="2"/>
      <c r="E1235" s="2"/>
      <c r="F1235" s="2"/>
    </row>
    <row r="1236" spans="1:6" x14ac:dyDescent="0.25">
      <c r="A1236" s="2"/>
      <c r="B1236" s="2"/>
      <c r="C1236" s="2"/>
      <c r="D1236" s="2"/>
      <c r="E1236" s="2"/>
      <c r="F1236" s="2"/>
    </row>
    <row r="1237" spans="1:6" x14ac:dyDescent="0.25">
      <c r="A1237" s="2"/>
      <c r="B1237" s="2"/>
      <c r="C1237" s="2"/>
      <c r="D1237" s="2"/>
      <c r="E1237" s="2"/>
      <c r="F1237" s="2"/>
    </row>
    <row r="1238" spans="1:6" x14ac:dyDescent="0.25">
      <c r="A1238" s="2"/>
      <c r="B1238" s="2"/>
      <c r="C1238" s="2"/>
      <c r="D1238" s="2"/>
      <c r="E1238" s="2"/>
      <c r="F1238" s="2"/>
    </row>
    <row r="1239" spans="1:6" x14ac:dyDescent="0.25">
      <c r="A1239" s="2"/>
      <c r="B1239" s="2"/>
      <c r="C1239" s="2"/>
      <c r="D1239" s="2"/>
      <c r="E1239" s="2"/>
      <c r="F1239" s="2"/>
    </row>
    <row r="1240" spans="1:6" x14ac:dyDescent="0.25">
      <c r="A1240" s="2"/>
      <c r="B1240" s="2"/>
      <c r="C1240" s="2"/>
      <c r="D1240" s="2"/>
      <c r="E1240" s="2"/>
      <c r="F1240" s="2"/>
    </row>
    <row r="1241" spans="1:6" x14ac:dyDescent="0.25">
      <c r="A1241" s="2"/>
      <c r="B1241" s="2"/>
      <c r="C1241" s="2"/>
      <c r="D1241" s="2"/>
      <c r="E1241" s="2"/>
      <c r="F1241" s="2"/>
    </row>
    <row r="1242" spans="1:6" x14ac:dyDescent="0.25">
      <c r="A1242" s="2"/>
      <c r="B1242" s="2"/>
      <c r="C1242" s="2"/>
      <c r="D1242" s="2"/>
      <c r="E1242" s="2"/>
      <c r="F1242" s="2"/>
    </row>
    <row r="1243" spans="1:6" x14ac:dyDescent="0.25">
      <c r="A1243" s="2"/>
      <c r="B1243" s="2"/>
      <c r="C1243" s="2"/>
      <c r="D1243" s="2"/>
      <c r="E1243" s="2"/>
      <c r="F1243" s="2"/>
    </row>
    <row r="1244" spans="1:6" x14ac:dyDescent="0.25">
      <c r="A1244" s="2"/>
      <c r="B1244" s="2"/>
      <c r="C1244" s="2"/>
      <c r="D1244" s="2"/>
      <c r="E1244" s="2"/>
      <c r="F1244" s="2"/>
    </row>
    <row r="1245" spans="1:6" x14ac:dyDescent="0.25">
      <c r="A1245" s="2"/>
      <c r="B1245" s="2"/>
      <c r="C1245" s="2"/>
      <c r="D1245" s="2"/>
      <c r="E1245" s="2"/>
      <c r="F1245" s="2"/>
    </row>
    <row r="1246" spans="1:6" x14ac:dyDescent="0.25">
      <c r="A1246" s="2"/>
      <c r="B1246" s="2"/>
      <c r="C1246" s="2"/>
      <c r="D1246" s="2"/>
      <c r="E1246" s="2"/>
      <c r="F1246" s="2"/>
    </row>
    <row r="1247" spans="1:6" x14ac:dyDescent="0.25">
      <c r="A1247" s="2"/>
      <c r="B1247" s="2"/>
      <c r="C1247" s="2"/>
      <c r="D1247" s="2"/>
      <c r="E1247" s="2"/>
      <c r="F1247" s="2"/>
    </row>
    <row r="1248" spans="1:6" x14ac:dyDescent="0.25">
      <c r="A1248" s="2"/>
      <c r="B1248" s="2"/>
      <c r="C1248" s="2"/>
      <c r="D1248" s="2"/>
      <c r="E1248" s="2"/>
      <c r="F1248" s="2"/>
    </row>
    <row r="1249" spans="1:6" x14ac:dyDescent="0.25">
      <c r="A1249" s="2"/>
      <c r="B1249" s="2"/>
      <c r="C1249" s="2"/>
      <c r="D1249" s="2"/>
      <c r="E1249" s="2"/>
      <c r="F1249" s="2"/>
    </row>
    <row r="1250" spans="1:6" x14ac:dyDescent="0.25">
      <c r="A1250" s="2"/>
      <c r="B1250" s="2"/>
      <c r="C1250" s="2"/>
      <c r="D1250" s="2"/>
      <c r="E1250" s="2"/>
      <c r="F1250" s="2"/>
    </row>
    <row r="1251" spans="1:6" x14ac:dyDescent="0.25">
      <c r="A1251" s="2"/>
      <c r="B1251" s="2"/>
      <c r="C1251" s="2"/>
      <c r="D1251" s="2"/>
      <c r="E1251" s="2"/>
      <c r="F1251" s="2"/>
    </row>
    <row r="1252" spans="1:6" x14ac:dyDescent="0.25">
      <c r="A1252" s="2"/>
      <c r="B1252" s="2"/>
      <c r="C1252" s="2"/>
      <c r="D1252" s="2"/>
      <c r="E1252" s="2"/>
      <c r="F1252" s="2"/>
    </row>
    <row r="1253" spans="1:6" x14ac:dyDescent="0.25">
      <c r="A1253" s="2"/>
      <c r="B1253" s="2"/>
      <c r="C1253" s="2"/>
      <c r="D1253" s="2"/>
      <c r="E1253" s="2"/>
      <c r="F1253" s="2"/>
    </row>
    <row r="1254" spans="1:6" x14ac:dyDescent="0.25">
      <c r="A1254" s="2"/>
      <c r="B1254" s="2"/>
      <c r="C1254" s="2"/>
      <c r="D1254" s="2"/>
      <c r="E1254" s="2"/>
      <c r="F1254" s="2"/>
    </row>
    <row r="1255" spans="1:6" x14ac:dyDescent="0.25">
      <c r="A1255" s="2"/>
      <c r="B1255" s="2"/>
      <c r="C1255" s="2"/>
      <c r="D1255" s="2"/>
      <c r="E1255" s="2"/>
      <c r="F1255" s="2"/>
    </row>
    <row r="1256" spans="1:6" x14ac:dyDescent="0.25">
      <c r="A1256" s="2"/>
      <c r="B1256" s="2"/>
      <c r="C1256" s="2"/>
      <c r="D1256" s="2"/>
      <c r="E1256" s="2"/>
      <c r="F1256" s="2"/>
    </row>
    <row r="1257" spans="1:6" x14ac:dyDescent="0.25">
      <c r="A1257" s="2"/>
      <c r="B1257" s="2"/>
      <c r="C1257" s="2"/>
      <c r="D1257" s="2"/>
      <c r="E1257" s="2"/>
      <c r="F1257" s="2"/>
    </row>
    <row r="1258" spans="1:6" x14ac:dyDescent="0.25">
      <c r="A1258" s="2"/>
      <c r="B1258" s="2"/>
      <c r="C1258" s="2"/>
      <c r="D1258" s="2"/>
      <c r="E1258" s="2"/>
      <c r="F1258" s="2"/>
    </row>
    <row r="1259" spans="1:6" x14ac:dyDescent="0.25">
      <c r="A1259" s="2"/>
      <c r="B1259" s="2"/>
      <c r="C1259" s="2"/>
      <c r="D1259" s="2"/>
      <c r="E1259" s="2"/>
      <c r="F1259" s="2"/>
    </row>
    <row r="1260" spans="1:6" x14ac:dyDescent="0.25">
      <c r="A1260" s="2"/>
      <c r="B1260" s="2"/>
      <c r="C1260" s="2"/>
      <c r="D1260" s="2"/>
      <c r="E1260" s="2"/>
      <c r="F1260" s="2"/>
    </row>
    <row r="1261" spans="1:6" x14ac:dyDescent="0.25">
      <c r="A1261" s="2"/>
      <c r="B1261" s="2"/>
      <c r="C1261" s="2"/>
      <c r="D1261" s="2"/>
      <c r="E1261" s="2"/>
      <c r="F1261" s="2"/>
    </row>
    <row r="1262" spans="1:6" x14ac:dyDescent="0.25">
      <c r="A1262" s="2"/>
      <c r="B1262" s="2"/>
      <c r="C1262" s="2"/>
      <c r="D1262" s="2"/>
      <c r="E1262" s="2"/>
      <c r="F1262" s="2"/>
    </row>
    <row r="1263" spans="1:6" x14ac:dyDescent="0.25">
      <c r="A1263" s="2"/>
      <c r="B1263" s="2"/>
      <c r="C1263" s="2"/>
      <c r="D1263" s="2"/>
      <c r="E1263" s="2"/>
      <c r="F1263" s="2"/>
    </row>
    <row r="1264" spans="1:6" x14ac:dyDescent="0.25">
      <c r="A1264" s="2"/>
      <c r="B1264" s="2"/>
      <c r="C1264" s="2"/>
      <c r="D1264" s="2"/>
      <c r="E1264" s="2"/>
      <c r="F1264" s="2"/>
    </row>
    <row r="1265" spans="1:6" x14ac:dyDescent="0.25">
      <c r="A1265" s="2"/>
      <c r="B1265" s="2"/>
      <c r="C1265" s="2"/>
      <c r="D1265" s="2"/>
      <c r="E1265" s="2"/>
      <c r="F1265" s="2"/>
    </row>
    <row r="1266" spans="1:6" x14ac:dyDescent="0.25">
      <c r="A1266" s="2"/>
      <c r="B1266" s="2"/>
      <c r="C1266" s="2"/>
      <c r="D1266" s="2"/>
      <c r="E1266" s="2"/>
      <c r="F1266" s="2"/>
    </row>
    <row r="1267" spans="1:6" x14ac:dyDescent="0.25">
      <c r="A1267" s="2"/>
      <c r="B1267" s="2"/>
      <c r="C1267" s="2"/>
      <c r="D1267" s="2"/>
      <c r="E1267" s="2"/>
      <c r="F1267" s="2"/>
    </row>
    <row r="1268" spans="1:6" x14ac:dyDescent="0.25">
      <c r="A1268" s="2"/>
      <c r="B1268" s="2"/>
      <c r="C1268" s="2"/>
      <c r="D1268" s="2"/>
      <c r="E1268" s="2"/>
      <c r="F1268" s="2"/>
    </row>
    <row r="1269" spans="1:6" x14ac:dyDescent="0.25">
      <c r="A1269" s="2"/>
      <c r="B1269" s="2"/>
      <c r="C1269" s="2"/>
      <c r="D1269" s="2"/>
      <c r="E1269" s="2"/>
      <c r="F1269" s="2"/>
    </row>
    <row r="1270" spans="1:6" x14ac:dyDescent="0.25">
      <c r="A1270" s="2"/>
      <c r="B1270" s="2"/>
      <c r="C1270" s="2"/>
      <c r="D1270" s="2"/>
      <c r="E1270" s="2"/>
      <c r="F1270" s="2"/>
    </row>
    <row r="1271" spans="1:6" x14ac:dyDescent="0.25">
      <c r="A1271" s="2"/>
      <c r="B1271" s="2"/>
      <c r="C1271" s="2"/>
      <c r="D1271" s="2"/>
      <c r="E1271" s="2"/>
      <c r="F1271" s="2"/>
    </row>
    <row r="1272" spans="1:6" x14ac:dyDescent="0.25">
      <c r="A1272" s="2"/>
      <c r="B1272" s="2"/>
      <c r="C1272" s="2"/>
      <c r="D1272" s="2"/>
      <c r="E1272" s="2"/>
      <c r="F1272" s="2"/>
    </row>
    <row r="1273" spans="1:6" x14ac:dyDescent="0.25">
      <c r="A1273" s="2"/>
      <c r="B1273" s="2"/>
      <c r="C1273" s="2"/>
      <c r="D1273" s="2"/>
      <c r="E1273" s="2"/>
      <c r="F1273" s="2"/>
    </row>
    <row r="1274" spans="1:6" x14ac:dyDescent="0.25">
      <c r="A1274" s="2"/>
      <c r="B1274" s="2"/>
      <c r="C1274" s="2"/>
      <c r="D1274" s="2"/>
      <c r="E1274" s="2"/>
      <c r="F1274" s="2"/>
    </row>
    <row r="1275" spans="1:6" x14ac:dyDescent="0.25">
      <c r="A1275" s="2"/>
      <c r="B1275" s="2"/>
      <c r="C1275" s="2"/>
      <c r="D1275" s="2"/>
      <c r="E1275" s="2"/>
      <c r="F1275" s="2"/>
    </row>
    <row r="1276" spans="1:6" x14ac:dyDescent="0.25">
      <c r="A1276" s="2"/>
      <c r="B1276" s="2"/>
      <c r="C1276" s="2"/>
      <c r="D1276" s="2"/>
      <c r="E1276" s="2"/>
      <c r="F1276" s="2"/>
    </row>
    <row r="1277" spans="1:6" x14ac:dyDescent="0.25">
      <c r="A1277" s="2"/>
      <c r="B1277" s="2"/>
      <c r="C1277" s="2"/>
      <c r="D1277" s="2"/>
      <c r="E1277" s="2"/>
      <c r="F1277" s="2"/>
    </row>
    <row r="1278" spans="1:6" x14ac:dyDescent="0.25">
      <c r="A1278" s="2"/>
      <c r="B1278" s="2"/>
      <c r="C1278" s="2"/>
      <c r="D1278" s="2"/>
      <c r="E1278" s="2"/>
      <c r="F1278" s="2"/>
    </row>
    <row r="1279" spans="1:6" x14ac:dyDescent="0.25">
      <c r="A1279" s="2"/>
      <c r="B1279" s="2"/>
      <c r="C1279" s="2"/>
      <c r="D1279" s="2"/>
      <c r="E1279" s="2"/>
      <c r="F1279" s="2"/>
    </row>
    <row r="1280" spans="1:6" x14ac:dyDescent="0.25">
      <c r="A1280" s="2"/>
      <c r="B1280" s="2"/>
      <c r="C1280" s="2"/>
      <c r="D1280" s="2"/>
      <c r="E1280" s="2"/>
      <c r="F1280" s="2"/>
    </row>
    <row r="1281" spans="1:6" x14ac:dyDescent="0.25">
      <c r="A1281" s="2"/>
      <c r="B1281" s="2"/>
      <c r="C1281" s="2"/>
      <c r="D1281" s="2"/>
      <c r="E1281" s="2"/>
      <c r="F1281" s="2"/>
    </row>
    <row r="1282" spans="1:6" x14ac:dyDescent="0.25">
      <c r="A1282" s="2"/>
      <c r="B1282" s="2"/>
      <c r="C1282" s="2"/>
      <c r="D1282" s="2"/>
      <c r="E1282" s="2"/>
      <c r="F1282" s="2"/>
    </row>
    <row r="1283" spans="1:6" x14ac:dyDescent="0.25">
      <c r="A1283" s="2"/>
      <c r="B1283" s="2"/>
      <c r="C1283" s="2"/>
      <c r="D1283" s="2"/>
      <c r="E1283" s="2"/>
      <c r="F1283" s="2"/>
    </row>
    <row r="1284" spans="1:6" x14ac:dyDescent="0.25">
      <c r="A1284" s="2"/>
      <c r="B1284" s="2"/>
      <c r="C1284" s="2"/>
      <c r="D1284" s="2"/>
      <c r="E1284" s="2"/>
      <c r="F1284" s="2"/>
    </row>
    <row r="1285" spans="1:6" x14ac:dyDescent="0.25">
      <c r="A1285" s="2"/>
      <c r="B1285" s="2"/>
      <c r="C1285" s="2"/>
      <c r="D1285" s="2"/>
      <c r="E1285" s="2"/>
      <c r="F1285" s="2"/>
    </row>
    <row r="1286" spans="1:6" x14ac:dyDescent="0.25">
      <c r="A1286" s="2"/>
      <c r="B1286" s="2"/>
      <c r="C1286" s="2"/>
      <c r="D1286" s="2"/>
      <c r="E1286" s="2"/>
      <c r="F1286" s="2"/>
    </row>
    <row r="1287" spans="1:6" x14ac:dyDescent="0.25">
      <c r="A1287" s="2"/>
      <c r="B1287" s="2"/>
      <c r="C1287" s="2"/>
      <c r="D1287" s="2"/>
      <c r="E1287" s="2"/>
      <c r="F1287" s="2"/>
    </row>
    <row r="1288" spans="1:6" x14ac:dyDescent="0.25">
      <c r="A1288" s="2"/>
      <c r="B1288" s="2"/>
      <c r="C1288" s="2"/>
      <c r="D1288" s="2"/>
      <c r="E1288" s="2"/>
      <c r="F1288" s="2"/>
    </row>
    <row r="1289" spans="1:6" x14ac:dyDescent="0.25">
      <c r="A1289" s="2"/>
      <c r="B1289" s="2"/>
      <c r="C1289" s="2"/>
      <c r="D1289" s="2"/>
      <c r="E1289" s="2"/>
      <c r="F1289" s="2"/>
    </row>
    <row r="1290" spans="1:6" x14ac:dyDescent="0.25">
      <c r="A1290" s="2"/>
      <c r="B1290" s="2"/>
      <c r="C1290" s="2"/>
      <c r="D1290" s="2"/>
      <c r="E1290" s="2"/>
      <c r="F1290" s="2"/>
    </row>
    <row r="1291" spans="1:6" x14ac:dyDescent="0.25">
      <c r="A1291" s="2"/>
      <c r="B1291" s="2"/>
      <c r="C1291" s="2"/>
      <c r="D1291" s="2"/>
      <c r="E1291" s="2"/>
      <c r="F1291" s="2"/>
    </row>
    <row r="1292" spans="1:6" x14ac:dyDescent="0.25">
      <c r="A1292" s="2"/>
      <c r="B1292" s="2"/>
      <c r="C1292" s="2"/>
      <c r="D1292" s="2"/>
      <c r="E1292" s="2"/>
      <c r="F1292" s="2"/>
    </row>
    <row r="1293" spans="1:6" x14ac:dyDescent="0.25">
      <c r="A1293" s="2"/>
      <c r="B1293" s="2"/>
      <c r="C1293" s="2"/>
      <c r="D1293" s="2"/>
      <c r="E1293" s="2"/>
      <c r="F1293" s="2"/>
    </row>
    <row r="1294" spans="1:6" x14ac:dyDescent="0.25">
      <c r="A1294" s="2"/>
      <c r="B1294" s="2"/>
      <c r="C1294" s="2"/>
      <c r="D1294" s="2"/>
      <c r="E1294" s="2"/>
      <c r="F1294" s="2"/>
    </row>
    <row r="1295" spans="1:6" x14ac:dyDescent="0.25">
      <c r="A1295" s="2"/>
      <c r="B1295" s="2"/>
      <c r="C1295" s="2"/>
      <c r="D1295" s="2"/>
      <c r="E1295" s="2"/>
      <c r="F1295" s="2"/>
    </row>
    <row r="1296" spans="1:6" x14ac:dyDescent="0.25">
      <c r="A1296" s="2"/>
      <c r="B1296" s="2"/>
      <c r="C1296" s="2"/>
      <c r="D1296" s="2"/>
      <c r="E1296" s="2"/>
      <c r="F1296" s="2"/>
    </row>
    <row r="1297" spans="1:6" x14ac:dyDescent="0.25">
      <c r="A1297" s="2"/>
      <c r="B1297" s="2"/>
      <c r="C1297" s="2"/>
      <c r="D1297" s="2"/>
      <c r="E1297" s="2"/>
      <c r="F1297" s="2"/>
    </row>
    <row r="1298" spans="1:6" x14ac:dyDescent="0.25">
      <c r="A1298" s="2"/>
      <c r="B1298" s="2"/>
      <c r="C1298" s="2"/>
      <c r="D1298" s="2"/>
      <c r="E1298" s="2"/>
      <c r="F1298" s="2"/>
    </row>
    <row r="1299" spans="1:6" x14ac:dyDescent="0.25">
      <c r="A1299" s="2"/>
      <c r="B1299" s="2"/>
      <c r="C1299" s="2"/>
      <c r="D1299" s="2"/>
      <c r="E1299" s="2"/>
      <c r="F1299" s="2"/>
    </row>
    <row r="1300" spans="1:6" x14ac:dyDescent="0.25">
      <c r="A1300" s="2"/>
      <c r="B1300" s="2"/>
      <c r="C1300" s="2"/>
      <c r="D1300" s="2"/>
      <c r="E1300" s="2"/>
      <c r="F1300" s="2"/>
    </row>
    <row r="1301" spans="1:6" x14ac:dyDescent="0.25">
      <c r="A1301" s="2"/>
      <c r="B1301" s="2"/>
      <c r="C1301" s="2"/>
      <c r="D1301" s="2"/>
      <c r="E1301" s="2"/>
      <c r="F1301" s="2"/>
    </row>
    <row r="1302" spans="1:6" x14ac:dyDescent="0.25">
      <c r="A1302" s="2"/>
      <c r="B1302" s="2"/>
      <c r="C1302" s="2"/>
      <c r="D1302" s="2"/>
      <c r="E1302" s="2"/>
      <c r="F1302" s="2"/>
    </row>
    <row r="1303" spans="1:6" x14ac:dyDescent="0.25">
      <c r="A1303" s="2"/>
      <c r="B1303" s="2"/>
      <c r="C1303" s="2"/>
      <c r="D1303" s="2"/>
      <c r="E1303" s="2"/>
      <c r="F1303" s="2"/>
    </row>
    <row r="1304" spans="1:6" x14ac:dyDescent="0.25">
      <c r="A1304" s="2"/>
      <c r="B1304" s="2"/>
      <c r="C1304" s="2"/>
      <c r="D1304" s="2"/>
      <c r="E1304" s="2"/>
      <c r="F1304" s="2"/>
    </row>
    <row r="1305" spans="1:6" x14ac:dyDescent="0.25">
      <c r="A1305" s="2"/>
      <c r="B1305" s="2"/>
      <c r="C1305" s="2"/>
      <c r="D1305" s="2"/>
      <c r="E1305" s="2"/>
      <c r="F1305" s="2"/>
    </row>
    <row r="1306" spans="1:6" x14ac:dyDescent="0.25">
      <c r="A1306" s="2"/>
      <c r="B1306" s="2"/>
      <c r="C1306" s="2"/>
      <c r="D1306" s="2"/>
      <c r="E1306" s="2"/>
      <c r="F1306" s="2"/>
    </row>
    <row r="1307" spans="1:6" x14ac:dyDescent="0.25">
      <c r="A1307" s="2"/>
      <c r="B1307" s="2"/>
      <c r="C1307" s="2"/>
      <c r="D1307" s="2"/>
      <c r="E1307" s="2"/>
      <c r="F1307" s="2"/>
    </row>
    <row r="1308" spans="1:6" x14ac:dyDescent="0.25">
      <c r="A1308" s="2"/>
      <c r="B1308" s="2"/>
      <c r="C1308" s="2"/>
      <c r="D1308" s="2"/>
      <c r="E1308" s="2"/>
      <c r="F1308" s="2"/>
    </row>
    <row r="1309" spans="1:6" x14ac:dyDescent="0.25">
      <c r="A1309" s="2"/>
      <c r="B1309" s="2"/>
      <c r="C1309" s="2"/>
      <c r="D1309" s="2"/>
      <c r="E1309" s="2"/>
      <c r="F1309" s="2"/>
    </row>
    <row r="1310" spans="1:6" x14ac:dyDescent="0.25">
      <c r="A1310" s="2"/>
      <c r="B1310" s="2"/>
      <c r="C1310" s="2"/>
      <c r="D1310" s="2"/>
      <c r="E1310" s="2"/>
      <c r="F1310" s="2"/>
    </row>
    <row r="1311" spans="1:6" x14ac:dyDescent="0.25">
      <c r="A1311" s="2"/>
      <c r="B1311" s="2"/>
      <c r="C1311" s="2"/>
      <c r="D1311" s="2"/>
      <c r="E1311" s="2"/>
      <c r="F1311" s="2"/>
    </row>
    <row r="1312" spans="1:6" x14ac:dyDescent="0.25">
      <c r="A1312" s="2"/>
      <c r="B1312" s="2"/>
      <c r="C1312" s="2"/>
      <c r="D1312" s="2"/>
      <c r="E1312" s="2"/>
      <c r="F1312" s="2"/>
    </row>
    <row r="1313" spans="1:6" x14ac:dyDescent="0.25">
      <c r="A1313" s="2"/>
      <c r="B1313" s="2"/>
      <c r="C1313" s="2"/>
      <c r="D1313" s="2"/>
      <c r="E1313" s="2"/>
      <c r="F1313" s="2"/>
    </row>
    <row r="1314" spans="1:6" x14ac:dyDescent="0.25">
      <c r="A1314" s="2"/>
      <c r="B1314" s="2"/>
      <c r="C1314" s="2"/>
      <c r="D1314" s="2"/>
      <c r="E1314" s="2"/>
      <c r="F1314" s="2"/>
    </row>
    <row r="1315" spans="1:6" x14ac:dyDescent="0.25">
      <c r="A1315" s="2"/>
      <c r="B1315" s="2"/>
      <c r="C1315" s="2"/>
      <c r="D1315" s="2"/>
      <c r="E1315" s="2"/>
      <c r="F1315" s="2"/>
    </row>
    <row r="1316" spans="1:6" x14ac:dyDescent="0.25">
      <c r="A1316" s="2"/>
      <c r="B1316" s="2"/>
      <c r="C1316" s="2"/>
      <c r="D1316" s="2"/>
      <c r="E1316" s="2"/>
      <c r="F1316" s="2"/>
    </row>
    <row r="1317" spans="1:6" x14ac:dyDescent="0.25">
      <c r="A1317" s="2"/>
      <c r="B1317" s="2"/>
      <c r="C1317" s="2"/>
      <c r="D1317" s="2"/>
      <c r="E1317" s="2"/>
      <c r="F1317" s="2"/>
    </row>
    <row r="1318" spans="1:6" x14ac:dyDescent="0.25">
      <c r="A1318" s="2"/>
      <c r="B1318" s="2"/>
      <c r="C1318" s="2"/>
      <c r="D1318" s="2"/>
      <c r="E1318" s="2"/>
      <c r="F1318" s="2"/>
    </row>
    <row r="1319" spans="1:6" x14ac:dyDescent="0.25">
      <c r="A1319" s="2"/>
      <c r="B1319" s="2"/>
      <c r="C1319" s="2"/>
      <c r="D1319" s="2"/>
      <c r="E1319" s="2"/>
      <c r="F1319" s="2"/>
    </row>
    <row r="1320" spans="1:6" x14ac:dyDescent="0.25">
      <c r="A1320" s="2"/>
      <c r="B1320" s="2"/>
      <c r="C1320" s="2"/>
      <c r="D1320" s="2"/>
      <c r="E1320" s="2"/>
      <c r="F1320" s="2"/>
    </row>
    <row r="1321" spans="1:6" x14ac:dyDescent="0.25">
      <c r="A1321" s="2"/>
      <c r="B1321" s="2"/>
      <c r="C1321" s="2"/>
      <c r="D1321" s="2"/>
      <c r="E1321" s="2"/>
      <c r="F1321" s="2"/>
    </row>
    <row r="1322" spans="1:6" x14ac:dyDescent="0.25">
      <c r="A1322" s="2"/>
      <c r="B1322" s="2"/>
      <c r="C1322" s="2"/>
      <c r="D1322" s="2"/>
      <c r="E1322" s="2"/>
      <c r="F1322" s="2"/>
    </row>
    <row r="1323" spans="1:6" x14ac:dyDescent="0.25">
      <c r="A1323" s="2"/>
      <c r="B1323" s="2"/>
      <c r="C1323" s="2"/>
      <c r="D1323" s="2"/>
      <c r="E1323" s="2"/>
      <c r="F1323" s="2"/>
    </row>
    <row r="1324" spans="1:6" x14ac:dyDescent="0.25">
      <c r="A1324" s="2"/>
      <c r="B1324" s="2"/>
      <c r="C1324" s="2"/>
      <c r="D1324" s="2"/>
      <c r="E1324" s="2"/>
      <c r="F1324" s="2"/>
    </row>
    <row r="1325" spans="1:6" x14ac:dyDescent="0.25">
      <c r="A1325" s="2"/>
      <c r="B1325" s="2"/>
      <c r="C1325" s="2"/>
      <c r="D1325" s="2"/>
      <c r="E1325" s="2"/>
      <c r="F1325" s="2"/>
    </row>
    <row r="1326" spans="1:6" x14ac:dyDescent="0.25">
      <c r="A1326" s="2"/>
      <c r="B1326" s="2"/>
      <c r="C1326" s="2"/>
      <c r="D1326" s="2"/>
      <c r="E1326" s="2"/>
      <c r="F1326" s="2"/>
    </row>
    <row r="1327" spans="1:6" x14ac:dyDescent="0.25">
      <c r="A1327" s="2"/>
      <c r="B1327" s="2"/>
      <c r="C1327" s="2"/>
      <c r="D1327" s="2"/>
      <c r="E1327" s="2"/>
      <c r="F1327" s="2"/>
    </row>
    <row r="1328" spans="1:6" x14ac:dyDescent="0.25">
      <c r="A1328" s="2"/>
      <c r="B1328" s="2"/>
      <c r="C1328" s="2"/>
      <c r="D1328" s="2"/>
      <c r="E1328" s="2"/>
      <c r="F1328" s="2"/>
    </row>
    <row r="1329" spans="1:6" x14ac:dyDescent="0.25">
      <c r="A1329" s="2"/>
      <c r="B1329" s="2"/>
      <c r="C1329" s="2"/>
      <c r="D1329" s="2"/>
      <c r="E1329" s="2"/>
      <c r="F1329" s="2"/>
    </row>
    <row r="1330" spans="1:6" x14ac:dyDescent="0.25">
      <c r="A1330" s="2"/>
      <c r="B1330" s="2"/>
      <c r="C1330" s="2"/>
      <c r="D1330" s="2"/>
      <c r="E1330" s="2"/>
      <c r="F1330" s="2"/>
    </row>
    <row r="1331" spans="1:6" x14ac:dyDescent="0.25">
      <c r="A1331" s="2"/>
      <c r="B1331" s="2"/>
      <c r="C1331" s="2"/>
      <c r="D1331" s="2"/>
      <c r="E1331" s="2"/>
      <c r="F1331" s="2"/>
    </row>
    <row r="1332" spans="1:6" x14ac:dyDescent="0.25">
      <c r="A1332" s="2"/>
      <c r="B1332" s="2"/>
      <c r="C1332" s="2"/>
      <c r="D1332" s="2"/>
      <c r="E1332" s="2"/>
      <c r="F1332" s="2"/>
    </row>
    <row r="1333" spans="1:6" x14ac:dyDescent="0.25">
      <c r="A1333" s="2"/>
      <c r="B1333" s="2"/>
      <c r="C1333" s="2"/>
      <c r="D1333" s="2"/>
      <c r="E1333" s="2"/>
      <c r="F1333" s="2"/>
    </row>
    <row r="1334" spans="1:6" x14ac:dyDescent="0.25">
      <c r="A1334" s="2"/>
      <c r="B1334" s="2"/>
      <c r="C1334" s="2"/>
      <c r="D1334" s="2"/>
      <c r="E1334" s="2"/>
      <c r="F1334" s="2"/>
    </row>
    <row r="1335" spans="1:6" x14ac:dyDescent="0.25">
      <c r="A1335" s="2"/>
      <c r="B1335" s="2"/>
      <c r="C1335" s="2"/>
      <c r="D1335" s="2"/>
      <c r="E1335" s="2"/>
      <c r="F1335" s="2"/>
    </row>
    <row r="1336" spans="1:6" x14ac:dyDescent="0.25">
      <c r="A1336" s="2"/>
      <c r="B1336" s="2"/>
      <c r="C1336" s="2"/>
      <c r="D1336" s="2"/>
      <c r="E1336" s="2"/>
      <c r="F1336" s="2"/>
    </row>
    <row r="1337" spans="1:6" x14ac:dyDescent="0.25">
      <c r="A1337" s="2"/>
      <c r="B1337" s="2"/>
      <c r="C1337" s="2"/>
      <c r="D1337" s="2"/>
      <c r="E1337" s="2"/>
      <c r="F1337" s="2"/>
    </row>
    <row r="1338" spans="1:6" x14ac:dyDescent="0.25">
      <c r="A1338" s="2"/>
      <c r="B1338" s="2"/>
      <c r="C1338" s="2"/>
      <c r="D1338" s="2"/>
      <c r="E1338" s="2"/>
      <c r="F1338" s="2"/>
    </row>
    <row r="1339" spans="1:6" x14ac:dyDescent="0.25">
      <c r="A1339" s="2"/>
      <c r="B1339" s="2"/>
      <c r="C1339" s="2"/>
      <c r="D1339" s="2"/>
      <c r="E1339" s="2"/>
      <c r="F1339" s="2"/>
    </row>
    <row r="1340" spans="1:6" x14ac:dyDescent="0.25">
      <c r="A1340" s="2"/>
      <c r="B1340" s="2"/>
      <c r="C1340" s="2"/>
      <c r="D1340" s="2"/>
      <c r="E1340" s="2"/>
      <c r="F1340" s="2"/>
    </row>
    <row r="1341" spans="1:6" x14ac:dyDescent="0.25">
      <c r="A1341" s="2"/>
      <c r="B1341" s="2"/>
      <c r="C1341" s="2"/>
      <c r="D1341" s="2"/>
      <c r="E1341" s="2"/>
      <c r="F1341" s="2"/>
    </row>
    <row r="1342" spans="1:6" x14ac:dyDescent="0.25">
      <c r="A1342" s="2"/>
      <c r="B1342" s="2"/>
      <c r="C1342" s="2"/>
      <c r="D1342" s="2"/>
      <c r="E1342" s="2"/>
      <c r="F1342" s="2"/>
    </row>
    <row r="1343" spans="1:6" x14ac:dyDescent="0.25">
      <c r="A1343" s="2"/>
      <c r="B1343" s="2"/>
      <c r="C1343" s="2"/>
      <c r="D1343" s="2"/>
      <c r="E1343" s="2"/>
      <c r="F1343" s="2"/>
    </row>
    <row r="1344" spans="1:6" x14ac:dyDescent="0.25">
      <c r="A1344" s="2"/>
      <c r="B1344" s="2"/>
      <c r="C1344" s="2"/>
      <c r="D1344" s="2"/>
      <c r="E1344" s="2"/>
      <c r="F1344" s="2"/>
    </row>
    <row r="1345" spans="1:6" x14ac:dyDescent="0.25">
      <c r="A1345" s="2"/>
      <c r="B1345" s="2"/>
      <c r="C1345" s="2"/>
      <c r="D1345" s="2"/>
      <c r="E1345" s="2"/>
      <c r="F1345" s="2"/>
    </row>
    <row r="1346" spans="1:6" x14ac:dyDescent="0.25">
      <c r="A1346" s="2"/>
      <c r="B1346" s="2"/>
      <c r="C1346" s="2"/>
      <c r="D1346" s="2"/>
      <c r="E1346" s="2"/>
      <c r="F1346" s="2"/>
    </row>
    <row r="1347" spans="1:6" x14ac:dyDescent="0.25">
      <c r="A1347" s="2"/>
      <c r="B1347" s="2"/>
      <c r="C1347" s="2"/>
      <c r="D1347" s="2"/>
      <c r="E1347" s="2"/>
      <c r="F1347" s="2"/>
    </row>
    <row r="1348" spans="1:6" x14ac:dyDescent="0.25">
      <c r="A1348" s="2"/>
      <c r="B1348" s="2"/>
      <c r="C1348" s="2"/>
      <c r="D1348" s="2"/>
      <c r="E1348" s="2"/>
      <c r="F1348" s="2"/>
    </row>
    <row r="1349" spans="1:6" x14ac:dyDescent="0.25">
      <c r="A1349" s="2"/>
      <c r="B1349" s="2"/>
      <c r="C1349" s="2"/>
      <c r="D1349" s="2"/>
      <c r="E1349" s="2"/>
      <c r="F1349" s="2"/>
    </row>
    <row r="1350" spans="1:6" x14ac:dyDescent="0.25">
      <c r="A1350" s="2"/>
      <c r="B1350" s="2"/>
      <c r="C1350" s="2"/>
      <c r="D1350" s="2"/>
      <c r="E1350" s="2"/>
      <c r="F1350" s="2"/>
    </row>
    <row r="1351" spans="1:6" x14ac:dyDescent="0.25">
      <c r="A1351" s="2"/>
      <c r="B1351" s="2"/>
      <c r="C1351" s="2"/>
      <c r="D1351" s="2"/>
      <c r="E1351" s="2"/>
      <c r="F1351" s="2"/>
    </row>
    <row r="1352" spans="1:6" x14ac:dyDescent="0.25">
      <c r="A1352" s="2"/>
      <c r="B1352" s="2"/>
      <c r="C1352" s="2"/>
      <c r="D1352" s="2"/>
      <c r="E1352" s="2"/>
      <c r="F1352" s="2"/>
    </row>
    <row r="1353" spans="1:6" x14ac:dyDescent="0.25">
      <c r="A1353" s="2"/>
      <c r="B1353" s="2"/>
      <c r="C1353" s="2"/>
      <c r="D1353" s="2"/>
      <c r="E1353" s="2"/>
      <c r="F1353" s="2"/>
    </row>
    <row r="1354" spans="1:6" x14ac:dyDescent="0.25">
      <c r="A1354" s="2"/>
      <c r="B1354" s="2"/>
      <c r="C1354" s="2"/>
      <c r="D1354" s="2"/>
      <c r="E1354" s="2"/>
      <c r="F1354" s="2"/>
    </row>
    <row r="1355" spans="1:6" x14ac:dyDescent="0.25">
      <c r="A1355" s="2"/>
      <c r="B1355" s="2"/>
      <c r="C1355" s="2"/>
      <c r="D1355" s="2"/>
      <c r="E1355" s="2"/>
      <c r="F1355" s="2"/>
    </row>
    <row r="1356" spans="1:6" x14ac:dyDescent="0.25">
      <c r="A1356" s="2"/>
      <c r="B1356" s="2"/>
      <c r="C1356" s="2"/>
      <c r="D1356" s="2"/>
      <c r="E1356" s="2"/>
      <c r="F1356" s="2"/>
    </row>
    <row r="1357" spans="1:6" x14ac:dyDescent="0.25">
      <c r="A1357" s="2"/>
      <c r="B1357" s="2"/>
      <c r="C1357" s="2"/>
      <c r="D1357" s="2"/>
      <c r="E1357" s="2"/>
      <c r="F1357" s="2"/>
    </row>
    <row r="1358" spans="1:6" x14ac:dyDescent="0.25">
      <c r="A1358" s="2"/>
      <c r="B1358" s="2"/>
      <c r="C1358" s="2"/>
      <c r="D1358" s="2"/>
      <c r="E1358" s="2"/>
      <c r="F1358" s="2"/>
    </row>
    <row r="1359" spans="1:6" x14ac:dyDescent="0.25">
      <c r="A1359" s="2"/>
      <c r="B1359" s="2"/>
      <c r="C1359" s="2"/>
      <c r="D1359" s="2"/>
      <c r="E1359" s="2"/>
      <c r="F1359" s="2"/>
    </row>
    <row r="1360" spans="1:6" x14ac:dyDescent="0.25">
      <c r="A1360" s="2"/>
      <c r="B1360" s="2"/>
      <c r="C1360" s="2"/>
      <c r="D1360" s="2"/>
      <c r="E1360" s="2"/>
      <c r="F1360" s="2"/>
    </row>
    <row r="1361" spans="1:6" x14ac:dyDescent="0.25">
      <c r="A1361" s="2"/>
      <c r="B1361" s="2"/>
      <c r="C1361" s="2"/>
      <c r="D1361" s="2"/>
      <c r="E1361" s="2"/>
      <c r="F1361" s="2"/>
    </row>
    <row r="1362" spans="1:6" x14ac:dyDescent="0.25">
      <c r="A1362" s="2"/>
      <c r="B1362" s="2"/>
      <c r="C1362" s="2"/>
      <c r="D1362" s="2"/>
      <c r="E1362" s="2"/>
      <c r="F1362" s="2"/>
    </row>
    <row r="1363" spans="1:6" x14ac:dyDescent="0.25">
      <c r="A1363" s="2"/>
      <c r="B1363" s="2"/>
      <c r="C1363" s="2"/>
      <c r="D1363" s="2"/>
      <c r="E1363" s="2"/>
      <c r="F1363" s="2"/>
    </row>
    <row r="1364" spans="1:6" x14ac:dyDescent="0.25">
      <c r="A1364" s="2"/>
      <c r="B1364" s="2"/>
      <c r="C1364" s="2"/>
      <c r="D1364" s="2"/>
      <c r="E1364" s="2"/>
      <c r="F1364" s="2"/>
    </row>
    <row r="1365" spans="1:6" x14ac:dyDescent="0.25">
      <c r="A1365" s="2"/>
      <c r="B1365" s="2"/>
      <c r="C1365" s="2"/>
      <c r="D1365" s="2"/>
      <c r="E1365" s="2"/>
      <c r="F1365" s="2"/>
    </row>
    <row r="1366" spans="1:6" x14ac:dyDescent="0.25">
      <c r="A1366" s="2"/>
      <c r="B1366" s="2"/>
      <c r="C1366" s="2"/>
      <c r="D1366" s="2"/>
      <c r="E1366" s="2"/>
      <c r="F1366" s="2"/>
    </row>
    <row r="1367" spans="1:6" x14ac:dyDescent="0.25">
      <c r="A1367" s="2"/>
      <c r="B1367" s="2"/>
      <c r="C1367" s="2"/>
      <c r="D1367" s="2"/>
      <c r="E1367" s="2"/>
      <c r="F1367" s="2"/>
    </row>
    <row r="1368" spans="1:6" x14ac:dyDescent="0.25">
      <c r="A1368" s="2"/>
      <c r="B1368" s="2"/>
      <c r="C1368" s="2"/>
      <c r="D1368" s="2"/>
      <c r="E1368" s="2"/>
      <c r="F1368" s="2"/>
    </row>
    <row r="1369" spans="1:6" x14ac:dyDescent="0.25">
      <c r="A1369" s="2"/>
      <c r="B1369" s="2"/>
      <c r="C1369" s="2"/>
      <c r="D1369" s="2"/>
      <c r="E1369" s="2"/>
      <c r="F1369" s="2"/>
    </row>
    <row r="1370" spans="1:6" x14ac:dyDescent="0.25">
      <c r="A1370" s="2"/>
      <c r="B1370" s="2"/>
      <c r="C1370" s="2"/>
      <c r="D1370" s="2"/>
      <c r="E1370" s="2"/>
      <c r="F1370" s="2"/>
    </row>
    <row r="1371" spans="1:6" x14ac:dyDescent="0.25">
      <c r="A1371" s="2"/>
      <c r="B1371" s="2"/>
      <c r="C1371" s="2"/>
      <c r="D1371" s="2"/>
      <c r="E1371" s="2"/>
      <c r="F1371" s="2"/>
    </row>
    <row r="1372" spans="1:6" x14ac:dyDescent="0.25">
      <c r="A1372" s="2"/>
      <c r="B1372" s="2"/>
      <c r="C1372" s="2"/>
      <c r="D1372" s="2"/>
      <c r="E1372" s="2"/>
      <c r="F1372" s="2"/>
    </row>
    <row r="1373" spans="1:6" x14ac:dyDescent="0.25">
      <c r="A1373" s="2"/>
      <c r="B1373" s="2"/>
      <c r="C1373" s="2"/>
      <c r="D1373" s="2"/>
      <c r="E1373" s="2"/>
      <c r="F1373" s="2"/>
    </row>
    <row r="1374" spans="1:6" x14ac:dyDescent="0.25">
      <c r="A1374" s="2"/>
      <c r="B1374" s="2"/>
      <c r="C1374" s="2"/>
      <c r="D1374" s="2"/>
      <c r="E1374" s="2"/>
      <c r="F1374" s="2"/>
    </row>
    <row r="1375" spans="1:6" x14ac:dyDescent="0.25">
      <c r="A1375" s="2"/>
      <c r="B1375" s="2"/>
      <c r="C1375" s="2"/>
      <c r="D1375" s="2"/>
      <c r="E1375" s="2"/>
      <c r="F1375" s="2"/>
    </row>
    <row r="1376" spans="1:6" x14ac:dyDescent="0.25">
      <c r="A1376" s="2"/>
      <c r="B1376" s="2"/>
      <c r="C1376" s="2"/>
      <c r="D1376" s="2"/>
      <c r="E1376" s="2"/>
      <c r="F1376" s="2"/>
    </row>
    <row r="1377" spans="1:6" x14ac:dyDescent="0.25">
      <c r="A1377" s="2"/>
      <c r="B1377" s="2"/>
      <c r="C1377" s="2"/>
      <c r="D1377" s="2"/>
      <c r="E1377" s="2"/>
      <c r="F1377" s="2"/>
    </row>
    <row r="1378" spans="1:6" x14ac:dyDescent="0.25">
      <c r="A1378" s="2"/>
      <c r="B1378" s="2"/>
      <c r="C1378" s="2"/>
      <c r="D1378" s="2"/>
      <c r="E1378" s="2"/>
      <c r="F1378" s="2"/>
    </row>
    <row r="1379" spans="1:6" x14ac:dyDescent="0.25">
      <c r="A1379" s="2"/>
      <c r="B1379" s="2"/>
      <c r="C1379" s="2"/>
      <c r="D1379" s="2"/>
      <c r="E1379" s="2"/>
      <c r="F1379" s="2"/>
    </row>
    <row r="1380" spans="1:6" x14ac:dyDescent="0.25">
      <c r="A1380" s="2"/>
      <c r="B1380" s="2"/>
      <c r="C1380" s="2"/>
      <c r="D1380" s="2"/>
      <c r="E1380" s="2"/>
      <c r="F1380" s="2"/>
    </row>
    <row r="1381" spans="1:6" x14ac:dyDescent="0.25">
      <c r="A1381" s="2"/>
      <c r="B1381" s="2"/>
      <c r="C1381" s="2"/>
      <c r="D1381" s="2"/>
      <c r="E1381" s="2"/>
      <c r="F1381" s="2"/>
    </row>
    <row r="1382" spans="1:6" x14ac:dyDescent="0.25">
      <c r="A1382" s="2"/>
      <c r="B1382" s="2"/>
      <c r="C1382" s="2"/>
      <c r="D1382" s="2"/>
      <c r="E1382" s="2"/>
      <c r="F1382" s="2"/>
    </row>
    <row r="1383" spans="1:6" x14ac:dyDescent="0.25">
      <c r="A1383" s="2"/>
      <c r="B1383" s="2"/>
      <c r="C1383" s="2"/>
      <c r="D1383" s="2"/>
      <c r="E1383" s="2"/>
      <c r="F1383" s="2"/>
    </row>
    <row r="1384" spans="1:6" x14ac:dyDescent="0.25">
      <c r="A1384" s="2"/>
      <c r="B1384" s="2"/>
      <c r="C1384" s="2"/>
      <c r="D1384" s="2"/>
      <c r="E1384" s="2"/>
      <c r="F1384" s="2"/>
    </row>
    <row r="1385" spans="1:6" x14ac:dyDescent="0.25">
      <c r="A1385" s="2"/>
      <c r="B1385" s="2"/>
      <c r="C1385" s="2"/>
      <c r="D1385" s="2"/>
      <c r="E1385" s="2"/>
      <c r="F1385" s="2"/>
    </row>
    <row r="1386" spans="1:6" x14ac:dyDescent="0.25">
      <c r="A1386" s="2"/>
      <c r="B1386" s="2"/>
      <c r="C1386" s="2"/>
      <c r="D1386" s="2"/>
      <c r="E1386" s="2"/>
      <c r="F1386" s="2"/>
    </row>
    <row r="1387" spans="1:6" x14ac:dyDescent="0.25">
      <c r="A1387" s="2"/>
      <c r="B1387" s="2"/>
      <c r="C1387" s="2"/>
      <c r="D1387" s="2"/>
      <c r="E1387" s="2"/>
      <c r="F1387" s="2"/>
    </row>
    <row r="1388" spans="1:6" x14ac:dyDescent="0.25">
      <c r="A1388" s="2"/>
      <c r="B1388" s="2"/>
      <c r="C1388" s="2"/>
      <c r="D1388" s="2"/>
      <c r="E1388" s="2"/>
      <c r="F1388" s="2"/>
    </row>
    <row r="1389" spans="1:6" x14ac:dyDescent="0.25">
      <c r="A1389" s="2"/>
      <c r="B1389" s="2"/>
      <c r="C1389" s="2"/>
      <c r="D1389" s="2"/>
      <c r="E1389" s="2"/>
      <c r="F1389" s="2"/>
    </row>
    <row r="1390" spans="1:6" x14ac:dyDescent="0.25">
      <c r="A1390" s="2"/>
      <c r="B1390" s="2"/>
      <c r="C1390" s="2"/>
      <c r="D1390" s="2"/>
      <c r="E1390" s="2"/>
      <c r="F1390" s="2"/>
    </row>
    <row r="1391" spans="1:6" x14ac:dyDescent="0.25">
      <c r="A1391" s="2"/>
      <c r="B1391" s="2"/>
      <c r="C1391" s="2"/>
      <c r="D1391" s="2"/>
      <c r="E1391" s="2"/>
      <c r="F1391" s="2"/>
    </row>
    <row r="1392" spans="1:6" x14ac:dyDescent="0.25">
      <c r="A1392" s="2"/>
      <c r="B1392" s="2"/>
      <c r="C1392" s="2"/>
      <c r="D1392" s="2"/>
      <c r="E1392" s="2"/>
      <c r="F1392" s="2"/>
    </row>
    <row r="1393" spans="1:6" x14ac:dyDescent="0.25">
      <c r="A1393" s="2"/>
      <c r="B1393" s="2"/>
      <c r="C1393" s="2"/>
      <c r="D1393" s="2"/>
      <c r="E1393" s="2"/>
      <c r="F1393" s="2"/>
    </row>
    <row r="1394" spans="1:6" x14ac:dyDescent="0.25">
      <c r="A1394" s="2"/>
      <c r="B1394" s="2"/>
      <c r="C1394" s="2"/>
      <c r="D1394" s="2"/>
      <c r="E1394" s="2"/>
      <c r="F1394" s="2"/>
    </row>
    <row r="1395" spans="1:6" x14ac:dyDescent="0.25">
      <c r="A1395" s="2"/>
      <c r="B1395" s="2"/>
      <c r="C1395" s="2"/>
      <c r="D1395" s="2"/>
      <c r="E1395" s="2"/>
      <c r="F1395" s="2"/>
    </row>
    <row r="1396" spans="1:6" x14ac:dyDescent="0.25">
      <c r="A1396" s="2"/>
      <c r="B1396" s="2"/>
      <c r="C1396" s="2"/>
      <c r="D1396" s="2"/>
      <c r="E1396" s="2"/>
      <c r="F1396" s="2"/>
    </row>
    <row r="1397" spans="1:6" x14ac:dyDescent="0.25">
      <c r="A1397" s="2"/>
      <c r="B1397" s="2"/>
      <c r="C1397" s="2"/>
      <c r="D1397" s="2"/>
      <c r="E1397" s="2"/>
      <c r="F1397" s="2"/>
    </row>
    <row r="1398" spans="1:6" x14ac:dyDescent="0.25">
      <c r="A1398" s="2"/>
      <c r="B1398" s="2"/>
      <c r="C1398" s="2"/>
      <c r="D1398" s="2"/>
      <c r="E1398" s="2"/>
      <c r="F1398" s="2"/>
    </row>
    <row r="1399" spans="1:6" x14ac:dyDescent="0.25">
      <c r="A1399" s="2"/>
      <c r="B1399" s="2"/>
      <c r="C1399" s="2"/>
      <c r="D1399" s="2"/>
      <c r="E1399" s="2"/>
      <c r="F1399" s="2"/>
    </row>
    <row r="1400" spans="1:6" x14ac:dyDescent="0.25">
      <c r="A1400" s="2"/>
      <c r="B1400" s="2"/>
      <c r="C1400" s="2"/>
      <c r="D1400" s="2"/>
      <c r="E1400" s="2"/>
      <c r="F1400" s="2"/>
    </row>
    <row r="1401" spans="1:6" x14ac:dyDescent="0.25">
      <c r="A1401" s="2"/>
      <c r="B1401" s="2"/>
      <c r="C1401" s="2"/>
      <c r="D1401" s="2"/>
      <c r="E1401" s="2"/>
      <c r="F1401" s="2"/>
    </row>
    <row r="1402" spans="1:6" x14ac:dyDescent="0.25">
      <c r="A1402" s="2"/>
      <c r="B1402" s="2"/>
      <c r="C1402" s="2"/>
      <c r="D1402" s="2"/>
      <c r="E1402" s="2"/>
      <c r="F1402" s="2"/>
    </row>
    <row r="1403" spans="1:6" x14ac:dyDescent="0.25">
      <c r="A1403" s="2"/>
      <c r="B1403" s="2"/>
      <c r="C1403" s="2"/>
      <c r="D1403" s="2"/>
      <c r="E1403" s="2"/>
      <c r="F1403" s="2"/>
    </row>
    <row r="1404" spans="1:6" x14ac:dyDescent="0.25">
      <c r="A1404" s="2"/>
      <c r="B1404" s="2"/>
      <c r="C1404" s="2"/>
      <c r="D1404" s="2"/>
      <c r="E1404" s="2"/>
      <c r="F1404" s="2"/>
    </row>
    <row r="1405" spans="1:6" x14ac:dyDescent="0.25">
      <c r="A1405" s="2"/>
      <c r="B1405" s="2"/>
      <c r="C1405" s="2"/>
      <c r="D1405" s="2"/>
      <c r="E1405" s="2"/>
      <c r="F1405" s="2"/>
    </row>
    <row r="1406" spans="1:6" x14ac:dyDescent="0.25">
      <c r="A1406" s="2"/>
      <c r="B1406" s="2"/>
      <c r="C1406" s="2"/>
      <c r="D1406" s="2"/>
      <c r="E1406" s="2"/>
      <c r="F1406" s="2"/>
    </row>
    <row r="1407" spans="1:6" x14ac:dyDescent="0.25">
      <c r="A1407" s="2"/>
      <c r="B1407" s="2"/>
      <c r="C1407" s="2"/>
      <c r="D1407" s="2"/>
      <c r="E1407" s="2"/>
      <c r="F1407" s="2"/>
    </row>
    <row r="1408" spans="1:6" x14ac:dyDescent="0.25">
      <c r="A1408" s="2"/>
      <c r="B1408" s="2"/>
      <c r="C1408" s="2"/>
      <c r="D1408" s="2"/>
      <c r="E1408" s="2"/>
      <c r="F1408" s="2"/>
    </row>
    <row r="1409" spans="1:6" x14ac:dyDescent="0.25">
      <c r="A1409" s="2"/>
      <c r="B1409" s="2"/>
      <c r="C1409" s="2"/>
      <c r="D1409" s="2"/>
      <c r="E1409" s="2"/>
      <c r="F1409" s="2"/>
    </row>
    <row r="1410" spans="1:6" x14ac:dyDescent="0.25">
      <c r="A1410" s="2"/>
      <c r="B1410" s="2"/>
      <c r="C1410" s="2"/>
      <c r="D1410" s="2"/>
      <c r="E1410" s="2"/>
      <c r="F1410" s="2"/>
    </row>
    <row r="1411" spans="1:6" x14ac:dyDescent="0.25">
      <c r="A1411" s="2"/>
      <c r="B1411" s="2"/>
      <c r="C1411" s="2"/>
      <c r="D1411" s="2"/>
      <c r="E1411" s="2"/>
      <c r="F1411" s="2"/>
    </row>
    <row r="1412" spans="1:6" x14ac:dyDescent="0.25">
      <c r="A1412" s="2"/>
      <c r="B1412" s="2"/>
      <c r="C1412" s="2"/>
      <c r="D1412" s="2"/>
      <c r="E1412" s="2"/>
      <c r="F1412" s="2"/>
    </row>
    <row r="1413" spans="1:6" x14ac:dyDescent="0.25">
      <c r="A1413" s="2"/>
      <c r="B1413" s="2"/>
      <c r="C1413" s="2"/>
      <c r="D1413" s="2"/>
      <c r="E1413" s="2"/>
      <c r="F1413" s="2"/>
    </row>
    <row r="1414" spans="1:6" x14ac:dyDescent="0.25">
      <c r="A1414" s="2"/>
      <c r="B1414" s="2"/>
      <c r="C1414" s="2"/>
      <c r="D1414" s="2"/>
      <c r="E1414" s="2"/>
      <c r="F1414" s="2"/>
    </row>
    <row r="1415" spans="1:6" x14ac:dyDescent="0.25">
      <c r="A1415" s="2"/>
      <c r="B1415" s="2"/>
      <c r="C1415" s="2"/>
      <c r="D1415" s="2"/>
      <c r="E1415" s="2"/>
      <c r="F1415" s="2"/>
    </row>
    <row r="1416" spans="1:6" x14ac:dyDescent="0.25">
      <c r="A1416" s="2"/>
      <c r="B1416" s="2"/>
      <c r="C1416" s="2"/>
      <c r="D1416" s="2"/>
      <c r="E1416" s="2"/>
      <c r="F1416" s="2"/>
    </row>
    <row r="1417" spans="1:6" x14ac:dyDescent="0.25">
      <c r="A1417" s="2"/>
      <c r="B1417" s="2"/>
      <c r="C1417" s="2"/>
      <c r="D1417" s="2"/>
      <c r="E1417" s="2"/>
      <c r="F1417" s="2"/>
    </row>
    <row r="1418" spans="1:6" x14ac:dyDescent="0.25">
      <c r="A1418" s="2"/>
      <c r="B1418" s="2"/>
      <c r="C1418" s="2"/>
      <c r="D1418" s="2"/>
      <c r="E1418" s="2"/>
      <c r="F1418" s="2"/>
    </row>
    <row r="1419" spans="1:6" x14ac:dyDescent="0.25">
      <c r="A1419" s="2"/>
      <c r="B1419" s="2"/>
      <c r="C1419" s="2"/>
      <c r="D1419" s="2"/>
      <c r="E1419" s="2"/>
      <c r="F1419" s="2"/>
    </row>
    <row r="1420" spans="1:6" x14ac:dyDescent="0.25">
      <c r="A1420" s="2"/>
      <c r="B1420" s="2"/>
      <c r="C1420" s="2"/>
      <c r="D1420" s="2"/>
      <c r="E1420" s="2"/>
      <c r="F1420" s="2"/>
    </row>
    <row r="1421" spans="1:6" x14ac:dyDescent="0.25">
      <c r="A1421" s="2"/>
      <c r="B1421" s="2"/>
      <c r="C1421" s="2"/>
      <c r="D1421" s="2"/>
      <c r="E1421" s="2"/>
      <c r="F1421" s="2"/>
    </row>
    <row r="1422" spans="1:6" x14ac:dyDescent="0.25">
      <c r="A1422" s="2"/>
      <c r="B1422" s="2"/>
      <c r="C1422" s="2"/>
      <c r="D1422" s="2"/>
      <c r="E1422" s="2"/>
      <c r="F1422" s="2"/>
    </row>
    <row r="1423" spans="1:6" x14ac:dyDescent="0.25">
      <c r="A1423" s="2"/>
      <c r="B1423" s="2"/>
      <c r="C1423" s="2"/>
      <c r="D1423" s="2"/>
      <c r="E1423" s="2"/>
      <c r="F1423" s="2"/>
    </row>
    <row r="1424" spans="1:6" x14ac:dyDescent="0.25">
      <c r="A1424" s="2"/>
      <c r="B1424" s="2"/>
      <c r="C1424" s="2"/>
      <c r="D1424" s="2"/>
      <c r="E1424" s="2"/>
      <c r="F1424" s="2"/>
    </row>
    <row r="1425" spans="1:6" x14ac:dyDescent="0.25">
      <c r="A1425" s="2"/>
      <c r="B1425" s="2"/>
      <c r="C1425" s="2"/>
      <c r="D1425" s="2"/>
      <c r="E1425" s="2"/>
      <c r="F1425" s="2"/>
    </row>
    <row r="1426" spans="1:6" x14ac:dyDescent="0.25">
      <c r="A1426" s="2"/>
      <c r="B1426" s="2"/>
      <c r="C1426" s="2"/>
      <c r="D1426" s="2"/>
      <c r="E1426" s="2"/>
      <c r="F1426" s="2"/>
    </row>
    <row r="1427" spans="1:6" x14ac:dyDescent="0.25">
      <c r="A1427" s="2"/>
      <c r="B1427" s="2"/>
      <c r="C1427" s="2"/>
      <c r="D1427" s="2"/>
      <c r="E1427" s="2"/>
      <c r="F1427" s="2"/>
    </row>
    <row r="1428" spans="1:6" x14ac:dyDescent="0.25">
      <c r="A1428" s="2"/>
      <c r="B1428" s="2"/>
      <c r="C1428" s="2"/>
      <c r="D1428" s="2"/>
      <c r="E1428" s="2"/>
      <c r="F1428" s="2"/>
    </row>
    <row r="1429" spans="1:6" x14ac:dyDescent="0.25">
      <c r="A1429" s="2"/>
      <c r="B1429" s="2"/>
      <c r="C1429" s="2"/>
      <c r="D1429" s="2"/>
      <c r="E1429" s="2"/>
      <c r="F1429" s="2"/>
    </row>
    <row r="1430" spans="1:6" x14ac:dyDescent="0.25">
      <c r="A1430" s="2"/>
      <c r="B1430" s="2"/>
      <c r="C1430" s="2"/>
      <c r="D1430" s="2"/>
      <c r="E1430" s="2"/>
      <c r="F1430" s="2"/>
    </row>
    <row r="1431" spans="1:6" x14ac:dyDescent="0.25">
      <c r="A1431" s="2"/>
      <c r="B1431" s="2"/>
      <c r="C1431" s="2"/>
      <c r="D1431" s="2"/>
      <c r="E1431" s="2"/>
      <c r="F1431" s="2"/>
    </row>
    <row r="1432" spans="1:6" x14ac:dyDescent="0.25">
      <c r="A1432" s="2"/>
      <c r="B1432" s="2"/>
      <c r="C1432" s="2"/>
      <c r="D1432" s="2"/>
      <c r="E1432" s="2"/>
      <c r="F1432" s="2"/>
    </row>
    <row r="1433" spans="1:6" x14ac:dyDescent="0.25">
      <c r="A1433" s="2"/>
      <c r="B1433" s="2"/>
      <c r="C1433" s="2"/>
      <c r="D1433" s="2"/>
      <c r="E1433" s="2"/>
      <c r="F1433" s="2"/>
    </row>
    <row r="1434" spans="1:6" x14ac:dyDescent="0.25">
      <c r="A1434" s="2"/>
      <c r="B1434" s="2"/>
      <c r="C1434" s="2"/>
      <c r="D1434" s="2"/>
      <c r="E1434" s="2"/>
      <c r="F1434" s="2"/>
    </row>
    <row r="1435" spans="1:6" x14ac:dyDescent="0.25">
      <c r="A1435" s="2"/>
      <c r="B1435" s="2"/>
      <c r="C1435" s="2"/>
      <c r="D1435" s="2"/>
      <c r="E1435" s="2"/>
      <c r="F1435" s="2"/>
    </row>
    <row r="1436" spans="1:6" x14ac:dyDescent="0.25">
      <c r="A1436" s="2"/>
      <c r="B1436" s="2"/>
      <c r="C1436" s="2"/>
      <c r="D1436" s="2"/>
      <c r="E1436" s="2"/>
      <c r="F1436" s="2"/>
    </row>
    <row r="1437" spans="1:6" x14ac:dyDescent="0.25">
      <c r="A1437" s="2"/>
      <c r="B1437" s="2"/>
      <c r="C1437" s="2"/>
      <c r="D1437" s="2"/>
      <c r="E1437" s="2"/>
      <c r="F1437" s="2"/>
    </row>
    <row r="1438" spans="1:6" x14ac:dyDescent="0.25">
      <c r="A1438" s="2"/>
      <c r="B1438" s="2"/>
      <c r="C1438" s="2"/>
      <c r="D1438" s="2"/>
      <c r="E1438" s="2"/>
      <c r="F1438" s="2"/>
    </row>
    <row r="1439" spans="1:6" x14ac:dyDescent="0.25">
      <c r="A1439" s="2"/>
      <c r="B1439" s="2"/>
      <c r="C1439" s="2"/>
      <c r="D1439" s="2"/>
      <c r="E1439" s="2"/>
      <c r="F1439" s="2"/>
    </row>
    <row r="1440" spans="1:6" x14ac:dyDescent="0.25">
      <c r="A1440" s="2"/>
      <c r="B1440" s="2"/>
      <c r="C1440" s="2"/>
      <c r="D1440" s="2"/>
      <c r="E1440" s="2"/>
      <c r="F1440" s="2"/>
    </row>
    <row r="1441" spans="1:6" x14ac:dyDescent="0.25">
      <c r="A1441" s="2"/>
      <c r="B1441" s="2"/>
      <c r="C1441" s="2"/>
      <c r="D1441" s="2"/>
      <c r="E1441" s="2"/>
      <c r="F1441" s="2"/>
    </row>
    <row r="1442" spans="1:6" x14ac:dyDescent="0.25">
      <c r="A1442" s="2"/>
      <c r="B1442" s="2"/>
      <c r="C1442" s="2"/>
      <c r="D1442" s="2"/>
      <c r="E1442" s="2"/>
      <c r="F1442" s="2"/>
    </row>
    <row r="1443" spans="1:6" x14ac:dyDescent="0.25">
      <c r="A1443" s="2"/>
      <c r="B1443" s="2"/>
      <c r="C1443" s="2"/>
      <c r="D1443" s="2"/>
      <c r="E1443" s="2"/>
      <c r="F1443" s="2"/>
    </row>
    <row r="1444" spans="1:6" x14ac:dyDescent="0.25">
      <c r="A1444" s="2"/>
      <c r="B1444" s="2"/>
      <c r="C1444" s="2"/>
      <c r="D1444" s="2"/>
      <c r="E1444" s="2"/>
      <c r="F1444" s="2"/>
    </row>
    <row r="1445" spans="1:6" x14ac:dyDescent="0.25">
      <c r="A1445" s="2"/>
      <c r="B1445" s="2"/>
      <c r="C1445" s="2"/>
      <c r="D1445" s="2"/>
      <c r="E1445" s="2"/>
      <c r="F1445" s="2"/>
    </row>
    <row r="1446" spans="1:6" x14ac:dyDescent="0.25">
      <c r="A1446" s="2"/>
      <c r="B1446" s="2"/>
      <c r="C1446" s="2"/>
      <c r="D1446" s="2"/>
      <c r="E1446" s="2"/>
      <c r="F1446" s="2"/>
    </row>
    <row r="1447" spans="1:6" x14ac:dyDescent="0.25">
      <c r="A1447" s="2"/>
      <c r="B1447" s="2"/>
      <c r="C1447" s="2"/>
      <c r="D1447" s="2"/>
      <c r="E1447" s="2"/>
      <c r="F1447" s="2"/>
    </row>
    <row r="1448" spans="1:6" x14ac:dyDescent="0.25">
      <c r="A1448" s="2"/>
      <c r="B1448" s="2"/>
      <c r="C1448" s="2"/>
      <c r="D1448" s="2"/>
      <c r="E1448" s="2"/>
      <c r="F1448" s="2"/>
    </row>
    <row r="1449" spans="1:6" x14ac:dyDescent="0.25">
      <c r="A1449" s="2"/>
      <c r="B1449" s="2"/>
      <c r="C1449" s="2"/>
      <c r="D1449" s="2"/>
      <c r="E1449" s="2"/>
      <c r="F1449" s="2"/>
    </row>
    <row r="1450" spans="1:6" x14ac:dyDescent="0.25">
      <c r="A1450" s="2"/>
      <c r="B1450" s="2"/>
      <c r="C1450" s="2"/>
      <c r="D1450" s="2"/>
      <c r="E1450" s="2"/>
      <c r="F1450" s="2"/>
    </row>
    <row r="1451" spans="1:6" x14ac:dyDescent="0.25">
      <c r="A1451" s="2"/>
      <c r="B1451" s="2"/>
      <c r="C1451" s="2"/>
      <c r="D1451" s="2"/>
      <c r="E1451" s="2"/>
      <c r="F1451" s="2"/>
    </row>
    <row r="1452" spans="1:6" x14ac:dyDescent="0.25">
      <c r="A1452" s="2"/>
      <c r="B1452" s="2"/>
      <c r="C1452" s="2"/>
      <c r="D1452" s="2"/>
      <c r="E1452" s="2"/>
      <c r="F1452" s="2"/>
    </row>
    <row r="1453" spans="1:6" x14ac:dyDescent="0.25">
      <c r="A1453" s="2"/>
      <c r="B1453" s="2"/>
      <c r="C1453" s="2"/>
      <c r="D1453" s="2"/>
      <c r="E1453" s="2"/>
      <c r="F1453" s="2"/>
    </row>
    <row r="1454" spans="1:6" x14ac:dyDescent="0.25">
      <c r="A1454" s="2"/>
      <c r="B1454" s="2"/>
      <c r="C1454" s="2"/>
      <c r="D1454" s="2"/>
      <c r="E1454" s="2"/>
      <c r="F1454" s="2"/>
    </row>
    <row r="1455" spans="1:6" x14ac:dyDescent="0.25">
      <c r="A1455" s="2"/>
      <c r="B1455" s="2"/>
      <c r="C1455" s="2"/>
      <c r="D1455" s="2"/>
      <c r="E1455" s="2"/>
      <c r="F1455" s="2"/>
    </row>
    <row r="1456" spans="1:6" x14ac:dyDescent="0.25">
      <c r="A1456" s="2"/>
      <c r="B1456" s="2"/>
      <c r="C1456" s="2"/>
      <c r="D1456" s="2"/>
      <c r="E1456" s="2"/>
      <c r="F1456" s="2"/>
    </row>
    <row r="1457" spans="1:6" x14ac:dyDescent="0.25">
      <c r="A1457" s="2"/>
      <c r="B1457" s="2"/>
      <c r="C1457" s="2"/>
      <c r="D1457" s="2"/>
      <c r="E1457" s="2"/>
      <c r="F1457" s="2"/>
    </row>
    <row r="1458" spans="1:6" x14ac:dyDescent="0.25">
      <c r="A1458" s="2"/>
      <c r="B1458" s="2"/>
      <c r="C1458" s="2"/>
      <c r="D1458" s="2"/>
      <c r="E1458" s="2"/>
      <c r="F1458" s="2"/>
    </row>
    <row r="1459" spans="1:6" x14ac:dyDescent="0.25">
      <c r="A1459" s="2"/>
      <c r="B1459" s="2"/>
      <c r="C1459" s="2"/>
      <c r="D1459" s="2"/>
      <c r="E1459" s="2"/>
      <c r="F1459" s="2"/>
    </row>
    <row r="1460" spans="1:6" x14ac:dyDescent="0.25">
      <c r="A1460" s="2"/>
      <c r="B1460" s="2"/>
      <c r="C1460" s="2"/>
      <c r="D1460" s="2"/>
      <c r="E1460" s="2"/>
      <c r="F1460" s="2"/>
    </row>
    <row r="1461" spans="1:6" x14ac:dyDescent="0.25">
      <c r="A1461" s="2"/>
      <c r="B1461" s="2"/>
      <c r="C1461" s="2"/>
      <c r="D1461" s="2"/>
      <c r="E1461" s="2"/>
      <c r="F1461" s="2"/>
    </row>
    <row r="1462" spans="1:6" x14ac:dyDescent="0.25">
      <c r="A1462" s="2"/>
      <c r="B1462" s="2"/>
      <c r="C1462" s="2"/>
      <c r="D1462" s="2"/>
      <c r="E1462" s="2"/>
      <c r="F1462" s="2"/>
    </row>
    <row r="1463" spans="1:6" x14ac:dyDescent="0.25">
      <c r="A1463" s="2"/>
      <c r="B1463" s="2"/>
      <c r="C1463" s="2"/>
      <c r="D1463" s="2"/>
      <c r="E1463" s="2"/>
      <c r="F1463" s="2"/>
    </row>
    <row r="1464" spans="1:6" x14ac:dyDescent="0.25">
      <c r="A1464" s="2"/>
      <c r="B1464" s="2"/>
      <c r="C1464" s="2"/>
      <c r="D1464" s="2"/>
      <c r="E1464" s="2"/>
      <c r="F1464" s="2"/>
    </row>
    <row r="1465" spans="1:6" x14ac:dyDescent="0.25">
      <c r="A1465" s="2"/>
      <c r="B1465" s="2"/>
      <c r="C1465" s="2"/>
      <c r="D1465" s="2"/>
      <c r="E1465" s="2"/>
      <c r="F1465" s="2"/>
    </row>
    <row r="1466" spans="1:6" x14ac:dyDescent="0.25">
      <c r="A1466" s="2"/>
      <c r="B1466" s="2"/>
      <c r="C1466" s="2"/>
      <c r="D1466" s="2"/>
      <c r="E1466" s="2"/>
      <c r="F1466" s="2"/>
    </row>
    <row r="1467" spans="1:6" x14ac:dyDescent="0.25">
      <c r="A1467" s="2"/>
      <c r="B1467" s="2"/>
      <c r="C1467" s="2"/>
      <c r="D1467" s="2"/>
      <c r="E1467" s="2"/>
      <c r="F1467" s="2"/>
    </row>
    <row r="1468" spans="1:6" x14ac:dyDescent="0.25">
      <c r="A1468" s="2"/>
      <c r="B1468" s="2"/>
      <c r="C1468" s="2"/>
      <c r="D1468" s="2"/>
      <c r="E1468" s="2"/>
      <c r="F1468" s="2"/>
    </row>
    <row r="1469" spans="1:6" x14ac:dyDescent="0.25">
      <c r="A1469" s="2"/>
      <c r="B1469" s="2"/>
      <c r="C1469" s="2"/>
      <c r="D1469" s="2"/>
      <c r="E1469" s="2"/>
      <c r="F1469" s="2"/>
    </row>
    <row r="1470" spans="1:6" x14ac:dyDescent="0.25">
      <c r="A1470" s="2"/>
      <c r="B1470" s="2"/>
      <c r="C1470" s="2"/>
      <c r="D1470" s="2"/>
      <c r="E1470" s="2"/>
      <c r="F1470" s="2"/>
    </row>
    <row r="1471" spans="1:6" x14ac:dyDescent="0.25">
      <c r="A1471" s="2"/>
      <c r="B1471" s="2"/>
      <c r="C1471" s="2"/>
      <c r="D1471" s="2"/>
      <c r="E1471" s="2"/>
      <c r="F1471" s="2"/>
    </row>
    <row r="1472" spans="1:6" x14ac:dyDescent="0.25">
      <c r="A1472" s="2"/>
      <c r="B1472" s="2"/>
      <c r="C1472" s="2"/>
      <c r="D1472" s="2"/>
      <c r="E1472" s="2"/>
      <c r="F1472" s="2"/>
    </row>
    <row r="1473" spans="1:6" x14ac:dyDescent="0.25">
      <c r="A1473" s="2"/>
      <c r="B1473" s="2"/>
      <c r="C1473" s="2"/>
      <c r="D1473" s="2"/>
      <c r="E1473" s="2"/>
      <c r="F1473" s="2"/>
    </row>
    <row r="1474" spans="1:6" x14ac:dyDescent="0.25">
      <c r="A1474" s="2"/>
      <c r="B1474" s="2"/>
      <c r="C1474" s="2"/>
      <c r="D1474" s="2"/>
      <c r="E1474" s="2"/>
      <c r="F1474" s="2"/>
    </row>
    <row r="1475" spans="1:6" x14ac:dyDescent="0.25">
      <c r="A1475" s="2"/>
      <c r="B1475" s="2"/>
      <c r="C1475" s="2"/>
      <c r="D1475" s="2"/>
      <c r="E1475" s="2"/>
      <c r="F1475" s="2"/>
    </row>
    <row r="1476" spans="1:6" x14ac:dyDescent="0.25">
      <c r="A1476" s="2"/>
      <c r="B1476" s="2"/>
      <c r="C1476" s="2"/>
      <c r="D1476" s="2"/>
      <c r="E1476" s="2"/>
      <c r="F1476" s="2"/>
    </row>
    <row r="1477" spans="1:6" x14ac:dyDescent="0.25">
      <c r="A1477" s="2"/>
      <c r="B1477" s="2"/>
      <c r="C1477" s="2"/>
      <c r="D1477" s="2"/>
      <c r="E1477" s="2"/>
      <c r="F1477" s="2"/>
    </row>
    <row r="1478" spans="1:6" x14ac:dyDescent="0.25">
      <c r="A1478" s="2"/>
      <c r="B1478" s="2"/>
      <c r="C1478" s="2"/>
      <c r="D1478" s="2"/>
      <c r="E1478" s="2"/>
      <c r="F1478" s="2"/>
    </row>
    <row r="1479" spans="1:6" x14ac:dyDescent="0.25">
      <c r="A1479" s="2"/>
      <c r="B1479" s="2"/>
      <c r="C1479" s="2"/>
      <c r="D1479" s="2"/>
      <c r="E1479" s="2"/>
      <c r="F1479" s="2"/>
    </row>
    <row r="1480" spans="1:6" x14ac:dyDescent="0.25">
      <c r="A1480" s="2"/>
      <c r="B1480" s="2"/>
      <c r="C1480" s="2"/>
      <c r="D1480" s="2"/>
      <c r="E1480" s="2"/>
      <c r="F1480" s="2"/>
    </row>
    <row r="1481" spans="1:6" x14ac:dyDescent="0.25">
      <c r="A1481" s="2"/>
      <c r="B1481" s="2"/>
      <c r="C1481" s="2"/>
      <c r="D1481" s="2"/>
      <c r="E1481" s="2"/>
      <c r="F1481" s="2"/>
    </row>
    <row r="1482" spans="1:6" x14ac:dyDescent="0.25">
      <c r="A1482" s="2"/>
      <c r="B1482" s="2"/>
      <c r="C1482" s="2"/>
      <c r="D1482" s="2"/>
      <c r="E1482" s="2"/>
      <c r="F1482" s="2"/>
    </row>
    <row r="1483" spans="1:6" x14ac:dyDescent="0.25">
      <c r="A1483" s="2"/>
      <c r="B1483" s="2"/>
      <c r="C1483" s="2"/>
      <c r="D1483" s="2"/>
      <c r="E1483" s="2"/>
      <c r="F1483" s="2"/>
    </row>
    <row r="1484" spans="1:6" x14ac:dyDescent="0.25">
      <c r="A1484" s="2"/>
      <c r="B1484" s="2"/>
      <c r="C1484" s="2"/>
      <c r="D1484" s="2"/>
      <c r="E1484" s="2"/>
      <c r="F1484" s="2"/>
    </row>
    <row r="1485" spans="1:6" x14ac:dyDescent="0.25">
      <c r="A1485" s="2"/>
      <c r="B1485" s="2"/>
      <c r="C1485" s="2"/>
      <c r="D1485" s="2"/>
      <c r="E1485" s="2"/>
      <c r="F1485" s="2"/>
    </row>
    <row r="1486" spans="1:6" x14ac:dyDescent="0.25">
      <c r="A1486" s="2"/>
      <c r="B1486" s="2"/>
      <c r="C1486" s="2"/>
      <c r="D1486" s="2"/>
      <c r="E1486" s="2"/>
      <c r="F1486" s="2"/>
    </row>
    <row r="1487" spans="1:6" x14ac:dyDescent="0.25">
      <c r="A1487" s="2"/>
      <c r="B1487" s="2"/>
      <c r="C1487" s="2"/>
      <c r="D1487" s="2"/>
      <c r="E1487" s="2"/>
      <c r="F1487" s="2"/>
    </row>
    <row r="1488" spans="1:6" x14ac:dyDescent="0.25">
      <c r="A1488" s="2"/>
      <c r="B1488" s="2"/>
      <c r="C1488" s="2"/>
      <c r="D1488" s="2"/>
      <c r="E1488" s="2"/>
      <c r="F1488" s="2"/>
    </row>
    <row r="1489" spans="1:6" x14ac:dyDescent="0.25">
      <c r="A1489" s="2"/>
      <c r="B1489" s="2"/>
      <c r="C1489" s="2"/>
      <c r="D1489" s="2"/>
      <c r="E1489" s="2"/>
      <c r="F1489" s="2"/>
    </row>
    <row r="1490" spans="1:6" x14ac:dyDescent="0.25">
      <c r="A1490" s="2"/>
      <c r="B1490" s="2"/>
      <c r="C1490" s="2"/>
      <c r="D1490" s="2"/>
      <c r="E1490" s="2"/>
      <c r="F1490" s="2"/>
    </row>
    <row r="1491" spans="1:6" x14ac:dyDescent="0.25">
      <c r="A1491" s="2"/>
      <c r="B1491" s="2"/>
      <c r="C1491" s="2"/>
      <c r="D1491" s="2"/>
      <c r="E1491" s="2"/>
      <c r="F1491" s="2"/>
    </row>
    <row r="1492" spans="1:6" x14ac:dyDescent="0.25">
      <c r="A1492" s="2"/>
      <c r="B1492" s="2"/>
      <c r="C1492" s="2"/>
      <c r="D1492" s="2"/>
      <c r="E1492" s="2"/>
      <c r="F1492" s="2"/>
    </row>
    <row r="1493" spans="1:6" x14ac:dyDescent="0.25">
      <c r="A1493" s="2"/>
      <c r="B1493" s="2"/>
      <c r="C1493" s="2"/>
      <c r="D1493" s="2"/>
      <c r="E1493" s="2"/>
      <c r="F1493" s="2"/>
    </row>
    <row r="1494" spans="1:6" x14ac:dyDescent="0.25">
      <c r="A1494" s="2"/>
      <c r="B1494" s="2"/>
      <c r="C1494" s="2"/>
      <c r="D1494" s="2"/>
      <c r="E1494" s="2"/>
      <c r="F1494" s="2"/>
    </row>
    <row r="1495" spans="1:6" x14ac:dyDescent="0.25">
      <c r="A1495" s="2"/>
      <c r="B1495" s="2"/>
      <c r="C1495" s="2"/>
      <c r="D1495" s="2"/>
      <c r="E1495" s="2"/>
      <c r="F1495" s="2"/>
    </row>
    <row r="1496" spans="1:6" x14ac:dyDescent="0.25">
      <c r="A1496" s="2"/>
      <c r="B1496" s="2"/>
      <c r="C1496" s="2"/>
      <c r="D1496" s="2"/>
      <c r="E1496" s="2"/>
      <c r="F1496" s="2"/>
    </row>
    <row r="1497" spans="1:6" x14ac:dyDescent="0.25">
      <c r="A1497" s="2"/>
      <c r="B1497" s="2"/>
      <c r="C1497" s="2"/>
      <c r="D1497" s="2"/>
      <c r="E1497" s="2"/>
      <c r="F1497" s="2"/>
    </row>
    <row r="1498" spans="1:6" x14ac:dyDescent="0.25">
      <c r="A1498" s="2"/>
      <c r="B1498" s="2"/>
      <c r="C1498" s="2"/>
      <c r="D1498" s="2"/>
      <c r="E1498" s="2"/>
      <c r="F1498" s="2"/>
    </row>
    <row r="1499" spans="1:6" x14ac:dyDescent="0.25">
      <c r="A1499" s="2"/>
      <c r="B1499" s="2"/>
      <c r="C1499" s="2"/>
      <c r="D1499" s="2"/>
      <c r="E1499" s="2"/>
      <c r="F1499" s="2"/>
    </row>
    <row r="1500" spans="1:6" x14ac:dyDescent="0.25">
      <c r="A1500" s="2"/>
      <c r="B1500" s="2"/>
      <c r="C1500" s="2"/>
      <c r="D1500" s="2"/>
      <c r="E1500" s="2"/>
      <c r="F1500" s="2"/>
    </row>
    <row r="1501" spans="1:6" x14ac:dyDescent="0.25">
      <c r="A1501" s="2"/>
      <c r="B1501" s="2"/>
      <c r="C1501" s="2"/>
      <c r="D1501" s="2"/>
      <c r="E1501" s="2"/>
      <c r="F1501" s="2"/>
    </row>
    <row r="1502" spans="1:6" x14ac:dyDescent="0.25">
      <c r="A1502" s="2"/>
      <c r="B1502" s="2"/>
      <c r="C1502" s="2"/>
      <c r="D1502" s="2"/>
      <c r="E1502" s="2"/>
      <c r="F1502" s="2"/>
    </row>
    <row r="1503" spans="1:6" x14ac:dyDescent="0.25">
      <c r="A1503" s="2"/>
      <c r="B1503" s="2"/>
      <c r="C1503" s="2"/>
      <c r="D1503" s="2"/>
      <c r="E1503" s="2"/>
      <c r="F1503" s="2"/>
    </row>
    <row r="1504" spans="1:6" x14ac:dyDescent="0.25">
      <c r="A1504" s="2"/>
      <c r="B1504" s="2"/>
      <c r="C1504" s="2"/>
      <c r="D1504" s="2"/>
      <c r="E1504" s="2"/>
      <c r="F1504" s="2"/>
    </row>
    <row r="1505" spans="1:6" x14ac:dyDescent="0.25">
      <c r="A1505" s="2"/>
      <c r="B1505" s="2"/>
      <c r="C1505" s="2"/>
      <c r="D1505" s="2"/>
      <c r="E1505" s="2"/>
      <c r="F1505" s="2"/>
    </row>
    <row r="1506" spans="1:6" x14ac:dyDescent="0.25">
      <c r="A1506" s="2"/>
      <c r="B1506" s="2"/>
      <c r="C1506" s="2"/>
      <c r="D1506" s="2"/>
      <c r="E1506" s="2"/>
      <c r="F1506" s="2"/>
    </row>
    <row r="1507" spans="1:6" x14ac:dyDescent="0.25">
      <c r="A1507" s="2"/>
      <c r="B1507" s="2"/>
      <c r="C1507" s="2"/>
      <c r="D1507" s="2"/>
      <c r="E1507" s="2"/>
      <c r="F1507" s="2"/>
    </row>
    <row r="1508" spans="1:6" x14ac:dyDescent="0.25">
      <c r="A1508" s="2"/>
      <c r="B1508" s="2"/>
      <c r="C1508" s="2"/>
      <c r="D1508" s="2"/>
      <c r="E1508" s="2"/>
      <c r="F1508" s="2"/>
    </row>
    <row r="1509" spans="1:6" x14ac:dyDescent="0.25">
      <c r="A1509" s="2"/>
      <c r="B1509" s="2"/>
      <c r="C1509" s="2"/>
      <c r="D1509" s="2"/>
      <c r="E1509" s="2"/>
      <c r="F1509" s="2"/>
    </row>
    <row r="1510" spans="1:6" x14ac:dyDescent="0.25">
      <c r="A1510" s="2"/>
      <c r="B1510" s="2"/>
      <c r="C1510" s="2"/>
      <c r="D1510" s="2"/>
      <c r="E1510" s="2"/>
      <c r="F1510" s="2"/>
    </row>
    <row r="1511" spans="1:6" x14ac:dyDescent="0.25">
      <c r="A1511" s="2"/>
      <c r="B1511" s="2"/>
      <c r="C1511" s="2"/>
      <c r="D1511" s="2"/>
      <c r="E1511" s="2"/>
      <c r="F1511" s="2"/>
    </row>
    <row r="1512" spans="1:6" x14ac:dyDescent="0.25">
      <c r="A1512" s="2"/>
      <c r="B1512" s="2"/>
      <c r="C1512" s="2"/>
      <c r="D1512" s="2"/>
      <c r="E1512" s="2"/>
      <c r="F1512" s="2"/>
    </row>
    <row r="1513" spans="1:6" x14ac:dyDescent="0.25">
      <c r="A1513" s="2"/>
      <c r="B1513" s="2"/>
      <c r="C1513" s="2"/>
      <c r="D1513" s="2"/>
      <c r="E1513" s="2"/>
      <c r="F1513" s="2"/>
    </row>
    <row r="1514" spans="1:6" x14ac:dyDescent="0.25">
      <c r="A1514" s="2"/>
      <c r="B1514" s="2"/>
      <c r="C1514" s="2"/>
      <c r="D1514" s="2"/>
      <c r="E1514" s="2"/>
      <c r="F1514" s="2"/>
    </row>
    <row r="1515" spans="1:6" x14ac:dyDescent="0.25">
      <c r="A1515" s="2"/>
      <c r="B1515" s="2"/>
      <c r="C1515" s="2"/>
      <c r="D1515" s="2"/>
      <c r="E1515" s="2"/>
      <c r="F1515" s="2"/>
    </row>
    <row r="1516" spans="1:6" x14ac:dyDescent="0.25">
      <c r="A1516" s="2"/>
      <c r="B1516" s="2"/>
      <c r="C1516" s="2"/>
      <c r="D1516" s="2"/>
      <c r="E1516" s="2"/>
      <c r="F1516" s="2"/>
    </row>
    <row r="1517" spans="1:6" x14ac:dyDescent="0.25">
      <c r="A1517" s="2"/>
      <c r="B1517" s="2"/>
      <c r="C1517" s="2"/>
      <c r="D1517" s="2"/>
      <c r="E1517" s="2"/>
      <c r="F1517" s="2"/>
    </row>
    <row r="1518" spans="1:6" x14ac:dyDescent="0.25">
      <c r="A1518" s="2"/>
      <c r="B1518" s="2"/>
      <c r="C1518" s="2"/>
      <c r="D1518" s="2"/>
      <c r="E1518" s="2"/>
      <c r="F1518" s="2"/>
    </row>
    <row r="1519" spans="1:6" x14ac:dyDescent="0.25">
      <c r="A1519" s="2"/>
      <c r="B1519" s="2"/>
      <c r="C1519" s="2"/>
      <c r="D1519" s="2"/>
      <c r="E1519" s="2"/>
      <c r="F1519" s="2"/>
    </row>
    <row r="1520" spans="1:6" x14ac:dyDescent="0.25">
      <c r="A1520" s="2"/>
      <c r="B1520" s="2"/>
      <c r="C1520" s="2"/>
      <c r="D1520" s="2"/>
      <c r="E1520" s="2"/>
      <c r="F1520" s="2"/>
    </row>
    <row r="1521" spans="1:6" x14ac:dyDescent="0.25">
      <c r="A1521" s="2"/>
      <c r="B1521" s="2"/>
      <c r="C1521" s="2"/>
      <c r="D1521" s="2"/>
      <c r="E1521" s="2"/>
      <c r="F1521" s="2"/>
    </row>
    <row r="1522" spans="1:6" x14ac:dyDescent="0.25">
      <c r="A1522" s="2"/>
      <c r="B1522" s="2"/>
      <c r="C1522" s="2"/>
      <c r="D1522" s="2"/>
      <c r="E1522" s="2"/>
      <c r="F1522" s="2"/>
    </row>
    <row r="1523" spans="1:6" x14ac:dyDescent="0.25">
      <c r="A1523" s="2"/>
      <c r="B1523" s="2"/>
      <c r="C1523" s="2"/>
      <c r="D1523" s="2"/>
      <c r="E1523" s="2"/>
      <c r="F1523" s="2"/>
    </row>
    <row r="1524" spans="1:6" x14ac:dyDescent="0.25">
      <c r="A1524" s="2"/>
      <c r="B1524" s="2"/>
      <c r="C1524" s="2"/>
      <c r="D1524" s="2"/>
      <c r="E1524" s="2"/>
      <c r="F1524" s="2"/>
    </row>
    <row r="1525" spans="1:6" x14ac:dyDescent="0.25">
      <c r="A1525" s="2"/>
      <c r="B1525" s="2"/>
      <c r="C1525" s="2"/>
      <c r="D1525" s="2"/>
      <c r="E1525" s="2"/>
      <c r="F1525" s="2"/>
    </row>
    <row r="1526" spans="1:6" x14ac:dyDescent="0.25">
      <c r="A1526" s="2"/>
      <c r="B1526" s="2"/>
      <c r="C1526" s="2"/>
      <c r="D1526" s="2"/>
      <c r="E1526" s="2"/>
      <c r="F1526" s="2"/>
    </row>
    <row r="1527" spans="1:6" x14ac:dyDescent="0.25">
      <c r="A1527" s="2"/>
      <c r="B1527" s="2"/>
      <c r="C1527" s="2"/>
      <c r="D1527" s="2"/>
      <c r="E1527" s="2"/>
      <c r="F1527" s="2"/>
    </row>
    <row r="1528" spans="1:6" x14ac:dyDescent="0.25">
      <c r="A1528" s="2"/>
      <c r="B1528" s="2"/>
      <c r="C1528" s="2"/>
      <c r="D1528" s="2"/>
      <c r="E1528" s="2"/>
      <c r="F1528" s="2"/>
    </row>
    <row r="1529" spans="1:6" x14ac:dyDescent="0.25">
      <c r="A1529" s="2"/>
      <c r="B1529" s="2"/>
      <c r="C1529" s="2"/>
      <c r="D1529" s="2"/>
      <c r="E1529" s="2"/>
      <c r="F1529" s="2"/>
    </row>
    <row r="1530" spans="1:6" x14ac:dyDescent="0.25">
      <c r="A1530" s="2"/>
      <c r="B1530" s="2"/>
      <c r="C1530" s="2"/>
      <c r="D1530" s="2"/>
      <c r="E1530" s="2"/>
      <c r="F1530" s="2"/>
    </row>
    <row r="1531" spans="1:6" x14ac:dyDescent="0.25">
      <c r="A1531" s="2"/>
      <c r="B1531" s="2"/>
      <c r="C1531" s="2"/>
      <c r="D1531" s="2"/>
      <c r="E1531" s="2"/>
      <c r="F1531" s="2"/>
    </row>
    <row r="1532" spans="1:6" x14ac:dyDescent="0.25">
      <c r="A1532" s="2"/>
      <c r="B1532" s="2"/>
      <c r="C1532" s="2"/>
      <c r="D1532" s="2"/>
      <c r="E1532" s="2"/>
      <c r="F1532" s="2"/>
    </row>
    <row r="1533" spans="1:6" x14ac:dyDescent="0.25">
      <c r="A1533" s="2"/>
      <c r="B1533" s="2"/>
      <c r="C1533" s="2"/>
      <c r="D1533" s="2"/>
      <c r="E1533" s="2"/>
      <c r="F1533" s="2"/>
    </row>
    <row r="1534" spans="1:6" x14ac:dyDescent="0.25">
      <c r="A1534" s="2"/>
      <c r="B1534" s="2"/>
      <c r="C1534" s="2"/>
      <c r="D1534" s="2"/>
      <c r="E1534" s="2"/>
      <c r="F1534" s="2"/>
    </row>
    <row r="1535" spans="1:6" x14ac:dyDescent="0.25">
      <c r="A1535" s="2"/>
      <c r="B1535" s="2"/>
      <c r="C1535" s="2"/>
      <c r="D1535" s="2"/>
      <c r="E1535" s="2"/>
      <c r="F1535" s="2"/>
    </row>
    <row r="1536" spans="1:6" x14ac:dyDescent="0.25">
      <c r="A1536" s="2"/>
      <c r="B1536" s="2"/>
      <c r="C1536" s="2"/>
      <c r="D1536" s="2"/>
      <c r="E1536" s="2"/>
      <c r="F1536" s="2"/>
    </row>
    <row r="1537" spans="1:6" x14ac:dyDescent="0.25">
      <c r="A1537" s="2"/>
      <c r="B1537" s="2"/>
      <c r="C1537" s="2"/>
      <c r="D1537" s="2"/>
      <c r="E1537" s="2"/>
      <c r="F1537" s="2"/>
    </row>
    <row r="1538" spans="1:6" x14ac:dyDescent="0.25">
      <c r="A1538" s="2"/>
      <c r="B1538" s="2"/>
      <c r="C1538" s="2"/>
      <c r="D1538" s="2"/>
      <c r="E1538" s="2"/>
      <c r="F1538" s="2"/>
    </row>
    <row r="1539" spans="1:6" x14ac:dyDescent="0.25">
      <c r="A1539" s="2"/>
      <c r="B1539" s="2"/>
      <c r="C1539" s="2"/>
      <c r="D1539" s="2"/>
      <c r="E1539" s="2"/>
      <c r="F1539" s="2"/>
    </row>
    <row r="1540" spans="1:6" x14ac:dyDescent="0.25">
      <c r="A1540" s="2"/>
      <c r="B1540" s="2"/>
      <c r="C1540" s="2"/>
      <c r="D1540" s="2"/>
      <c r="E1540" s="2"/>
      <c r="F1540" s="2"/>
    </row>
    <row r="1541" spans="1:6" x14ac:dyDescent="0.25">
      <c r="A1541" s="2"/>
      <c r="B1541" s="2"/>
      <c r="C1541" s="2"/>
      <c r="D1541" s="2"/>
      <c r="E1541" s="2"/>
      <c r="F1541" s="2"/>
    </row>
    <row r="1542" spans="1:6" x14ac:dyDescent="0.25">
      <c r="A1542" s="2"/>
      <c r="B1542" s="2"/>
      <c r="C1542" s="2"/>
      <c r="D1542" s="2"/>
      <c r="E1542" s="2"/>
      <c r="F1542" s="2"/>
    </row>
    <row r="1543" spans="1:6" x14ac:dyDescent="0.25">
      <c r="A1543" s="2"/>
      <c r="B1543" s="2"/>
      <c r="C1543" s="2"/>
      <c r="D1543" s="2"/>
      <c r="E1543" s="2"/>
      <c r="F1543" s="2"/>
    </row>
    <row r="1544" spans="1:6" x14ac:dyDescent="0.25">
      <c r="A1544" s="2"/>
      <c r="B1544" s="2"/>
      <c r="C1544" s="2"/>
      <c r="D1544" s="2"/>
      <c r="E1544" s="2"/>
      <c r="F1544" s="2"/>
    </row>
    <row r="1545" spans="1:6" x14ac:dyDescent="0.25">
      <c r="A1545" s="2"/>
      <c r="B1545" s="2"/>
      <c r="C1545" s="2"/>
      <c r="D1545" s="2"/>
      <c r="E1545" s="2"/>
      <c r="F1545" s="2"/>
    </row>
    <row r="1546" spans="1:6" x14ac:dyDescent="0.25">
      <c r="A1546" s="2"/>
      <c r="B1546" s="2"/>
      <c r="C1546" s="2"/>
      <c r="D1546" s="2"/>
      <c r="E1546" s="2"/>
      <c r="F1546" s="2"/>
    </row>
    <row r="1547" spans="1:6" x14ac:dyDescent="0.25">
      <c r="A1547" s="2"/>
      <c r="B1547" s="2"/>
      <c r="C1547" s="2"/>
      <c r="D1547" s="2"/>
      <c r="E1547" s="2"/>
      <c r="F1547" s="2"/>
    </row>
    <row r="1548" spans="1:6" x14ac:dyDescent="0.25">
      <c r="A1548" s="2"/>
      <c r="B1548" s="2"/>
      <c r="C1548" s="2"/>
      <c r="D1548" s="2"/>
      <c r="E1548" s="2"/>
      <c r="F1548" s="2"/>
    </row>
    <row r="1549" spans="1:6" x14ac:dyDescent="0.25">
      <c r="A1549" s="2"/>
      <c r="B1549" s="2"/>
      <c r="C1549" s="2"/>
      <c r="D1549" s="2"/>
      <c r="E1549" s="2"/>
      <c r="F1549" s="2"/>
    </row>
    <row r="1550" spans="1:6" x14ac:dyDescent="0.25">
      <c r="A1550" s="2"/>
      <c r="B1550" s="2"/>
      <c r="C1550" s="2"/>
      <c r="D1550" s="2"/>
      <c r="E1550" s="2"/>
      <c r="F1550" s="2"/>
    </row>
    <row r="1551" spans="1:6" x14ac:dyDescent="0.25">
      <c r="A1551" s="2"/>
      <c r="B1551" s="2"/>
      <c r="C1551" s="2"/>
      <c r="D1551" s="2"/>
      <c r="E1551" s="2"/>
      <c r="F1551" s="2"/>
    </row>
    <row r="1552" spans="1:6" x14ac:dyDescent="0.25">
      <c r="A1552" s="2"/>
      <c r="B1552" s="2"/>
      <c r="C1552" s="2"/>
      <c r="D1552" s="2"/>
      <c r="E1552" s="2"/>
      <c r="F1552" s="2"/>
    </row>
    <row r="1553" spans="1:6" x14ac:dyDescent="0.25">
      <c r="A1553" s="2"/>
      <c r="B1553" s="2"/>
      <c r="C1553" s="2"/>
      <c r="D1553" s="2"/>
      <c r="E1553" s="2"/>
      <c r="F1553" s="2"/>
    </row>
    <row r="1554" spans="1:6" x14ac:dyDescent="0.25">
      <c r="A1554" s="2"/>
      <c r="B1554" s="2"/>
      <c r="C1554" s="2"/>
      <c r="D1554" s="2"/>
      <c r="E1554" s="2"/>
      <c r="F1554" s="2"/>
    </row>
    <row r="1555" spans="1:6" x14ac:dyDescent="0.25">
      <c r="A1555" s="2"/>
      <c r="B1555" s="2"/>
      <c r="C1555" s="2"/>
      <c r="D1555" s="2"/>
      <c r="E1555" s="2"/>
      <c r="F1555" s="2"/>
    </row>
    <row r="1556" spans="1:6" x14ac:dyDescent="0.25">
      <c r="A1556" s="2"/>
      <c r="B1556" s="2"/>
      <c r="C1556" s="2"/>
      <c r="D1556" s="2"/>
      <c r="E1556" s="2"/>
      <c r="F1556" s="2"/>
    </row>
    <row r="1557" spans="1:6" x14ac:dyDescent="0.25">
      <c r="A1557" s="2"/>
      <c r="B1557" s="2"/>
      <c r="C1557" s="2"/>
      <c r="D1557" s="2"/>
      <c r="E1557" s="2"/>
      <c r="F1557" s="2"/>
    </row>
    <row r="1558" spans="1:6" x14ac:dyDescent="0.25">
      <c r="A1558" s="2"/>
      <c r="B1558" s="2"/>
      <c r="C1558" s="2"/>
      <c r="D1558" s="2"/>
      <c r="E1558" s="2"/>
      <c r="F1558" s="2"/>
    </row>
    <row r="1559" spans="1:6" x14ac:dyDescent="0.25">
      <c r="A1559" s="2"/>
      <c r="B1559" s="2"/>
      <c r="C1559" s="2"/>
      <c r="D1559" s="2"/>
      <c r="E1559" s="2"/>
      <c r="F1559" s="2"/>
    </row>
    <row r="1560" spans="1:6" x14ac:dyDescent="0.25">
      <c r="A1560" s="2"/>
      <c r="B1560" s="2"/>
      <c r="C1560" s="2"/>
      <c r="D1560" s="2"/>
      <c r="E1560" s="2"/>
      <c r="F1560" s="2"/>
    </row>
    <row r="1561" spans="1:6" x14ac:dyDescent="0.25">
      <c r="A1561" s="2"/>
      <c r="B1561" s="2"/>
      <c r="C1561" s="2"/>
      <c r="D1561" s="2"/>
      <c r="E1561" s="2"/>
      <c r="F1561" s="2"/>
    </row>
    <row r="1562" spans="1:6" x14ac:dyDescent="0.25">
      <c r="A1562" s="2"/>
      <c r="B1562" s="2"/>
      <c r="C1562" s="2"/>
      <c r="D1562" s="2"/>
      <c r="E1562" s="2"/>
      <c r="F1562" s="2"/>
    </row>
    <row r="1563" spans="1:6" x14ac:dyDescent="0.25">
      <c r="A1563" s="2"/>
      <c r="B1563" s="2"/>
      <c r="C1563" s="2"/>
      <c r="D1563" s="2"/>
      <c r="E1563" s="2"/>
      <c r="F1563" s="2"/>
    </row>
    <row r="1564" spans="1:6" x14ac:dyDescent="0.25">
      <c r="A1564" s="2"/>
      <c r="B1564" s="2"/>
      <c r="C1564" s="2"/>
      <c r="D1564" s="2"/>
      <c r="E1564" s="2"/>
      <c r="F1564" s="2"/>
    </row>
    <row r="1565" spans="1:6" x14ac:dyDescent="0.25">
      <c r="A1565" s="2"/>
      <c r="B1565" s="2"/>
      <c r="C1565" s="2"/>
      <c r="D1565" s="2"/>
      <c r="E1565" s="2"/>
      <c r="F1565" s="2"/>
    </row>
    <row r="1566" spans="1:6" x14ac:dyDescent="0.25">
      <c r="A1566" s="2"/>
      <c r="B1566" s="2"/>
      <c r="C1566" s="2"/>
      <c r="D1566" s="2"/>
      <c r="E1566" s="2"/>
      <c r="F1566" s="2"/>
    </row>
    <row r="1567" spans="1:6" x14ac:dyDescent="0.25">
      <c r="A1567" s="2"/>
      <c r="B1567" s="2"/>
      <c r="C1567" s="2"/>
      <c r="D1567" s="2"/>
      <c r="E1567" s="2"/>
      <c r="F1567" s="2"/>
    </row>
    <row r="1568" spans="1:6" x14ac:dyDescent="0.25">
      <c r="A1568" s="2"/>
      <c r="B1568" s="2"/>
      <c r="C1568" s="2"/>
      <c r="D1568" s="2"/>
      <c r="E1568" s="2"/>
      <c r="F1568" s="2"/>
    </row>
    <row r="1569" spans="1:6" x14ac:dyDescent="0.25">
      <c r="A1569" s="2"/>
      <c r="B1569" s="2"/>
      <c r="C1569" s="2"/>
      <c r="D1569" s="2"/>
      <c r="E1569" s="2"/>
      <c r="F1569" s="2"/>
    </row>
    <row r="1570" spans="1:6" x14ac:dyDescent="0.25">
      <c r="A1570" s="2"/>
      <c r="B1570" s="2"/>
      <c r="C1570" s="2"/>
      <c r="D1570" s="2"/>
      <c r="E1570" s="2"/>
      <c r="F1570" s="2"/>
    </row>
    <row r="1571" spans="1:6" x14ac:dyDescent="0.25">
      <c r="A1571" s="2"/>
      <c r="B1571" s="2"/>
      <c r="C1571" s="2"/>
      <c r="D1571" s="2"/>
      <c r="E1571" s="2"/>
      <c r="F1571" s="2"/>
    </row>
    <row r="1572" spans="1:6" x14ac:dyDescent="0.25">
      <c r="A1572" s="2"/>
      <c r="B1572" s="2"/>
      <c r="C1572" s="2"/>
      <c r="D1572" s="2"/>
      <c r="E1572" s="2"/>
      <c r="F1572" s="2"/>
    </row>
    <row r="1573" spans="1:6" x14ac:dyDescent="0.25">
      <c r="A1573" s="2"/>
      <c r="B1573" s="2"/>
      <c r="C1573" s="2"/>
      <c r="D1573" s="2"/>
      <c r="E1573" s="2"/>
      <c r="F1573" s="2"/>
    </row>
    <row r="1574" spans="1:6" x14ac:dyDescent="0.25">
      <c r="A1574" s="2"/>
      <c r="B1574" s="2"/>
      <c r="C1574" s="2"/>
      <c r="D1574" s="2"/>
      <c r="E1574" s="2"/>
      <c r="F1574" s="2"/>
    </row>
    <row r="1575" spans="1:6" x14ac:dyDescent="0.25">
      <c r="A1575" s="2"/>
      <c r="B1575" s="2"/>
      <c r="C1575" s="2"/>
      <c r="D1575" s="2"/>
      <c r="E1575" s="2"/>
      <c r="F1575" s="2"/>
    </row>
    <row r="1576" spans="1:6" x14ac:dyDescent="0.25">
      <c r="A1576" s="2"/>
      <c r="B1576" s="2"/>
      <c r="C1576" s="2"/>
      <c r="D1576" s="2"/>
      <c r="E1576" s="2"/>
      <c r="F1576" s="2"/>
    </row>
    <row r="1577" spans="1:6" x14ac:dyDescent="0.25">
      <c r="A1577" s="2"/>
      <c r="B1577" s="2"/>
      <c r="C1577" s="2"/>
      <c r="D1577" s="2"/>
      <c r="E1577" s="2"/>
      <c r="F1577" s="2"/>
    </row>
    <row r="1578" spans="1:6" x14ac:dyDescent="0.25">
      <c r="A1578" s="2"/>
      <c r="B1578" s="2"/>
      <c r="C1578" s="2"/>
      <c r="D1578" s="2"/>
      <c r="E1578" s="2"/>
      <c r="F1578" s="2"/>
    </row>
    <row r="1579" spans="1:6" x14ac:dyDescent="0.25">
      <c r="A1579" s="2"/>
      <c r="B1579" s="2"/>
      <c r="C1579" s="2"/>
      <c r="D1579" s="2"/>
      <c r="E1579" s="2"/>
      <c r="F1579" s="2"/>
    </row>
    <row r="1580" spans="1:6" x14ac:dyDescent="0.25">
      <c r="A1580" s="2"/>
      <c r="B1580" s="2"/>
      <c r="C1580" s="2"/>
      <c r="D1580" s="2"/>
      <c r="E1580" s="2"/>
      <c r="F1580" s="2"/>
    </row>
    <row r="1581" spans="1:6" x14ac:dyDescent="0.25">
      <c r="A1581" s="2"/>
      <c r="B1581" s="2"/>
      <c r="C1581" s="2"/>
      <c r="D1581" s="2"/>
      <c r="E1581" s="2"/>
      <c r="F1581" s="2"/>
    </row>
    <row r="1582" spans="1:6" x14ac:dyDescent="0.25">
      <c r="A1582" s="2"/>
      <c r="B1582" s="2"/>
      <c r="C1582" s="2"/>
      <c r="D1582" s="2"/>
      <c r="E1582" s="2"/>
      <c r="F1582" s="2"/>
    </row>
    <row r="1583" spans="1:6" x14ac:dyDescent="0.25">
      <c r="A1583" s="2"/>
      <c r="B1583" s="2"/>
      <c r="C1583" s="2"/>
      <c r="D1583" s="2"/>
      <c r="E1583" s="2"/>
      <c r="F1583" s="2"/>
    </row>
    <row r="1584" spans="1:6" x14ac:dyDescent="0.25">
      <c r="A1584" s="2"/>
      <c r="B1584" s="2"/>
      <c r="C1584" s="2"/>
      <c r="D1584" s="2"/>
      <c r="E1584" s="2"/>
      <c r="F1584" s="2"/>
    </row>
    <row r="1585" spans="1:6" x14ac:dyDescent="0.25">
      <c r="A1585" s="2"/>
      <c r="B1585" s="2"/>
      <c r="C1585" s="2"/>
      <c r="D1585" s="2"/>
      <c r="E1585" s="2"/>
      <c r="F1585" s="2"/>
    </row>
    <row r="1586" spans="1:6" x14ac:dyDescent="0.25">
      <c r="A1586" s="2"/>
      <c r="B1586" s="2"/>
      <c r="C1586" s="2"/>
      <c r="D1586" s="2"/>
      <c r="E1586" s="2"/>
      <c r="F1586" s="2"/>
    </row>
    <row r="1587" spans="1:6" x14ac:dyDescent="0.25">
      <c r="A1587" s="2"/>
      <c r="B1587" s="2"/>
      <c r="C1587" s="2"/>
      <c r="D1587" s="2"/>
      <c r="E1587" s="2"/>
      <c r="F1587" s="2"/>
    </row>
    <row r="1588" spans="1:6" x14ac:dyDescent="0.25">
      <c r="A1588" s="2"/>
      <c r="B1588" s="2"/>
      <c r="C1588" s="2"/>
      <c r="D1588" s="2"/>
      <c r="E1588" s="2"/>
      <c r="F1588" s="2"/>
    </row>
    <row r="1589" spans="1:6" x14ac:dyDescent="0.25">
      <c r="A1589" s="2"/>
      <c r="B1589" s="2"/>
      <c r="C1589" s="2"/>
      <c r="D1589" s="2"/>
      <c r="E1589" s="2"/>
      <c r="F1589" s="2"/>
    </row>
    <row r="1590" spans="1:6" x14ac:dyDescent="0.25">
      <c r="A1590" s="2"/>
      <c r="B1590" s="2"/>
      <c r="C1590" s="2"/>
      <c r="D1590" s="2"/>
      <c r="E1590" s="2"/>
      <c r="F1590" s="2"/>
    </row>
    <row r="1591" spans="1:6" x14ac:dyDescent="0.25">
      <c r="A1591" s="2"/>
      <c r="B1591" s="2"/>
      <c r="C1591" s="2"/>
      <c r="D1591" s="2"/>
      <c r="E1591" s="2"/>
      <c r="F1591" s="2"/>
    </row>
    <row r="1592" spans="1:6" x14ac:dyDescent="0.25">
      <c r="A1592" s="2"/>
      <c r="B1592" s="2"/>
      <c r="C1592" s="2"/>
      <c r="D1592" s="2"/>
      <c r="E1592" s="2"/>
      <c r="F1592" s="2"/>
    </row>
    <row r="1593" spans="1:6" x14ac:dyDescent="0.25">
      <c r="A1593" s="2"/>
      <c r="B1593" s="2"/>
      <c r="C1593" s="2"/>
      <c r="D1593" s="2"/>
      <c r="E1593" s="2"/>
      <c r="F1593" s="2"/>
    </row>
    <row r="1594" spans="1:6" x14ac:dyDescent="0.25">
      <c r="A1594" s="2"/>
      <c r="B1594" s="2"/>
      <c r="C1594" s="2"/>
      <c r="D1594" s="2"/>
      <c r="E1594" s="2"/>
      <c r="F1594" s="2"/>
    </row>
    <row r="1595" spans="1:6" x14ac:dyDescent="0.25">
      <c r="A1595" s="2"/>
      <c r="B1595" s="2"/>
      <c r="C1595" s="2"/>
      <c r="D1595" s="2"/>
      <c r="E1595" s="2"/>
      <c r="F1595" s="2"/>
    </row>
    <row r="1596" spans="1:6" x14ac:dyDescent="0.25">
      <c r="A1596" s="2"/>
      <c r="B1596" s="2"/>
      <c r="C1596" s="2"/>
      <c r="D1596" s="2"/>
      <c r="E1596" s="2"/>
      <c r="F1596" s="2"/>
    </row>
    <row r="1597" spans="1:6" x14ac:dyDescent="0.25">
      <c r="A1597" s="2"/>
      <c r="B1597" s="2"/>
      <c r="C1597" s="2"/>
      <c r="D1597" s="2"/>
      <c r="E1597" s="2"/>
      <c r="F1597" s="2"/>
    </row>
    <row r="1598" spans="1:6" x14ac:dyDescent="0.25">
      <c r="A1598" s="2"/>
      <c r="B1598" s="2"/>
      <c r="C1598" s="2"/>
      <c r="D1598" s="2"/>
      <c r="E1598" s="2"/>
      <c r="F1598" s="2"/>
    </row>
    <row r="1599" spans="1:6" x14ac:dyDescent="0.25">
      <c r="A1599" s="2"/>
      <c r="B1599" s="2"/>
      <c r="C1599" s="2"/>
      <c r="D1599" s="2"/>
      <c r="E1599" s="2"/>
      <c r="F1599" s="2"/>
    </row>
    <row r="1600" spans="1:6" x14ac:dyDescent="0.25">
      <c r="A1600" s="2"/>
      <c r="B1600" s="2"/>
      <c r="C1600" s="2"/>
      <c r="D1600" s="2"/>
      <c r="E1600" s="2"/>
      <c r="F1600" s="2"/>
    </row>
    <row r="1601" spans="1:6" x14ac:dyDescent="0.25">
      <c r="A1601" s="2"/>
      <c r="B1601" s="2"/>
      <c r="C1601" s="2"/>
      <c r="D1601" s="2"/>
      <c r="E1601" s="2"/>
      <c r="F1601" s="2"/>
    </row>
    <row r="1602" spans="1:6" x14ac:dyDescent="0.25">
      <c r="A1602" s="2"/>
      <c r="B1602" s="2"/>
      <c r="C1602" s="2"/>
      <c r="D1602" s="2"/>
      <c r="E1602" s="2"/>
      <c r="F1602" s="2"/>
    </row>
    <row r="1603" spans="1:6" x14ac:dyDescent="0.25">
      <c r="A1603" s="2"/>
      <c r="B1603" s="2"/>
      <c r="C1603" s="2"/>
      <c r="D1603" s="2"/>
      <c r="E1603" s="2"/>
      <c r="F1603" s="2"/>
    </row>
    <row r="1604" spans="1:6" x14ac:dyDescent="0.25">
      <c r="A1604" s="2"/>
      <c r="B1604" s="2"/>
      <c r="C1604" s="2"/>
      <c r="D1604" s="2"/>
      <c r="E1604" s="2"/>
      <c r="F1604" s="2"/>
    </row>
    <row r="1605" spans="1:6" x14ac:dyDescent="0.25">
      <c r="A1605" s="2"/>
      <c r="B1605" s="2"/>
      <c r="C1605" s="2"/>
      <c r="D1605" s="2"/>
      <c r="E1605" s="2"/>
      <c r="F1605" s="2"/>
    </row>
    <row r="1606" spans="1:6" x14ac:dyDescent="0.25">
      <c r="A1606" s="2"/>
      <c r="B1606" s="2"/>
      <c r="C1606" s="2"/>
      <c r="D1606" s="2"/>
      <c r="E1606" s="2"/>
      <c r="F1606" s="2"/>
    </row>
    <row r="1607" spans="1:6" x14ac:dyDescent="0.25">
      <c r="A1607" s="2"/>
      <c r="B1607" s="2"/>
      <c r="C1607" s="2"/>
      <c r="D1607" s="2"/>
      <c r="E1607" s="2"/>
      <c r="F1607" s="2"/>
    </row>
    <row r="1608" spans="1:6" x14ac:dyDescent="0.25">
      <c r="A1608" s="2"/>
      <c r="B1608" s="2"/>
      <c r="C1608" s="2"/>
      <c r="D1608" s="2"/>
      <c r="E1608" s="2"/>
      <c r="F1608" s="2"/>
    </row>
    <row r="1609" spans="1:6" x14ac:dyDescent="0.25">
      <c r="A1609" s="2"/>
      <c r="B1609" s="2"/>
      <c r="C1609" s="2"/>
      <c r="D1609" s="2"/>
      <c r="E1609" s="2"/>
      <c r="F1609" s="2"/>
    </row>
    <row r="1610" spans="1:6" x14ac:dyDescent="0.25">
      <c r="A1610" s="2"/>
      <c r="B1610" s="2"/>
      <c r="C1610" s="2"/>
      <c r="D1610" s="2"/>
      <c r="E1610" s="2"/>
      <c r="F1610" s="2"/>
    </row>
    <row r="1611" spans="1:6" x14ac:dyDescent="0.25">
      <c r="A1611" s="2"/>
      <c r="B1611" s="2"/>
      <c r="C1611" s="2"/>
      <c r="D1611" s="2"/>
      <c r="E1611" s="2"/>
      <c r="F1611" s="2"/>
    </row>
    <row r="1612" spans="1:6" x14ac:dyDescent="0.25">
      <c r="A1612" s="2"/>
      <c r="B1612" s="2"/>
      <c r="C1612" s="2"/>
      <c r="D1612" s="2"/>
      <c r="E1612" s="2"/>
      <c r="F1612" s="2"/>
    </row>
    <row r="1613" spans="1:6" x14ac:dyDescent="0.25">
      <c r="A1613" s="2"/>
      <c r="B1613" s="2"/>
      <c r="C1613" s="2"/>
      <c r="D1613" s="2"/>
      <c r="E1613" s="2"/>
      <c r="F1613" s="2"/>
    </row>
    <row r="1614" spans="1:6" x14ac:dyDescent="0.25">
      <c r="A1614" s="2"/>
      <c r="B1614" s="2"/>
      <c r="C1614" s="2"/>
      <c r="D1614" s="2"/>
      <c r="E1614" s="2"/>
      <c r="F1614" s="2"/>
    </row>
    <row r="1615" spans="1:6" x14ac:dyDescent="0.25">
      <c r="A1615" s="2"/>
      <c r="B1615" s="2"/>
      <c r="C1615" s="2"/>
      <c r="D1615" s="2"/>
      <c r="E1615" s="2"/>
      <c r="F1615" s="2"/>
    </row>
    <row r="1616" spans="1:6" x14ac:dyDescent="0.25">
      <c r="A1616" s="2"/>
      <c r="B1616" s="2"/>
      <c r="C1616" s="2"/>
      <c r="D1616" s="2"/>
      <c r="E1616" s="2"/>
      <c r="F1616" s="2"/>
    </row>
    <row r="1617" spans="1:6" x14ac:dyDescent="0.25">
      <c r="A1617" s="2"/>
      <c r="B1617" s="2"/>
      <c r="C1617" s="2"/>
      <c r="D1617" s="2"/>
      <c r="E1617" s="2"/>
      <c r="F1617" s="2"/>
    </row>
    <row r="1618" spans="1:6" x14ac:dyDescent="0.25">
      <c r="A1618" s="2"/>
      <c r="B1618" s="2"/>
      <c r="C1618" s="2"/>
      <c r="D1618" s="2"/>
      <c r="E1618" s="2"/>
      <c r="F1618" s="2"/>
    </row>
    <row r="1619" spans="1:6" x14ac:dyDescent="0.25">
      <c r="A1619" s="2"/>
      <c r="B1619" s="2"/>
      <c r="C1619" s="2"/>
      <c r="D1619" s="2"/>
      <c r="E1619" s="2"/>
      <c r="F1619" s="2"/>
    </row>
    <row r="1620" spans="1:6" x14ac:dyDescent="0.25">
      <c r="A1620" s="2"/>
      <c r="B1620" s="2"/>
      <c r="C1620" s="2"/>
      <c r="D1620" s="2"/>
      <c r="E1620" s="2"/>
      <c r="F1620" s="2"/>
    </row>
    <row r="1621" spans="1:6" x14ac:dyDescent="0.25">
      <c r="A1621" s="2"/>
      <c r="B1621" s="2"/>
      <c r="C1621" s="2"/>
      <c r="D1621" s="2"/>
      <c r="E1621" s="2"/>
      <c r="F1621" s="2"/>
    </row>
    <row r="1622" spans="1:6" x14ac:dyDescent="0.25">
      <c r="A1622" s="2"/>
      <c r="B1622" s="2"/>
      <c r="C1622" s="2"/>
      <c r="D1622" s="2"/>
      <c r="E1622" s="2"/>
      <c r="F1622" s="2"/>
    </row>
    <row r="1623" spans="1:6" x14ac:dyDescent="0.25">
      <c r="A1623" s="2"/>
      <c r="B1623" s="2"/>
      <c r="C1623" s="2"/>
      <c r="D1623" s="2"/>
      <c r="E1623" s="2"/>
      <c r="F1623" s="2"/>
    </row>
    <row r="1624" spans="1:6" x14ac:dyDescent="0.25">
      <c r="A1624" s="2"/>
      <c r="B1624" s="2"/>
      <c r="C1624" s="2"/>
      <c r="D1624" s="2"/>
      <c r="E1624" s="2"/>
      <c r="F1624" s="2"/>
    </row>
    <row r="1625" spans="1:6" x14ac:dyDescent="0.25">
      <c r="A1625" s="2"/>
      <c r="B1625" s="2"/>
      <c r="C1625" s="2"/>
      <c r="D1625" s="2"/>
      <c r="E1625" s="2"/>
      <c r="F1625" s="2"/>
    </row>
    <row r="1626" spans="1:6" x14ac:dyDescent="0.25">
      <c r="A1626" s="2"/>
      <c r="B1626" s="2"/>
      <c r="C1626" s="2"/>
      <c r="D1626" s="2"/>
      <c r="E1626" s="2"/>
      <c r="F1626" s="2"/>
    </row>
    <row r="1627" spans="1:6" x14ac:dyDescent="0.25">
      <c r="A1627" s="2"/>
      <c r="B1627" s="2"/>
      <c r="C1627" s="2"/>
      <c r="D1627" s="2"/>
      <c r="E1627" s="2"/>
      <c r="F1627" s="2"/>
    </row>
    <row r="1628" spans="1:6" x14ac:dyDescent="0.25">
      <c r="A1628" s="2"/>
      <c r="B1628" s="2"/>
      <c r="C1628" s="2"/>
      <c r="D1628" s="2"/>
      <c r="E1628" s="2"/>
      <c r="F1628" s="2"/>
    </row>
    <row r="1629" spans="1:6" x14ac:dyDescent="0.25">
      <c r="A1629" s="2"/>
      <c r="B1629" s="2"/>
      <c r="C1629" s="2"/>
      <c r="D1629" s="2"/>
      <c r="E1629" s="2"/>
      <c r="F1629" s="2"/>
    </row>
    <row r="1630" spans="1:6" x14ac:dyDescent="0.25">
      <c r="A1630" s="2"/>
      <c r="B1630" s="2"/>
      <c r="C1630" s="2"/>
      <c r="D1630" s="2"/>
      <c r="E1630" s="2"/>
      <c r="F1630" s="2"/>
    </row>
    <row r="1631" spans="1:6" x14ac:dyDescent="0.25">
      <c r="A1631" s="2"/>
      <c r="B1631" s="2"/>
      <c r="C1631" s="2"/>
      <c r="D1631" s="2"/>
      <c r="E1631" s="2"/>
      <c r="F1631" s="2"/>
    </row>
    <row r="1632" spans="1:6" x14ac:dyDescent="0.25">
      <c r="A1632" s="2"/>
      <c r="B1632" s="2"/>
      <c r="C1632" s="2"/>
      <c r="D1632" s="2"/>
      <c r="E1632" s="2"/>
      <c r="F1632" s="2"/>
    </row>
    <row r="1633" spans="1:6" x14ac:dyDescent="0.25">
      <c r="A1633" s="2"/>
      <c r="B1633" s="2"/>
      <c r="C1633" s="2"/>
      <c r="D1633" s="2"/>
      <c r="E1633" s="2"/>
      <c r="F1633" s="2"/>
    </row>
    <row r="1634" spans="1:6" x14ac:dyDescent="0.25">
      <c r="A1634" s="2"/>
      <c r="B1634" s="2"/>
      <c r="C1634" s="2"/>
      <c r="D1634" s="2"/>
      <c r="E1634" s="2"/>
      <c r="F1634" s="2"/>
    </row>
    <row r="1635" spans="1:6" x14ac:dyDescent="0.25">
      <c r="A1635" s="2"/>
      <c r="B1635" s="2"/>
      <c r="C1635" s="2"/>
      <c r="D1635" s="2"/>
      <c r="E1635" s="2"/>
      <c r="F1635" s="2"/>
    </row>
    <row r="1636" spans="1:6" x14ac:dyDescent="0.25">
      <c r="A1636" s="2"/>
      <c r="B1636" s="2"/>
      <c r="C1636" s="2"/>
      <c r="D1636" s="2"/>
      <c r="E1636" s="2"/>
      <c r="F1636" s="2"/>
    </row>
    <row r="1637" spans="1:6" x14ac:dyDescent="0.25">
      <c r="A1637" s="2"/>
      <c r="B1637" s="2"/>
      <c r="C1637" s="2"/>
      <c r="D1637" s="2"/>
      <c r="E1637" s="2"/>
      <c r="F1637" s="2"/>
    </row>
    <row r="1638" spans="1:6" x14ac:dyDescent="0.25">
      <c r="A1638" s="2"/>
      <c r="B1638" s="2"/>
      <c r="C1638" s="2"/>
      <c r="D1638" s="2"/>
      <c r="E1638" s="2"/>
      <c r="F1638" s="2"/>
    </row>
    <row r="1639" spans="1:6" x14ac:dyDescent="0.25">
      <c r="A1639" s="2"/>
      <c r="B1639" s="2"/>
      <c r="C1639" s="2"/>
      <c r="D1639" s="2"/>
      <c r="E1639" s="2"/>
      <c r="F1639" s="2"/>
    </row>
    <row r="1640" spans="1:6" x14ac:dyDescent="0.25">
      <c r="A1640" s="2"/>
      <c r="B1640" s="2"/>
      <c r="C1640" s="2"/>
      <c r="D1640" s="2"/>
      <c r="E1640" s="2"/>
      <c r="F1640" s="2"/>
    </row>
    <row r="1641" spans="1:6" x14ac:dyDescent="0.25">
      <c r="A1641" s="2"/>
      <c r="B1641" s="2"/>
      <c r="C1641" s="2"/>
      <c r="D1641" s="2"/>
      <c r="E1641" s="2"/>
      <c r="F1641" s="2"/>
    </row>
    <row r="1642" spans="1:6" x14ac:dyDescent="0.25">
      <c r="A1642" s="2"/>
      <c r="B1642" s="2"/>
      <c r="C1642" s="2"/>
      <c r="D1642" s="2"/>
      <c r="E1642" s="2"/>
      <c r="F1642" s="2"/>
    </row>
    <row r="1643" spans="1:6" x14ac:dyDescent="0.25">
      <c r="A1643" s="2"/>
      <c r="B1643" s="2"/>
      <c r="C1643" s="2"/>
      <c r="D1643" s="2"/>
      <c r="E1643" s="2"/>
      <c r="F1643" s="2"/>
    </row>
    <row r="1644" spans="1:6" x14ac:dyDescent="0.25">
      <c r="A1644" s="2"/>
      <c r="B1644" s="2"/>
      <c r="C1644" s="2"/>
      <c r="D1644" s="2"/>
      <c r="E1644" s="2"/>
      <c r="F1644" s="2"/>
    </row>
    <row r="1645" spans="1:6" x14ac:dyDescent="0.25">
      <c r="A1645" s="2"/>
      <c r="B1645" s="2"/>
      <c r="C1645" s="2"/>
      <c r="D1645" s="2"/>
      <c r="E1645" s="2"/>
      <c r="F1645" s="2"/>
    </row>
    <row r="1646" spans="1:6" x14ac:dyDescent="0.25">
      <c r="A1646" s="2"/>
      <c r="B1646" s="2"/>
      <c r="C1646" s="2"/>
      <c r="D1646" s="2"/>
      <c r="E1646" s="2"/>
      <c r="F1646" s="2"/>
    </row>
    <row r="1647" spans="1:6" x14ac:dyDescent="0.25">
      <c r="A1647" s="2"/>
      <c r="B1647" s="2"/>
      <c r="C1647" s="2"/>
      <c r="D1647" s="2"/>
      <c r="E1647" s="2"/>
      <c r="F1647" s="2"/>
    </row>
    <row r="1648" spans="1:6" x14ac:dyDescent="0.25">
      <c r="A1648" s="2"/>
      <c r="B1648" s="2"/>
      <c r="C1648" s="2"/>
      <c r="D1648" s="2"/>
      <c r="E1648" s="2"/>
      <c r="F1648" s="2"/>
    </row>
    <row r="1649" spans="1:6" x14ac:dyDescent="0.25">
      <c r="A1649" s="2"/>
      <c r="B1649" s="2"/>
      <c r="C1649" s="2"/>
      <c r="D1649" s="2"/>
      <c r="E1649" s="2"/>
      <c r="F1649" s="2"/>
    </row>
    <row r="1650" spans="1:6" x14ac:dyDescent="0.25">
      <c r="A1650" s="2"/>
      <c r="B1650" s="2"/>
      <c r="C1650" s="2"/>
      <c r="D1650" s="2"/>
      <c r="E1650" s="2"/>
      <c r="F1650" s="2"/>
    </row>
    <row r="1651" spans="1:6" x14ac:dyDescent="0.25">
      <c r="A1651" s="2"/>
      <c r="B1651" s="2"/>
      <c r="C1651" s="2"/>
      <c r="D1651" s="2"/>
      <c r="E1651" s="2"/>
      <c r="F1651" s="2"/>
    </row>
    <row r="1652" spans="1:6" x14ac:dyDescent="0.25">
      <c r="A1652" s="2"/>
      <c r="B1652" s="2"/>
      <c r="C1652" s="2"/>
      <c r="D1652" s="2"/>
      <c r="E1652" s="2"/>
      <c r="F1652" s="2"/>
    </row>
    <row r="1653" spans="1:6" x14ac:dyDescent="0.25">
      <c r="A1653" s="2"/>
      <c r="B1653" s="2"/>
      <c r="C1653" s="2"/>
      <c r="D1653" s="2"/>
      <c r="E1653" s="2"/>
      <c r="F1653" s="2"/>
    </row>
    <row r="1654" spans="1:6" x14ac:dyDescent="0.25">
      <c r="A1654" s="2"/>
      <c r="B1654" s="2"/>
      <c r="C1654" s="2"/>
      <c r="D1654" s="2"/>
      <c r="E1654" s="2"/>
      <c r="F1654" s="2"/>
    </row>
    <row r="1655" spans="1:6" x14ac:dyDescent="0.25">
      <c r="A1655" s="2"/>
      <c r="B1655" s="2"/>
      <c r="C1655" s="2"/>
      <c r="D1655" s="2"/>
      <c r="E1655" s="2"/>
      <c r="F1655" s="2"/>
    </row>
    <row r="1656" spans="1:6" x14ac:dyDescent="0.25">
      <c r="A1656" s="2"/>
      <c r="B1656" s="2"/>
      <c r="C1656" s="2"/>
      <c r="D1656" s="2"/>
      <c r="E1656" s="2"/>
      <c r="F1656" s="2"/>
    </row>
    <row r="1657" spans="1:6" x14ac:dyDescent="0.25">
      <c r="A1657" s="2"/>
      <c r="B1657" s="2"/>
      <c r="C1657" s="2"/>
      <c r="D1657" s="2"/>
      <c r="E1657" s="2"/>
      <c r="F1657" s="2"/>
    </row>
    <row r="1658" spans="1:6" x14ac:dyDescent="0.25">
      <c r="A1658" s="2"/>
      <c r="B1658" s="2"/>
      <c r="C1658" s="2"/>
      <c r="D1658" s="2"/>
      <c r="E1658" s="2"/>
      <c r="F1658" s="2"/>
    </row>
    <row r="1659" spans="1:6" x14ac:dyDescent="0.25">
      <c r="A1659" s="2"/>
      <c r="B1659" s="2"/>
      <c r="C1659" s="2"/>
      <c r="D1659" s="2"/>
      <c r="E1659" s="2"/>
      <c r="F1659" s="2"/>
    </row>
    <row r="1660" spans="1:6" x14ac:dyDescent="0.25">
      <c r="A1660" s="2"/>
      <c r="B1660" s="2"/>
      <c r="C1660" s="2"/>
      <c r="D1660" s="2"/>
      <c r="E1660" s="2"/>
      <c r="F1660" s="2"/>
    </row>
    <row r="1661" spans="1:6" x14ac:dyDescent="0.25">
      <c r="A1661" s="2"/>
      <c r="B1661" s="2"/>
      <c r="C1661" s="2"/>
      <c r="D1661" s="2"/>
      <c r="E1661" s="2"/>
      <c r="F1661" s="2"/>
    </row>
    <row r="1662" spans="1:6" x14ac:dyDescent="0.25">
      <c r="A1662" s="2"/>
      <c r="B1662" s="2"/>
      <c r="C1662" s="2"/>
      <c r="D1662" s="2"/>
      <c r="E1662" s="2"/>
      <c r="F1662" s="2"/>
    </row>
    <row r="1663" spans="1:6" x14ac:dyDescent="0.25">
      <c r="A1663" s="2"/>
      <c r="B1663" s="2"/>
      <c r="C1663" s="2"/>
      <c r="D1663" s="2"/>
      <c r="E1663" s="2"/>
      <c r="F1663" s="2"/>
    </row>
    <row r="1664" spans="1:6" x14ac:dyDescent="0.25">
      <c r="A1664" s="2"/>
      <c r="B1664" s="2"/>
      <c r="C1664" s="2"/>
      <c r="D1664" s="2"/>
      <c r="E1664" s="2"/>
      <c r="F1664" s="2"/>
    </row>
    <row r="1665" spans="1:6" x14ac:dyDescent="0.25">
      <c r="A1665" s="2"/>
      <c r="B1665" s="2"/>
      <c r="C1665" s="2"/>
      <c r="D1665" s="2"/>
      <c r="E1665" s="2"/>
      <c r="F1665" s="2"/>
    </row>
    <row r="1666" spans="1:6" x14ac:dyDescent="0.25">
      <c r="A1666" s="2"/>
      <c r="B1666" s="2"/>
      <c r="C1666" s="2"/>
      <c r="D1666" s="2"/>
      <c r="E1666" s="2"/>
      <c r="F1666" s="2"/>
    </row>
    <row r="1667" spans="1:6" x14ac:dyDescent="0.25">
      <c r="A1667" s="2"/>
      <c r="B1667" s="2"/>
      <c r="C1667" s="2"/>
      <c r="D1667" s="2"/>
      <c r="E1667" s="2"/>
      <c r="F1667" s="2"/>
    </row>
    <row r="1668" spans="1:6" x14ac:dyDescent="0.25">
      <c r="A1668" s="2"/>
      <c r="B1668" s="2"/>
      <c r="C1668" s="2"/>
      <c r="D1668" s="2"/>
      <c r="E1668" s="2"/>
      <c r="F1668" s="2"/>
    </row>
    <row r="1669" spans="1:6" x14ac:dyDescent="0.25">
      <c r="A1669" s="2"/>
      <c r="B1669" s="2"/>
      <c r="C1669" s="2"/>
      <c r="D1669" s="2"/>
      <c r="E1669" s="2"/>
      <c r="F1669" s="2"/>
    </row>
    <row r="1670" spans="1:6" x14ac:dyDescent="0.25">
      <c r="A1670" s="2"/>
      <c r="B1670" s="2"/>
      <c r="C1670" s="2"/>
      <c r="D1670" s="2"/>
      <c r="E1670" s="2"/>
      <c r="F1670" s="2"/>
    </row>
    <row r="1671" spans="1:6" x14ac:dyDescent="0.25">
      <c r="A1671" s="2"/>
      <c r="B1671" s="2"/>
      <c r="C1671" s="2"/>
      <c r="D1671" s="2"/>
      <c r="E1671" s="2"/>
      <c r="F1671" s="2"/>
    </row>
    <row r="1672" spans="1:6" x14ac:dyDescent="0.25">
      <c r="A1672" s="2"/>
      <c r="B1672" s="2"/>
      <c r="C1672" s="2"/>
      <c r="D1672" s="2"/>
      <c r="E1672" s="2"/>
      <c r="F1672" s="2"/>
    </row>
    <row r="1673" spans="1:6" x14ac:dyDescent="0.25">
      <c r="A1673" s="2"/>
      <c r="B1673" s="2"/>
      <c r="C1673" s="2"/>
      <c r="D1673" s="2"/>
      <c r="E1673" s="2"/>
      <c r="F1673" s="2"/>
    </row>
    <row r="1674" spans="1:6" x14ac:dyDescent="0.25">
      <c r="A1674" s="2"/>
      <c r="B1674" s="2"/>
      <c r="C1674" s="2"/>
      <c r="D1674" s="2"/>
      <c r="E1674" s="2"/>
      <c r="F1674" s="2"/>
    </row>
    <row r="1675" spans="1:6" x14ac:dyDescent="0.25">
      <c r="A1675" s="2"/>
      <c r="B1675" s="2"/>
      <c r="C1675" s="2"/>
      <c r="D1675" s="2"/>
      <c r="E1675" s="2"/>
      <c r="F1675" s="2"/>
    </row>
    <row r="1676" spans="1:6" x14ac:dyDescent="0.25">
      <c r="A1676" s="2"/>
      <c r="B1676" s="2"/>
      <c r="C1676" s="2"/>
      <c r="D1676" s="2"/>
      <c r="E1676" s="2"/>
      <c r="F1676" s="2"/>
    </row>
    <row r="1677" spans="1:6" x14ac:dyDescent="0.25">
      <c r="A1677" s="2"/>
      <c r="B1677" s="2"/>
      <c r="C1677" s="2"/>
      <c r="D1677" s="2"/>
      <c r="E1677" s="2"/>
      <c r="F1677" s="2"/>
    </row>
    <row r="1678" spans="1:6" x14ac:dyDescent="0.25">
      <c r="A1678" s="2"/>
      <c r="B1678" s="2"/>
      <c r="C1678" s="2"/>
      <c r="D1678" s="2"/>
      <c r="E1678" s="2"/>
      <c r="F1678" s="2"/>
    </row>
    <row r="1679" spans="1:6" x14ac:dyDescent="0.25">
      <c r="A1679" s="2"/>
      <c r="B1679" s="2"/>
      <c r="C1679" s="2"/>
      <c r="D1679" s="2"/>
      <c r="E1679" s="2"/>
      <c r="F1679" s="2"/>
    </row>
    <row r="1680" spans="1:6" x14ac:dyDescent="0.25">
      <c r="A1680" s="2"/>
      <c r="B1680" s="2"/>
      <c r="C1680" s="2"/>
      <c r="D1680" s="2"/>
      <c r="E1680" s="2"/>
      <c r="F1680" s="2"/>
    </row>
    <row r="1681" spans="1:6" x14ac:dyDescent="0.25">
      <c r="A1681" s="2"/>
      <c r="B1681" s="2"/>
      <c r="C1681" s="2"/>
      <c r="D1681" s="2"/>
      <c r="E1681" s="2"/>
      <c r="F1681" s="2"/>
    </row>
    <row r="1682" spans="1:6" x14ac:dyDescent="0.25">
      <c r="A1682" s="2"/>
      <c r="B1682" s="2"/>
      <c r="C1682" s="2"/>
      <c r="D1682" s="2"/>
      <c r="E1682" s="2"/>
      <c r="F1682" s="2"/>
    </row>
    <row r="1683" spans="1:6" x14ac:dyDescent="0.25">
      <c r="A1683" s="2"/>
      <c r="B1683" s="2"/>
      <c r="C1683" s="2"/>
      <c r="D1683" s="2"/>
      <c r="E1683" s="2"/>
      <c r="F1683" s="2"/>
    </row>
    <row r="1684" spans="1:6" x14ac:dyDescent="0.25">
      <c r="A1684" s="2"/>
      <c r="B1684" s="2"/>
      <c r="C1684" s="2"/>
      <c r="D1684" s="2"/>
      <c r="E1684" s="2"/>
      <c r="F1684" s="2"/>
    </row>
    <row r="1685" spans="1:6" x14ac:dyDescent="0.25">
      <c r="A1685" s="2"/>
      <c r="B1685" s="2"/>
      <c r="C1685" s="2"/>
      <c r="D1685" s="2"/>
      <c r="E1685" s="2"/>
      <c r="F1685" s="2"/>
    </row>
    <row r="1686" spans="1:6" x14ac:dyDescent="0.25">
      <c r="A1686" s="2"/>
      <c r="B1686" s="2"/>
      <c r="C1686" s="2"/>
      <c r="D1686" s="2"/>
      <c r="E1686" s="2"/>
      <c r="F1686" s="2"/>
    </row>
    <row r="1687" spans="1:6" x14ac:dyDescent="0.25">
      <c r="A1687" s="2"/>
      <c r="B1687" s="2"/>
      <c r="C1687" s="2"/>
      <c r="D1687" s="2"/>
      <c r="E1687" s="2"/>
      <c r="F1687" s="2"/>
    </row>
    <row r="1688" spans="1:6" x14ac:dyDescent="0.25">
      <c r="A1688" s="2"/>
      <c r="B1688" s="2"/>
      <c r="C1688" s="2"/>
      <c r="D1688" s="2"/>
      <c r="E1688" s="2"/>
      <c r="F1688" s="2"/>
    </row>
    <row r="1689" spans="1:6" x14ac:dyDescent="0.25">
      <c r="A1689" s="2"/>
      <c r="B1689" s="2"/>
      <c r="C1689" s="2"/>
      <c r="D1689" s="2"/>
      <c r="E1689" s="2"/>
      <c r="F1689" s="2"/>
    </row>
    <row r="1690" spans="1:6" x14ac:dyDescent="0.25">
      <c r="A1690" s="2"/>
      <c r="B1690" s="2"/>
      <c r="C1690" s="2"/>
      <c r="D1690" s="2"/>
      <c r="E1690" s="2"/>
      <c r="F1690" s="2"/>
    </row>
    <row r="1691" spans="1:6" x14ac:dyDescent="0.25">
      <c r="A1691" s="2"/>
      <c r="B1691" s="2"/>
      <c r="C1691" s="2"/>
      <c r="D1691" s="2"/>
      <c r="E1691" s="2"/>
      <c r="F1691" s="2"/>
    </row>
    <row r="1692" spans="1:6" x14ac:dyDescent="0.25">
      <c r="A1692" s="2"/>
      <c r="B1692" s="2"/>
      <c r="C1692" s="2"/>
      <c r="D1692" s="2"/>
      <c r="E1692" s="2"/>
      <c r="F1692" s="2"/>
    </row>
    <row r="1693" spans="1:6" x14ac:dyDescent="0.25">
      <c r="A1693" s="2"/>
      <c r="B1693" s="2"/>
      <c r="C1693" s="2"/>
      <c r="D1693" s="2"/>
      <c r="E1693" s="2"/>
      <c r="F1693" s="2"/>
    </row>
    <row r="1694" spans="1:6" x14ac:dyDescent="0.25">
      <c r="A1694" s="2"/>
      <c r="B1694" s="2"/>
      <c r="C1694" s="2"/>
      <c r="D1694" s="2"/>
      <c r="E1694" s="2"/>
      <c r="F1694" s="2"/>
    </row>
    <row r="1695" spans="1:6" x14ac:dyDescent="0.25">
      <c r="A1695" s="2"/>
      <c r="B1695" s="2"/>
      <c r="C1695" s="2"/>
      <c r="D1695" s="2"/>
      <c r="E1695" s="2"/>
      <c r="F1695" s="2"/>
    </row>
    <row r="1696" spans="1:6" x14ac:dyDescent="0.25">
      <c r="A1696" s="2"/>
      <c r="B1696" s="2"/>
      <c r="C1696" s="2"/>
      <c r="D1696" s="2"/>
      <c r="E1696" s="2"/>
      <c r="F1696" s="2"/>
    </row>
    <row r="1697" spans="1:6" x14ac:dyDescent="0.25">
      <c r="A1697" s="2"/>
      <c r="B1697" s="2"/>
      <c r="C1697" s="2"/>
      <c r="D1697" s="2"/>
      <c r="E1697" s="2"/>
      <c r="F1697" s="2"/>
    </row>
    <row r="1698" spans="1:6" x14ac:dyDescent="0.25">
      <c r="A1698" s="2"/>
      <c r="B1698" s="2"/>
      <c r="C1698" s="2"/>
      <c r="D1698" s="2"/>
      <c r="E1698" s="2"/>
      <c r="F1698" s="2"/>
    </row>
    <row r="1699" spans="1:6" x14ac:dyDescent="0.25">
      <c r="A1699" s="2"/>
      <c r="B1699" s="2"/>
      <c r="C1699" s="2"/>
      <c r="D1699" s="2"/>
      <c r="E1699" s="2"/>
      <c r="F1699" s="2"/>
    </row>
    <row r="1700" spans="1:6" x14ac:dyDescent="0.25">
      <c r="A1700" s="2"/>
      <c r="B1700" s="2"/>
      <c r="C1700" s="2"/>
      <c r="D1700" s="2"/>
      <c r="E1700" s="2"/>
      <c r="F1700" s="2"/>
    </row>
    <row r="1701" spans="1:6" x14ac:dyDescent="0.25">
      <c r="A1701" s="2"/>
      <c r="B1701" s="2"/>
      <c r="C1701" s="2"/>
      <c r="D1701" s="2"/>
      <c r="E1701" s="2"/>
      <c r="F1701" s="2"/>
    </row>
    <row r="1702" spans="1:6" x14ac:dyDescent="0.25">
      <c r="A1702" s="2"/>
      <c r="B1702" s="2"/>
      <c r="C1702" s="2"/>
      <c r="D1702" s="2"/>
      <c r="E1702" s="2"/>
      <c r="F1702" s="2"/>
    </row>
    <row r="1703" spans="1:6" x14ac:dyDescent="0.25">
      <c r="A1703" s="2"/>
      <c r="B1703" s="2"/>
      <c r="C1703" s="2"/>
      <c r="D1703" s="2"/>
      <c r="E1703" s="2"/>
      <c r="F1703" s="2"/>
    </row>
    <row r="1704" spans="1:6" x14ac:dyDescent="0.25">
      <c r="A1704" s="2"/>
      <c r="B1704" s="2"/>
      <c r="C1704" s="2"/>
      <c r="D1704" s="2"/>
      <c r="E1704" s="2"/>
      <c r="F1704" s="2"/>
    </row>
    <row r="1705" spans="1:6" x14ac:dyDescent="0.25">
      <c r="A1705" s="2"/>
      <c r="B1705" s="2"/>
      <c r="C1705" s="2"/>
      <c r="D1705" s="2"/>
      <c r="E1705" s="2"/>
      <c r="F1705" s="2"/>
    </row>
    <row r="1706" spans="1:6" x14ac:dyDescent="0.25">
      <c r="A1706" s="2"/>
      <c r="B1706" s="2"/>
      <c r="C1706" s="2"/>
      <c r="D1706" s="2"/>
      <c r="E1706" s="2"/>
      <c r="F1706" s="2"/>
    </row>
    <row r="1707" spans="1:6" x14ac:dyDescent="0.25">
      <c r="A1707" s="2"/>
      <c r="B1707" s="2"/>
      <c r="C1707" s="2"/>
      <c r="D1707" s="2"/>
      <c r="E1707" s="2"/>
      <c r="F1707" s="2"/>
    </row>
    <row r="1708" spans="1:6" x14ac:dyDescent="0.25">
      <c r="A1708" s="2"/>
      <c r="B1708" s="2"/>
      <c r="C1708" s="2"/>
      <c r="D1708" s="2"/>
      <c r="E1708" s="2"/>
      <c r="F1708" s="2"/>
    </row>
    <row r="1709" spans="1:6" x14ac:dyDescent="0.25">
      <c r="A1709" s="2"/>
      <c r="B1709" s="2"/>
      <c r="C1709" s="2"/>
      <c r="D1709" s="2"/>
      <c r="E1709" s="2"/>
      <c r="F1709" s="2"/>
    </row>
    <row r="1710" spans="1:6" x14ac:dyDescent="0.25">
      <c r="A1710" s="2"/>
      <c r="B1710" s="2"/>
      <c r="C1710" s="2"/>
      <c r="D1710" s="2"/>
      <c r="E1710" s="2"/>
      <c r="F1710" s="2"/>
    </row>
    <row r="1711" spans="1:6" x14ac:dyDescent="0.25">
      <c r="A1711" s="2"/>
      <c r="B1711" s="2"/>
      <c r="C1711" s="2"/>
      <c r="D1711" s="2"/>
      <c r="E1711" s="2"/>
      <c r="F1711" s="2"/>
    </row>
    <row r="1712" spans="1:6" x14ac:dyDescent="0.25">
      <c r="A1712" s="2"/>
      <c r="B1712" s="2"/>
      <c r="C1712" s="2"/>
      <c r="D1712" s="2"/>
      <c r="E1712" s="2"/>
      <c r="F1712" s="2"/>
    </row>
    <row r="1713" spans="1:6" x14ac:dyDescent="0.25">
      <c r="A1713" s="2"/>
      <c r="B1713" s="2"/>
      <c r="C1713" s="2"/>
      <c r="D1713" s="2"/>
      <c r="E1713" s="2"/>
      <c r="F1713" s="2"/>
    </row>
    <row r="1714" spans="1:6" x14ac:dyDescent="0.25">
      <c r="A1714" s="2"/>
      <c r="B1714" s="2"/>
      <c r="C1714" s="2"/>
      <c r="D1714" s="2"/>
      <c r="E1714" s="2"/>
      <c r="F1714" s="2"/>
    </row>
    <row r="1715" spans="1:6" x14ac:dyDescent="0.25">
      <c r="A1715" s="2"/>
      <c r="B1715" s="2"/>
      <c r="C1715" s="2"/>
      <c r="D1715" s="2"/>
      <c r="E1715" s="2"/>
      <c r="F1715" s="2"/>
    </row>
    <row r="1716" spans="1:6" x14ac:dyDescent="0.25">
      <c r="A1716" s="2"/>
      <c r="B1716" s="2"/>
      <c r="C1716" s="2"/>
      <c r="D1716" s="2"/>
      <c r="E1716" s="2"/>
      <c r="F1716" s="2"/>
    </row>
    <row r="1717" spans="1:6" x14ac:dyDescent="0.25">
      <c r="A1717" s="2"/>
      <c r="B1717" s="2"/>
      <c r="C1717" s="2"/>
      <c r="D1717" s="2"/>
      <c r="E1717" s="2"/>
      <c r="F1717" s="2"/>
    </row>
    <row r="1718" spans="1:6" x14ac:dyDescent="0.25">
      <c r="A1718" s="2"/>
      <c r="B1718" s="2"/>
      <c r="C1718" s="2"/>
      <c r="D1718" s="2"/>
      <c r="E1718" s="2"/>
      <c r="F1718" s="2"/>
    </row>
    <row r="1719" spans="1:6" x14ac:dyDescent="0.25">
      <c r="A1719" s="2"/>
      <c r="B1719" s="2"/>
      <c r="C1719" s="2"/>
      <c r="D1719" s="2"/>
      <c r="E1719" s="2"/>
      <c r="F1719" s="2"/>
    </row>
    <row r="1720" spans="1:6" x14ac:dyDescent="0.25">
      <c r="A1720" s="2"/>
      <c r="B1720" s="2"/>
      <c r="C1720" s="2"/>
      <c r="D1720" s="2"/>
      <c r="E1720" s="2"/>
      <c r="F1720" s="2"/>
    </row>
    <row r="1721" spans="1:6" x14ac:dyDescent="0.25">
      <c r="A1721" s="2"/>
      <c r="B1721" s="2"/>
      <c r="C1721" s="2"/>
      <c r="D1721" s="2"/>
      <c r="E1721" s="2"/>
      <c r="F1721" s="2"/>
    </row>
    <row r="1722" spans="1:6" x14ac:dyDescent="0.25">
      <c r="A1722" s="2"/>
      <c r="B1722" s="2"/>
      <c r="C1722" s="2"/>
      <c r="D1722" s="2"/>
      <c r="E1722" s="2"/>
      <c r="F1722" s="2"/>
    </row>
    <row r="1723" spans="1:6" x14ac:dyDescent="0.25">
      <c r="A1723" s="2"/>
      <c r="B1723" s="2"/>
      <c r="C1723" s="2"/>
      <c r="D1723" s="2"/>
      <c r="E1723" s="2"/>
      <c r="F1723" s="2"/>
    </row>
    <row r="1724" spans="1:6" x14ac:dyDescent="0.25">
      <c r="A1724" s="2"/>
      <c r="B1724" s="2"/>
      <c r="C1724" s="2"/>
      <c r="D1724" s="2"/>
      <c r="E1724" s="2"/>
      <c r="F1724" s="2"/>
    </row>
    <row r="1725" spans="1:6" x14ac:dyDescent="0.25">
      <c r="A1725" s="2"/>
      <c r="B1725" s="2"/>
      <c r="C1725" s="2"/>
      <c r="D1725" s="2"/>
      <c r="E1725" s="2"/>
      <c r="F1725" s="2"/>
    </row>
    <row r="1726" spans="1:6" x14ac:dyDescent="0.25">
      <c r="A1726" s="2"/>
      <c r="B1726" s="2"/>
      <c r="C1726" s="2"/>
      <c r="D1726" s="2"/>
      <c r="E1726" s="2"/>
      <c r="F1726" s="2"/>
    </row>
    <row r="1727" spans="1:6" x14ac:dyDescent="0.25">
      <c r="A1727" s="2"/>
      <c r="B1727" s="2"/>
      <c r="C1727" s="2"/>
      <c r="D1727" s="2"/>
      <c r="E1727" s="2"/>
      <c r="F1727" s="2"/>
    </row>
    <row r="1728" spans="1:6" x14ac:dyDescent="0.25">
      <c r="A1728" s="2"/>
      <c r="B1728" s="2"/>
      <c r="C1728" s="2"/>
      <c r="D1728" s="2"/>
      <c r="E1728" s="2"/>
      <c r="F1728" s="2"/>
    </row>
    <row r="1729" spans="1:6" x14ac:dyDescent="0.25">
      <c r="A1729" s="2"/>
      <c r="B1729" s="2"/>
      <c r="C1729" s="2"/>
      <c r="D1729" s="2"/>
      <c r="E1729" s="2"/>
      <c r="F1729" s="2"/>
    </row>
    <row r="1730" spans="1:6" x14ac:dyDescent="0.25">
      <c r="A1730" s="2"/>
      <c r="B1730" s="2"/>
      <c r="C1730" s="2"/>
      <c r="D1730" s="2"/>
      <c r="E1730" s="2"/>
      <c r="F1730" s="2"/>
    </row>
    <row r="1731" spans="1:6" x14ac:dyDescent="0.25">
      <c r="A1731" s="2"/>
      <c r="B1731" s="2"/>
      <c r="C1731" s="2"/>
      <c r="D1731" s="2"/>
      <c r="E1731" s="2"/>
      <c r="F1731" s="2"/>
    </row>
    <row r="1732" spans="1:6" x14ac:dyDescent="0.25">
      <c r="A1732" s="2"/>
      <c r="B1732" s="2"/>
      <c r="C1732" s="2"/>
      <c r="D1732" s="2"/>
      <c r="E1732" s="2"/>
      <c r="F1732" s="2"/>
    </row>
    <row r="1733" spans="1:6" x14ac:dyDescent="0.25">
      <c r="A1733" s="2"/>
      <c r="B1733" s="2"/>
      <c r="C1733" s="2"/>
      <c r="D1733" s="2"/>
      <c r="E1733" s="2"/>
      <c r="F1733" s="2"/>
    </row>
    <row r="1734" spans="1:6" x14ac:dyDescent="0.25">
      <c r="A1734" s="2"/>
      <c r="B1734" s="2"/>
      <c r="C1734" s="2"/>
      <c r="D1734" s="2"/>
      <c r="E1734" s="2"/>
      <c r="F1734" s="2"/>
    </row>
    <row r="1735" spans="1:6" x14ac:dyDescent="0.25">
      <c r="A1735" s="2"/>
      <c r="B1735" s="2"/>
      <c r="C1735" s="2"/>
      <c r="D1735" s="2"/>
      <c r="E1735" s="2"/>
      <c r="F1735" s="2"/>
    </row>
    <row r="1736" spans="1:6" x14ac:dyDescent="0.25">
      <c r="A1736" s="2"/>
      <c r="B1736" s="2"/>
      <c r="C1736" s="2"/>
      <c r="D1736" s="2"/>
      <c r="E1736" s="2"/>
      <c r="F1736" s="2"/>
    </row>
    <row r="1737" spans="1:6" x14ac:dyDescent="0.25">
      <c r="A1737" s="2"/>
      <c r="B1737" s="2"/>
      <c r="C1737" s="2"/>
      <c r="D1737" s="2"/>
      <c r="E1737" s="2"/>
      <c r="F1737" s="2"/>
    </row>
    <row r="1738" spans="1:6" x14ac:dyDescent="0.25">
      <c r="A1738" s="2"/>
      <c r="B1738" s="2"/>
      <c r="C1738" s="2"/>
      <c r="D1738" s="2"/>
      <c r="E1738" s="2"/>
      <c r="F1738" s="2"/>
    </row>
    <row r="1739" spans="1:6" x14ac:dyDescent="0.25">
      <c r="A1739" s="2"/>
      <c r="B1739" s="2"/>
      <c r="C1739" s="2"/>
      <c r="D1739" s="2"/>
      <c r="E1739" s="2"/>
      <c r="F1739" s="2"/>
    </row>
    <row r="1740" spans="1:6" x14ac:dyDescent="0.25">
      <c r="A1740" s="2"/>
      <c r="B1740" s="2"/>
      <c r="C1740" s="2"/>
      <c r="D1740" s="2"/>
      <c r="E1740" s="2"/>
      <c r="F1740" s="2"/>
    </row>
    <row r="1741" spans="1:6" x14ac:dyDescent="0.25">
      <c r="A1741" s="2"/>
      <c r="B1741" s="2"/>
      <c r="C1741" s="2"/>
      <c r="D1741" s="2"/>
      <c r="E1741" s="2"/>
      <c r="F1741" s="2"/>
    </row>
    <row r="1742" spans="1:6" x14ac:dyDescent="0.25">
      <c r="A1742" s="2"/>
      <c r="B1742" s="2"/>
      <c r="C1742" s="2"/>
      <c r="D1742" s="2"/>
      <c r="E1742" s="2"/>
      <c r="F1742" s="2"/>
    </row>
    <row r="1743" spans="1:6" x14ac:dyDescent="0.25">
      <c r="A1743" s="2"/>
      <c r="B1743" s="2"/>
      <c r="C1743" s="2"/>
      <c r="D1743" s="2"/>
      <c r="E1743" s="2"/>
      <c r="F1743" s="2"/>
    </row>
    <row r="1744" spans="1:6" x14ac:dyDescent="0.25">
      <c r="A1744" s="2"/>
      <c r="B1744" s="2"/>
      <c r="C1744" s="2"/>
      <c r="D1744" s="2"/>
      <c r="E1744" s="2"/>
      <c r="F1744" s="2"/>
    </row>
    <row r="1745" spans="1:6" x14ac:dyDescent="0.25">
      <c r="A1745" s="2"/>
      <c r="B1745" s="2"/>
      <c r="C1745" s="2"/>
      <c r="D1745" s="2"/>
      <c r="E1745" s="2"/>
      <c r="F1745" s="2"/>
    </row>
    <row r="1746" spans="1:6" x14ac:dyDescent="0.25">
      <c r="A1746" s="2"/>
      <c r="B1746" s="2"/>
      <c r="C1746" s="2"/>
      <c r="D1746" s="2"/>
      <c r="E1746" s="2"/>
      <c r="F1746" s="2"/>
    </row>
    <row r="1747" spans="1:6" x14ac:dyDescent="0.25">
      <c r="A1747" s="2"/>
      <c r="B1747" s="2"/>
      <c r="C1747" s="2"/>
      <c r="D1747" s="2"/>
      <c r="E1747" s="2"/>
      <c r="F1747" s="2"/>
    </row>
    <row r="1748" spans="1:6" x14ac:dyDescent="0.25">
      <c r="A1748" s="2"/>
      <c r="B1748" s="2"/>
      <c r="C1748" s="2"/>
      <c r="D1748" s="2"/>
      <c r="E1748" s="2"/>
      <c r="F1748" s="2"/>
    </row>
    <row r="1749" spans="1:6" x14ac:dyDescent="0.25">
      <c r="A1749" s="2"/>
      <c r="B1749" s="2"/>
      <c r="C1749" s="2"/>
      <c r="D1749" s="2"/>
      <c r="E1749" s="2"/>
      <c r="F1749" s="2"/>
    </row>
    <row r="1750" spans="1:6" x14ac:dyDescent="0.25">
      <c r="A1750" s="2"/>
      <c r="B1750" s="2"/>
      <c r="C1750" s="2"/>
      <c r="D1750" s="2"/>
      <c r="E1750" s="2"/>
      <c r="F1750" s="2"/>
    </row>
    <row r="1751" spans="1:6" x14ac:dyDescent="0.25">
      <c r="A1751" s="2"/>
      <c r="B1751" s="2"/>
      <c r="C1751" s="2"/>
      <c r="D1751" s="2"/>
      <c r="E1751" s="2"/>
      <c r="F1751" s="2"/>
    </row>
    <row r="1752" spans="1:6" x14ac:dyDescent="0.25">
      <c r="A1752" s="2"/>
      <c r="B1752" s="2"/>
      <c r="C1752" s="2"/>
      <c r="D1752" s="2"/>
      <c r="E1752" s="2"/>
      <c r="F1752" s="2"/>
    </row>
    <row r="1753" spans="1:6" x14ac:dyDescent="0.25">
      <c r="A1753" s="2"/>
      <c r="B1753" s="2"/>
      <c r="C1753" s="2"/>
      <c r="D1753" s="2"/>
      <c r="E1753" s="2"/>
      <c r="F1753" s="2"/>
    </row>
    <row r="1754" spans="1:6" x14ac:dyDescent="0.25">
      <c r="A1754" s="2"/>
      <c r="B1754" s="2"/>
      <c r="C1754" s="2"/>
      <c r="D1754" s="2"/>
      <c r="E1754" s="2"/>
      <c r="F1754" s="2"/>
    </row>
    <row r="1755" spans="1:6" x14ac:dyDescent="0.25">
      <c r="A1755" s="2"/>
      <c r="B1755" s="2"/>
      <c r="C1755" s="2"/>
      <c r="D1755" s="2"/>
      <c r="E1755" s="2"/>
      <c r="F1755" s="2"/>
    </row>
    <row r="1756" spans="1:6" x14ac:dyDescent="0.25">
      <c r="A1756" s="2"/>
      <c r="B1756" s="2"/>
      <c r="C1756" s="2"/>
      <c r="D1756" s="2"/>
      <c r="E1756" s="2"/>
      <c r="F1756" s="2"/>
    </row>
    <row r="1757" spans="1:6" x14ac:dyDescent="0.25">
      <c r="A1757" s="2"/>
      <c r="B1757" s="2"/>
      <c r="C1757" s="2"/>
      <c r="D1757" s="2"/>
      <c r="E1757" s="2"/>
      <c r="F1757" s="2"/>
    </row>
    <row r="1758" spans="1:6" x14ac:dyDescent="0.25">
      <c r="A1758" s="2"/>
      <c r="B1758" s="2"/>
      <c r="C1758" s="2"/>
      <c r="D1758" s="2"/>
      <c r="E1758" s="2"/>
      <c r="F1758" s="2"/>
    </row>
    <row r="1759" spans="1:6" x14ac:dyDescent="0.25">
      <c r="A1759" s="2"/>
      <c r="B1759" s="2"/>
      <c r="C1759" s="2"/>
      <c r="D1759" s="2"/>
      <c r="E1759" s="2"/>
      <c r="F1759" s="2"/>
    </row>
    <row r="1760" spans="1:6" x14ac:dyDescent="0.25">
      <c r="A1760" s="2"/>
      <c r="B1760" s="2"/>
      <c r="C1760" s="2"/>
      <c r="D1760" s="2"/>
      <c r="E1760" s="2"/>
      <c r="F1760" s="2"/>
    </row>
    <row r="1761" spans="1:6" x14ac:dyDescent="0.25">
      <c r="A1761" s="2"/>
      <c r="B1761" s="2"/>
      <c r="C1761" s="2"/>
      <c r="D1761" s="2"/>
      <c r="E1761" s="2"/>
      <c r="F1761" s="2"/>
    </row>
    <row r="1762" spans="1:6" x14ac:dyDescent="0.25">
      <c r="A1762" s="2"/>
      <c r="B1762" s="2"/>
      <c r="C1762" s="2"/>
      <c r="D1762" s="2"/>
      <c r="E1762" s="2"/>
      <c r="F1762" s="2"/>
    </row>
    <row r="1763" spans="1:6" x14ac:dyDescent="0.25">
      <c r="A1763" s="2"/>
      <c r="B1763" s="2"/>
      <c r="C1763" s="2"/>
      <c r="D1763" s="2"/>
      <c r="E1763" s="2"/>
      <c r="F1763" s="2"/>
    </row>
    <row r="1764" spans="1:6" x14ac:dyDescent="0.25">
      <c r="A1764" s="2"/>
      <c r="B1764" s="2"/>
      <c r="C1764" s="2"/>
      <c r="D1764" s="2"/>
      <c r="E1764" s="2"/>
      <c r="F1764" s="2"/>
    </row>
    <row r="1765" spans="1:6" x14ac:dyDescent="0.25">
      <c r="A1765" s="2"/>
      <c r="B1765" s="2"/>
      <c r="C1765" s="2"/>
      <c r="D1765" s="2"/>
      <c r="E1765" s="2"/>
      <c r="F1765" s="2"/>
    </row>
    <row r="1766" spans="1:6" x14ac:dyDescent="0.25">
      <c r="A1766" s="2"/>
      <c r="B1766" s="2"/>
      <c r="C1766" s="2"/>
      <c r="D1766" s="2"/>
      <c r="E1766" s="2"/>
      <c r="F1766" s="2"/>
    </row>
    <row r="1767" spans="1:6" x14ac:dyDescent="0.25">
      <c r="A1767" s="2"/>
      <c r="B1767" s="2"/>
      <c r="C1767" s="2"/>
      <c r="D1767" s="2"/>
      <c r="E1767" s="2"/>
      <c r="F1767" s="2"/>
    </row>
    <row r="1768" spans="1:6" x14ac:dyDescent="0.25">
      <c r="A1768" s="2"/>
      <c r="B1768" s="2"/>
      <c r="C1768" s="2"/>
      <c r="D1768" s="2"/>
      <c r="E1768" s="2"/>
      <c r="F1768" s="2"/>
    </row>
    <row r="1769" spans="1:6" x14ac:dyDescent="0.25">
      <c r="A1769" s="2"/>
      <c r="B1769" s="2"/>
      <c r="C1769" s="2"/>
      <c r="D1769" s="2"/>
      <c r="E1769" s="2"/>
      <c r="F1769" s="2"/>
    </row>
    <row r="1770" spans="1:6" x14ac:dyDescent="0.25">
      <c r="A1770" s="2"/>
      <c r="B1770" s="2"/>
      <c r="C1770" s="2"/>
      <c r="D1770" s="2"/>
      <c r="E1770" s="2"/>
      <c r="F1770" s="2"/>
    </row>
    <row r="1771" spans="1:6" x14ac:dyDescent="0.25">
      <c r="A1771" s="2"/>
      <c r="B1771" s="2"/>
      <c r="C1771" s="2"/>
      <c r="D1771" s="2"/>
      <c r="E1771" s="2"/>
      <c r="F1771" s="2"/>
    </row>
    <row r="1772" spans="1:6" x14ac:dyDescent="0.25">
      <c r="A1772" s="2"/>
      <c r="B1772" s="2"/>
      <c r="C1772" s="2"/>
      <c r="D1772" s="2"/>
      <c r="E1772" s="2"/>
      <c r="F1772" s="2"/>
    </row>
    <row r="1773" spans="1:6" x14ac:dyDescent="0.25">
      <c r="A1773" s="2"/>
      <c r="B1773" s="2"/>
      <c r="C1773" s="2"/>
      <c r="D1773" s="2"/>
      <c r="E1773" s="2"/>
      <c r="F1773" s="2"/>
    </row>
    <row r="1774" spans="1:6" x14ac:dyDescent="0.25">
      <c r="A1774" s="2"/>
      <c r="B1774" s="2"/>
      <c r="C1774" s="2"/>
      <c r="D1774" s="2"/>
      <c r="E1774" s="2"/>
      <c r="F1774" s="2"/>
    </row>
    <row r="1775" spans="1:6" x14ac:dyDescent="0.25">
      <c r="A1775" s="2"/>
      <c r="B1775" s="2"/>
      <c r="C1775" s="2"/>
      <c r="D1775" s="2"/>
      <c r="E1775" s="2"/>
      <c r="F1775" s="2"/>
    </row>
    <row r="1776" spans="1:6" x14ac:dyDescent="0.25">
      <c r="A1776" s="2"/>
      <c r="B1776" s="2"/>
      <c r="C1776" s="2"/>
      <c r="D1776" s="2"/>
      <c r="E1776" s="2"/>
      <c r="F1776" s="2"/>
    </row>
    <row r="1777" spans="1:6" x14ac:dyDescent="0.25">
      <c r="A1777" s="2"/>
      <c r="B1777" s="2"/>
      <c r="C1777" s="2"/>
      <c r="D1777" s="2"/>
      <c r="E1777" s="2"/>
      <c r="F1777" s="2"/>
    </row>
    <row r="1778" spans="1:6" x14ac:dyDescent="0.25">
      <c r="A1778" s="2"/>
      <c r="B1778" s="2"/>
      <c r="C1778" s="2"/>
      <c r="D1778" s="2"/>
      <c r="E1778" s="2"/>
      <c r="F1778" s="2"/>
    </row>
    <row r="1779" spans="1:6" x14ac:dyDescent="0.25">
      <c r="A1779" s="2"/>
      <c r="B1779" s="2"/>
      <c r="C1779" s="2"/>
      <c r="D1779" s="2"/>
      <c r="E1779" s="2"/>
      <c r="F1779" s="2"/>
    </row>
    <row r="1780" spans="1:6" x14ac:dyDescent="0.25">
      <c r="A1780" s="2"/>
      <c r="B1780" s="2"/>
      <c r="C1780" s="2"/>
      <c r="D1780" s="2"/>
      <c r="E1780" s="2"/>
      <c r="F1780" s="2"/>
    </row>
    <row r="1781" spans="1:6" x14ac:dyDescent="0.25">
      <c r="A1781" s="2"/>
      <c r="B1781" s="2"/>
      <c r="C1781" s="2"/>
      <c r="D1781" s="2"/>
      <c r="E1781" s="2"/>
      <c r="F1781" s="2"/>
    </row>
    <row r="1782" spans="1:6" x14ac:dyDescent="0.25">
      <c r="A1782" s="2"/>
      <c r="B1782" s="2"/>
      <c r="C1782" s="2"/>
      <c r="D1782" s="2"/>
      <c r="E1782" s="2"/>
      <c r="F1782" s="2"/>
    </row>
    <row r="1783" spans="1:6" x14ac:dyDescent="0.25">
      <c r="A1783" s="2"/>
      <c r="B1783" s="2"/>
      <c r="C1783" s="2"/>
      <c r="D1783" s="2"/>
      <c r="E1783" s="2"/>
      <c r="F1783" s="2"/>
    </row>
    <row r="1784" spans="1:6" x14ac:dyDescent="0.25">
      <c r="A1784" s="2"/>
      <c r="B1784" s="2"/>
      <c r="C1784" s="2"/>
      <c r="D1784" s="2"/>
      <c r="E1784" s="2"/>
      <c r="F1784" s="2"/>
    </row>
    <row r="1785" spans="1:6" x14ac:dyDescent="0.25">
      <c r="A1785" s="2"/>
      <c r="B1785" s="2"/>
      <c r="C1785" s="2"/>
      <c r="D1785" s="2"/>
      <c r="E1785" s="2"/>
      <c r="F1785" s="2"/>
    </row>
    <row r="1786" spans="1:6" x14ac:dyDescent="0.25">
      <c r="A1786" s="2"/>
      <c r="B1786" s="2"/>
      <c r="C1786" s="2"/>
      <c r="D1786" s="2"/>
      <c r="E1786" s="2"/>
      <c r="F1786" s="2"/>
    </row>
    <row r="1787" spans="1:6" x14ac:dyDescent="0.25">
      <c r="A1787" s="2"/>
      <c r="B1787" s="2"/>
      <c r="C1787" s="2"/>
      <c r="D1787" s="2"/>
      <c r="E1787" s="2"/>
      <c r="F1787" s="2"/>
    </row>
    <row r="1788" spans="1:6" x14ac:dyDescent="0.25">
      <c r="A1788" s="2"/>
      <c r="B1788" s="2"/>
      <c r="C1788" s="2"/>
      <c r="D1788" s="2"/>
      <c r="E1788" s="2"/>
      <c r="F1788" s="2"/>
    </row>
    <row r="1789" spans="1:6" x14ac:dyDescent="0.25">
      <c r="A1789" s="2"/>
      <c r="B1789" s="2"/>
      <c r="C1789" s="2"/>
      <c r="D1789" s="2"/>
      <c r="E1789" s="2"/>
      <c r="F1789" s="2"/>
    </row>
    <row r="1790" spans="1:6" x14ac:dyDescent="0.25">
      <c r="A1790" s="2"/>
      <c r="B1790" s="2"/>
      <c r="C1790" s="2"/>
      <c r="D1790" s="2"/>
      <c r="E1790" s="2"/>
      <c r="F1790" s="2"/>
    </row>
    <row r="1791" spans="1:6" x14ac:dyDescent="0.25">
      <c r="A1791" s="2"/>
      <c r="B1791" s="2"/>
      <c r="C1791" s="2"/>
      <c r="D1791" s="2"/>
      <c r="E1791" s="2"/>
      <c r="F1791" s="2"/>
    </row>
    <row r="1792" spans="1:6" x14ac:dyDescent="0.25">
      <c r="A1792" s="2"/>
      <c r="B1792" s="2"/>
      <c r="C1792" s="2"/>
      <c r="D1792" s="2"/>
      <c r="E1792" s="2"/>
      <c r="F1792" s="2"/>
    </row>
    <row r="1793" spans="1:6" x14ac:dyDescent="0.25">
      <c r="A1793" s="2"/>
      <c r="B1793" s="2"/>
      <c r="C1793" s="2"/>
      <c r="D1793" s="2"/>
      <c r="E1793" s="2"/>
      <c r="F1793" s="2"/>
    </row>
    <row r="1794" spans="1:6" x14ac:dyDescent="0.25">
      <c r="A1794" s="2"/>
      <c r="B1794" s="2"/>
      <c r="C1794" s="2"/>
      <c r="D1794" s="2"/>
      <c r="E1794" s="2"/>
      <c r="F1794" s="2"/>
    </row>
    <row r="1795" spans="1:6" x14ac:dyDescent="0.25">
      <c r="A1795" s="2"/>
      <c r="B1795" s="2"/>
      <c r="C1795" s="2"/>
      <c r="D1795" s="2"/>
      <c r="E1795" s="2"/>
      <c r="F1795" s="2"/>
    </row>
    <row r="1796" spans="1:6" x14ac:dyDescent="0.25">
      <c r="A1796" s="2"/>
      <c r="B1796" s="2"/>
      <c r="C1796" s="2"/>
      <c r="D1796" s="2"/>
      <c r="E1796" s="2"/>
      <c r="F1796" s="2"/>
    </row>
    <row r="1797" spans="1:6" x14ac:dyDescent="0.25">
      <c r="A1797" s="2"/>
      <c r="B1797" s="2"/>
      <c r="C1797" s="2"/>
      <c r="D1797" s="2"/>
      <c r="E1797" s="2"/>
      <c r="F1797" s="2"/>
    </row>
    <row r="1798" spans="1:6" x14ac:dyDescent="0.25">
      <c r="A1798" s="2"/>
      <c r="B1798" s="2"/>
      <c r="C1798" s="2"/>
      <c r="D1798" s="2"/>
      <c r="E1798" s="2"/>
      <c r="F1798" s="2"/>
    </row>
    <row r="1799" spans="1:6" x14ac:dyDescent="0.25">
      <c r="A1799" s="2"/>
      <c r="B1799" s="2"/>
      <c r="C1799" s="2"/>
      <c r="D1799" s="2"/>
      <c r="E1799" s="2"/>
      <c r="F1799" s="2"/>
    </row>
    <row r="1800" spans="1:6" x14ac:dyDescent="0.25">
      <c r="A1800" s="2"/>
      <c r="B1800" s="2"/>
      <c r="C1800" s="2"/>
      <c r="D1800" s="2"/>
      <c r="E1800" s="2"/>
      <c r="F1800" s="2"/>
    </row>
    <row r="1801" spans="1:6" x14ac:dyDescent="0.25">
      <c r="A1801" s="2"/>
      <c r="B1801" s="2"/>
      <c r="C1801" s="2"/>
      <c r="D1801" s="2"/>
      <c r="E1801" s="2"/>
      <c r="F1801" s="2"/>
    </row>
    <row r="1802" spans="1:6" x14ac:dyDescent="0.25">
      <c r="A1802" s="2"/>
      <c r="B1802" s="2"/>
      <c r="C1802" s="2"/>
      <c r="D1802" s="2"/>
      <c r="E1802" s="2"/>
      <c r="F1802" s="2"/>
    </row>
    <row r="1803" spans="1:6" x14ac:dyDescent="0.25">
      <c r="A1803" s="2"/>
      <c r="B1803" s="2"/>
      <c r="C1803" s="2"/>
      <c r="D1803" s="2"/>
      <c r="E1803" s="2"/>
      <c r="F1803" s="2"/>
    </row>
    <row r="1804" spans="1:6" x14ac:dyDescent="0.25">
      <c r="A1804" s="2"/>
      <c r="B1804" s="2"/>
      <c r="C1804" s="2"/>
      <c r="D1804" s="2"/>
      <c r="E1804" s="2"/>
      <c r="F1804" s="2"/>
    </row>
    <row r="1805" spans="1:6" x14ac:dyDescent="0.25">
      <c r="A1805" s="2"/>
      <c r="B1805" s="2"/>
      <c r="C1805" s="2"/>
      <c r="D1805" s="2"/>
      <c r="E1805" s="2"/>
      <c r="F1805" s="2"/>
    </row>
    <row r="1806" spans="1:6" x14ac:dyDescent="0.25">
      <c r="A1806" s="2"/>
      <c r="B1806" s="2"/>
      <c r="C1806" s="2"/>
      <c r="D1806" s="2"/>
      <c r="E1806" s="2"/>
      <c r="F1806" s="2"/>
    </row>
    <row r="1807" spans="1:6" x14ac:dyDescent="0.25">
      <c r="A1807" s="2"/>
      <c r="B1807" s="2"/>
      <c r="C1807" s="2"/>
      <c r="D1807" s="2"/>
      <c r="E1807" s="2"/>
      <c r="F1807" s="2"/>
    </row>
    <row r="1808" spans="1:6" x14ac:dyDescent="0.25">
      <c r="A1808" s="2"/>
      <c r="B1808" s="2"/>
      <c r="C1808" s="2"/>
      <c r="D1808" s="2"/>
      <c r="E1808" s="2"/>
      <c r="F1808" s="2"/>
    </row>
    <row r="1809" spans="1:6" x14ac:dyDescent="0.25">
      <c r="A1809" s="2"/>
      <c r="B1809" s="2"/>
      <c r="C1809" s="2"/>
      <c r="D1809" s="2"/>
      <c r="E1809" s="2"/>
      <c r="F1809" s="2"/>
    </row>
    <row r="1810" spans="1:6" x14ac:dyDescent="0.25">
      <c r="A1810" s="2"/>
      <c r="B1810" s="2"/>
      <c r="C1810" s="2"/>
      <c r="D1810" s="2"/>
      <c r="E1810" s="2"/>
      <c r="F1810" s="2"/>
    </row>
    <row r="1811" spans="1:6" x14ac:dyDescent="0.25">
      <c r="A1811" s="2"/>
      <c r="B1811" s="2"/>
      <c r="C1811" s="2"/>
      <c r="D1811" s="2"/>
      <c r="E1811" s="2"/>
      <c r="F1811" s="2"/>
    </row>
    <row r="1812" spans="1:6" x14ac:dyDescent="0.25">
      <c r="A1812" s="2"/>
      <c r="B1812" s="2"/>
      <c r="C1812" s="2"/>
      <c r="D1812" s="2"/>
      <c r="E1812" s="2"/>
      <c r="F1812" s="2"/>
    </row>
    <row r="1813" spans="1:6" x14ac:dyDescent="0.25">
      <c r="A1813" s="2"/>
      <c r="B1813" s="2"/>
      <c r="C1813" s="2"/>
      <c r="D1813" s="2"/>
      <c r="E1813" s="2"/>
      <c r="F1813" s="2"/>
    </row>
    <row r="1814" spans="1:6" x14ac:dyDescent="0.25">
      <c r="A1814" s="2"/>
      <c r="B1814" s="2"/>
      <c r="C1814" s="2"/>
      <c r="D1814" s="2"/>
      <c r="E1814" s="2"/>
      <c r="F1814" s="2"/>
    </row>
    <row r="1815" spans="1:6" x14ac:dyDescent="0.25">
      <c r="A1815" s="2"/>
      <c r="B1815" s="2"/>
      <c r="C1815" s="2"/>
      <c r="D1815" s="2"/>
      <c r="E1815" s="2"/>
      <c r="F1815" s="2"/>
    </row>
    <row r="1816" spans="1:6" x14ac:dyDescent="0.25">
      <c r="A1816" s="2"/>
      <c r="B1816" s="2"/>
      <c r="C1816" s="2"/>
      <c r="D1816" s="2"/>
      <c r="E1816" s="2"/>
      <c r="F1816" s="2"/>
    </row>
    <row r="1817" spans="1:6" x14ac:dyDescent="0.25">
      <c r="A1817" s="2"/>
      <c r="B1817" s="2"/>
      <c r="C1817" s="2"/>
      <c r="D1817" s="2"/>
      <c r="E1817" s="2"/>
      <c r="F1817" s="2"/>
    </row>
    <row r="1818" spans="1:6" x14ac:dyDescent="0.25">
      <c r="A1818" s="2"/>
      <c r="B1818" s="2"/>
      <c r="C1818" s="2"/>
      <c r="D1818" s="2"/>
      <c r="E1818" s="2"/>
      <c r="F1818" s="2"/>
    </row>
    <row r="1819" spans="1:6" x14ac:dyDescent="0.25">
      <c r="A1819" s="2"/>
      <c r="B1819" s="2"/>
      <c r="C1819" s="2"/>
      <c r="D1819" s="2"/>
      <c r="E1819" s="2"/>
      <c r="F1819" s="2"/>
    </row>
    <row r="1820" spans="1:6" x14ac:dyDescent="0.25">
      <c r="A1820" s="2"/>
      <c r="B1820" s="2"/>
      <c r="C1820" s="2"/>
      <c r="D1820" s="2"/>
      <c r="E1820" s="2"/>
      <c r="F1820" s="2"/>
    </row>
    <row r="1821" spans="1:6" x14ac:dyDescent="0.25">
      <c r="A1821" s="2"/>
      <c r="B1821" s="2"/>
      <c r="C1821" s="2"/>
      <c r="D1821" s="2"/>
      <c r="E1821" s="2"/>
      <c r="F1821" s="2"/>
    </row>
    <row r="1822" spans="1:6" x14ac:dyDescent="0.25">
      <c r="A1822" s="2"/>
      <c r="B1822" s="2"/>
      <c r="C1822" s="2"/>
      <c r="D1822" s="2"/>
      <c r="E1822" s="2"/>
      <c r="F1822" s="2"/>
    </row>
    <row r="1823" spans="1:6" x14ac:dyDescent="0.25">
      <c r="A1823" s="2"/>
      <c r="B1823" s="2"/>
      <c r="C1823" s="2"/>
      <c r="D1823" s="2"/>
      <c r="E1823" s="2"/>
      <c r="F1823" s="2"/>
    </row>
    <row r="1824" spans="1:6" x14ac:dyDescent="0.25">
      <c r="A1824" s="2"/>
      <c r="B1824" s="2"/>
      <c r="C1824" s="2"/>
      <c r="D1824" s="2"/>
      <c r="E1824" s="2"/>
      <c r="F1824" s="2"/>
    </row>
    <row r="1825" spans="1:6" x14ac:dyDescent="0.25">
      <c r="A1825" s="2"/>
      <c r="B1825" s="2"/>
      <c r="C1825" s="2"/>
      <c r="D1825" s="2"/>
      <c r="E1825" s="2"/>
      <c r="F1825" s="2"/>
    </row>
    <row r="1826" spans="1:6" x14ac:dyDescent="0.25">
      <c r="A1826" s="2"/>
      <c r="B1826" s="2"/>
      <c r="C1826" s="2"/>
      <c r="D1826" s="2"/>
      <c r="E1826" s="2"/>
      <c r="F1826" s="2"/>
    </row>
    <row r="1827" spans="1:6" x14ac:dyDescent="0.25">
      <c r="A1827" s="2"/>
      <c r="B1827" s="2"/>
      <c r="C1827" s="2"/>
      <c r="D1827" s="2"/>
      <c r="E1827" s="2"/>
      <c r="F1827" s="2"/>
    </row>
    <row r="1828" spans="1:6" x14ac:dyDescent="0.25">
      <c r="A1828" s="2"/>
      <c r="B1828" s="2"/>
      <c r="C1828" s="2"/>
      <c r="D1828" s="2"/>
      <c r="E1828" s="2"/>
      <c r="F1828" s="2"/>
    </row>
    <row r="1829" spans="1:6" x14ac:dyDescent="0.25">
      <c r="A1829" s="2"/>
      <c r="B1829" s="2"/>
      <c r="C1829" s="2"/>
      <c r="D1829" s="2"/>
      <c r="E1829" s="2"/>
      <c r="F1829" s="2"/>
    </row>
    <row r="1830" spans="1:6" x14ac:dyDescent="0.25">
      <c r="A1830" s="2"/>
      <c r="B1830" s="2"/>
      <c r="C1830" s="2"/>
      <c r="D1830" s="2"/>
      <c r="E1830" s="2"/>
      <c r="F1830" s="2"/>
    </row>
    <row r="1831" spans="1:6" x14ac:dyDescent="0.25">
      <c r="A1831" s="2"/>
      <c r="B1831" s="2"/>
      <c r="C1831" s="2"/>
      <c r="D1831" s="2"/>
      <c r="E1831" s="2"/>
      <c r="F1831" s="2"/>
    </row>
    <row r="1832" spans="1:6" x14ac:dyDescent="0.25">
      <c r="A1832" s="2"/>
      <c r="B1832" s="2"/>
      <c r="C1832" s="2"/>
      <c r="D1832" s="2"/>
      <c r="E1832" s="2"/>
      <c r="F1832" s="2"/>
    </row>
    <row r="1833" spans="1:6" x14ac:dyDescent="0.25">
      <c r="A1833" s="2"/>
      <c r="B1833" s="2"/>
      <c r="C1833" s="2"/>
      <c r="D1833" s="2"/>
      <c r="E1833" s="2"/>
      <c r="F1833" s="2"/>
    </row>
    <row r="1834" spans="1:6" x14ac:dyDescent="0.25">
      <c r="A1834" s="2"/>
      <c r="B1834" s="2"/>
      <c r="C1834" s="2"/>
      <c r="D1834" s="2"/>
      <c r="E1834" s="2"/>
      <c r="F1834" s="2"/>
    </row>
    <row r="1835" spans="1:6" x14ac:dyDescent="0.25">
      <c r="A1835" s="2"/>
      <c r="B1835" s="2"/>
      <c r="C1835" s="2"/>
      <c r="D1835" s="2"/>
      <c r="E1835" s="2"/>
      <c r="F1835" s="2"/>
    </row>
    <row r="1836" spans="1:6" x14ac:dyDescent="0.25">
      <c r="A1836" s="2"/>
      <c r="B1836" s="2"/>
      <c r="C1836" s="2"/>
      <c r="D1836" s="2"/>
      <c r="E1836" s="2"/>
      <c r="F1836" s="2"/>
    </row>
    <row r="1837" spans="1:6" x14ac:dyDescent="0.25">
      <c r="A1837" s="2"/>
      <c r="B1837" s="2"/>
      <c r="C1837" s="2"/>
      <c r="D1837" s="2"/>
      <c r="E1837" s="2"/>
      <c r="F1837" s="2"/>
    </row>
    <row r="1838" spans="1:6" x14ac:dyDescent="0.25">
      <c r="A1838" s="2"/>
      <c r="B1838" s="2"/>
      <c r="C1838" s="2"/>
      <c r="D1838" s="2"/>
      <c r="E1838" s="2"/>
      <c r="F1838" s="2"/>
    </row>
    <row r="1839" spans="1:6" x14ac:dyDescent="0.25">
      <c r="A1839" s="2"/>
      <c r="B1839" s="2"/>
      <c r="C1839" s="2"/>
      <c r="D1839" s="2"/>
      <c r="E1839" s="2"/>
      <c r="F1839" s="2"/>
    </row>
    <row r="1840" spans="1:6" x14ac:dyDescent="0.25">
      <c r="A1840" s="2"/>
      <c r="B1840" s="2"/>
      <c r="C1840" s="2"/>
      <c r="D1840" s="2"/>
      <c r="E1840" s="2"/>
      <c r="F1840" s="2"/>
    </row>
    <row r="1841" spans="1:6" x14ac:dyDescent="0.25">
      <c r="A1841" s="2"/>
      <c r="B1841" s="2"/>
      <c r="C1841" s="2"/>
      <c r="D1841" s="2"/>
      <c r="E1841" s="2"/>
      <c r="F1841" s="2"/>
    </row>
    <row r="1842" spans="1:6" x14ac:dyDescent="0.25">
      <c r="A1842" s="2"/>
      <c r="B1842" s="2"/>
      <c r="C1842" s="2"/>
      <c r="D1842" s="2"/>
      <c r="E1842" s="2"/>
      <c r="F1842" s="2"/>
    </row>
    <row r="1843" spans="1:6" x14ac:dyDescent="0.25">
      <c r="A1843" s="2"/>
      <c r="B1843" s="2"/>
      <c r="C1843" s="2"/>
      <c r="D1843" s="2"/>
      <c r="E1843" s="2"/>
      <c r="F1843" s="2"/>
    </row>
    <row r="1844" spans="1:6" x14ac:dyDescent="0.25">
      <c r="A1844" s="2"/>
      <c r="B1844" s="2"/>
      <c r="C1844" s="2"/>
      <c r="D1844" s="2"/>
      <c r="E1844" s="2"/>
      <c r="F1844" s="2"/>
    </row>
    <row r="1845" spans="1:6" x14ac:dyDescent="0.25">
      <c r="A1845" s="2"/>
      <c r="B1845" s="2"/>
      <c r="C1845" s="2"/>
      <c r="D1845" s="2"/>
      <c r="E1845" s="2"/>
      <c r="F1845" s="2"/>
    </row>
    <row r="1846" spans="1:6" x14ac:dyDescent="0.25">
      <c r="A1846" s="2"/>
      <c r="B1846" s="2"/>
      <c r="C1846" s="2"/>
      <c r="D1846" s="2"/>
      <c r="E1846" s="2"/>
      <c r="F1846" s="2"/>
    </row>
    <row r="1847" spans="1:6" x14ac:dyDescent="0.25">
      <c r="A1847" s="2"/>
      <c r="B1847" s="2"/>
      <c r="C1847" s="2"/>
      <c r="D1847" s="2"/>
      <c r="E1847" s="2"/>
      <c r="F1847" s="2"/>
    </row>
    <row r="1848" spans="1:6" x14ac:dyDescent="0.25">
      <c r="A1848" s="2"/>
      <c r="B1848" s="2"/>
      <c r="C1848" s="2"/>
      <c r="D1848" s="2"/>
      <c r="E1848" s="2"/>
      <c r="F1848" s="2"/>
    </row>
    <row r="1849" spans="1:6" x14ac:dyDescent="0.25">
      <c r="A1849" s="2"/>
      <c r="B1849" s="2"/>
      <c r="C1849" s="2"/>
      <c r="D1849" s="2"/>
      <c r="E1849" s="2"/>
      <c r="F1849" s="2"/>
    </row>
    <row r="1850" spans="1:6" x14ac:dyDescent="0.25">
      <c r="A1850" s="2"/>
      <c r="B1850" s="2"/>
      <c r="C1850" s="2"/>
      <c r="D1850" s="2"/>
      <c r="E1850" s="2"/>
      <c r="F1850" s="2"/>
    </row>
    <row r="1851" spans="1:6" x14ac:dyDescent="0.25">
      <c r="A1851" s="2"/>
      <c r="B1851" s="2"/>
      <c r="C1851" s="2"/>
      <c r="D1851" s="2"/>
      <c r="E1851" s="2"/>
      <c r="F1851" s="2"/>
    </row>
    <row r="1852" spans="1:6" x14ac:dyDescent="0.25">
      <c r="A1852" s="2"/>
      <c r="B1852" s="2"/>
      <c r="C1852" s="2"/>
      <c r="D1852" s="2"/>
      <c r="E1852" s="2"/>
      <c r="F1852" s="2"/>
    </row>
    <row r="1853" spans="1:6" x14ac:dyDescent="0.25">
      <c r="A1853" s="2"/>
      <c r="B1853" s="2"/>
      <c r="C1853" s="2"/>
      <c r="D1853" s="2"/>
      <c r="E1853" s="2"/>
      <c r="F1853" s="2"/>
    </row>
    <row r="1854" spans="1:6" x14ac:dyDescent="0.25">
      <c r="A1854" s="2"/>
      <c r="B1854" s="2"/>
      <c r="C1854" s="2"/>
      <c r="D1854" s="2"/>
      <c r="E1854" s="2"/>
      <c r="F1854" s="2"/>
    </row>
    <row r="1855" spans="1:6" x14ac:dyDescent="0.25">
      <c r="A1855" s="2"/>
      <c r="B1855" s="2"/>
      <c r="C1855" s="2"/>
      <c r="D1855" s="2"/>
      <c r="E1855" s="2"/>
      <c r="F1855" s="2"/>
    </row>
    <row r="1856" spans="1:6" x14ac:dyDescent="0.25">
      <c r="A1856" s="2"/>
      <c r="B1856" s="2"/>
      <c r="C1856" s="2"/>
      <c r="D1856" s="2"/>
      <c r="E1856" s="2"/>
      <c r="F1856" s="2"/>
    </row>
    <row r="1857" spans="1:6" x14ac:dyDescent="0.25">
      <c r="A1857" s="2"/>
      <c r="B1857" s="2"/>
      <c r="C1857" s="2"/>
      <c r="D1857" s="2"/>
      <c r="E1857" s="2"/>
      <c r="F1857" s="2"/>
    </row>
    <row r="1858" spans="1:6" x14ac:dyDescent="0.25">
      <c r="A1858" s="2"/>
      <c r="B1858" s="2"/>
      <c r="C1858" s="2"/>
      <c r="D1858" s="2"/>
      <c r="E1858" s="2"/>
      <c r="F1858" s="2"/>
    </row>
    <row r="1859" spans="1:6" x14ac:dyDescent="0.25">
      <c r="A1859" s="2"/>
      <c r="B1859" s="2"/>
      <c r="C1859" s="2"/>
      <c r="D1859" s="2"/>
      <c r="E1859" s="2"/>
      <c r="F1859" s="2"/>
    </row>
    <row r="1860" spans="1:6" x14ac:dyDescent="0.25">
      <c r="A1860" s="2"/>
      <c r="B1860" s="2"/>
      <c r="C1860" s="2"/>
      <c r="D1860" s="2"/>
      <c r="E1860" s="2"/>
      <c r="F1860" s="2"/>
    </row>
    <row r="1861" spans="1:6" x14ac:dyDescent="0.25">
      <c r="A1861" s="2"/>
      <c r="B1861" s="2"/>
      <c r="C1861" s="2"/>
      <c r="D1861" s="2"/>
      <c r="E1861" s="2"/>
      <c r="F1861" s="2"/>
    </row>
    <row r="1862" spans="1:6" x14ac:dyDescent="0.25">
      <c r="A1862" s="2"/>
      <c r="B1862" s="2"/>
      <c r="C1862" s="2"/>
      <c r="D1862" s="2"/>
      <c r="E1862" s="2"/>
      <c r="F1862" s="2"/>
    </row>
    <row r="1863" spans="1:6" x14ac:dyDescent="0.25">
      <c r="A1863" s="2"/>
      <c r="B1863" s="2"/>
      <c r="C1863" s="2"/>
      <c r="D1863" s="2"/>
      <c r="E1863" s="2"/>
      <c r="F1863" s="2"/>
    </row>
    <row r="1864" spans="1:6" x14ac:dyDescent="0.25">
      <c r="A1864" s="2"/>
      <c r="B1864" s="2"/>
      <c r="C1864" s="2"/>
      <c r="D1864" s="2"/>
      <c r="E1864" s="2"/>
      <c r="F1864" s="2"/>
    </row>
    <row r="1865" spans="1:6" x14ac:dyDescent="0.25">
      <c r="A1865" s="2"/>
      <c r="B1865" s="2"/>
      <c r="C1865" s="2"/>
      <c r="D1865" s="2"/>
      <c r="E1865" s="2"/>
      <c r="F1865" s="2"/>
    </row>
    <row r="1866" spans="1:6" x14ac:dyDescent="0.25">
      <c r="A1866" s="2"/>
      <c r="B1866" s="2"/>
      <c r="C1866" s="2"/>
      <c r="D1866" s="2"/>
      <c r="E1866" s="2"/>
      <c r="F1866" s="2"/>
    </row>
    <row r="1867" spans="1:6" x14ac:dyDescent="0.25">
      <c r="A1867" s="2"/>
      <c r="B1867" s="2"/>
      <c r="C1867" s="2"/>
      <c r="D1867" s="2"/>
      <c r="E1867" s="2"/>
      <c r="F1867" s="2"/>
    </row>
    <row r="1868" spans="1:6" x14ac:dyDescent="0.25">
      <c r="A1868" s="2"/>
      <c r="B1868" s="2"/>
      <c r="C1868" s="2"/>
      <c r="D1868" s="2"/>
      <c r="E1868" s="2"/>
      <c r="F1868" s="2"/>
    </row>
    <row r="1869" spans="1:6" x14ac:dyDescent="0.25">
      <c r="A1869" s="2"/>
      <c r="B1869" s="2"/>
      <c r="C1869" s="2"/>
      <c r="D1869" s="2"/>
      <c r="E1869" s="2"/>
      <c r="F1869" s="2"/>
    </row>
    <row r="1870" spans="1:6" x14ac:dyDescent="0.25">
      <c r="A1870" s="2"/>
      <c r="B1870" s="2"/>
      <c r="C1870" s="2"/>
      <c r="D1870" s="2"/>
      <c r="E1870" s="2"/>
      <c r="F1870" s="2"/>
    </row>
    <row r="1871" spans="1:6" x14ac:dyDescent="0.25">
      <c r="A1871" s="2"/>
      <c r="B1871" s="2"/>
      <c r="C1871" s="2"/>
      <c r="D1871" s="2"/>
      <c r="E1871" s="2"/>
      <c r="F1871" s="2"/>
    </row>
    <row r="1872" spans="1:6" x14ac:dyDescent="0.25">
      <c r="A1872" s="2"/>
      <c r="B1872" s="2"/>
      <c r="C1872" s="2"/>
      <c r="D1872" s="2"/>
      <c r="E1872" s="2"/>
      <c r="F1872" s="2"/>
    </row>
    <row r="1873" spans="1:6" x14ac:dyDescent="0.25">
      <c r="A1873" s="2"/>
      <c r="B1873" s="2"/>
      <c r="C1873" s="2"/>
      <c r="D1873" s="2"/>
      <c r="E1873" s="2"/>
      <c r="F1873" s="2"/>
    </row>
    <row r="1874" spans="1:6" x14ac:dyDescent="0.25">
      <c r="A1874" s="2"/>
      <c r="B1874" s="2"/>
      <c r="C1874" s="2"/>
      <c r="D1874" s="2"/>
      <c r="E1874" s="2"/>
      <c r="F1874" s="2"/>
    </row>
    <row r="1875" spans="1:6" x14ac:dyDescent="0.25">
      <c r="A1875" s="2"/>
      <c r="B1875" s="2"/>
      <c r="C1875" s="2"/>
      <c r="D1875" s="2"/>
      <c r="E1875" s="2"/>
      <c r="F1875" s="2"/>
    </row>
    <row r="1876" spans="1:6" x14ac:dyDescent="0.25">
      <c r="A1876" s="2"/>
      <c r="B1876" s="2"/>
      <c r="C1876" s="2"/>
      <c r="D1876" s="2"/>
      <c r="E1876" s="2"/>
      <c r="F1876" s="2"/>
    </row>
    <row r="1877" spans="1:6" x14ac:dyDescent="0.25">
      <c r="A1877" s="2"/>
      <c r="B1877" s="2"/>
      <c r="C1877" s="2"/>
      <c r="D1877" s="2"/>
      <c r="E1877" s="2"/>
      <c r="F1877" s="2"/>
    </row>
    <row r="1878" spans="1:6" x14ac:dyDescent="0.25">
      <c r="A1878" s="2"/>
      <c r="B1878" s="2"/>
      <c r="C1878" s="2"/>
      <c r="D1878" s="2"/>
      <c r="E1878" s="2"/>
      <c r="F1878" s="2"/>
    </row>
    <row r="1879" spans="1:6" x14ac:dyDescent="0.25">
      <c r="A1879" s="2"/>
      <c r="B1879" s="2"/>
      <c r="C1879" s="2"/>
      <c r="D1879" s="2"/>
      <c r="E1879" s="2"/>
      <c r="F1879" s="2"/>
    </row>
    <row r="1880" spans="1:6" x14ac:dyDescent="0.25">
      <c r="A1880" s="2"/>
      <c r="B1880" s="2"/>
      <c r="C1880" s="2"/>
      <c r="D1880" s="2"/>
      <c r="E1880" s="2"/>
      <c r="F1880" s="2"/>
    </row>
    <row r="1881" spans="1:6" x14ac:dyDescent="0.25">
      <c r="A1881" s="2"/>
      <c r="B1881" s="2"/>
      <c r="C1881" s="2"/>
      <c r="D1881" s="2"/>
      <c r="E1881" s="2"/>
      <c r="F1881" s="2"/>
    </row>
    <row r="1882" spans="1:6" x14ac:dyDescent="0.25">
      <c r="A1882" s="2"/>
      <c r="B1882" s="2"/>
      <c r="C1882" s="2"/>
      <c r="D1882" s="2"/>
      <c r="E1882" s="2"/>
      <c r="F1882" s="2"/>
    </row>
    <row r="1883" spans="1:6" x14ac:dyDescent="0.25">
      <c r="A1883" s="2"/>
      <c r="B1883" s="2"/>
      <c r="C1883" s="2"/>
      <c r="D1883" s="2"/>
      <c r="E1883" s="2"/>
      <c r="F1883" s="2"/>
    </row>
    <row r="1884" spans="1:6" x14ac:dyDescent="0.25">
      <c r="A1884" s="2"/>
      <c r="B1884" s="2"/>
      <c r="C1884" s="2"/>
      <c r="D1884" s="2"/>
      <c r="E1884" s="2"/>
      <c r="F1884" s="2"/>
    </row>
    <row r="1885" spans="1:6" x14ac:dyDescent="0.25">
      <c r="A1885" s="2"/>
      <c r="B1885" s="2"/>
      <c r="C1885" s="2"/>
      <c r="D1885" s="2"/>
      <c r="E1885" s="2"/>
      <c r="F1885" s="2"/>
    </row>
    <row r="1886" spans="1:6" x14ac:dyDescent="0.25">
      <c r="A1886" s="2"/>
      <c r="B1886" s="2"/>
      <c r="C1886" s="2"/>
      <c r="D1886" s="2"/>
      <c r="E1886" s="2"/>
      <c r="F1886" s="2"/>
    </row>
    <row r="1887" spans="1:6" x14ac:dyDescent="0.25">
      <c r="A1887" s="2"/>
      <c r="B1887" s="2"/>
      <c r="C1887" s="2"/>
      <c r="D1887" s="2"/>
      <c r="E1887" s="2"/>
      <c r="F1887" s="2"/>
    </row>
    <row r="1888" spans="1:6" x14ac:dyDescent="0.25">
      <c r="A1888" s="2"/>
      <c r="B1888" s="2"/>
      <c r="C1888" s="2"/>
      <c r="D1888" s="2"/>
      <c r="E1888" s="2"/>
      <c r="F1888" s="2"/>
    </row>
    <row r="1889" spans="1:6" x14ac:dyDescent="0.25">
      <c r="A1889" s="2"/>
      <c r="B1889" s="2"/>
      <c r="C1889" s="2"/>
      <c r="D1889" s="2"/>
      <c r="E1889" s="2"/>
      <c r="F1889" s="2"/>
    </row>
    <row r="1890" spans="1:6" x14ac:dyDescent="0.25">
      <c r="A1890" s="2"/>
      <c r="B1890" s="2"/>
      <c r="C1890" s="2"/>
      <c r="D1890" s="2"/>
      <c r="E1890" s="2"/>
      <c r="F1890" s="2"/>
    </row>
    <row r="1891" spans="1:6" x14ac:dyDescent="0.25">
      <c r="A1891" s="2"/>
      <c r="B1891" s="2"/>
      <c r="C1891" s="2"/>
      <c r="D1891" s="2"/>
      <c r="E1891" s="2"/>
      <c r="F1891" s="2"/>
    </row>
    <row r="1892" spans="1:6" x14ac:dyDescent="0.25">
      <c r="A1892" s="2"/>
      <c r="B1892" s="2"/>
      <c r="C1892" s="2"/>
      <c r="D1892" s="2"/>
      <c r="E1892" s="2"/>
      <c r="F1892" s="2"/>
    </row>
    <row r="1893" spans="1:6" x14ac:dyDescent="0.25">
      <c r="A1893" s="2"/>
      <c r="B1893" s="2"/>
      <c r="C1893" s="2"/>
      <c r="D1893" s="2"/>
      <c r="E1893" s="2"/>
      <c r="F1893" s="2"/>
    </row>
    <row r="1894" spans="1:6" x14ac:dyDescent="0.25">
      <c r="A1894" s="2"/>
      <c r="B1894" s="2"/>
      <c r="C1894" s="2"/>
      <c r="D1894" s="2"/>
      <c r="E1894" s="2"/>
      <c r="F1894" s="2"/>
    </row>
    <row r="1895" spans="1:6" x14ac:dyDescent="0.25">
      <c r="A1895" s="2"/>
      <c r="B1895" s="2"/>
      <c r="C1895" s="2"/>
      <c r="D1895" s="2"/>
      <c r="E1895" s="2"/>
      <c r="F1895" s="2"/>
    </row>
    <row r="1896" spans="1:6" x14ac:dyDescent="0.25">
      <c r="A1896" s="2"/>
      <c r="B1896" s="2"/>
      <c r="C1896" s="2"/>
      <c r="D1896" s="2"/>
      <c r="E1896" s="2"/>
      <c r="F1896" s="2"/>
    </row>
    <row r="1897" spans="1:6" x14ac:dyDescent="0.25">
      <c r="A1897" s="2"/>
      <c r="B1897" s="2"/>
      <c r="C1897" s="2"/>
      <c r="D1897" s="2"/>
      <c r="E1897" s="2"/>
      <c r="F1897" s="2"/>
    </row>
    <row r="1898" spans="1:6" x14ac:dyDescent="0.25">
      <c r="A1898" s="2"/>
      <c r="B1898" s="2"/>
      <c r="C1898" s="2"/>
      <c r="D1898" s="2"/>
      <c r="E1898" s="2"/>
      <c r="F1898" s="2"/>
    </row>
    <row r="1899" spans="1:6" x14ac:dyDescent="0.25">
      <c r="A1899" s="2"/>
      <c r="B1899" s="2"/>
      <c r="C1899" s="2"/>
      <c r="D1899" s="2"/>
      <c r="E1899" s="2"/>
      <c r="F1899" s="2"/>
    </row>
    <row r="1900" spans="1:6" x14ac:dyDescent="0.25">
      <c r="A1900" s="2"/>
      <c r="B1900" s="2"/>
      <c r="C1900" s="2"/>
      <c r="D1900" s="2"/>
      <c r="E1900" s="2"/>
      <c r="F1900" s="2"/>
    </row>
    <row r="1901" spans="1:6" x14ac:dyDescent="0.25">
      <c r="A1901" s="2"/>
      <c r="B1901" s="2"/>
      <c r="C1901" s="2"/>
      <c r="D1901" s="2"/>
      <c r="E1901" s="2"/>
      <c r="F1901" s="2"/>
    </row>
    <row r="1902" spans="1:6" x14ac:dyDescent="0.25">
      <c r="A1902" s="2"/>
      <c r="B1902" s="2"/>
      <c r="C1902" s="2"/>
      <c r="D1902" s="2"/>
      <c r="E1902" s="2"/>
      <c r="F1902" s="2"/>
    </row>
    <row r="1903" spans="1:6" x14ac:dyDescent="0.25">
      <c r="A1903" s="2"/>
      <c r="B1903" s="2"/>
      <c r="C1903" s="2"/>
      <c r="D1903" s="2"/>
      <c r="E1903" s="2"/>
      <c r="F1903" s="2"/>
    </row>
    <row r="1904" spans="1:6" x14ac:dyDescent="0.25">
      <c r="A1904" s="2"/>
      <c r="B1904" s="2"/>
      <c r="C1904" s="2"/>
      <c r="D1904" s="2"/>
      <c r="E1904" s="2"/>
      <c r="F1904" s="2"/>
    </row>
    <row r="1905" spans="1:6" x14ac:dyDescent="0.25">
      <c r="A1905" s="2"/>
      <c r="B1905" s="2"/>
      <c r="C1905" s="2"/>
      <c r="D1905" s="2"/>
      <c r="E1905" s="2"/>
      <c r="F1905" s="2"/>
    </row>
    <row r="1906" spans="1:6" x14ac:dyDescent="0.25">
      <c r="A1906" s="2"/>
      <c r="B1906" s="2"/>
      <c r="C1906" s="2"/>
      <c r="D1906" s="2"/>
      <c r="E1906" s="2"/>
      <c r="F1906" s="2"/>
    </row>
    <row r="1907" spans="1:6" x14ac:dyDescent="0.25">
      <c r="A1907" s="2"/>
      <c r="B1907" s="2"/>
      <c r="C1907" s="2"/>
      <c r="D1907" s="2"/>
      <c r="E1907" s="2"/>
      <c r="F1907" s="2"/>
    </row>
    <row r="1908" spans="1:6" x14ac:dyDescent="0.25">
      <c r="A1908" s="2"/>
      <c r="B1908" s="2"/>
      <c r="C1908" s="2"/>
      <c r="D1908" s="2"/>
      <c r="E1908" s="2"/>
      <c r="F1908" s="2"/>
    </row>
    <row r="1909" spans="1:6" x14ac:dyDescent="0.25">
      <c r="A1909" s="2"/>
      <c r="B1909" s="2"/>
      <c r="C1909" s="2"/>
      <c r="D1909" s="2"/>
      <c r="E1909" s="2"/>
      <c r="F1909" s="2"/>
    </row>
    <row r="1910" spans="1:6" x14ac:dyDescent="0.25">
      <c r="A1910" s="2"/>
      <c r="B1910" s="2"/>
      <c r="C1910" s="2"/>
      <c r="D1910" s="2"/>
      <c r="E1910" s="2"/>
      <c r="F1910" s="2"/>
    </row>
    <row r="1911" spans="1:6" x14ac:dyDescent="0.25">
      <c r="A1911" s="2"/>
      <c r="B1911" s="2"/>
      <c r="C1911" s="2"/>
      <c r="D1911" s="2"/>
      <c r="E1911" s="2"/>
      <c r="F1911" s="2"/>
    </row>
    <row r="1912" spans="1:6" x14ac:dyDescent="0.25">
      <c r="A1912" s="2"/>
      <c r="B1912" s="2"/>
      <c r="C1912" s="2"/>
      <c r="D1912" s="2"/>
      <c r="E1912" s="2"/>
      <c r="F1912" s="2"/>
    </row>
    <row r="1913" spans="1:6" x14ac:dyDescent="0.25">
      <c r="A1913" s="2"/>
      <c r="B1913" s="2"/>
      <c r="C1913" s="2"/>
      <c r="D1913" s="2"/>
      <c r="E1913" s="2"/>
      <c r="F1913" s="2"/>
    </row>
    <row r="1914" spans="1:6" x14ac:dyDescent="0.25">
      <c r="A1914" s="2"/>
      <c r="B1914" s="2"/>
      <c r="C1914" s="2"/>
      <c r="D1914" s="2"/>
      <c r="E1914" s="2"/>
      <c r="F1914" s="2"/>
    </row>
    <row r="1915" spans="1:6" x14ac:dyDescent="0.25">
      <c r="A1915" s="2"/>
      <c r="B1915" s="2"/>
      <c r="C1915" s="2"/>
      <c r="D1915" s="2"/>
      <c r="E1915" s="2"/>
      <c r="F1915" s="2"/>
    </row>
    <row r="1916" spans="1:6" x14ac:dyDescent="0.25">
      <c r="A1916" s="2"/>
      <c r="B1916" s="2"/>
      <c r="C1916" s="2"/>
      <c r="D1916" s="2"/>
      <c r="E1916" s="2"/>
      <c r="F1916" s="2"/>
    </row>
    <row r="1917" spans="1:6" x14ac:dyDescent="0.25">
      <c r="A1917" s="2"/>
      <c r="B1917" s="2"/>
      <c r="C1917" s="2"/>
      <c r="D1917" s="2"/>
      <c r="E1917" s="2"/>
      <c r="F1917" s="2"/>
    </row>
    <row r="1918" spans="1:6" x14ac:dyDescent="0.25">
      <c r="A1918" s="2"/>
      <c r="B1918" s="2"/>
      <c r="C1918" s="2"/>
      <c r="D1918" s="2"/>
      <c r="E1918" s="2"/>
      <c r="F1918" s="2"/>
    </row>
    <row r="1919" spans="1:6" x14ac:dyDescent="0.25">
      <c r="A1919" s="2"/>
      <c r="B1919" s="2"/>
      <c r="C1919" s="2"/>
      <c r="D1919" s="2"/>
      <c r="E1919" s="2"/>
      <c r="F1919" s="2"/>
    </row>
    <row r="1920" spans="1:6" x14ac:dyDescent="0.25">
      <c r="A1920" s="2"/>
      <c r="B1920" s="2"/>
      <c r="C1920" s="2"/>
      <c r="D1920" s="2"/>
      <c r="E1920" s="2"/>
      <c r="F1920" s="2"/>
    </row>
    <row r="1921" spans="1:6" x14ac:dyDescent="0.25">
      <c r="A1921" s="2"/>
      <c r="B1921" s="2"/>
      <c r="C1921" s="2"/>
      <c r="D1921" s="2"/>
      <c r="E1921" s="2"/>
      <c r="F1921" s="2"/>
    </row>
    <row r="1922" spans="1:6" x14ac:dyDescent="0.25">
      <c r="A1922" s="2"/>
      <c r="B1922" s="2"/>
      <c r="C1922" s="2"/>
      <c r="D1922" s="2"/>
      <c r="E1922" s="2"/>
      <c r="F1922" s="2"/>
    </row>
    <row r="1923" spans="1:6" x14ac:dyDescent="0.25">
      <c r="A1923" s="2"/>
      <c r="B1923" s="2"/>
      <c r="C1923" s="2"/>
      <c r="D1923" s="2"/>
      <c r="E1923" s="2"/>
      <c r="F1923" s="2"/>
    </row>
    <row r="1924" spans="1:6" x14ac:dyDescent="0.25">
      <c r="A1924" s="2"/>
      <c r="B1924" s="2"/>
      <c r="C1924" s="2"/>
      <c r="D1924" s="2"/>
      <c r="E1924" s="2"/>
      <c r="F1924" s="2"/>
    </row>
    <row r="1925" spans="1:6" x14ac:dyDescent="0.25">
      <c r="A1925" s="2"/>
      <c r="B1925" s="2"/>
      <c r="C1925" s="2"/>
      <c r="D1925" s="2"/>
      <c r="E1925" s="2"/>
      <c r="F1925" s="2"/>
    </row>
    <row r="1926" spans="1:6" x14ac:dyDescent="0.25">
      <c r="A1926" s="2"/>
      <c r="B1926" s="2"/>
      <c r="C1926" s="2"/>
      <c r="D1926" s="2"/>
      <c r="E1926" s="2"/>
      <c r="F1926" s="2"/>
    </row>
    <row r="1927" spans="1:6" x14ac:dyDescent="0.25">
      <c r="A1927" s="2"/>
      <c r="B1927" s="2"/>
      <c r="C1927" s="2"/>
      <c r="D1927" s="2"/>
      <c r="E1927" s="2"/>
      <c r="F1927" s="2"/>
    </row>
    <row r="1928" spans="1:6" x14ac:dyDescent="0.25">
      <c r="A1928" s="2"/>
      <c r="B1928" s="2"/>
      <c r="C1928" s="2"/>
      <c r="D1928" s="2"/>
      <c r="E1928" s="2"/>
      <c r="F1928" s="2"/>
    </row>
    <row r="1929" spans="1:6" x14ac:dyDescent="0.25">
      <c r="A1929" s="2"/>
      <c r="B1929" s="2"/>
      <c r="C1929" s="2"/>
      <c r="D1929" s="2"/>
      <c r="E1929" s="2"/>
      <c r="F1929" s="2"/>
    </row>
    <row r="1930" spans="1:6" x14ac:dyDescent="0.25">
      <c r="A1930" s="2"/>
      <c r="B1930" s="2"/>
      <c r="C1930" s="2"/>
      <c r="D1930" s="2"/>
      <c r="E1930" s="2"/>
      <c r="F1930" s="2"/>
    </row>
    <row r="1931" spans="1:6" x14ac:dyDescent="0.25">
      <c r="A1931" s="2"/>
      <c r="B1931" s="2"/>
      <c r="C1931" s="2"/>
      <c r="D1931" s="2"/>
      <c r="E1931" s="2"/>
      <c r="F1931" s="2"/>
    </row>
    <row r="1932" spans="1:6" x14ac:dyDescent="0.25">
      <c r="A1932" s="2"/>
      <c r="B1932" s="2"/>
      <c r="C1932" s="2"/>
      <c r="D1932" s="2"/>
      <c r="E1932" s="2"/>
      <c r="F1932" s="2"/>
    </row>
    <row r="1933" spans="1:6" x14ac:dyDescent="0.25">
      <c r="A1933" s="2"/>
      <c r="B1933" s="2"/>
      <c r="C1933" s="2"/>
      <c r="D1933" s="2"/>
      <c r="E1933" s="2"/>
      <c r="F1933" s="2"/>
    </row>
    <row r="1934" spans="1:6" x14ac:dyDescent="0.25">
      <c r="A1934" s="2"/>
      <c r="B1934" s="2"/>
      <c r="C1934" s="2"/>
      <c r="D1934" s="2"/>
      <c r="E1934" s="2"/>
      <c r="F1934" s="2"/>
    </row>
    <row r="1935" spans="1:6" x14ac:dyDescent="0.25">
      <c r="A1935" s="2"/>
      <c r="B1935" s="2"/>
      <c r="C1935" s="2"/>
      <c r="D1935" s="2"/>
      <c r="E1935" s="2"/>
      <c r="F1935" s="2"/>
    </row>
    <row r="1936" spans="1:6" x14ac:dyDescent="0.25">
      <c r="A1936" s="2"/>
      <c r="B1936" s="2"/>
      <c r="C1936" s="2"/>
      <c r="D1936" s="2"/>
      <c r="E1936" s="2"/>
      <c r="F1936" s="2"/>
    </row>
    <row r="1937" spans="1:6" x14ac:dyDescent="0.25">
      <c r="A1937" s="2"/>
      <c r="B1937" s="2"/>
      <c r="C1937" s="2"/>
      <c r="D1937" s="2"/>
      <c r="E1937" s="2"/>
      <c r="F1937" s="2"/>
    </row>
    <row r="1938" spans="1:6" x14ac:dyDescent="0.25">
      <c r="A1938" s="2"/>
      <c r="B1938" s="2"/>
      <c r="C1938" s="2"/>
      <c r="D1938" s="2"/>
      <c r="E1938" s="2"/>
      <c r="F1938" s="2"/>
    </row>
    <row r="1939" spans="1:6" x14ac:dyDescent="0.25">
      <c r="A1939" s="2"/>
      <c r="B1939" s="2"/>
      <c r="C1939" s="2"/>
      <c r="D1939" s="2"/>
      <c r="E1939" s="2"/>
      <c r="F1939" s="2"/>
    </row>
    <row r="1940" spans="1:6" x14ac:dyDescent="0.25">
      <c r="A1940" s="2"/>
      <c r="B1940" s="2"/>
      <c r="C1940" s="2"/>
      <c r="D1940" s="2"/>
      <c r="E1940" s="2"/>
      <c r="F1940" s="2"/>
    </row>
    <row r="1941" spans="1:6" x14ac:dyDescent="0.25">
      <c r="A1941" s="2"/>
      <c r="B1941" s="2"/>
      <c r="C1941" s="2"/>
      <c r="D1941" s="2"/>
      <c r="E1941" s="2"/>
      <c r="F1941" s="2"/>
    </row>
    <row r="1942" spans="1:6" x14ac:dyDescent="0.25">
      <c r="A1942" s="2"/>
      <c r="B1942" s="2"/>
      <c r="C1942" s="2"/>
      <c r="D1942" s="2"/>
      <c r="E1942" s="2"/>
      <c r="F1942" s="2"/>
    </row>
    <row r="1943" spans="1:6" x14ac:dyDescent="0.25">
      <c r="A1943" s="2"/>
      <c r="B1943" s="2"/>
      <c r="C1943" s="2"/>
      <c r="D1943" s="2"/>
      <c r="E1943" s="2"/>
      <c r="F1943" s="2"/>
    </row>
    <row r="1944" spans="1:6" x14ac:dyDescent="0.25">
      <c r="A1944" s="2"/>
      <c r="B1944" s="2"/>
      <c r="C1944" s="2"/>
      <c r="D1944" s="2"/>
      <c r="E1944" s="2"/>
      <c r="F1944" s="2"/>
    </row>
    <row r="1945" spans="1:6" x14ac:dyDescent="0.25">
      <c r="A1945" s="2"/>
      <c r="B1945" s="2"/>
      <c r="C1945" s="2"/>
      <c r="D1945" s="2"/>
      <c r="E1945" s="2"/>
      <c r="F1945" s="2"/>
    </row>
    <row r="1946" spans="1:6" x14ac:dyDescent="0.25">
      <c r="A1946" s="2"/>
      <c r="B1946" s="2"/>
      <c r="C1946" s="2"/>
      <c r="D1946" s="2"/>
      <c r="E1946" s="2"/>
      <c r="F1946" s="2"/>
    </row>
    <row r="1947" spans="1:6" x14ac:dyDescent="0.25">
      <c r="A1947" s="2"/>
      <c r="B1947" s="2"/>
      <c r="C1947" s="2"/>
      <c r="D1947" s="2"/>
      <c r="E1947" s="2"/>
      <c r="F1947" s="2"/>
    </row>
    <row r="1948" spans="1:6" x14ac:dyDescent="0.25">
      <c r="A1948" s="2"/>
      <c r="B1948" s="2"/>
      <c r="C1948" s="2"/>
      <c r="D1948" s="2"/>
      <c r="E1948" s="2"/>
      <c r="F1948" s="2"/>
    </row>
    <row r="1949" spans="1:6" x14ac:dyDescent="0.25">
      <c r="A1949" s="2"/>
      <c r="B1949" s="2"/>
      <c r="C1949" s="2"/>
      <c r="D1949" s="2"/>
      <c r="E1949" s="2"/>
      <c r="F1949" s="2"/>
    </row>
    <row r="1950" spans="1:6" x14ac:dyDescent="0.25">
      <c r="A1950" s="2"/>
      <c r="B1950" s="2"/>
      <c r="C1950" s="2"/>
      <c r="D1950" s="2"/>
      <c r="E1950" s="2"/>
      <c r="F1950" s="2"/>
    </row>
    <row r="1951" spans="1:6" x14ac:dyDescent="0.25">
      <c r="A1951" s="2"/>
      <c r="B1951" s="2"/>
      <c r="C1951" s="2"/>
      <c r="D1951" s="2"/>
      <c r="E1951" s="2"/>
      <c r="F1951" s="2"/>
    </row>
    <row r="1952" spans="1:6" x14ac:dyDescent="0.25">
      <c r="A1952" s="2"/>
      <c r="B1952" s="2"/>
      <c r="C1952" s="2"/>
      <c r="D1952" s="2"/>
      <c r="E1952" s="2"/>
      <c r="F1952" s="2"/>
    </row>
    <row r="1953" spans="1:6" x14ac:dyDescent="0.25">
      <c r="A1953" s="2"/>
      <c r="B1953" s="2"/>
      <c r="C1953" s="2"/>
      <c r="D1953" s="2"/>
      <c r="E1953" s="2"/>
      <c r="F1953" s="2"/>
    </row>
    <row r="1954" spans="1:6" x14ac:dyDescent="0.25">
      <c r="A1954" s="2"/>
      <c r="B1954" s="2"/>
      <c r="C1954" s="2"/>
      <c r="D1954" s="2"/>
      <c r="E1954" s="2"/>
      <c r="F1954" s="2"/>
    </row>
    <row r="1955" spans="1:6" x14ac:dyDescent="0.25">
      <c r="A1955" s="2"/>
      <c r="B1955" s="2"/>
      <c r="C1955" s="2"/>
      <c r="D1955" s="2"/>
      <c r="E1955" s="2"/>
      <c r="F1955" s="2"/>
    </row>
    <row r="1956" spans="1:6" x14ac:dyDescent="0.25">
      <c r="A1956" s="2"/>
      <c r="B1956" s="2"/>
      <c r="C1956" s="2"/>
      <c r="D1956" s="2"/>
      <c r="E1956" s="2"/>
      <c r="F1956" s="2"/>
    </row>
    <row r="1957" spans="1:6" x14ac:dyDescent="0.25">
      <c r="A1957" s="2"/>
      <c r="B1957" s="2"/>
      <c r="C1957" s="2"/>
      <c r="D1957" s="2"/>
      <c r="E1957" s="2"/>
      <c r="F1957" s="2"/>
    </row>
    <row r="1958" spans="1:6" x14ac:dyDescent="0.25">
      <c r="A1958" s="2"/>
      <c r="B1958" s="2"/>
      <c r="C1958" s="2"/>
      <c r="D1958" s="2"/>
      <c r="E1958" s="2"/>
      <c r="F1958" s="2"/>
    </row>
    <row r="1959" spans="1:6" x14ac:dyDescent="0.25">
      <c r="A1959" s="2"/>
      <c r="B1959" s="2"/>
      <c r="C1959" s="2"/>
      <c r="D1959" s="2"/>
      <c r="E1959" s="2"/>
      <c r="F1959" s="2"/>
    </row>
    <row r="1960" spans="1:6" x14ac:dyDescent="0.25">
      <c r="A1960" s="2"/>
      <c r="B1960" s="2"/>
      <c r="C1960" s="2"/>
      <c r="D1960" s="2"/>
      <c r="E1960" s="2"/>
      <c r="F1960" s="2"/>
    </row>
    <row r="1961" spans="1:6" x14ac:dyDescent="0.25">
      <c r="A1961" s="2"/>
      <c r="B1961" s="2"/>
      <c r="C1961" s="2"/>
      <c r="D1961" s="2"/>
      <c r="E1961" s="2"/>
      <c r="F1961" s="2"/>
    </row>
    <row r="1962" spans="1:6" x14ac:dyDescent="0.25">
      <c r="A1962" s="2"/>
      <c r="B1962" s="2"/>
      <c r="C1962" s="2"/>
      <c r="D1962" s="2"/>
      <c r="E1962" s="2"/>
      <c r="F1962" s="2"/>
    </row>
    <row r="1963" spans="1:6" x14ac:dyDescent="0.25">
      <c r="A1963" s="2"/>
      <c r="B1963" s="2"/>
      <c r="C1963" s="2"/>
      <c r="D1963" s="2"/>
      <c r="E1963" s="2"/>
      <c r="F1963" s="2"/>
    </row>
    <row r="1964" spans="1:6" x14ac:dyDescent="0.25">
      <c r="A1964" s="2"/>
      <c r="B1964" s="2"/>
      <c r="C1964" s="2"/>
      <c r="D1964" s="2"/>
      <c r="E1964" s="2"/>
      <c r="F1964" s="2"/>
    </row>
    <row r="1965" spans="1:6" x14ac:dyDescent="0.25">
      <c r="A1965" s="2"/>
      <c r="B1965" s="2"/>
      <c r="C1965" s="2"/>
      <c r="D1965" s="2"/>
      <c r="E1965" s="2"/>
      <c r="F1965" s="2"/>
    </row>
    <row r="1966" spans="1:6" x14ac:dyDescent="0.25">
      <c r="A1966" s="2"/>
      <c r="B1966" s="2"/>
      <c r="C1966" s="2"/>
      <c r="D1966" s="2"/>
      <c r="E1966" s="2"/>
      <c r="F1966" s="2"/>
    </row>
    <row r="1967" spans="1:6" x14ac:dyDescent="0.25">
      <c r="A1967" s="2"/>
      <c r="B1967" s="2"/>
      <c r="C1967" s="2"/>
      <c r="D1967" s="2"/>
      <c r="E1967" s="2"/>
      <c r="F1967" s="2"/>
    </row>
    <row r="1968" spans="1:6" x14ac:dyDescent="0.25">
      <c r="A1968" s="2"/>
      <c r="B1968" s="2"/>
      <c r="C1968" s="2"/>
      <c r="D1968" s="2"/>
      <c r="E1968" s="2"/>
      <c r="F1968" s="2"/>
    </row>
    <row r="1969" spans="1:6" x14ac:dyDescent="0.25">
      <c r="A1969" s="2"/>
      <c r="B1969" s="2"/>
      <c r="C1969" s="2"/>
      <c r="D1969" s="2"/>
      <c r="E1969" s="2"/>
      <c r="F1969" s="2"/>
    </row>
    <row r="1970" spans="1:6" x14ac:dyDescent="0.25">
      <c r="A1970" s="2"/>
      <c r="B1970" s="2"/>
      <c r="C1970" s="2"/>
      <c r="D1970" s="2"/>
      <c r="E1970" s="2"/>
      <c r="F1970" s="2"/>
    </row>
    <row r="1971" spans="1:6" x14ac:dyDescent="0.25">
      <c r="A1971" s="2"/>
      <c r="B1971" s="2"/>
      <c r="C1971" s="2"/>
      <c r="D1971" s="2"/>
      <c r="E1971" s="2"/>
      <c r="F1971" s="2"/>
    </row>
    <row r="1972" spans="1:6" x14ac:dyDescent="0.25">
      <c r="A1972" s="2"/>
      <c r="B1972" s="2"/>
      <c r="C1972" s="2"/>
      <c r="D1972" s="2"/>
      <c r="E1972" s="2"/>
      <c r="F1972" s="2"/>
    </row>
    <row r="1973" spans="1:6" x14ac:dyDescent="0.25">
      <c r="A1973" s="2"/>
      <c r="B1973" s="2"/>
      <c r="C1973" s="2"/>
      <c r="D1973" s="2"/>
      <c r="E1973" s="2"/>
      <c r="F1973" s="2"/>
    </row>
    <row r="1974" spans="1:6" x14ac:dyDescent="0.25">
      <c r="A1974" s="2"/>
      <c r="B1974" s="2"/>
      <c r="C1974" s="2"/>
      <c r="D1974" s="2"/>
      <c r="E1974" s="2"/>
      <c r="F1974" s="2"/>
    </row>
    <row r="1975" spans="1:6" x14ac:dyDescent="0.25">
      <c r="A1975" s="2"/>
      <c r="B1975" s="2"/>
      <c r="C1975" s="2"/>
      <c r="D1975" s="2"/>
      <c r="E1975" s="2"/>
      <c r="F1975" s="2"/>
    </row>
    <row r="1976" spans="1:6" x14ac:dyDescent="0.25">
      <c r="A1976" s="2"/>
      <c r="B1976" s="2"/>
      <c r="C1976" s="2"/>
      <c r="D1976" s="2"/>
      <c r="E1976" s="2"/>
      <c r="F1976" s="2"/>
    </row>
    <row r="1977" spans="1:6" x14ac:dyDescent="0.25">
      <c r="A1977" s="2"/>
      <c r="B1977" s="2"/>
      <c r="C1977" s="2"/>
      <c r="D1977" s="2"/>
      <c r="E1977" s="2"/>
      <c r="F1977" s="2"/>
    </row>
    <row r="1978" spans="1:6" x14ac:dyDescent="0.25">
      <c r="A1978" s="2"/>
      <c r="B1978" s="2"/>
      <c r="C1978" s="2"/>
      <c r="D1978" s="2"/>
      <c r="E1978" s="2"/>
      <c r="F1978" s="2"/>
    </row>
    <row r="1979" spans="1:6" x14ac:dyDescent="0.25">
      <c r="A1979" s="2"/>
      <c r="B1979" s="2"/>
      <c r="C1979" s="2"/>
      <c r="D1979" s="2"/>
      <c r="E1979" s="2"/>
      <c r="F1979" s="2"/>
    </row>
    <row r="1980" spans="1:6" x14ac:dyDescent="0.25">
      <c r="A1980" s="2"/>
      <c r="B1980" s="2"/>
      <c r="C1980" s="2"/>
      <c r="D1980" s="2"/>
      <c r="E1980" s="2"/>
      <c r="F1980" s="2"/>
    </row>
    <row r="1981" spans="1:6" x14ac:dyDescent="0.25">
      <c r="A1981" s="2"/>
      <c r="B1981" s="2"/>
      <c r="C1981" s="2"/>
      <c r="D1981" s="2"/>
      <c r="E1981" s="2"/>
      <c r="F1981" s="2"/>
    </row>
    <row r="1982" spans="1:6" x14ac:dyDescent="0.25">
      <c r="A1982" s="2"/>
      <c r="B1982" s="2"/>
      <c r="C1982" s="2"/>
      <c r="D1982" s="2"/>
      <c r="E1982" s="2"/>
      <c r="F1982" s="2"/>
    </row>
    <row r="1983" spans="1:6" x14ac:dyDescent="0.25">
      <c r="A1983" s="2"/>
      <c r="B1983" s="2"/>
      <c r="C1983" s="2"/>
      <c r="D1983" s="2"/>
      <c r="E1983" s="2"/>
      <c r="F1983" s="2"/>
    </row>
    <row r="1984" spans="1:6" x14ac:dyDescent="0.25">
      <c r="A1984" s="2"/>
      <c r="B1984" s="2"/>
      <c r="C1984" s="2"/>
      <c r="D1984" s="2"/>
      <c r="E1984" s="2"/>
      <c r="F1984" s="2"/>
    </row>
    <row r="1985" spans="1:6" x14ac:dyDescent="0.25">
      <c r="A1985" s="2"/>
      <c r="B1985" s="2"/>
      <c r="C1985" s="2"/>
      <c r="D1985" s="2"/>
      <c r="E1985" s="2"/>
      <c r="F1985" s="2"/>
    </row>
    <row r="1986" spans="1:6" x14ac:dyDescent="0.25">
      <c r="A1986" s="2"/>
      <c r="B1986" s="2"/>
      <c r="C1986" s="2"/>
      <c r="D1986" s="2"/>
      <c r="E1986" s="2"/>
      <c r="F1986" s="2"/>
    </row>
    <row r="1987" spans="1:6" x14ac:dyDescent="0.25">
      <c r="A1987" s="2"/>
      <c r="B1987" s="2"/>
      <c r="C1987" s="2"/>
      <c r="D1987" s="2"/>
      <c r="E1987" s="2"/>
      <c r="F1987" s="2"/>
    </row>
    <row r="1988" spans="1:6" x14ac:dyDescent="0.25">
      <c r="A1988" s="2"/>
      <c r="B1988" s="2"/>
      <c r="C1988" s="2"/>
      <c r="D1988" s="2"/>
      <c r="E1988" s="2"/>
      <c r="F1988" s="2"/>
    </row>
    <row r="1989" spans="1:6" x14ac:dyDescent="0.25">
      <c r="A1989" s="2"/>
      <c r="B1989" s="2"/>
      <c r="C1989" s="2"/>
      <c r="D1989" s="2"/>
      <c r="E1989" s="2"/>
      <c r="F1989" s="2"/>
    </row>
    <row r="1990" spans="1:6" x14ac:dyDescent="0.25">
      <c r="A1990" s="2"/>
      <c r="B1990" s="2"/>
      <c r="C1990" s="2"/>
      <c r="D1990" s="2"/>
      <c r="E1990" s="2"/>
      <c r="F1990" s="2"/>
    </row>
    <row r="1991" spans="1:6" x14ac:dyDescent="0.25">
      <c r="A1991" s="2"/>
      <c r="B1991" s="2"/>
      <c r="C1991" s="2"/>
      <c r="D1991" s="2"/>
      <c r="E1991" s="2"/>
      <c r="F1991" s="2"/>
    </row>
    <row r="1992" spans="1:6" x14ac:dyDescent="0.25">
      <c r="A1992" s="2"/>
      <c r="B1992" s="2"/>
      <c r="C1992" s="2"/>
      <c r="D1992" s="2"/>
      <c r="E1992" s="2"/>
      <c r="F1992" s="2"/>
    </row>
    <row r="1993" spans="1:6" x14ac:dyDescent="0.25">
      <c r="A1993" s="2"/>
      <c r="B1993" s="2"/>
      <c r="C1993" s="2"/>
      <c r="D1993" s="2"/>
      <c r="E1993" s="2"/>
      <c r="F1993" s="2"/>
    </row>
    <row r="1994" spans="1:6" x14ac:dyDescent="0.25">
      <c r="A1994" s="2"/>
      <c r="B1994" s="2"/>
      <c r="C1994" s="2"/>
      <c r="D1994" s="2"/>
      <c r="E1994" s="2"/>
      <c r="F1994" s="2"/>
    </row>
    <row r="1995" spans="1:6" x14ac:dyDescent="0.25">
      <c r="A1995" s="2"/>
      <c r="B1995" s="2"/>
      <c r="C1995" s="2"/>
      <c r="D1995" s="2"/>
      <c r="E1995" s="2"/>
      <c r="F1995" s="2"/>
    </row>
    <row r="1996" spans="1:6" x14ac:dyDescent="0.25">
      <c r="A1996" s="2"/>
      <c r="B1996" s="2"/>
      <c r="C1996" s="2"/>
      <c r="D1996" s="2"/>
      <c r="E1996" s="2"/>
      <c r="F1996" s="2"/>
    </row>
    <row r="1997" spans="1:6" x14ac:dyDescent="0.25">
      <c r="A1997" s="2"/>
      <c r="B1997" s="2"/>
      <c r="C1997" s="2"/>
      <c r="D1997" s="2"/>
      <c r="E1997" s="2"/>
      <c r="F1997" s="2"/>
    </row>
    <row r="1998" spans="1:6" x14ac:dyDescent="0.25">
      <c r="A1998" s="2"/>
      <c r="B1998" s="2"/>
      <c r="C1998" s="2"/>
      <c r="D1998" s="2"/>
      <c r="E1998" s="2"/>
      <c r="F1998" s="2"/>
    </row>
    <row r="1999" spans="1:6" x14ac:dyDescent="0.25">
      <c r="A1999" s="2"/>
      <c r="B1999" s="2"/>
      <c r="C1999" s="2"/>
      <c r="D1999" s="2"/>
      <c r="E1999" s="2"/>
      <c r="F1999" s="2"/>
    </row>
    <row r="2000" spans="1:6" x14ac:dyDescent="0.25">
      <c r="A2000" s="2"/>
      <c r="B2000" s="2"/>
      <c r="C2000" s="2"/>
      <c r="D2000" s="2"/>
      <c r="E2000" s="2"/>
      <c r="F2000" s="2"/>
    </row>
    <row r="2001" spans="1:6" x14ac:dyDescent="0.25">
      <c r="A2001" s="2"/>
      <c r="B2001" s="2"/>
      <c r="C2001" s="2"/>
      <c r="D2001" s="2"/>
      <c r="E2001" s="2"/>
      <c r="F2001" s="2"/>
    </row>
    <row r="2002" spans="1:6" x14ac:dyDescent="0.25">
      <c r="A2002" s="2"/>
      <c r="B2002" s="2"/>
      <c r="C2002" s="2"/>
      <c r="D2002" s="2"/>
      <c r="E2002" s="2"/>
      <c r="F2002" s="2"/>
    </row>
    <row r="2003" spans="1:6" x14ac:dyDescent="0.25">
      <c r="A2003" s="2"/>
      <c r="B2003" s="2"/>
      <c r="C2003" s="2"/>
      <c r="D2003" s="2"/>
      <c r="E2003" s="2"/>
      <c r="F2003" s="2"/>
    </row>
    <row r="2004" spans="1:6" x14ac:dyDescent="0.25">
      <c r="A2004" s="2"/>
      <c r="B2004" s="2"/>
      <c r="C2004" s="2"/>
      <c r="D2004" s="2"/>
      <c r="E2004" s="2"/>
      <c r="F2004" s="2"/>
    </row>
    <row r="2005" spans="1:6" x14ac:dyDescent="0.25">
      <c r="A2005" s="2"/>
      <c r="B2005" s="2"/>
      <c r="C2005" s="2"/>
      <c r="D2005" s="2"/>
      <c r="E2005" s="2"/>
      <c r="F2005" s="2"/>
    </row>
    <row r="2006" spans="1:6" x14ac:dyDescent="0.25">
      <c r="A2006" s="2"/>
      <c r="B2006" s="2"/>
      <c r="C2006" s="2"/>
      <c r="D2006" s="2"/>
      <c r="E2006" s="2"/>
      <c r="F2006" s="2"/>
    </row>
    <row r="2007" spans="1:6" x14ac:dyDescent="0.25">
      <c r="A2007" s="2"/>
      <c r="B2007" s="2"/>
      <c r="C2007" s="2"/>
      <c r="D2007" s="2"/>
      <c r="E2007" s="2"/>
      <c r="F2007" s="2"/>
    </row>
    <row r="2008" spans="1:6" x14ac:dyDescent="0.25">
      <c r="A2008" s="2"/>
      <c r="B2008" s="2"/>
      <c r="C2008" s="2"/>
      <c r="D2008" s="2"/>
      <c r="E2008" s="2"/>
      <c r="F2008" s="2"/>
    </row>
    <row r="2009" spans="1:6" x14ac:dyDescent="0.25">
      <c r="A2009" s="2"/>
      <c r="B2009" s="2"/>
      <c r="C2009" s="2"/>
      <c r="D2009" s="2"/>
      <c r="E2009" s="2"/>
      <c r="F2009" s="2"/>
    </row>
    <row r="2010" spans="1:6" x14ac:dyDescent="0.25">
      <c r="A2010" s="2"/>
      <c r="B2010" s="2"/>
      <c r="C2010" s="2"/>
      <c r="D2010" s="2"/>
      <c r="E2010" s="2"/>
      <c r="F2010" s="2"/>
    </row>
    <row r="2011" spans="1:6" x14ac:dyDescent="0.25">
      <c r="A2011" s="2"/>
      <c r="B2011" s="2"/>
      <c r="C2011" s="2"/>
      <c r="D2011" s="2"/>
      <c r="E2011" s="2"/>
      <c r="F2011" s="2"/>
    </row>
    <row r="2012" spans="1:6" x14ac:dyDescent="0.25">
      <c r="A2012" s="2"/>
      <c r="B2012" s="2"/>
      <c r="C2012" s="2"/>
      <c r="D2012" s="2"/>
      <c r="E2012" s="2"/>
      <c r="F2012" s="2"/>
    </row>
    <row r="2013" spans="1:6" x14ac:dyDescent="0.25">
      <c r="A2013" s="2"/>
      <c r="B2013" s="2"/>
      <c r="C2013" s="2"/>
      <c r="D2013" s="2"/>
      <c r="E2013" s="2"/>
      <c r="F2013" s="2"/>
    </row>
    <row r="2014" spans="1:6" x14ac:dyDescent="0.25">
      <c r="A2014" s="2"/>
      <c r="B2014" s="2"/>
      <c r="C2014" s="2"/>
      <c r="D2014" s="2"/>
      <c r="E2014" s="2"/>
      <c r="F2014" s="2"/>
    </row>
    <row r="2015" spans="1:6" x14ac:dyDescent="0.25">
      <c r="A2015" s="2"/>
      <c r="B2015" s="2"/>
      <c r="C2015" s="2"/>
      <c r="D2015" s="2"/>
      <c r="E2015" s="2"/>
      <c r="F2015" s="2"/>
    </row>
    <row r="2016" spans="1:6" x14ac:dyDescent="0.25">
      <c r="A2016" s="2"/>
      <c r="B2016" s="2"/>
      <c r="C2016" s="2"/>
      <c r="D2016" s="2"/>
      <c r="E2016" s="2"/>
      <c r="F2016" s="2"/>
    </row>
    <row r="2017" spans="1:6" x14ac:dyDescent="0.25">
      <c r="A2017" s="2"/>
      <c r="B2017" s="2"/>
      <c r="C2017" s="2"/>
      <c r="D2017" s="2"/>
      <c r="E2017" s="2"/>
      <c r="F2017" s="2"/>
    </row>
    <row r="2018" spans="1:6" x14ac:dyDescent="0.25">
      <c r="A2018" s="2"/>
      <c r="B2018" s="2"/>
      <c r="C2018" s="2"/>
      <c r="D2018" s="2"/>
      <c r="E2018" s="2"/>
      <c r="F2018" s="2"/>
    </row>
    <row r="2019" spans="1:6" x14ac:dyDescent="0.25">
      <c r="A2019" s="2"/>
      <c r="B2019" s="2"/>
      <c r="C2019" s="2"/>
      <c r="D2019" s="2"/>
      <c r="E2019" s="2"/>
      <c r="F2019" s="2"/>
    </row>
    <row r="2020" spans="1:6" x14ac:dyDescent="0.25">
      <c r="A2020" s="2"/>
      <c r="B2020" s="2"/>
      <c r="C2020" s="2"/>
      <c r="D2020" s="2"/>
      <c r="E2020" s="2"/>
      <c r="F2020" s="2"/>
    </row>
    <row r="2021" spans="1:6" x14ac:dyDescent="0.25">
      <c r="A2021" s="2"/>
      <c r="B2021" s="2"/>
      <c r="C2021" s="2"/>
      <c r="D2021" s="2"/>
      <c r="E2021" s="2"/>
      <c r="F2021" s="2"/>
    </row>
    <row r="2022" spans="1:6" x14ac:dyDescent="0.25">
      <c r="A2022" s="2"/>
      <c r="B2022" s="2"/>
      <c r="C2022" s="2"/>
      <c r="D2022" s="2"/>
      <c r="E2022" s="2"/>
      <c r="F2022" s="2"/>
    </row>
    <row r="2023" spans="1:6" x14ac:dyDescent="0.25">
      <c r="A2023" s="2"/>
      <c r="B2023" s="2"/>
      <c r="C2023" s="2"/>
      <c r="D2023" s="2"/>
      <c r="E2023" s="2"/>
      <c r="F2023" s="2"/>
    </row>
    <row r="2024" spans="1:6" x14ac:dyDescent="0.25">
      <c r="A2024" s="2"/>
      <c r="B2024" s="2"/>
      <c r="C2024" s="2"/>
      <c r="D2024" s="2"/>
      <c r="E2024" s="2"/>
      <c r="F2024" s="2"/>
    </row>
    <row r="2025" spans="1:6" x14ac:dyDescent="0.25">
      <c r="A2025" s="2"/>
      <c r="B2025" s="2"/>
      <c r="C2025" s="2"/>
      <c r="D2025" s="2"/>
      <c r="E2025" s="2"/>
      <c r="F2025" s="2"/>
    </row>
    <row r="2026" spans="1:6" x14ac:dyDescent="0.25">
      <c r="A2026" s="2"/>
      <c r="B2026" s="2"/>
      <c r="C2026" s="2"/>
      <c r="D2026" s="2"/>
      <c r="E2026" s="2"/>
      <c r="F2026" s="2"/>
    </row>
    <row r="2027" spans="1:6" x14ac:dyDescent="0.25">
      <c r="A2027" s="2"/>
      <c r="B2027" s="2"/>
      <c r="C2027" s="2"/>
      <c r="D2027" s="2"/>
      <c r="E2027" s="2"/>
      <c r="F2027" s="2"/>
    </row>
    <row r="2028" spans="1:6" x14ac:dyDescent="0.25">
      <c r="A2028" s="2"/>
      <c r="B2028" s="2"/>
      <c r="C2028" s="2"/>
      <c r="D2028" s="2"/>
      <c r="E2028" s="2"/>
      <c r="F2028" s="2"/>
    </row>
    <row r="2029" spans="1:6" x14ac:dyDescent="0.25">
      <c r="A2029" s="2"/>
      <c r="B2029" s="2"/>
      <c r="C2029" s="2"/>
      <c r="D2029" s="2"/>
      <c r="E2029" s="2"/>
      <c r="F2029" s="2"/>
    </row>
    <row r="2030" spans="1:6" x14ac:dyDescent="0.25">
      <c r="A2030" s="2"/>
      <c r="B2030" s="2"/>
      <c r="C2030" s="2"/>
      <c r="D2030" s="2"/>
      <c r="E2030" s="2"/>
      <c r="F2030" s="2"/>
    </row>
    <row r="2031" spans="1:6" x14ac:dyDescent="0.25">
      <c r="A2031" s="2"/>
      <c r="B2031" s="2"/>
      <c r="C2031" s="2"/>
      <c r="D2031" s="2"/>
      <c r="E2031" s="2"/>
      <c r="F2031" s="2"/>
    </row>
    <row r="2032" spans="1:6" x14ac:dyDescent="0.25">
      <c r="A2032" s="2"/>
      <c r="B2032" s="2"/>
      <c r="C2032" s="2"/>
      <c r="D2032" s="2"/>
      <c r="E2032" s="2"/>
      <c r="F2032" s="2"/>
    </row>
    <row r="2033" spans="1:6" x14ac:dyDescent="0.25">
      <c r="A2033" s="2"/>
      <c r="B2033" s="2"/>
      <c r="C2033" s="2"/>
      <c r="D2033" s="2"/>
      <c r="E2033" s="2"/>
      <c r="F2033" s="2"/>
    </row>
    <row r="2034" spans="1:6" x14ac:dyDescent="0.25">
      <c r="A2034" s="2"/>
      <c r="B2034" s="2"/>
      <c r="C2034" s="2"/>
      <c r="D2034" s="2"/>
      <c r="E2034" s="2"/>
      <c r="F2034" s="2"/>
    </row>
    <row r="2035" spans="1:6" x14ac:dyDescent="0.25">
      <c r="A2035" s="2"/>
      <c r="B2035" s="2"/>
      <c r="C2035" s="2"/>
      <c r="D2035" s="2"/>
      <c r="E2035" s="2"/>
      <c r="F2035" s="2"/>
    </row>
    <row r="2036" spans="1:6" x14ac:dyDescent="0.25">
      <c r="A2036" s="2"/>
      <c r="B2036" s="2"/>
      <c r="C2036" s="2"/>
      <c r="D2036" s="2"/>
      <c r="E2036" s="2"/>
      <c r="F2036" s="2"/>
    </row>
    <row r="2037" spans="1:6" x14ac:dyDescent="0.25">
      <c r="A2037" s="2"/>
      <c r="B2037" s="2"/>
      <c r="C2037" s="2"/>
      <c r="D2037" s="2"/>
      <c r="E2037" s="2"/>
      <c r="F2037" s="2"/>
    </row>
    <row r="2038" spans="1:6" x14ac:dyDescent="0.25">
      <c r="A2038" s="2"/>
      <c r="B2038" s="2"/>
      <c r="C2038" s="2"/>
      <c r="D2038" s="2"/>
      <c r="E2038" s="2"/>
      <c r="F2038" s="2"/>
    </row>
    <row r="2039" spans="1:6" x14ac:dyDescent="0.25">
      <c r="A2039" s="2"/>
      <c r="B2039" s="2"/>
      <c r="C2039" s="2"/>
      <c r="D2039" s="2"/>
      <c r="E2039" s="2"/>
      <c r="F2039" s="2"/>
    </row>
    <row r="2040" spans="1:6" x14ac:dyDescent="0.25">
      <c r="A2040" s="2"/>
      <c r="B2040" s="2"/>
      <c r="C2040" s="2"/>
      <c r="D2040" s="2"/>
      <c r="E2040" s="2"/>
      <c r="F2040" s="2"/>
    </row>
    <row r="2041" spans="1:6" x14ac:dyDescent="0.25">
      <c r="A2041" s="2"/>
      <c r="B2041" s="2"/>
      <c r="C2041" s="2"/>
      <c r="D2041" s="2"/>
      <c r="E2041" s="2"/>
      <c r="F2041" s="2"/>
    </row>
    <row r="2042" spans="1:6" x14ac:dyDescent="0.25">
      <c r="A2042" s="2"/>
      <c r="B2042" s="2"/>
      <c r="C2042" s="2"/>
      <c r="D2042" s="2"/>
      <c r="E2042" s="2"/>
      <c r="F2042" s="2"/>
    </row>
    <row r="2043" spans="1:6" x14ac:dyDescent="0.25">
      <c r="A2043" s="2"/>
      <c r="B2043" s="2"/>
      <c r="C2043" s="2"/>
      <c r="D2043" s="2"/>
      <c r="E2043" s="2"/>
      <c r="F2043" s="2"/>
    </row>
    <row r="2044" spans="1:6" x14ac:dyDescent="0.25">
      <c r="A2044" s="2"/>
      <c r="B2044" s="2"/>
      <c r="C2044" s="2"/>
      <c r="D2044" s="2"/>
      <c r="E2044" s="2"/>
      <c r="F2044" s="2"/>
    </row>
    <row r="2045" spans="1:6" x14ac:dyDescent="0.25">
      <c r="A2045" s="2"/>
      <c r="B2045" s="2"/>
      <c r="C2045" s="2"/>
      <c r="D2045" s="2"/>
      <c r="E2045" s="2"/>
      <c r="F2045" s="2"/>
    </row>
    <row r="2046" spans="1:6" x14ac:dyDescent="0.25">
      <c r="A2046" s="2"/>
      <c r="B2046" s="2"/>
      <c r="C2046" s="2"/>
      <c r="D2046" s="2"/>
      <c r="E2046" s="2"/>
      <c r="F2046" s="2"/>
    </row>
    <row r="2047" spans="1:6" x14ac:dyDescent="0.25">
      <c r="A2047" s="2"/>
      <c r="B2047" s="2"/>
      <c r="C2047" s="2"/>
      <c r="D2047" s="2"/>
      <c r="E2047" s="2"/>
      <c r="F2047" s="2"/>
    </row>
    <row r="2048" spans="1:6" x14ac:dyDescent="0.25">
      <c r="A2048" s="2"/>
      <c r="B2048" s="2"/>
      <c r="C2048" s="2"/>
      <c r="D2048" s="2"/>
      <c r="E2048" s="2"/>
      <c r="F2048" s="2"/>
    </row>
    <row r="2049" spans="1:6" x14ac:dyDescent="0.25">
      <c r="A2049" s="2"/>
      <c r="B2049" s="2"/>
      <c r="C2049" s="2"/>
      <c r="D2049" s="2"/>
      <c r="E2049" s="2"/>
      <c r="F2049" s="2"/>
    </row>
    <row r="2050" spans="1:6" x14ac:dyDescent="0.25">
      <c r="A2050" s="2"/>
      <c r="B2050" s="2"/>
      <c r="C2050" s="2"/>
      <c r="D2050" s="2"/>
      <c r="E2050" s="2"/>
      <c r="F2050" s="2"/>
    </row>
    <row r="2051" spans="1:6" x14ac:dyDescent="0.25">
      <c r="A2051" s="2"/>
      <c r="B2051" s="2"/>
      <c r="C2051" s="2"/>
      <c r="D2051" s="2"/>
      <c r="E2051" s="2"/>
      <c r="F2051" s="2"/>
    </row>
    <row r="2052" spans="1:6" x14ac:dyDescent="0.25">
      <c r="A2052" s="2"/>
      <c r="B2052" s="2"/>
      <c r="C2052" s="2"/>
      <c r="D2052" s="2"/>
      <c r="E2052" s="2"/>
      <c r="F2052" s="2"/>
    </row>
    <row r="2053" spans="1:6" x14ac:dyDescent="0.25">
      <c r="A2053" s="2"/>
      <c r="B2053" s="2"/>
      <c r="C2053" s="2"/>
      <c r="D2053" s="2"/>
      <c r="E2053" s="2"/>
      <c r="F2053" s="2"/>
    </row>
    <row r="2054" spans="1:6" x14ac:dyDescent="0.25">
      <c r="A2054" s="2"/>
      <c r="B2054" s="2"/>
      <c r="C2054" s="2"/>
      <c r="D2054" s="2"/>
      <c r="E2054" s="2"/>
      <c r="F2054" s="2"/>
    </row>
    <row r="2055" spans="1:6" x14ac:dyDescent="0.25">
      <c r="A2055" s="2"/>
      <c r="B2055" s="2"/>
      <c r="C2055" s="2"/>
      <c r="D2055" s="2"/>
      <c r="E2055" s="2"/>
      <c r="F2055" s="2"/>
    </row>
    <row r="2056" spans="1:6" x14ac:dyDescent="0.25">
      <c r="A2056" s="2"/>
      <c r="B2056" s="2"/>
      <c r="C2056" s="2"/>
      <c r="D2056" s="2"/>
      <c r="E2056" s="2"/>
      <c r="F2056" s="2"/>
    </row>
    <row r="2057" spans="1:6" x14ac:dyDescent="0.25">
      <c r="A2057" s="2"/>
      <c r="B2057" s="2"/>
      <c r="C2057" s="2"/>
      <c r="D2057" s="2"/>
      <c r="E2057" s="2"/>
      <c r="F2057" s="2"/>
    </row>
    <row r="2058" spans="1:6" x14ac:dyDescent="0.25">
      <c r="A2058" s="2"/>
      <c r="B2058" s="2"/>
      <c r="C2058" s="2"/>
      <c r="D2058" s="2"/>
      <c r="E2058" s="2"/>
      <c r="F2058" s="2"/>
    </row>
    <row r="2059" spans="1:6" x14ac:dyDescent="0.25">
      <c r="A2059" s="2"/>
      <c r="B2059" s="2"/>
      <c r="C2059" s="2"/>
      <c r="D2059" s="2"/>
      <c r="E2059" s="2"/>
      <c r="F2059" s="2"/>
    </row>
    <row r="2060" spans="1:6" x14ac:dyDescent="0.25">
      <c r="A2060" s="2"/>
      <c r="B2060" s="2"/>
      <c r="C2060" s="2"/>
      <c r="D2060" s="2"/>
      <c r="E2060" s="2"/>
      <c r="F2060" s="2"/>
    </row>
    <row r="2061" spans="1:6" x14ac:dyDescent="0.25">
      <c r="A2061" s="2"/>
      <c r="B2061" s="2"/>
      <c r="C2061" s="2"/>
      <c r="D2061" s="2"/>
      <c r="E2061" s="2"/>
      <c r="F2061" s="2"/>
    </row>
    <row r="2062" spans="1:6" x14ac:dyDescent="0.25">
      <c r="A2062" s="2"/>
      <c r="B2062" s="2"/>
      <c r="C2062" s="2"/>
      <c r="D2062" s="2"/>
      <c r="E2062" s="2"/>
      <c r="F2062" s="2"/>
    </row>
    <row r="2063" spans="1:6" x14ac:dyDescent="0.25">
      <c r="A2063" s="2"/>
      <c r="B2063" s="2"/>
      <c r="C2063" s="2"/>
      <c r="D2063" s="2"/>
      <c r="E2063" s="2"/>
      <c r="F2063" s="2"/>
    </row>
    <row r="2064" spans="1:6" x14ac:dyDescent="0.25">
      <c r="A2064" s="2"/>
      <c r="B2064" s="2"/>
      <c r="C2064" s="2"/>
      <c r="D2064" s="2"/>
      <c r="E2064" s="2"/>
      <c r="F2064" s="2"/>
    </row>
    <row r="2065" spans="1:6" x14ac:dyDescent="0.25">
      <c r="A2065" s="2"/>
      <c r="B2065" s="2"/>
      <c r="C2065" s="2"/>
      <c r="D2065" s="2"/>
      <c r="E2065" s="2"/>
      <c r="F2065" s="2"/>
    </row>
    <row r="2066" spans="1:6" x14ac:dyDescent="0.25">
      <c r="A2066" s="2"/>
      <c r="B2066" s="2"/>
      <c r="C2066" s="2"/>
      <c r="D2066" s="2"/>
      <c r="E2066" s="2"/>
      <c r="F2066" s="2"/>
    </row>
    <row r="2067" spans="1:6" x14ac:dyDescent="0.25">
      <c r="A2067" s="2"/>
      <c r="B2067" s="2"/>
      <c r="C2067" s="2"/>
      <c r="D2067" s="2"/>
      <c r="E2067" s="2"/>
      <c r="F2067" s="2"/>
    </row>
    <row r="2068" spans="1:6" x14ac:dyDescent="0.25">
      <c r="A2068" s="2"/>
      <c r="B2068" s="2"/>
      <c r="C2068" s="2"/>
      <c r="D2068" s="2"/>
      <c r="E2068" s="2"/>
      <c r="F2068" s="2"/>
    </row>
    <row r="2069" spans="1:6" x14ac:dyDescent="0.25">
      <c r="A2069" s="2"/>
      <c r="B2069" s="2"/>
      <c r="C2069" s="2"/>
      <c r="D2069" s="2"/>
      <c r="E2069" s="2"/>
      <c r="F2069" s="2"/>
    </row>
    <row r="2070" spans="1:6" x14ac:dyDescent="0.25">
      <c r="A2070" s="2"/>
      <c r="B2070" s="2"/>
      <c r="C2070" s="2"/>
      <c r="D2070" s="2"/>
      <c r="E2070" s="2"/>
      <c r="F2070" s="2"/>
    </row>
    <row r="2071" spans="1:6" x14ac:dyDescent="0.25">
      <c r="A2071" s="2"/>
      <c r="B2071" s="2"/>
      <c r="C2071" s="2"/>
      <c r="D2071" s="2"/>
      <c r="E2071" s="2"/>
      <c r="F2071" s="2"/>
    </row>
    <row r="2072" spans="1:6" x14ac:dyDescent="0.25">
      <c r="A2072" s="2"/>
      <c r="B2072" s="2"/>
      <c r="C2072" s="2"/>
      <c r="D2072" s="2"/>
      <c r="E2072" s="2"/>
      <c r="F2072" s="2"/>
    </row>
    <row r="2073" spans="1:6" x14ac:dyDescent="0.25">
      <c r="A2073" s="2"/>
      <c r="B2073" s="2"/>
      <c r="C2073" s="2"/>
      <c r="D2073" s="2"/>
      <c r="E2073" s="2"/>
      <c r="F2073" s="2"/>
    </row>
    <row r="2074" spans="1:6" x14ac:dyDescent="0.25">
      <c r="A2074" s="2"/>
      <c r="B2074" s="2"/>
      <c r="C2074" s="2"/>
      <c r="D2074" s="2"/>
      <c r="E2074" s="2"/>
      <c r="F2074" s="2"/>
    </row>
    <row r="2075" spans="1:6" x14ac:dyDescent="0.25">
      <c r="A2075" s="2"/>
      <c r="B2075" s="2"/>
      <c r="C2075" s="2"/>
      <c r="D2075" s="2"/>
      <c r="E2075" s="2"/>
      <c r="F2075" s="2"/>
    </row>
    <row r="2076" spans="1:6" x14ac:dyDescent="0.25">
      <c r="A2076" s="2"/>
      <c r="B2076" s="2"/>
      <c r="C2076" s="2"/>
      <c r="D2076" s="2"/>
      <c r="E2076" s="2"/>
      <c r="F2076" s="2"/>
    </row>
    <row r="2077" spans="1:6" x14ac:dyDescent="0.25">
      <c r="A2077" s="2"/>
      <c r="B2077" s="2"/>
      <c r="C2077" s="2"/>
      <c r="D2077" s="2"/>
      <c r="E2077" s="2"/>
      <c r="F2077" s="2"/>
    </row>
    <row r="2078" spans="1:6" x14ac:dyDescent="0.25">
      <c r="A2078" s="2"/>
      <c r="B2078" s="2"/>
      <c r="C2078" s="2"/>
      <c r="D2078" s="2"/>
      <c r="E2078" s="2"/>
      <c r="F2078" s="2"/>
    </row>
    <row r="2079" spans="1:6" x14ac:dyDescent="0.25">
      <c r="A2079" s="2"/>
      <c r="B2079" s="2"/>
      <c r="C2079" s="2"/>
      <c r="D2079" s="2"/>
      <c r="E2079" s="2"/>
      <c r="F2079" s="2"/>
    </row>
    <row r="2080" spans="1:6" x14ac:dyDescent="0.25">
      <c r="A2080" s="2"/>
      <c r="B2080" s="2"/>
      <c r="C2080" s="2"/>
      <c r="D2080" s="2"/>
      <c r="E2080" s="2"/>
      <c r="F2080" s="2"/>
    </row>
    <row r="2081" spans="1:6" x14ac:dyDescent="0.25">
      <c r="A2081" s="2"/>
      <c r="B2081" s="2"/>
      <c r="C2081" s="2"/>
      <c r="D2081" s="2"/>
      <c r="E2081" s="2"/>
      <c r="F2081" s="2"/>
    </row>
    <row r="2082" spans="1:6" x14ac:dyDescent="0.25">
      <c r="A2082" s="2"/>
      <c r="B2082" s="2"/>
      <c r="C2082" s="2"/>
      <c r="D2082" s="2"/>
      <c r="E2082" s="2"/>
      <c r="F2082" s="2"/>
    </row>
    <row r="2083" spans="1:6" x14ac:dyDescent="0.25">
      <c r="A2083" s="2"/>
      <c r="B2083" s="2"/>
      <c r="C2083" s="2"/>
      <c r="D2083" s="2"/>
      <c r="E2083" s="2"/>
      <c r="F2083" s="2"/>
    </row>
    <row r="2084" spans="1:6" x14ac:dyDescent="0.25">
      <c r="A2084" s="2"/>
      <c r="B2084" s="2"/>
      <c r="C2084" s="2"/>
      <c r="D2084" s="2"/>
      <c r="E2084" s="2"/>
      <c r="F2084" s="2"/>
    </row>
    <row r="2085" spans="1:6" x14ac:dyDescent="0.25">
      <c r="A2085" s="2"/>
      <c r="B2085" s="2"/>
      <c r="C2085" s="2"/>
      <c r="D2085" s="2"/>
      <c r="E2085" s="2"/>
      <c r="F2085" s="2"/>
    </row>
    <row r="2086" spans="1:6" x14ac:dyDescent="0.25">
      <c r="A2086" s="2"/>
      <c r="B2086" s="2"/>
      <c r="C2086" s="2"/>
      <c r="D2086" s="2"/>
      <c r="E2086" s="2"/>
      <c r="F2086" s="2"/>
    </row>
    <row r="2087" spans="1:6" x14ac:dyDescent="0.25">
      <c r="A2087" s="2"/>
      <c r="B2087" s="2"/>
      <c r="C2087" s="2"/>
      <c r="D2087" s="2"/>
      <c r="E2087" s="2"/>
      <c r="F2087" s="2"/>
    </row>
    <row r="2088" spans="1:6" x14ac:dyDescent="0.25">
      <c r="A2088" s="2"/>
      <c r="B2088" s="2"/>
      <c r="C2088" s="2"/>
      <c r="D2088" s="2"/>
      <c r="E2088" s="2"/>
      <c r="F2088" s="2"/>
    </row>
    <row r="2089" spans="1:6" x14ac:dyDescent="0.25">
      <c r="A2089" s="2"/>
      <c r="B2089" s="2"/>
      <c r="C2089" s="2"/>
      <c r="D2089" s="2"/>
      <c r="E2089" s="2"/>
      <c r="F2089" s="2"/>
    </row>
    <row r="2090" spans="1:6" x14ac:dyDescent="0.25">
      <c r="A2090" s="2"/>
      <c r="B2090" s="2"/>
      <c r="C2090" s="2"/>
      <c r="D2090" s="2"/>
      <c r="E2090" s="2"/>
      <c r="F2090" s="2"/>
    </row>
    <row r="2091" spans="1:6" x14ac:dyDescent="0.25">
      <c r="A2091" s="2"/>
      <c r="B2091" s="2"/>
      <c r="C2091" s="2"/>
      <c r="D2091" s="2"/>
      <c r="E2091" s="2"/>
      <c r="F2091" s="2"/>
    </row>
    <row r="2092" spans="1:6" x14ac:dyDescent="0.25">
      <c r="A2092" s="2"/>
      <c r="B2092" s="2"/>
      <c r="C2092" s="2"/>
      <c r="D2092" s="2"/>
      <c r="E2092" s="2"/>
      <c r="F2092" s="2"/>
    </row>
    <row r="2093" spans="1:6" x14ac:dyDescent="0.25">
      <c r="A2093" s="2"/>
      <c r="B2093" s="2"/>
      <c r="C2093" s="2"/>
      <c r="D2093" s="2"/>
      <c r="E2093" s="2"/>
      <c r="F2093" s="2"/>
    </row>
    <row r="2094" spans="1:6" x14ac:dyDescent="0.25">
      <c r="A2094" s="2"/>
      <c r="B2094" s="2"/>
      <c r="C2094" s="2"/>
      <c r="D2094" s="2"/>
      <c r="E2094" s="2"/>
      <c r="F2094" s="2"/>
    </row>
    <row r="2095" spans="1:6" x14ac:dyDescent="0.25">
      <c r="A2095" s="2"/>
      <c r="B2095" s="2"/>
      <c r="C2095" s="2"/>
      <c r="D2095" s="2"/>
      <c r="E2095" s="2"/>
      <c r="F2095" s="2"/>
    </row>
    <row r="2096" spans="1:6" x14ac:dyDescent="0.25">
      <c r="A2096" s="2"/>
      <c r="B2096" s="2"/>
      <c r="C2096" s="2"/>
      <c r="D2096" s="2"/>
      <c r="E2096" s="2"/>
      <c r="F2096" s="2"/>
    </row>
    <row r="2097" spans="1:6" x14ac:dyDescent="0.25">
      <c r="A2097" s="2"/>
      <c r="B2097" s="2"/>
      <c r="C2097" s="2"/>
      <c r="D2097" s="2"/>
      <c r="E2097" s="2"/>
      <c r="F2097" s="2"/>
    </row>
    <row r="2098" spans="1:6" x14ac:dyDescent="0.25">
      <c r="A2098" s="2"/>
      <c r="B2098" s="2"/>
      <c r="C2098" s="2"/>
      <c r="D2098" s="2"/>
      <c r="E2098" s="2"/>
      <c r="F2098" s="2"/>
    </row>
    <row r="2099" spans="1:6" x14ac:dyDescent="0.25">
      <c r="A2099" s="2"/>
      <c r="B2099" s="2"/>
      <c r="C2099" s="2"/>
      <c r="D2099" s="2"/>
      <c r="E2099" s="2"/>
      <c r="F2099" s="2"/>
    </row>
    <row r="2100" spans="1:6" x14ac:dyDescent="0.25">
      <c r="A2100" s="2"/>
      <c r="B2100" s="2"/>
      <c r="C2100" s="2"/>
      <c r="D2100" s="2"/>
      <c r="E2100" s="2"/>
      <c r="F2100" s="2"/>
    </row>
    <row r="2101" spans="1:6" x14ac:dyDescent="0.25">
      <c r="A2101" s="2"/>
      <c r="B2101" s="2"/>
      <c r="C2101" s="2"/>
      <c r="D2101" s="2"/>
      <c r="E2101" s="2"/>
      <c r="F2101" s="2"/>
    </row>
    <row r="2102" spans="1:6" x14ac:dyDescent="0.25">
      <c r="A2102" s="2"/>
      <c r="B2102" s="2"/>
      <c r="C2102" s="2"/>
      <c r="D2102" s="2"/>
      <c r="E2102" s="2"/>
      <c r="F2102" s="2"/>
    </row>
    <row r="2103" spans="1:6" x14ac:dyDescent="0.25">
      <c r="A2103" s="2"/>
      <c r="B2103" s="2"/>
      <c r="C2103" s="2"/>
      <c r="D2103" s="2"/>
      <c r="E2103" s="2"/>
      <c r="F2103" s="2"/>
    </row>
    <row r="2104" spans="1:6" x14ac:dyDescent="0.25">
      <c r="A2104" s="2"/>
      <c r="B2104" s="2"/>
      <c r="C2104" s="2"/>
      <c r="D2104" s="2"/>
      <c r="E2104" s="2"/>
      <c r="F2104" s="2"/>
    </row>
    <row r="2105" spans="1:6" x14ac:dyDescent="0.25">
      <c r="A2105" s="2"/>
      <c r="B2105" s="2"/>
      <c r="C2105" s="2"/>
      <c r="D2105" s="2"/>
      <c r="E2105" s="2"/>
      <c r="F2105" s="2"/>
    </row>
    <row r="2106" spans="1:6" x14ac:dyDescent="0.25">
      <c r="A2106" s="2"/>
      <c r="B2106" s="2"/>
      <c r="C2106" s="2"/>
      <c r="D2106" s="2"/>
      <c r="E2106" s="2"/>
      <c r="F2106" s="2"/>
    </row>
    <row r="2107" spans="1:6" x14ac:dyDescent="0.25">
      <c r="A2107" s="2"/>
      <c r="B2107" s="2"/>
      <c r="C2107" s="2"/>
      <c r="D2107" s="2"/>
      <c r="E2107" s="2"/>
      <c r="F2107" s="2"/>
    </row>
    <row r="2108" spans="1:6" x14ac:dyDescent="0.25">
      <c r="A2108" s="2"/>
      <c r="B2108" s="2"/>
      <c r="C2108" s="2"/>
      <c r="D2108" s="2"/>
      <c r="E2108" s="2"/>
      <c r="F2108" s="2"/>
    </row>
    <row r="2109" spans="1:6" x14ac:dyDescent="0.25">
      <c r="A2109" s="2"/>
      <c r="B2109" s="2"/>
      <c r="C2109" s="2"/>
      <c r="D2109" s="2"/>
      <c r="E2109" s="2"/>
      <c r="F2109" s="2"/>
    </row>
    <row r="2110" spans="1:6" x14ac:dyDescent="0.25">
      <c r="A2110" s="2"/>
      <c r="B2110" s="2"/>
      <c r="C2110" s="2"/>
      <c r="D2110" s="2"/>
      <c r="E2110" s="2"/>
      <c r="F2110" s="2"/>
    </row>
    <row r="2111" spans="1:6" x14ac:dyDescent="0.25">
      <c r="A2111" s="2"/>
      <c r="B2111" s="2"/>
      <c r="C2111" s="2"/>
      <c r="D2111" s="2"/>
      <c r="E2111" s="2"/>
      <c r="F2111" s="2"/>
    </row>
    <row r="2112" spans="1:6" x14ac:dyDescent="0.25">
      <c r="A2112" s="2"/>
      <c r="B2112" s="2"/>
      <c r="C2112" s="2"/>
      <c r="D2112" s="2"/>
      <c r="E2112" s="2"/>
      <c r="F2112" s="2"/>
    </row>
    <row r="2113" spans="1:6" x14ac:dyDescent="0.25">
      <c r="A2113" s="2"/>
      <c r="B2113" s="2"/>
      <c r="C2113" s="2"/>
      <c r="D2113" s="2"/>
      <c r="E2113" s="2"/>
      <c r="F2113" s="2"/>
    </row>
    <row r="2114" spans="1:6" x14ac:dyDescent="0.25">
      <c r="A2114" s="2"/>
      <c r="B2114" s="2"/>
      <c r="C2114" s="2"/>
      <c r="D2114" s="2"/>
      <c r="E2114" s="2"/>
      <c r="F2114" s="2"/>
    </row>
    <row r="2115" spans="1:6" x14ac:dyDescent="0.25">
      <c r="A2115" s="2"/>
      <c r="B2115" s="2"/>
      <c r="C2115" s="2"/>
      <c r="D2115" s="2"/>
      <c r="E2115" s="2"/>
      <c r="F2115" s="2"/>
    </row>
    <row r="2116" spans="1:6" x14ac:dyDescent="0.25">
      <c r="A2116" s="2"/>
      <c r="B2116" s="2"/>
      <c r="C2116" s="2"/>
      <c r="D2116" s="2"/>
      <c r="E2116" s="2"/>
      <c r="F2116" s="2"/>
    </row>
    <row r="2117" spans="1:6" x14ac:dyDescent="0.25">
      <c r="A2117" s="2"/>
      <c r="B2117" s="2"/>
      <c r="C2117" s="2"/>
      <c r="D2117" s="2"/>
      <c r="E2117" s="2"/>
      <c r="F2117" s="2"/>
    </row>
    <row r="2118" spans="1:6" x14ac:dyDescent="0.25">
      <c r="A2118" s="2"/>
      <c r="B2118" s="2"/>
      <c r="C2118" s="2"/>
      <c r="D2118" s="2"/>
      <c r="E2118" s="2"/>
      <c r="F2118" s="2"/>
    </row>
    <row r="2119" spans="1:6" x14ac:dyDescent="0.25">
      <c r="A2119" s="2"/>
      <c r="B2119" s="2"/>
      <c r="C2119" s="2"/>
      <c r="D2119" s="2"/>
      <c r="E2119" s="2"/>
      <c r="F2119" s="2"/>
    </row>
    <row r="2120" spans="1:6" x14ac:dyDescent="0.25">
      <c r="A2120" s="2"/>
      <c r="B2120" s="2"/>
      <c r="C2120" s="2"/>
      <c r="D2120" s="2"/>
      <c r="E2120" s="2"/>
      <c r="F2120" s="2"/>
    </row>
    <row r="2121" spans="1:6" x14ac:dyDescent="0.25">
      <c r="A2121" s="2"/>
      <c r="B2121" s="2"/>
      <c r="C2121" s="2"/>
      <c r="D2121" s="2"/>
      <c r="E2121" s="2"/>
      <c r="F2121" s="2"/>
    </row>
    <row r="2122" spans="1:6" x14ac:dyDescent="0.25">
      <c r="A2122" s="2"/>
      <c r="B2122" s="2"/>
      <c r="C2122" s="2"/>
      <c r="D2122" s="2"/>
      <c r="E2122" s="2"/>
      <c r="F2122" s="2"/>
    </row>
    <row r="2123" spans="1:6" x14ac:dyDescent="0.25">
      <c r="A2123" s="2"/>
      <c r="B2123" s="2"/>
      <c r="C2123" s="2"/>
      <c r="D2123" s="2"/>
      <c r="E2123" s="2"/>
      <c r="F2123" s="2"/>
    </row>
    <row r="2124" spans="1:6" x14ac:dyDescent="0.25">
      <c r="A2124" s="2"/>
      <c r="B2124" s="2"/>
      <c r="C2124" s="2"/>
      <c r="D2124" s="2"/>
      <c r="E2124" s="2"/>
      <c r="F2124" s="2"/>
    </row>
    <row r="2125" spans="1:6" x14ac:dyDescent="0.25">
      <c r="A2125" s="2"/>
      <c r="B2125" s="2"/>
      <c r="C2125" s="2"/>
      <c r="D2125" s="2"/>
      <c r="E2125" s="2"/>
      <c r="F2125" s="2"/>
    </row>
    <row r="2126" spans="1:6" x14ac:dyDescent="0.25">
      <c r="A2126" s="2"/>
      <c r="B2126" s="2"/>
      <c r="C2126" s="2"/>
      <c r="D2126" s="2"/>
      <c r="E2126" s="2"/>
      <c r="F2126" s="2"/>
    </row>
    <row r="2127" spans="1:6" x14ac:dyDescent="0.25">
      <c r="A2127" s="2"/>
      <c r="B2127" s="2"/>
      <c r="C2127" s="2"/>
      <c r="D2127" s="2"/>
      <c r="E2127" s="2"/>
      <c r="F2127" s="2"/>
    </row>
    <row r="2128" spans="1:6" x14ac:dyDescent="0.25">
      <c r="A2128" s="2"/>
      <c r="B2128" s="2"/>
      <c r="C2128" s="2"/>
      <c r="D2128" s="2"/>
      <c r="E2128" s="2"/>
      <c r="F2128" s="2"/>
    </row>
    <row r="2129" spans="1:6" x14ac:dyDescent="0.25">
      <c r="A2129" s="2"/>
      <c r="B2129" s="2"/>
      <c r="C2129" s="2"/>
      <c r="D2129" s="2"/>
      <c r="E2129" s="2"/>
      <c r="F2129" s="2"/>
    </row>
    <row r="2130" spans="1:6" x14ac:dyDescent="0.25">
      <c r="A2130" s="2"/>
      <c r="B2130" s="2"/>
      <c r="C2130" s="2"/>
      <c r="D2130" s="2"/>
      <c r="E2130" s="2"/>
      <c r="F2130" s="2"/>
    </row>
    <row r="2131" spans="1:6" x14ac:dyDescent="0.25">
      <c r="A2131" s="2"/>
      <c r="B2131" s="2"/>
      <c r="C2131" s="2"/>
      <c r="D2131" s="2"/>
      <c r="E2131" s="2"/>
      <c r="F2131" s="2"/>
    </row>
    <row r="2132" spans="1:6" x14ac:dyDescent="0.25">
      <c r="A2132" s="2"/>
      <c r="B2132" s="2"/>
      <c r="C2132" s="2"/>
      <c r="D2132" s="2"/>
      <c r="E2132" s="2"/>
      <c r="F2132" s="2"/>
    </row>
    <row r="2133" spans="1:6" x14ac:dyDescent="0.25">
      <c r="A2133" s="2"/>
      <c r="B2133" s="2"/>
      <c r="C2133" s="2"/>
      <c r="D2133" s="2"/>
      <c r="E2133" s="2"/>
      <c r="F2133" s="2"/>
    </row>
    <row r="2134" spans="1:6" x14ac:dyDescent="0.25">
      <c r="A2134" s="2"/>
      <c r="B2134" s="2"/>
      <c r="C2134" s="2"/>
      <c r="D2134" s="2"/>
      <c r="E2134" s="2"/>
      <c r="F2134" s="2"/>
    </row>
    <row r="2135" spans="1:6" x14ac:dyDescent="0.25">
      <c r="A2135" s="2"/>
      <c r="B2135" s="2"/>
      <c r="C2135" s="2"/>
      <c r="D2135" s="2"/>
      <c r="E2135" s="2"/>
      <c r="F2135" s="2"/>
    </row>
    <row r="2136" spans="1:6" x14ac:dyDescent="0.25">
      <c r="A2136" s="2"/>
      <c r="B2136" s="2"/>
      <c r="C2136" s="2"/>
      <c r="D2136" s="2"/>
      <c r="E2136" s="2"/>
      <c r="F2136" s="2"/>
    </row>
    <row r="2137" spans="1:6" x14ac:dyDescent="0.25">
      <c r="A2137" s="2"/>
      <c r="B2137" s="2"/>
      <c r="C2137" s="2"/>
      <c r="D2137" s="2"/>
      <c r="E2137" s="2"/>
      <c r="F2137" s="2"/>
    </row>
    <row r="2138" spans="1:6" x14ac:dyDescent="0.25">
      <c r="A2138" s="2"/>
      <c r="B2138" s="2"/>
      <c r="C2138" s="2"/>
      <c r="D2138" s="2"/>
      <c r="E2138" s="2"/>
      <c r="F2138" s="2"/>
    </row>
    <row r="2139" spans="1:6" x14ac:dyDescent="0.25">
      <c r="A2139" s="2"/>
      <c r="B2139" s="2"/>
      <c r="C2139" s="2"/>
      <c r="D2139" s="2"/>
      <c r="E2139" s="2"/>
      <c r="F2139" s="2"/>
    </row>
    <row r="2140" spans="1:6" x14ac:dyDescent="0.25">
      <c r="A2140" s="2"/>
      <c r="B2140" s="2"/>
      <c r="C2140" s="2"/>
      <c r="D2140" s="2"/>
      <c r="E2140" s="2"/>
      <c r="F2140" s="2"/>
    </row>
    <row r="2141" spans="1:6" x14ac:dyDescent="0.25">
      <c r="A2141" s="2"/>
      <c r="B2141" s="2"/>
      <c r="C2141" s="2"/>
      <c r="D2141" s="2"/>
      <c r="E2141" s="2"/>
      <c r="F2141" s="2"/>
    </row>
    <row r="2142" spans="1:6" x14ac:dyDescent="0.25">
      <c r="A2142" s="2"/>
      <c r="B2142" s="2"/>
      <c r="C2142" s="2"/>
      <c r="D2142" s="2"/>
      <c r="E2142" s="2"/>
      <c r="F2142" s="2"/>
    </row>
    <row r="2143" spans="1:6" x14ac:dyDescent="0.25">
      <c r="A2143" s="2"/>
      <c r="B2143" s="2"/>
      <c r="C2143" s="2"/>
      <c r="D2143" s="2"/>
      <c r="E2143" s="2"/>
      <c r="F2143" s="2"/>
    </row>
    <row r="2144" spans="1:6" x14ac:dyDescent="0.25">
      <c r="A2144" s="2"/>
      <c r="B2144" s="2"/>
      <c r="C2144" s="2"/>
      <c r="D2144" s="2"/>
      <c r="E2144" s="2"/>
      <c r="F2144" s="2"/>
    </row>
    <row r="2145" spans="1:6" x14ac:dyDescent="0.25">
      <c r="A2145" s="2"/>
      <c r="B2145" s="2"/>
      <c r="C2145" s="2"/>
      <c r="D2145" s="2"/>
      <c r="E2145" s="2"/>
      <c r="F2145" s="2"/>
    </row>
    <row r="2146" spans="1:6" x14ac:dyDescent="0.25">
      <c r="A2146" s="2"/>
      <c r="B2146" s="2"/>
      <c r="C2146" s="2"/>
      <c r="D2146" s="2"/>
      <c r="E2146" s="2"/>
      <c r="F2146" s="2"/>
    </row>
    <row r="2147" spans="1:6" x14ac:dyDescent="0.25">
      <c r="A2147" s="2"/>
      <c r="B2147" s="2"/>
      <c r="C2147" s="2"/>
      <c r="D2147" s="2"/>
      <c r="E2147" s="2"/>
      <c r="F2147" s="2"/>
    </row>
    <row r="2148" spans="1:6" x14ac:dyDescent="0.25">
      <c r="A2148" s="2"/>
      <c r="B2148" s="2"/>
      <c r="C2148" s="2"/>
      <c r="D2148" s="2"/>
      <c r="E2148" s="2"/>
      <c r="F2148" s="2"/>
    </row>
    <row r="2149" spans="1:6" x14ac:dyDescent="0.25">
      <c r="A2149" s="2"/>
      <c r="B2149" s="2"/>
      <c r="C2149" s="2"/>
      <c r="D2149" s="2"/>
      <c r="E2149" s="2"/>
      <c r="F2149" s="2"/>
    </row>
    <row r="2150" spans="1:6" x14ac:dyDescent="0.25">
      <c r="A2150" s="2"/>
      <c r="B2150" s="2"/>
      <c r="C2150" s="2"/>
      <c r="D2150" s="2"/>
      <c r="E2150" s="2"/>
      <c r="F2150" s="2"/>
    </row>
    <row r="2151" spans="1:6" x14ac:dyDescent="0.25">
      <c r="A2151" s="2"/>
      <c r="B2151" s="2"/>
      <c r="C2151" s="2"/>
      <c r="D2151" s="2"/>
      <c r="E2151" s="2"/>
      <c r="F2151" s="2"/>
    </row>
    <row r="2152" spans="1:6" x14ac:dyDescent="0.25">
      <c r="A2152" s="2"/>
      <c r="B2152" s="2"/>
      <c r="C2152" s="2"/>
      <c r="D2152" s="2"/>
      <c r="E2152" s="2"/>
      <c r="F2152" s="2"/>
    </row>
    <row r="2153" spans="1:6" x14ac:dyDescent="0.25">
      <c r="A2153" s="2"/>
      <c r="B2153" s="2"/>
      <c r="C2153" s="2"/>
      <c r="D2153" s="2"/>
      <c r="E2153" s="2"/>
      <c r="F2153" s="2"/>
    </row>
    <row r="2154" spans="1:6" x14ac:dyDescent="0.25">
      <c r="A2154" s="2"/>
      <c r="B2154" s="2"/>
      <c r="C2154" s="2"/>
      <c r="D2154" s="2"/>
      <c r="E2154" s="2"/>
      <c r="F2154" s="2"/>
    </row>
    <row r="2155" spans="1:6" x14ac:dyDescent="0.25">
      <c r="A2155" s="2"/>
      <c r="B2155" s="2"/>
      <c r="C2155" s="2"/>
      <c r="D2155" s="2"/>
      <c r="E2155" s="2"/>
      <c r="F2155" s="2"/>
    </row>
    <row r="2156" spans="1:6" x14ac:dyDescent="0.25">
      <c r="A2156" s="2"/>
      <c r="B2156" s="2"/>
      <c r="C2156" s="2"/>
      <c r="D2156" s="2"/>
      <c r="E2156" s="2"/>
      <c r="F2156" s="2"/>
    </row>
    <row r="2157" spans="1:6" x14ac:dyDescent="0.25">
      <c r="A2157" s="2"/>
      <c r="B2157" s="2"/>
      <c r="C2157" s="2"/>
      <c r="D2157" s="2"/>
      <c r="E2157" s="2"/>
      <c r="F2157" s="2"/>
    </row>
    <row r="2158" spans="1:6" x14ac:dyDescent="0.25">
      <c r="A2158" s="2"/>
      <c r="B2158" s="2"/>
      <c r="C2158" s="2"/>
      <c r="D2158" s="2"/>
      <c r="E2158" s="2"/>
      <c r="F2158" s="2"/>
    </row>
    <row r="2159" spans="1:6" x14ac:dyDescent="0.25">
      <c r="A2159" s="2"/>
      <c r="B2159" s="2"/>
      <c r="C2159" s="2"/>
      <c r="D2159" s="2"/>
      <c r="E2159" s="2"/>
      <c r="F2159" s="2"/>
    </row>
    <row r="2160" spans="1:6" x14ac:dyDescent="0.25">
      <c r="A2160" s="2"/>
      <c r="B2160" s="2"/>
      <c r="C2160" s="2"/>
      <c r="D2160" s="2"/>
      <c r="E2160" s="2"/>
      <c r="F2160" s="2"/>
    </row>
    <row r="2161" spans="1:6" x14ac:dyDescent="0.25">
      <c r="A2161" s="2"/>
      <c r="B2161" s="2"/>
      <c r="C2161" s="2"/>
      <c r="D2161" s="2"/>
      <c r="E2161" s="2"/>
      <c r="F2161" s="2"/>
    </row>
    <row r="2162" spans="1:6" x14ac:dyDescent="0.25">
      <c r="A2162" s="2"/>
      <c r="B2162" s="2"/>
      <c r="C2162" s="2"/>
      <c r="D2162" s="2"/>
      <c r="E2162" s="2"/>
      <c r="F2162" s="2"/>
    </row>
    <row r="2163" spans="1:6" x14ac:dyDescent="0.25">
      <c r="A2163" s="2"/>
      <c r="B2163" s="2"/>
      <c r="C2163" s="2"/>
      <c r="D2163" s="2"/>
      <c r="E2163" s="2"/>
      <c r="F2163" s="2"/>
    </row>
    <row r="2164" spans="1:6" x14ac:dyDescent="0.25">
      <c r="A2164" s="2"/>
      <c r="B2164" s="2"/>
      <c r="C2164" s="2"/>
      <c r="D2164" s="2"/>
      <c r="E2164" s="2"/>
      <c r="F2164" s="2"/>
    </row>
    <row r="2165" spans="1:6" x14ac:dyDescent="0.25">
      <c r="A2165" s="2"/>
      <c r="B2165" s="2"/>
      <c r="C2165" s="2"/>
      <c r="D2165" s="2"/>
      <c r="E2165" s="2"/>
      <c r="F2165" s="2"/>
    </row>
    <row r="2166" spans="1:6" x14ac:dyDescent="0.25">
      <c r="A2166" s="2"/>
      <c r="B2166" s="2"/>
      <c r="C2166" s="2"/>
      <c r="D2166" s="2"/>
      <c r="E2166" s="2"/>
      <c r="F2166" s="2"/>
    </row>
    <row r="2167" spans="1:6" x14ac:dyDescent="0.25">
      <c r="A2167" s="2"/>
      <c r="B2167" s="2"/>
      <c r="C2167" s="2"/>
      <c r="D2167" s="2"/>
      <c r="E2167" s="2"/>
      <c r="F2167" s="2"/>
    </row>
    <row r="2168" spans="1:6" x14ac:dyDescent="0.25">
      <c r="A2168" s="2"/>
      <c r="B2168" s="2"/>
      <c r="C2168" s="2"/>
      <c r="D2168" s="2"/>
      <c r="E2168" s="2"/>
      <c r="F2168" s="2"/>
    </row>
    <row r="2169" spans="1:6" x14ac:dyDescent="0.25">
      <c r="A2169" s="2"/>
      <c r="B2169" s="2"/>
      <c r="C2169" s="2"/>
      <c r="D2169" s="2"/>
      <c r="E2169" s="2"/>
      <c r="F2169" s="2"/>
    </row>
    <row r="2170" spans="1:6" x14ac:dyDescent="0.25">
      <c r="A2170" s="2"/>
      <c r="B2170" s="2"/>
      <c r="C2170" s="2"/>
      <c r="D2170" s="2"/>
      <c r="E2170" s="2"/>
      <c r="F2170" s="2"/>
    </row>
    <row r="2171" spans="1:6" x14ac:dyDescent="0.25">
      <c r="A2171" s="2"/>
      <c r="B2171" s="2"/>
      <c r="C2171" s="2"/>
      <c r="D2171" s="2"/>
      <c r="E2171" s="2"/>
      <c r="F2171" s="2"/>
    </row>
    <row r="2172" spans="1:6" x14ac:dyDescent="0.25">
      <c r="A2172" s="2"/>
      <c r="B2172" s="2"/>
      <c r="C2172" s="2"/>
      <c r="D2172" s="2"/>
      <c r="E2172" s="2"/>
      <c r="F2172" s="2"/>
    </row>
    <row r="2173" spans="1:6" x14ac:dyDescent="0.25">
      <c r="A2173" s="2"/>
      <c r="B2173" s="2"/>
      <c r="C2173" s="2"/>
      <c r="D2173" s="2"/>
      <c r="E2173" s="2"/>
      <c r="F2173" s="2"/>
    </row>
    <row r="2174" spans="1:6" x14ac:dyDescent="0.25">
      <c r="A2174" s="2"/>
      <c r="B2174" s="2"/>
      <c r="C2174" s="2"/>
      <c r="D2174" s="2"/>
      <c r="E2174" s="2"/>
      <c r="F2174" s="2"/>
    </row>
    <row r="2175" spans="1:6" x14ac:dyDescent="0.25">
      <c r="A2175" s="2"/>
      <c r="B2175" s="2"/>
      <c r="C2175" s="2"/>
      <c r="D2175" s="2"/>
      <c r="E2175" s="2"/>
      <c r="F2175" s="2"/>
    </row>
    <row r="2176" spans="1:6" x14ac:dyDescent="0.25">
      <c r="A2176" s="2"/>
      <c r="B2176" s="2"/>
      <c r="C2176" s="2"/>
      <c r="D2176" s="2"/>
      <c r="E2176" s="2"/>
      <c r="F2176" s="2"/>
    </row>
    <row r="2177" spans="1:6" x14ac:dyDescent="0.25">
      <c r="A2177" s="2"/>
      <c r="B2177" s="2"/>
      <c r="C2177" s="2"/>
      <c r="D2177" s="2"/>
      <c r="E2177" s="2"/>
      <c r="F2177" s="2"/>
    </row>
    <row r="2178" spans="1:6" x14ac:dyDescent="0.25">
      <c r="A2178" s="2"/>
      <c r="B2178" s="2"/>
      <c r="C2178" s="2"/>
      <c r="D2178" s="2"/>
      <c r="E2178" s="2"/>
      <c r="F2178" s="2"/>
    </row>
    <row r="2179" spans="1:6" x14ac:dyDescent="0.25">
      <c r="A2179" s="2"/>
      <c r="B2179" s="2"/>
      <c r="C2179" s="2"/>
      <c r="D2179" s="2"/>
      <c r="E2179" s="2"/>
      <c r="F2179" s="2"/>
    </row>
    <row r="2180" spans="1:6" x14ac:dyDescent="0.25">
      <c r="A2180" s="2"/>
      <c r="B2180" s="2"/>
      <c r="C2180" s="2"/>
      <c r="D2180" s="2"/>
      <c r="E2180" s="2"/>
      <c r="F2180" s="2"/>
    </row>
    <row r="2181" spans="1:6" x14ac:dyDescent="0.25">
      <c r="A2181" s="2"/>
      <c r="B2181" s="2"/>
      <c r="C2181" s="2"/>
      <c r="D2181" s="2"/>
      <c r="E2181" s="2"/>
      <c r="F2181" s="2"/>
    </row>
    <row r="2182" spans="1:6" x14ac:dyDescent="0.25">
      <c r="A2182" s="2"/>
      <c r="B2182" s="2"/>
      <c r="C2182" s="2"/>
      <c r="D2182" s="2"/>
      <c r="E2182" s="2"/>
      <c r="F2182" s="2"/>
    </row>
    <row r="2183" spans="1:6" x14ac:dyDescent="0.25">
      <c r="A2183" s="2"/>
      <c r="B2183" s="2"/>
      <c r="C2183" s="2"/>
      <c r="D2183" s="2"/>
      <c r="E2183" s="2"/>
      <c r="F2183" s="2"/>
    </row>
    <row r="2184" spans="1:6" x14ac:dyDescent="0.25">
      <c r="A2184" s="2"/>
      <c r="B2184" s="2"/>
      <c r="C2184" s="2"/>
      <c r="D2184" s="2"/>
      <c r="E2184" s="2"/>
      <c r="F2184" s="2"/>
    </row>
    <row r="2185" spans="1:6" x14ac:dyDescent="0.25">
      <c r="A2185" s="2"/>
      <c r="B2185" s="2"/>
      <c r="C2185" s="2"/>
      <c r="D2185" s="2"/>
      <c r="E2185" s="2"/>
      <c r="F2185" s="2"/>
    </row>
    <row r="2186" spans="1:6" x14ac:dyDescent="0.25">
      <c r="A2186" s="2"/>
      <c r="B2186" s="2"/>
      <c r="C2186" s="2"/>
      <c r="D2186" s="2"/>
      <c r="E2186" s="2"/>
      <c r="F2186" s="2"/>
    </row>
    <row r="2187" spans="1:6" x14ac:dyDescent="0.25">
      <c r="A2187" s="2"/>
      <c r="B2187" s="2"/>
      <c r="C2187" s="2"/>
      <c r="D2187" s="2"/>
      <c r="E2187" s="2"/>
      <c r="F2187" s="2"/>
    </row>
    <row r="2188" spans="1:6" x14ac:dyDescent="0.25">
      <c r="A2188" s="2"/>
      <c r="B2188" s="2"/>
      <c r="C2188" s="2"/>
      <c r="D2188" s="2"/>
      <c r="E2188" s="2"/>
      <c r="F2188" s="2"/>
    </row>
    <row r="2189" spans="1:6" x14ac:dyDescent="0.25">
      <c r="A2189" s="2"/>
      <c r="B2189" s="2"/>
      <c r="C2189" s="2"/>
      <c r="D2189" s="2"/>
      <c r="E2189" s="2"/>
      <c r="F2189" s="2"/>
    </row>
    <row r="2190" spans="1:6" x14ac:dyDescent="0.25">
      <c r="A2190" s="2"/>
      <c r="B2190" s="2"/>
      <c r="C2190" s="2"/>
      <c r="D2190" s="2"/>
      <c r="E2190" s="2"/>
      <c r="F2190" s="2"/>
    </row>
    <row r="2191" spans="1:6" x14ac:dyDescent="0.25">
      <c r="A2191" s="2"/>
      <c r="B2191" s="2"/>
      <c r="C2191" s="2"/>
      <c r="D2191" s="2"/>
      <c r="E2191" s="2"/>
      <c r="F2191" s="2"/>
    </row>
    <row r="2192" spans="1:6" x14ac:dyDescent="0.25">
      <c r="A2192" s="2"/>
      <c r="B2192" s="2"/>
      <c r="C2192" s="2"/>
      <c r="D2192" s="2"/>
      <c r="E2192" s="2"/>
      <c r="F2192" s="2"/>
    </row>
    <row r="2193" spans="1:6" x14ac:dyDescent="0.25">
      <c r="A2193" s="2"/>
      <c r="B2193" s="2"/>
      <c r="C2193" s="2"/>
      <c r="D2193" s="2"/>
      <c r="E2193" s="2"/>
      <c r="F2193" s="2"/>
    </row>
    <row r="2194" spans="1:6" x14ac:dyDescent="0.25">
      <c r="A2194" s="2"/>
      <c r="B2194" s="2"/>
      <c r="C2194" s="2"/>
      <c r="D2194" s="2"/>
      <c r="E2194" s="2"/>
      <c r="F2194" s="2"/>
    </row>
    <row r="2195" spans="1:6" x14ac:dyDescent="0.25">
      <c r="A2195" s="2"/>
      <c r="B2195" s="2"/>
      <c r="C2195" s="2"/>
      <c r="D2195" s="2"/>
      <c r="E2195" s="2"/>
      <c r="F2195" s="2"/>
    </row>
    <row r="2196" spans="1:6" x14ac:dyDescent="0.25">
      <c r="A2196" s="2"/>
      <c r="B2196" s="2"/>
      <c r="C2196" s="2"/>
      <c r="D2196" s="2"/>
      <c r="E2196" s="2"/>
      <c r="F2196" s="2"/>
    </row>
    <row r="2197" spans="1:6" x14ac:dyDescent="0.25">
      <c r="A2197" s="2"/>
      <c r="B2197" s="2"/>
      <c r="C2197" s="2"/>
      <c r="D2197" s="2"/>
      <c r="E2197" s="2"/>
      <c r="F2197" s="2"/>
    </row>
    <row r="2198" spans="1:6" x14ac:dyDescent="0.25">
      <c r="A2198" s="2"/>
      <c r="B2198" s="2"/>
      <c r="C2198" s="2"/>
      <c r="D2198" s="2"/>
      <c r="E2198" s="2"/>
      <c r="F2198" s="2"/>
    </row>
    <row r="2199" spans="1:6" x14ac:dyDescent="0.25">
      <c r="A2199" s="2"/>
      <c r="B2199" s="2"/>
      <c r="C2199" s="2"/>
      <c r="D2199" s="2"/>
      <c r="E2199" s="2"/>
      <c r="F2199" s="2"/>
    </row>
    <row r="2200" spans="1:6" x14ac:dyDescent="0.25">
      <c r="A2200" s="2"/>
      <c r="B2200" s="2"/>
      <c r="C2200" s="2"/>
      <c r="D2200" s="2"/>
      <c r="E2200" s="2"/>
      <c r="F2200" s="2"/>
    </row>
    <row r="2201" spans="1:6" x14ac:dyDescent="0.25">
      <c r="A2201" s="2"/>
      <c r="B2201" s="2"/>
      <c r="C2201" s="2"/>
      <c r="D2201" s="2"/>
      <c r="E2201" s="2"/>
      <c r="F2201" s="2"/>
    </row>
    <row r="2202" spans="1:6" x14ac:dyDescent="0.25">
      <c r="A2202" s="2"/>
      <c r="B2202" s="2"/>
      <c r="C2202" s="2"/>
      <c r="D2202" s="2"/>
      <c r="E2202" s="2"/>
      <c r="F2202" s="2"/>
    </row>
    <row r="2203" spans="1:6" x14ac:dyDescent="0.25">
      <c r="A2203" s="2"/>
      <c r="B2203" s="2"/>
      <c r="C2203" s="2"/>
      <c r="D2203" s="2"/>
      <c r="E2203" s="2"/>
      <c r="F2203" s="2"/>
    </row>
    <row r="2204" spans="1:6" x14ac:dyDescent="0.25">
      <c r="A2204" s="2"/>
      <c r="B2204" s="2"/>
      <c r="C2204" s="2"/>
      <c r="D2204" s="2"/>
      <c r="E2204" s="2"/>
      <c r="F2204" s="2"/>
    </row>
    <row r="2205" spans="1:6" x14ac:dyDescent="0.25">
      <c r="A2205" s="2"/>
      <c r="B2205" s="2"/>
      <c r="C2205" s="2"/>
      <c r="D2205" s="2"/>
      <c r="E2205" s="2"/>
      <c r="F2205" s="2"/>
    </row>
    <row r="2206" spans="1:6" x14ac:dyDescent="0.25">
      <c r="A2206" s="2"/>
      <c r="B2206" s="2"/>
      <c r="C2206" s="2"/>
      <c r="D2206" s="2"/>
      <c r="E2206" s="2"/>
      <c r="F2206" s="2"/>
    </row>
    <row r="2207" spans="1:6" x14ac:dyDescent="0.25">
      <c r="A2207" s="2"/>
      <c r="B2207" s="2"/>
      <c r="C2207" s="2"/>
      <c r="D2207" s="2"/>
      <c r="E2207" s="2"/>
      <c r="F2207" s="2"/>
    </row>
    <row r="2208" spans="1:6" x14ac:dyDescent="0.25">
      <c r="A2208" s="2"/>
      <c r="B2208" s="2"/>
      <c r="C2208" s="2"/>
      <c r="D2208" s="2"/>
      <c r="E2208" s="2"/>
      <c r="F2208" s="2"/>
    </row>
    <row r="2209" spans="1:6" x14ac:dyDescent="0.25">
      <c r="A2209" s="2"/>
      <c r="B2209" s="2"/>
      <c r="C2209" s="2"/>
      <c r="D2209" s="2"/>
      <c r="E2209" s="2"/>
      <c r="F2209" s="2"/>
    </row>
    <row r="2210" spans="1:6" x14ac:dyDescent="0.25">
      <c r="A2210" s="2"/>
      <c r="B2210" s="2"/>
      <c r="C2210" s="2"/>
      <c r="D2210" s="2"/>
      <c r="E2210" s="2"/>
      <c r="F2210" s="2"/>
    </row>
    <row r="2211" spans="1:6" x14ac:dyDescent="0.25">
      <c r="A2211" s="2"/>
      <c r="B2211" s="2"/>
      <c r="C2211" s="2"/>
      <c r="D2211" s="2"/>
      <c r="E2211" s="2"/>
      <c r="F2211" s="2"/>
    </row>
    <row r="2212" spans="1:6" x14ac:dyDescent="0.25">
      <c r="A2212" s="2"/>
      <c r="B2212" s="2"/>
      <c r="C2212" s="2"/>
      <c r="D2212" s="2"/>
      <c r="E2212" s="2"/>
      <c r="F2212" s="2"/>
    </row>
    <row r="2213" spans="1:6" x14ac:dyDescent="0.25">
      <c r="A2213" s="2"/>
      <c r="B2213" s="2"/>
      <c r="C2213" s="2"/>
      <c r="D2213" s="2"/>
      <c r="E2213" s="2"/>
      <c r="F2213" s="2"/>
    </row>
    <row r="2214" spans="1:6" x14ac:dyDescent="0.25">
      <c r="A2214" s="2"/>
      <c r="B2214" s="2"/>
      <c r="C2214" s="2"/>
      <c r="D2214" s="2"/>
      <c r="E2214" s="2"/>
      <c r="F2214" s="2"/>
    </row>
    <row r="2215" spans="1:6" x14ac:dyDescent="0.25">
      <c r="A2215" s="2"/>
      <c r="B2215" s="2"/>
      <c r="C2215" s="2"/>
      <c r="D2215" s="2"/>
      <c r="E2215" s="2"/>
      <c r="F2215" s="2"/>
    </row>
    <row r="2216" spans="1:6" x14ac:dyDescent="0.25">
      <c r="A2216" s="2"/>
      <c r="B2216" s="2"/>
      <c r="C2216" s="2"/>
      <c r="D2216" s="2"/>
      <c r="E2216" s="2"/>
      <c r="F2216" s="2"/>
    </row>
    <row r="2217" spans="1:6" x14ac:dyDescent="0.25">
      <c r="A2217" s="2"/>
      <c r="B2217" s="2"/>
      <c r="C2217" s="2"/>
      <c r="D2217" s="2"/>
      <c r="E2217" s="2"/>
      <c r="F2217" s="2"/>
    </row>
    <row r="2218" spans="1:6" x14ac:dyDescent="0.25">
      <c r="A2218" s="2"/>
      <c r="B2218" s="2"/>
      <c r="C2218" s="2"/>
      <c r="D2218" s="2"/>
      <c r="E2218" s="2"/>
      <c r="F2218" s="2"/>
    </row>
    <row r="2219" spans="1:6" x14ac:dyDescent="0.25">
      <c r="A2219" s="2"/>
      <c r="B2219" s="2"/>
      <c r="C2219" s="2"/>
      <c r="D2219" s="2"/>
      <c r="E2219" s="2"/>
      <c r="F2219" s="2"/>
    </row>
    <row r="2220" spans="1:6" x14ac:dyDescent="0.25">
      <c r="A2220" s="2"/>
      <c r="B2220" s="2"/>
      <c r="C2220" s="2"/>
      <c r="D2220" s="2"/>
      <c r="E2220" s="2"/>
      <c r="F2220" s="2"/>
    </row>
    <row r="2221" spans="1:6" x14ac:dyDescent="0.25">
      <c r="A2221" s="2"/>
      <c r="B2221" s="2"/>
      <c r="C2221" s="2"/>
      <c r="D2221" s="2"/>
      <c r="E2221" s="2"/>
      <c r="F2221" s="2"/>
    </row>
    <row r="2222" spans="1:6" x14ac:dyDescent="0.25">
      <c r="A2222" s="2"/>
      <c r="B2222" s="2"/>
      <c r="C2222" s="2"/>
      <c r="D2222" s="2"/>
      <c r="E2222" s="2"/>
      <c r="F2222" s="2"/>
    </row>
    <row r="2223" spans="1:6" x14ac:dyDescent="0.25">
      <c r="A2223" s="2"/>
      <c r="B2223" s="2"/>
      <c r="C2223" s="2"/>
      <c r="D2223" s="2"/>
      <c r="E2223" s="2"/>
      <c r="F2223" s="2"/>
    </row>
    <row r="2224" spans="1:6" x14ac:dyDescent="0.25">
      <c r="A2224" s="2"/>
      <c r="B2224" s="2"/>
      <c r="C2224" s="2"/>
      <c r="D2224" s="2"/>
      <c r="E2224" s="2"/>
      <c r="F2224" s="2"/>
    </row>
    <row r="2225" spans="1:6" x14ac:dyDescent="0.25">
      <c r="A2225" s="2"/>
      <c r="B2225" s="2"/>
      <c r="C2225" s="2"/>
      <c r="D2225" s="2"/>
      <c r="E2225" s="2"/>
      <c r="F2225" s="2"/>
    </row>
    <row r="2226" spans="1:6" x14ac:dyDescent="0.25">
      <c r="A2226" s="2"/>
      <c r="B2226" s="2"/>
      <c r="C2226" s="2"/>
      <c r="D2226" s="2"/>
      <c r="E2226" s="2"/>
      <c r="F2226" s="2"/>
    </row>
    <row r="2227" spans="1:6" x14ac:dyDescent="0.25">
      <c r="A2227" s="2"/>
      <c r="B2227" s="2"/>
      <c r="C2227" s="2"/>
      <c r="D2227" s="2"/>
      <c r="E2227" s="2"/>
      <c r="F2227" s="2"/>
    </row>
    <row r="2228" spans="1:6" x14ac:dyDescent="0.25">
      <c r="A2228" s="2"/>
      <c r="B2228" s="2"/>
      <c r="C2228" s="2"/>
      <c r="D2228" s="2"/>
      <c r="E2228" s="2"/>
      <c r="F2228" s="2"/>
    </row>
    <row r="2229" spans="1:6" x14ac:dyDescent="0.25">
      <c r="A2229" s="2"/>
      <c r="B2229" s="2"/>
      <c r="C2229" s="2"/>
      <c r="D2229" s="2"/>
      <c r="E2229" s="2"/>
      <c r="F2229" s="2"/>
    </row>
    <row r="2230" spans="1:6" x14ac:dyDescent="0.25">
      <c r="A2230" s="2"/>
      <c r="B2230" s="2"/>
      <c r="C2230" s="2"/>
      <c r="D2230" s="2"/>
      <c r="E2230" s="2"/>
      <c r="F2230" s="2"/>
    </row>
    <row r="2231" spans="1:6" x14ac:dyDescent="0.25">
      <c r="A2231" s="2"/>
      <c r="B2231" s="2"/>
      <c r="C2231" s="2"/>
      <c r="D2231" s="2"/>
      <c r="E2231" s="2"/>
      <c r="F2231" s="2"/>
    </row>
    <row r="2232" spans="1:6" x14ac:dyDescent="0.25">
      <c r="A2232" s="2"/>
      <c r="B2232" s="2"/>
      <c r="C2232" s="2"/>
      <c r="D2232" s="2"/>
      <c r="E2232" s="2"/>
      <c r="F2232" s="2"/>
    </row>
    <row r="2233" spans="1:6" x14ac:dyDescent="0.25">
      <c r="A2233" s="2"/>
      <c r="B2233" s="2"/>
      <c r="C2233" s="2"/>
      <c r="D2233" s="2"/>
      <c r="E2233" s="2"/>
      <c r="F2233" s="2"/>
    </row>
    <row r="2234" spans="1:6" x14ac:dyDescent="0.25">
      <c r="A2234" s="2"/>
      <c r="B2234" s="2"/>
      <c r="C2234" s="2"/>
      <c r="D2234" s="2"/>
      <c r="E2234" s="2"/>
      <c r="F2234" s="2"/>
    </row>
    <row r="2235" spans="1:6" x14ac:dyDescent="0.25">
      <c r="A2235" s="2"/>
      <c r="B2235" s="2"/>
      <c r="C2235" s="2"/>
      <c r="D2235" s="2"/>
      <c r="E2235" s="2"/>
      <c r="F2235" s="2"/>
    </row>
    <row r="2236" spans="1:6" x14ac:dyDescent="0.25">
      <c r="A2236" s="2"/>
      <c r="B2236" s="2"/>
      <c r="C2236" s="2"/>
      <c r="D2236" s="2"/>
      <c r="E2236" s="2"/>
      <c r="F2236" s="2"/>
    </row>
    <row r="2237" spans="1:6" x14ac:dyDescent="0.25">
      <c r="A2237" s="2"/>
      <c r="B2237" s="2"/>
      <c r="C2237" s="2"/>
      <c r="D2237" s="2"/>
      <c r="E2237" s="2"/>
      <c r="F2237" s="2"/>
    </row>
    <row r="2238" spans="1:6" x14ac:dyDescent="0.25">
      <c r="A2238" s="2"/>
      <c r="B2238" s="2"/>
      <c r="C2238" s="2"/>
      <c r="D2238" s="2"/>
      <c r="E2238" s="2"/>
      <c r="F2238" s="2"/>
    </row>
    <row r="2239" spans="1:6" x14ac:dyDescent="0.25">
      <c r="A2239" s="2"/>
      <c r="B2239" s="2"/>
      <c r="C2239" s="2"/>
      <c r="D2239" s="2"/>
      <c r="E2239" s="2"/>
      <c r="F2239" s="2"/>
    </row>
    <row r="2240" spans="1:6" x14ac:dyDescent="0.25">
      <c r="A2240" s="2"/>
      <c r="B2240" s="2"/>
      <c r="C2240" s="2"/>
      <c r="D2240" s="2"/>
      <c r="E2240" s="2"/>
      <c r="F2240" s="2"/>
    </row>
    <row r="2241" spans="1:6" x14ac:dyDescent="0.25">
      <c r="A2241" s="2"/>
      <c r="B2241" s="2"/>
      <c r="C2241" s="2"/>
      <c r="D2241" s="2"/>
      <c r="E2241" s="2"/>
      <c r="F2241" s="2"/>
    </row>
    <row r="2242" spans="1:6" x14ac:dyDescent="0.25">
      <c r="A2242" s="2"/>
      <c r="B2242" s="2"/>
      <c r="C2242" s="2"/>
      <c r="D2242" s="2"/>
      <c r="E2242" s="2"/>
      <c r="F2242" s="2"/>
    </row>
    <row r="2243" spans="1:6" x14ac:dyDescent="0.25">
      <c r="A2243" s="2"/>
      <c r="B2243" s="2"/>
      <c r="C2243" s="2"/>
      <c r="D2243" s="2"/>
      <c r="E2243" s="2"/>
      <c r="F2243" s="2"/>
    </row>
    <row r="2244" spans="1:6" x14ac:dyDescent="0.25">
      <c r="A2244" s="2"/>
      <c r="B2244" s="2"/>
      <c r="C2244" s="2"/>
      <c r="D2244" s="2"/>
      <c r="E2244" s="2"/>
      <c r="F2244" s="2"/>
    </row>
    <row r="2245" spans="1:6" x14ac:dyDescent="0.25">
      <c r="A2245" s="2"/>
      <c r="B2245" s="2"/>
      <c r="C2245" s="2"/>
      <c r="D2245" s="2"/>
      <c r="E2245" s="2"/>
      <c r="F2245" s="2"/>
    </row>
    <row r="2246" spans="1:6" x14ac:dyDescent="0.25">
      <c r="A2246" s="2"/>
      <c r="B2246" s="2"/>
      <c r="C2246" s="2"/>
      <c r="D2246" s="2"/>
      <c r="E2246" s="2"/>
      <c r="F2246" s="2"/>
    </row>
    <row r="2247" spans="1:6" x14ac:dyDescent="0.25">
      <c r="A2247" s="2"/>
      <c r="B2247" s="2"/>
      <c r="C2247" s="2"/>
      <c r="D2247" s="2"/>
      <c r="E2247" s="2"/>
      <c r="F2247" s="2"/>
    </row>
    <row r="2248" spans="1:6" x14ac:dyDescent="0.25">
      <c r="A2248" s="2"/>
      <c r="B2248" s="2"/>
      <c r="C2248" s="2"/>
      <c r="D2248" s="2"/>
      <c r="E2248" s="2"/>
      <c r="F2248" s="2"/>
    </row>
    <row r="2249" spans="1:6" x14ac:dyDescent="0.25">
      <c r="A2249" s="2"/>
      <c r="B2249" s="2"/>
      <c r="C2249" s="2"/>
      <c r="D2249" s="2"/>
      <c r="E2249" s="2"/>
      <c r="F2249" s="2"/>
    </row>
    <row r="2250" spans="1:6" x14ac:dyDescent="0.25">
      <c r="A2250" s="2"/>
      <c r="B2250" s="2"/>
      <c r="C2250" s="2"/>
      <c r="D2250" s="2"/>
      <c r="E2250" s="2"/>
      <c r="F2250" s="2"/>
    </row>
    <row r="2251" spans="1:6" x14ac:dyDescent="0.25">
      <c r="A2251" s="2"/>
      <c r="B2251" s="2"/>
      <c r="C2251" s="2"/>
      <c r="D2251" s="2"/>
      <c r="E2251" s="2"/>
      <c r="F2251" s="2"/>
    </row>
    <row r="2252" spans="1:6" x14ac:dyDescent="0.25">
      <c r="A2252" s="2"/>
      <c r="B2252" s="2"/>
      <c r="C2252" s="2"/>
      <c r="D2252" s="2"/>
      <c r="E2252" s="2"/>
      <c r="F2252" s="2"/>
    </row>
    <row r="2253" spans="1:6" x14ac:dyDescent="0.25">
      <c r="A2253" s="2"/>
      <c r="B2253" s="2"/>
      <c r="C2253" s="2"/>
      <c r="D2253" s="2"/>
      <c r="E2253" s="2"/>
      <c r="F2253" s="2"/>
    </row>
    <row r="2254" spans="1:6" x14ac:dyDescent="0.25">
      <c r="A2254" s="2"/>
      <c r="B2254" s="2"/>
      <c r="C2254" s="2"/>
      <c r="D2254" s="2"/>
      <c r="E2254" s="2"/>
      <c r="F2254" s="2"/>
    </row>
    <row r="2255" spans="1:6" x14ac:dyDescent="0.25">
      <c r="A2255" s="2"/>
      <c r="B2255" s="2"/>
      <c r="C2255" s="2"/>
      <c r="D2255" s="2"/>
      <c r="E2255" s="2"/>
      <c r="F2255" s="2"/>
    </row>
    <row r="2256" spans="1:6" x14ac:dyDescent="0.25">
      <c r="A2256" s="2"/>
      <c r="B2256" s="2"/>
      <c r="C2256" s="2"/>
      <c r="D2256" s="2"/>
      <c r="E2256" s="2"/>
      <c r="F2256" s="2"/>
    </row>
    <row r="2257" spans="1:6" x14ac:dyDescent="0.25">
      <c r="A2257" s="2"/>
      <c r="B2257" s="2"/>
      <c r="C2257" s="2"/>
      <c r="D2257" s="2"/>
      <c r="E2257" s="2"/>
      <c r="F2257" s="2"/>
    </row>
    <row r="2258" spans="1:6" x14ac:dyDescent="0.25">
      <c r="A2258" s="2"/>
      <c r="B2258" s="2"/>
      <c r="C2258" s="2"/>
      <c r="D2258" s="2"/>
      <c r="E2258" s="2"/>
      <c r="F2258" s="2"/>
    </row>
    <row r="2259" spans="1:6" x14ac:dyDescent="0.25">
      <c r="A2259" s="2"/>
      <c r="B2259" s="2"/>
      <c r="C2259" s="2"/>
      <c r="D2259" s="2"/>
      <c r="E2259" s="2"/>
      <c r="F2259" s="2"/>
    </row>
    <row r="2260" spans="1:6" x14ac:dyDescent="0.25">
      <c r="A2260" s="2"/>
      <c r="B2260" s="2"/>
      <c r="C2260" s="2"/>
      <c r="D2260" s="2"/>
      <c r="E2260" s="2"/>
      <c r="F2260" s="2"/>
    </row>
    <row r="2261" spans="1:6" x14ac:dyDescent="0.25">
      <c r="A2261" s="2"/>
      <c r="B2261" s="2"/>
      <c r="C2261" s="2"/>
      <c r="D2261" s="2"/>
      <c r="E2261" s="2"/>
      <c r="F2261" s="2"/>
    </row>
    <row r="2262" spans="1:6" x14ac:dyDescent="0.25">
      <c r="A2262" s="2"/>
      <c r="B2262" s="2"/>
      <c r="C2262" s="2"/>
      <c r="D2262" s="2"/>
      <c r="E2262" s="2"/>
      <c r="F2262" s="2"/>
    </row>
    <row r="2263" spans="1:6" x14ac:dyDescent="0.25">
      <c r="A2263" s="2"/>
      <c r="B2263" s="2"/>
      <c r="C2263" s="2"/>
      <c r="D2263" s="2"/>
      <c r="E2263" s="2"/>
      <c r="F2263" s="2"/>
    </row>
    <row r="2264" spans="1:6" x14ac:dyDescent="0.25">
      <c r="A2264" s="2"/>
      <c r="B2264" s="2"/>
      <c r="C2264" s="2"/>
      <c r="D2264" s="2"/>
      <c r="E2264" s="2"/>
      <c r="F2264" s="2"/>
    </row>
    <row r="2265" spans="1:6" x14ac:dyDescent="0.25">
      <c r="A2265" s="2"/>
      <c r="B2265" s="2"/>
      <c r="C2265" s="2"/>
      <c r="D2265" s="2"/>
      <c r="E2265" s="2"/>
      <c r="F2265" s="2"/>
    </row>
    <row r="2266" spans="1:6" x14ac:dyDescent="0.25">
      <c r="A2266" s="2"/>
      <c r="B2266" s="2"/>
      <c r="C2266" s="2"/>
      <c r="D2266" s="2"/>
      <c r="E2266" s="2"/>
      <c r="F2266" s="2"/>
    </row>
    <row r="2267" spans="1:6" x14ac:dyDescent="0.25">
      <c r="A2267" s="2"/>
      <c r="B2267" s="2"/>
      <c r="C2267" s="2"/>
      <c r="D2267" s="2"/>
      <c r="E2267" s="2"/>
      <c r="F2267" s="2"/>
    </row>
    <row r="2268" spans="1:6" x14ac:dyDescent="0.25">
      <c r="A2268" s="2"/>
      <c r="B2268" s="2"/>
      <c r="C2268" s="2"/>
      <c r="D2268" s="2"/>
      <c r="E2268" s="2"/>
      <c r="F2268" s="2"/>
    </row>
    <row r="2269" spans="1:6" x14ac:dyDescent="0.25">
      <c r="A2269" s="2"/>
      <c r="B2269" s="2"/>
      <c r="C2269" s="2"/>
      <c r="D2269" s="2"/>
      <c r="E2269" s="2"/>
      <c r="F2269" s="2"/>
    </row>
    <row r="2270" spans="1:6" x14ac:dyDescent="0.25">
      <c r="A2270" s="2"/>
      <c r="B2270" s="2"/>
      <c r="C2270" s="2"/>
      <c r="D2270" s="2"/>
      <c r="E2270" s="2"/>
      <c r="F2270" s="2"/>
    </row>
    <row r="2271" spans="1:6" x14ac:dyDescent="0.25">
      <c r="A2271" s="2"/>
      <c r="B2271" s="2"/>
      <c r="C2271" s="2"/>
      <c r="D2271" s="2"/>
      <c r="E2271" s="2"/>
      <c r="F2271" s="2"/>
    </row>
    <row r="2272" spans="1:6" x14ac:dyDescent="0.25">
      <c r="A2272" s="2"/>
      <c r="B2272" s="2"/>
      <c r="C2272" s="2"/>
      <c r="D2272" s="2"/>
      <c r="E2272" s="2"/>
      <c r="F2272" s="2"/>
    </row>
    <row r="2273" spans="1:6" x14ac:dyDescent="0.25">
      <c r="A2273" s="2"/>
      <c r="B2273" s="2"/>
      <c r="C2273" s="2"/>
      <c r="D2273" s="2"/>
      <c r="E2273" s="2"/>
      <c r="F2273" s="2"/>
    </row>
    <row r="2274" spans="1:6" x14ac:dyDescent="0.25">
      <c r="A2274" s="2"/>
      <c r="B2274" s="2"/>
      <c r="C2274" s="2"/>
      <c r="D2274" s="2"/>
      <c r="E2274" s="2"/>
      <c r="F2274" s="2"/>
    </row>
    <row r="2275" spans="1:6" x14ac:dyDescent="0.25">
      <c r="A2275" s="2"/>
      <c r="B2275" s="2"/>
      <c r="C2275" s="2"/>
      <c r="D2275" s="2"/>
      <c r="E2275" s="2"/>
      <c r="F2275" s="2"/>
    </row>
    <row r="2276" spans="1:6" x14ac:dyDescent="0.25">
      <c r="A2276" s="2"/>
      <c r="B2276" s="2"/>
      <c r="C2276" s="2"/>
      <c r="D2276" s="2"/>
      <c r="E2276" s="2"/>
      <c r="F2276" s="2"/>
    </row>
    <row r="2277" spans="1:6" x14ac:dyDescent="0.25">
      <c r="A2277" s="2"/>
      <c r="B2277" s="2"/>
      <c r="C2277" s="2"/>
      <c r="D2277" s="2"/>
      <c r="E2277" s="2"/>
      <c r="F2277" s="2"/>
    </row>
    <row r="2278" spans="1:6" x14ac:dyDescent="0.25">
      <c r="A2278" s="2"/>
      <c r="B2278" s="2"/>
      <c r="C2278" s="2"/>
      <c r="D2278" s="2"/>
      <c r="E2278" s="2"/>
      <c r="F2278" s="2"/>
    </row>
    <row r="2279" spans="1:6" x14ac:dyDescent="0.25">
      <c r="A2279" s="2"/>
      <c r="B2279" s="2"/>
      <c r="C2279" s="2"/>
      <c r="D2279" s="2"/>
      <c r="E2279" s="2"/>
      <c r="F2279" s="2"/>
    </row>
    <row r="2280" spans="1:6" x14ac:dyDescent="0.25">
      <c r="A2280" s="2"/>
      <c r="B2280" s="2"/>
      <c r="C2280" s="2"/>
      <c r="D2280" s="2"/>
      <c r="E2280" s="2"/>
      <c r="F2280" s="2"/>
    </row>
    <row r="2281" spans="1:6" x14ac:dyDescent="0.25">
      <c r="A2281" s="2"/>
      <c r="B2281" s="2"/>
      <c r="C2281" s="2"/>
      <c r="D2281" s="2"/>
      <c r="E2281" s="2"/>
      <c r="F2281" s="2"/>
    </row>
    <row r="2282" spans="1:6" x14ac:dyDescent="0.25">
      <c r="A2282" s="2"/>
      <c r="B2282" s="2"/>
      <c r="C2282" s="2"/>
      <c r="D2282" s="2"/>
      <c r="E2282" s="2"/>
      <c r="F2282" s="2"/>
    </row>
    <row r="2283" spans="1:6" x14ac:dyDescent="0.25">
      <c r="A2283" s="2"/>
      <c r="B2283" s="2"/>
      <c r="C2283" s="2"/>
      <c r="D2283" s="2"/>
      <c r="E2283" s="2"/>
      <c r="F2283" s="2"/>
    </row>
    <row r="2284" spans="1:6" x14ac:dyDescent="0.25">
      <c r="A2284" s="2"/>
      <c r="B2284" s="2"/>
      <c r="C2284" s="2"/>
      <c r="D2284" s="2"/>
      <c r="E2284" s="2"/>
      <c r="F2284" s="2"/>
    </row>
    <row r="2285" spans="1:6" x14ac:dyDescent="0.25">
      <c r="A2285" s="2"/>
      <c r="B2285" s="2"/>
      <c r="C2285" s="2"/>
      <c r="D2285" s="2"/>
      <c r="E2285" s="2"/>
      <c r="F2285" s="2"/>
    </row>
    <row r="2286" spans="1:6" x14ac:dyDescent="0.25">
      <c r="A2286" s="2"/>
      <c r="B2286" s="2"/>
      <c r="C2286" s="2"/>
      <c r="D2286" s="2"/>
      <c r="E2286" s="2"/>
      <c r="F2286" s="2"/>
    </row>
    <row r="2287" spans="1:6" x14ac:dyDescent="0.25">
      <c r="A2287" s="2"/>
      <c r="B2287" s="2"/>
      <c r="C2287" s="2"/>
      <c r="D2287" s="2"/>
      <c r="E2287" s="2"/>
      <c r="F2287" s="2"/>
    </row>
    <row r="2288" spans="1:6" x14ac:dyDescent="0.25">
      <c r="A2288" s="2"/>
      <c r="B2288" s="2"/>
      <c r="C2288" s="2"/>
      <c r="D2288" s="2"/>
      <c r="E2288" s="2"/>
      <c r="F2288" s="2"/>
    </row>
    <row r="2289" spans="1:6" x14ac:dyDescent="0.25">
      <c r="A2289" s="2"/>
      <c r="B2289" s="2"/>
      <c r="C2289" s="2"/>
      <c r="D2289" s="2"/>
      <c r="E2289" s="2"/>
      <c r="F2289" s="2"/>
    </row>
    <row r="2290" spans="1:6" x14ac:dyDescent="0.25">
      <c r="A2290" s="2"/>
      <c r="B2290" s="2"/>
      <c r="C2290" s="2"/>
      <c r="D2290" s="2"/>
      <c r="E2290" s="2"/>
      <c r="F2290" s="2"/>
    </row>
    <row r="2291" spans="1:6" x14ac:dyDescent="0.25">
      <c r="A2291" s="2"/>
      <c r="B2291" s="2"/>
      <c r="C2291" s="2"/>
      <c r="D2291" s="2"/>
      <c r="E2291" s="2"/>
      <c r="F2291" s="2"/>
    </row>
    <row r="2292" spans="1:6" x14ac:dyDescent="0.25">
      <c r="A2292" s="2"/>
      <c r="B2292" s="2"/>
      <c r="C2292" s="2"/>
      <c r="D2292" s="2"/>
      <c r="E2292" s="2"/>
      <c r="F2292" s="2"/>
    </row>
    <row r="2293" spans="1:6" x14ac:dyDescent="0.25">
      <c r="A2293" s="2"/>
      <c r="B2293" s="2"/>
      <c r="C2293" s="2"/>
      <c r="D2293" s="2"/>
      <c r="E2293" s="2"/>
      <c r="F2293" s="2"/>
    </row>
    <row r="2294" spans="1:6" x14ac:dyDescent="0.25">
      <c r="A2294" s="2"/>
      <c r="B2294" s="2"/>
      <c r="C2294" s="2"/>
      <c r="D2294" s="2"/>
      <c r="E2294" s="2"/>
      <c r="F2294" s="2"/>
    </row>
    <row r="2295" spans="1:6" x14ac:dyDescent="0.25">
      <c r="A2295" s="2"/>
      <c r="B2295" s="2"/>
      <c r="C2295" s="2"/>
      <c r="D2295" s="2"/>
      <c r="E2295" s="2"/>
      <c r="F2295" s="2"/>
    </row>
    <row r="2296" spans="1:6" x14ac:dyDescent="0.25">
      <c r="A2296" s="2"/>
      <c r="B2296" s="2"/>
      <c r="C2296" s="2"/>
      <c r="D2296" s="2"/>
      <c r="E2296" s="2"/>
      <c r="F2296" s="2"/>
    </row>
    <row r="2297" spans="1:6" x14ac:dyDescent="0.25">
      <c r="A2297" s="2"/>
      <c r="B2297" s="2"/>
      <c r="C2297" s="2"/>
      <c r="D2297" s="2"/>
      <c r="E2297" s="2"/>
      <c r="F2297" s="2"/>
    </row>
    <row r="2298" spans="1:6" x14ac:dyDescent="0.25">
      <c r="A2298" s="2"/>
      <c r="B2298" s="2"/>
      <c r="C2298" s="2"/>
      <c r="D2298" s="2"/>
      <c r="E2298" s="2"/>
      <c r="F2298" s="2"/>
    </row>
    <row r="2299" spans="1:6" x14ac:dyDescent="0.25">
      <c r="A2299" s="2"/>
      <c r="B2299" s="2"/>
      <c r="C2299" s="2"/>
      <c r="D2299" s="2"/>
      <c r="E2299" s="2"/>
      <c r="F2299" s="2"/>
    </row>
    <row r="2300" spans="1:6" x14ac:dyDescent="0.25">
      <c r="A2300" s="2"/>
      <c r="B2300" s="2"/>
      <c r="C2300" s="2"/>
      <c r="D2300" s="2"/>
      <c r="E2300" s="2"/>
      <c r="F2300" s="2"/>
    </row>
    <row r="2301" spans="1:6" x14ac:dyDescent="0.25">
      <c r="A2301" s="2"/>
      <c r="B2301" s="2"/>
      <c r="C2301" s="2"/>
      <c r="D2301" s="2"/>
      <c r="E2301" s="2"/>
      <c r="F2301" s="2"/>
    </row>
    <row r="2302" spans="1:6" x14ac:dyDescent="0.25">
      <c r="A2302" s="2"/>
      <c r="B2302" s="2"/>
      <c r="C2302" s="2"/>
      <c r="D2302" s="2"/>
      <c r="E2302" s="2"/>
      <c r="F2302" s="2"/>
    </row>
    <row r="2303" spans="1:6" x14ac:dyDescent="0.25">
      <c r="A2303" s="2"/>
      <c r="B2303" s="2"/>
      <c r="C2303" s="2"/>
      <c r="D2303" s="2"/>
      <c r="E2303" s="2"/>
      <c r="F2303" s="2"/>
    </row>
    <row r="2304" spans="1:6" x14ac:dyDescent="0.25">
      <c r="A2304" s="2"/>
      <c r="B2304" s="2"/>
      <c r="C2304" s="2"/>
      <c r="D2304" s="2"/>
      <c r="E2304" s="2"/>
      <c r="F2304" s="2"/>
    </row>
    <row r="2305" spans="1:6" x14ac:dyDescent="0.25">
      <c r="A2305" s="2"/>
      <c r="B2305" s="2"/>
      <c r="C2305" s="2"/>
      <c r="D2305" s="2"/>
      <c r="E2305" s="2"/>
      <c r="F2305" s="2"/>
    </row>
    <row r="2306" spans="1:6" x14ac:dyDescent="0.25">
      <c r="A2306" s="2"/>
      <c r="B2306" s="2"/>
      <c r="C2306" s="2"/>
      <c r="D2306" s="2"/>
      <c r="E2306" s="2"/>
      <c r="F2306" s="2"/>
    </row>
    <row r="2307" spans="1:6" x14ac:dyDescent="0.25">
      <c r="A2307" s="2"/>
      <c r="B2307" s="2"/>
      <c r="C2307" s="2"/>
      <c r="D2307" s="2"/>
      <c r="E2307" s="2"/>
      <c r="F2307" s="2"/>
    </row>
    <row r="2308" spans="1:6" x14ac:dyDescent="0.25">
      <c r="A2308" s="2"/>
      <c r="B2308" s="2"/>
      <c r="C2308" s="2"/>
      <c r="D2308" s="2"/>
      <c r="E2308" s="2"/>
      <c r="F2308" s="2"/>
    </row>
    <row r="2309" spans="1:6" x14ac:dyDescent="0.25">
      <c r="A2309" s="2"/>
      <c r="B2309" s="2"/>
      <c r="C2309" s="2"/>
      <c r="D2309" s="2"/>
      <c r="E2309" s="2"/>
      <c r="F2309" s="2"/>
    </row>
    <row r="2310" spans="1:6" x14ac:dyDescent="0.25">
      <c r="A2310" s="2"/>
      <c r="B2310" s="2"/>
      <c r="C2310" s="2"/>
      <c r="D2310" s="2"/>
      <c r="E2310" s="2"/>
      <c r="F2310" s="2"/>
    </row>
    <row r="2311" spans="1:6" x14ac:dyDescent="0.25">
      <c r="A2311" s="2"/>
      <c r="B2311" s="2"/>
      <c r="C2311" s="2"/>
      <c r="D2311" s="2"/>
      <c r="E2311" s="2"/>
      <c r="F2311" s="2"/>
    </row>
    <row r="2312" spans="1:6" x14ac:dyDescent="0.25">
      <c r="A2312" s="2"/>
      <c r="B2312" s="2"/>
      <c r="C2312" s="2"/>
      <c r="D2312" s="2"/>
      <c r="E2312" s="2"/>
      <c r="F2312" s="2"/>
    </row>
    <row r="2313" spans="1:6" x14ac:dyDescent="0.25">
      <c r="A2313" s="2"/>
      <c r="B2313" s="2"/>
      <c r="C2313" s="2"/>
      <c r="D2313" s="2"/>
      <c r="E2313" s="2"/>
      <c r="F2313" s="2"/>
    </row>
    <row r="2314" spans="1:6" x14ac:dyDescent="0.25">
      <c r="A2314" s="2"/>
      <c r="B2314" s="2"/>
      <c r="C2314" s="2"/>
      <c r="D2314" s="2"/>
      <c r="E2314" s="2"/>
      <c r="F2314" s="2"/>
    </row>
    <row r="2315" spans="1:6" x14ac:dyDescent="0.25">
      <c r="A2315" s="2"/>
      <c r="B2315" s="2"/>
      <c r="C2315" s="2"/>
      <c r="D2315" s="2"/>
      <c r="E2315" s="2"/>
      <c r="F2315" s="2"/>
    </row>
    <row r="2316" spans="1:6" x14ac:dyDescent="0.25">
      <c r="A2316" s="2"/>
      <c r="B2316" s="2"/>
      <c r="C2316" s="2"/>
      <c r="D2316" s="2"/>
      <c r="E2316" s="2"/>
      <c r="F2316" s="2"/>
    </row>
    <row r="2317" spans="1:6" x14ac:dyDescent="0.25">
      <c r="A2317" s="2"/>
      <c r="B2317" s="2"/>
      <c r="C2317" s="2"/>
      <c r="D2317" s="2"/>
      <c r="E2317" s="2"/>
      <c r="F2317" s="2"/>
    </row>
    <row r="2318" spans="1:6" x14ac:dyDescent="0.25">
      <c r="A2318" s="2"/>
      <c r="B2318" s="2"/>
      <c r="C2318" s="2"/>
      <c r="D2318" s="2"/>
      <c r="E2318" s="2"/>
      <c r="F2318" s="2"/>
    </row>
    <row r="2319" spans="1:6" x14ac:dyDescent="0.25">
      <c r="A2319" s="2"/>
      <c r="B2319" s="2"/>
      <c r="C2319" s="2"/>
      <c r="D2319" s="2"/>
      <c r="E2319" s="2"/>
      <c r="F2319" s="2"/>
    </row>
    <row r="2320" spans="1:6" x14ac:dyDescent="0.25">
      <c r="A2320" s="2"/>
      <c r="B2320" s="2"/>
      <c r="C2320" s="2"/>
      <c r="D2320" s="2"/>
      <c r="E2320" s="2"/>
      <c r="F2320" s="2"/>
    </row>
    <row r="2321" spans="1:6" x14ac:dyDescent="0.25">
      <c r="A2321" s="2"/>
      <c r="B2321" s="2"/>
      <c r="C2321" s="2"/>
      <c r="D2321" s="2"/>
      <c r="E2321" s="2"/>
      <c r="F2321" s="2"/>
    </row>
    <row r="2322" spans="1:6" x14ac:dyDescent="0.25">
      <c r="A2322" s="2"/>
      <c r="B2322" s="2"/>
      <c r="C2322" s="2"/>
      <c r="D2322" s="2"/>
      <c r="E2322" s="2"/>
      <c r="F2322" s="2"/>
    </row>
    <row r="2323" spans="1:6" x14ac:dyDescent="0.25">
      <c r="A2323" s="2"/>
      <c r="B2323" s="2"/>
      <c r="C2323" s="2"/>
      <c r="D2323" s="2"/>
      <c r="E2323" s="2"/>
      <c r="F2323" s="2"/>
    </row>
    <row r="2324" spans="1:6" x14ac:dyDescent="0.25">
      <c r="A2324" s="2"/>
      <c r="B2324" s="2"/>
      <c r="C2324" s="2"/>
      <c r="D2324" s="2"/>
      <c r="E2324" s="2"/>
      <c r="F2324" s="2"/>
    </row>
    <row r="2325" spans="1:6" x14ac:dyDescent="0.25">
      <c r="A2325" s="2"/>
      <c r="B2325" s="2"/>
      <c r="C2325" s="2"/>
      <c r="D2325" s="2"/>
      <c r="E2325" s="2"/>
      <c r="F2325" s="2"/>
    </row>
    <row r="2326" spans="1:6" x14ac:dyDescent="0.25">
      <c r="A2326" s="2"/>
      <c r="B2326" s="2"/>
      <c r="C2326" s="2"/>
      <c r="D2326" s="2"/>
      <c r="E2326" s="2"/>
      <c r="F2326" s="2"/>
    </row>
    <row r="2327" spans="1:6" x14ac:dyDescent="0.25">
      <c r="A2327" s="2"/>
      <c r="B2327" s="2"/>
      <c r="C2327" s="2"/>
      <c r="D2327" s="2"/>
      <c r="E2327" s="2"/>
      <c r="F2327" s="2"/>
    </row>
    <row r="2328" spans="1:6" x14ac:dyDescent="0.25">
      <c r="A2328" s="2"/>
      <c r="B2328" s="2"/>
      <c r="C2328" s="2"/>
      <c r="D2328" s="2"/>
      <c r="E2328" s="2"/>
      <c r="F2328" s="2"/>
    </row>
    <row r="2329" spans="1:6" x14ac:dyDescent="0.25">
      <c r="A2329" s="2"/>
      <c r="B2329" s="2"/>
      <c r="C2329" s="2"/>
      <c r="D2329" s="2"/>
      <c r="E2329" s="2"/>
      <c r="F2329" s="2"/>
    </row>
    <row r="2330" spans="1:6" x14ac:dyDescent="0.25">
      <c r="A2330" s="2"/>
      <c r="B2330" s="2"/>
      <c r="C2330" s="2"/>
      <c r="D2330" s="2"/>
      <c r="E2330" s="2"/>
      <c r="F2330" s="2"/>
    </row>
    <row r="2331" spans="1:6" x14ac:dyDescent="0.25">
      <c r="A2331" s="2"/>
      <c r="B2331" s="2"/>
      <c r="C2331" s="2"/>
      <c r="D2331" s="2"/>
      <c r="E2331" s="2"/>
      <c r="F2331" s="2"/>
    </row>
    <row r="2332" spans="1:6" x14ac:dyDescent="0.25">
      <c r="A2332" s="2"/>
      <c r="B2332" s="2"/>
      <c r="C2332" s="2"/>
      <c r="D2332" s="2"/>
      <c r="E2332" s="2"/>
      <c r="F2332" s="2"/>
    </row>
    <row r="2333" spans="1:6" x14ac:dyDescent="0.25">
      <c r="A2333" s="2"/>
      <c r="B2333" s="2"/>
      <c r="C2333" s="2"/>
      <c r="D2333" s="2"/>
      <c r="E2333" s="2"/>
      <c r="F2333" s="2"/>
    </row>
    <row r="2334" spans="1:6" x14ac:dyDescent="0.25">
      <c r="A2334" s="2"/>
      <c r="B2334" s="2"/>
      <c r="C2334" s="2"/>
      <c r="D2334" s="2"/>
      <c r="E2334" s="2"/>
      <c r="F2334" s="2"/>
    </row>
    <row r="2335" spans="1:6" x14ac:dyDescent="0.25">
      <c r="A2335" s="2"/>
      <c r="B2335" s="2"/>
      <c r="C2335" s="2"/>
      <c r="D2335" s="2"/>
      <c r="E2335" s="2"/>
      <c r="F2335" s="2"/>
    </row>
    <row r="2336" spans="1:6" x14ac:dyDescent="0.25">
      <c r="A2336" s="2"/>
      <c r="B2336" s="2"/>
      <c r="C2336" s="2"/>
      <c r="D2336" s="2"/>
      <c r="E2336" s="2"/>
      <c r="F2336" s="2"/>
    </row>
    <row r="2337" spans="1:6" x14ac:dyDescent="0.25">
      <c r="A2337" s="2"/>
      <c r="B2337" s="2"/>
      <c r="C2337" s="2"/>
      <c r="D2337" s="2"/>
      <c r="E2337" s="2"/>
      <c r="F2337" s="2"/>
    </row>
    <row r="2338" spans="1:6" x14ac:dyDescent="0.25">
      <c r="A2338" s="2"/>
      <c r="B2338" s="2"/>
      <c r="C2338" s="2"/>
      <c r="D2338" s="2"/>
      <c r="E2338" s="2"/>
      <c r="F2338" s="2"/>
    </row>
    <row r="2339" spans="1:6" x14ac:dyDescent="0.25">
      <c r="A2339" s="2"/>
      <c r="B2339" s="2"/>
      <c r="C2339" s="2"/>
      <c r="D2339" s="2"/>
      <c r="E2339" s="2"/>
      <c r="F2339" s="2"/>
    </row>
    <row r="2340" spans="1:6" x14ac:dyDescent="0.25">
      <c r="A2340" s="2"/>
      <c r="B2340" s="2"/>
      <c r="C2340" s="2"/>
      <c r="D2340" s="2"/>
      <c r="E2340" s="2"/>
      <c r="F2340" s="2"/>
    </row>
    <row r="2341" spans="1:6" x14ac:dyDescent="0.25">
      <c r="A2341" s="2"/>
      <c r="B2341" s="2"/>
      <c r="C2341" s="2"/>
      <c r="D2341" s="2"/>
      <c r="E2341" s="2"/>
      <c r="F2341" s="2"/>
    </row>
    <row r="2342" spans="1:6" x14ac:dyDescent="0.25">
      <c r="A2342" s="2"/>
      <c r="B2342" s="2"/>
      <c r="C2342" s="2"/>
      <c r="D2342" s="2"/>
      <c r="E2342" s="2"/>
      <c r="F2342" s="2"/>
    </row>
    <row r="2343" spans="1:6" x14ac:dyDescent="0.25">
      <c r="A2343" s="2"/>
      <c r="B2343" s="2"/>
      <c r="C2343" s="2"/>
      <c r="D2343" s="2"/>
      <c r="E2343" s="2"/>
      <c r="F2343" s="2"/>
    </row>
    <row r="2344" spans="1:6" x14ac:dyDescent="0.25">
      <c r="A2344" s="2"/>
      <c r="B2344" s="2"/>
      <c r="C2344" s="2"/>
      <c r="D2344" s="2"/>
      <c r="E2344" s="2"/>
      <c r="F2344" s="2"/>
    </row>
    <row r="2345" spans="1:6" x14ac:dyDescent="0.25">
      <c r="A2345" s="2"/>
      <c r="B2345" s="2"/>
      <c r="C2345" s="2"/>
      <c r="D2345" s="2"/>
      <c r="E2345" s="2"/>
      <c r="F2345" s="2"/>
    </row>
    <row r="2346" spans="1:6" x14ac:dyDescent="0.25">
      <c r="A2346" s="2"/>
      <c r="B2346" s="2"/>
      <c r="C2346" s="2"/>
      <c r="D2346" s="2"/>
      <c r="E2346" s="2"/>
      <c r="F2346" s="2"/>
    </row>
    <row r="2347" spans="1:6" x14ac:dyDescent="0.25">
      <c r="A2347" s="2"/>
      <c r="B2347" s="2"/>
      <c r="C2347" s="2"/>
      <c r="D2347" s="2"/>
      <c r="E2347" s="2"/>
      <c r="F2347" s="2"/>
    </row>
    <row r="2348" spans="1:6" x14ac:dyDescent="0.25">
      <c r="A2348" s="2"/>
      <c r="B2348" s="2"/>
      <c r="C2348" s="2"/>
      <c r="D2348" s="2"/>
      <c r="E2348" s="2"/>
      <c r="F2348" s="2"/>
    </row>
    <row r="2349" spans="1:6" x14ac:dyDescent="0.25">
      <c r="A2349" s="2"/>
      <c r="B2349" s="2"/>
      <c r="C2349" s="2"/>
      <c r="D2349" s="2"/>
      <c r="E2349" s="2"/>
      <c r="F2349" s="2"/>
    </row>
    <row r="2350" spans="1:6" x14ac:dyDescent="0.25">
      <c r="A2350" s="2"/>
      <c r="B2350" s="2"/>
      <c r="C2350" s="2"/>
      <c r="D2350" s="2"/>
      <c r="E2350" s="2"/>
      <c r="F2350" s="2"/>
    </row>
    <row r="2351" spans="1:6" x14ac:dyDescent="0.25">
      <c r="A2351" s="2"/>
      <c r="B2351" s="2"/>
      <c r="C2351" s="2"/>
      <c r="D2351" s="2"/>
      <c r="E2351" s="2"/>
      <c r="F2351" s="2"/>
    </row>
    <row r="2352" spans="1:6" x14ac:dyDescent="0.25">
      <c r="A2352" s="2"/>
      <c r="B2352" s="2"/>
      <c r="C2352" s="2"/>
      <c r="D2352" s="2"/>
      <c r="E2352" s="2"/>
      <c r="F2352" s="2"/>
    </row>
    <row r="2353" spans="1:6" x14ac:dyDescent="0.25">
      <c r="A2353" s="2"/>
      <c r="B2353" s="2"/>
      <c r="C2353" s="2"/>
      <c r="D2353" s="2"/>
      <c r="E2353" s="2"/>
      <c r="F2353" s="2"/>
    </row>
    <row r="2354" spans="1:6" x14ac:dyDescent="0.25">
      <c r="A2354" s="2"/>
      <c r="B2354" s="2"/>
      <c r="C2354" s="2"/>
      <c r="D2354" s="2"/>
      <c r="E2354" s="2"/>
      <c r="F2354" s="2"/>
    </row>
    <row r="2355" spans="1:6" x14ac:dyDescent="0.25">
      <c r="A2355" s="2"/>
      <c r="B2355" s="2"/>
      <c r="C2355" s="2"/>
      <c r="D2355" s="2"/>
      <c r="E2355" s="2"/>
      <c r="F2355" s="2"/>
    </row>
    <row r="2356" spans="1:6" x14ac:dyDescent="0.25">
      <c r="A2356" s="2"/>
      <c r="B2356" s="2"/>
      <c r="C2356" s="2"/>
      <c r="D2356" s="2"/>
      <c r="E2356" s="2"/>
      <c r="F2356" s="2"/>
    </row>
    <row r="2357" spans="1:6" x14ac:dyDescent="0.25">
      <c r="A2357" s="2"/>
      <c r="B2357" s="2"/>
      <c r="C2357" s="2"/>
      <c r="D2357" s="2"/>
      <c r="E2357" s="2"/>
      <c r="F235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302"/>
  <sheetViews>
    <sheetView zoomScale="80" zoomScaleNormal="80" workbookViewId="0">
      <selection activeCell="H1" sqref="H1:I2302"/>
    </sheetView>
  </sheetViews>
  <sheetFormatPr defaultRowHeight="15" x14ac:dyDescent="0.25"/>
  <cols>
    <col min="1" max="1" width="9.85546875" bestFit="1" customWidth="1"/>
    <col min="2" max="2" width="15.7109375" bestFit="1" customWidth="1"/>
    <col min="3" max="4" width="18" style="1" bestFit="1" customWidth="1"/>
    <col min="5" max="5" width="19.28515625" style="1" bestFit="1" customWidth="1"/>
    <col min="6" max="6" width="15.28515625" style="1" bestFit="1" customWidth="1"/>
    <col min="10" max="11" width="15.7109375" bestFit="1" customWidth="1"/>
  </cols>
  <sheetData>
    <row r="1" spans="1:14" x14ac:dyDescent="0.25">
      <c r="A1" s="4" t="s">
        <v>0</v>
      </c>
      <c r="B1" s="4" t="s">
        <v>22</v>
      </c>
      <c r="C1" s="3">
        <v>326.26862999999997</v>
      </c>
      <c r="D1" s="3">
        <v>324.63717000000003</v>
      </c>
      <c r="E1" s="3">
        <v>326.42836504844001</v>
      </c>
      <c r="F1" s="3">
        <v>324.03398082685402</v>
      </c>
      <c r="G1">
        <f t="shared" ref="G1:G64" si="0">LEN(B1)</f>
        <v>6</v>
      </c>
      <c r="H1" t="str">
        <f t="shared" ref="H1:H46" si="1">RIGHT(B1,3)</f>
        <v>USD</v>
      </c>
      <c r="I1" t="str">
        <f t="shared" ref="I1:I16" si="2">LEFT(B1,3)</f>
        <v>ETH</v>
      </c>
      <c r="J1" t="str">
        <f t="shared" ref="J1:J64" si="3">CONCATENATE(H1,I1)</f>
        <v>USDETH</v>
      </c>
      <c r="K1" t="str">
        <f t="shared" ref="K1:K64" si="4">CONCATENATE(I1,H1)</f>
        <v>ETHUSD</v>
      </c>
      <c r="L1">
        <f t="shared" ref="L1:L64" si="5">COUNTIF(B:B,J1)</f>
        <v>0</v>
      </c>
      <c r="M1">
        <f t="shared" ref="M1:M64" si="6">COUNTIF(B:B,K1)</f>
        <v>9</v>
      </c>
      <c r="N1" t="b">
        <f t="shared" ref="N1:N64" si="7">L1=0</f>
        <v>1</v>
      </c>
    </row>
    <row r="2" spans="1:14" x14ac:dyDescent="0.25">
      <c r="A2" s="4" t="s">
        <v>27</v>
      </c>
      <c r="B2" s="4" t="s">
        <v>22</v>
      </c>
      <c r="C2" s="3">
        <v>303.98</v>
      </c>
      <c r="D2" s="3">
        <v>303.18</v>
      </c>
      <c r="E2" s="3">
        <v>303.9896</v>
      </c>
      <c r="F2" s="3">
        <v>303.18</v>
      </c>
      <c r="G2">
        <f t="shared" si="0"/>
        <v>6</v>
      </c>
      <c r="H2" t="str">
        <f t="shared" si="1"/>
        <v>USD</v>
      </c>
      <c r="I2" t="str">
        <f t="shared" si="2"/>
        <v>ETH</v>
      </c>
      <c r="J2" t="str">
        <f t="shared" si="3"/>
        <v>USDETH</v>
      </c>
      <c r="K2" t="str">
        <f t="shared" si="4"/>
        <v>ETHUSD</v>
      </c>
      <c r="L2">
        <f t="shared" si="5"/>
        <v>0</v>
      </c>
      <c r="M2">
        <f t="shared" si="6"/>
        <v>9</v>
      </c>
      <c r="N2" t="b">
        <f t="shared" si="7"/>
        <v>1</v>
      </c>
    </row>
    <row r="3" spans="1:14" x14ac:dyDescent="0.25">
      <c r="A3" s="4" t="s">
        <v>3</v>
      </c>
      <c r="B3" s="4" t="s">
        <v>22</v>
      </c>
      <c r="C3" s="3">
        <v>308.99610000000001</v>
      </c>
      <c r="D3" s="3">
        <v>306.33308</v>
      </c>
      <c r="E3" s="3">
        <v>308.99599999999998</v>
      </c>
      <c r="F3" s="3">
        <v>308.69589999999999</v>
      </c>
      <c r="G3">
        <f t="shared" si="0"/>
        <v>6</v>
      </c>
      <c r="H3" t="str">
        <f t="shared" si="1"/>
        <v>USD</v>
      </c>
      <c r="I3" t="str">
        <f t="shared" si="2"/>
        <v>ETH</v>
      </c>
      <c r="J3" t="str">
        <f t="shared" si="3"/>
        <v>USDETH</v>
      </c>
      <c r="K3" t="str">
        <f t="shared" si="4"/>
        <v>ETHUSD</v>
      </c>
      <c r="L3">
        <f t="shared" si="5"/>
        <v>0</v>
      </c>
      <c r="M3">
        <f t="shared" si="6"/>
        <v>9</v>
      </c>
      <c r="N3" t="b">
        <f t="shared" si="7"/>
        <v>1</v>
      </c>
    </row>
    <row r="4" spans="1:14" x14ac:dyDescent="0.25">
      <c r="A4" s="4" t="s">
        <v>4</v>
      </c>
      <c r="B4" s="4" t="s">
        <v>22</v>
      </c>
      <c r="C4" s="3">
        <v>309.99</v>
      </c>
      <c r="D4" s="3">
        <v>298.56</v>
      </c>
      <c r="E4" s="3">
        <v>309.99</v>
      </c>
      <c r="F4" s="3">
        <v>298.60000000000002</v>
      </c>
      <c r="G4">
        <f t="shared" si="0"/>
        <v>6</v>
      </c>
      <c r="H4" t="str">
        <f t="shared" si="1"/>
        <v>USD</v>
      </c>
      <c r="I4" t="str">
        <f t="shared" si="2"/>
        <v>ETH</v>
      </c>
      <c r="J4" t="str">
        <f t="shared" si="3"/>
        <v>USDETH</v>
      </c>
      <c r="K4" t="str">
        <f t="shared" si="4"/>
        <v>ETHUSD</v>
      </c>
      <c r="L4">
        <f t="shared" si="5"/>
        <v>0</v>
      </c>
      <c r="M4">
        <f t="shared" si="6"/>
        <v>9</v>
      </c>
      <c r="N4" t="b">
        <f t="shared" si="7"/>
        <v>1</v>
      </c>
    </row>
    <row r="5" spans="1:14" x14ac:dyDescent="0.25">
      <c r="A5" s="4" t="s">
        <v>5</v>
      </c>
      <c r="B5" s="4" t="s">
        <v>22</v>
      </c>
      <c r="C5" s="3">
        <v>335.95759866999998</v>
      </c>
      <c r="D5" s="3">
        <v>333</v>
      </c>
      <c r="E5" s="3">
        <v>335.95759866999998</v>
      </c>
      <c r="F5" s="3">
        <v>332.66568159644498</v>
      </c>
      <c r="G5">
        <f t="shared" si="0"/>
        <v>6</v>
      </c>
      <c r="H5" t="str">
        <f t="shared" si="1"/>
        <v>USD</v>
      </c>
      <c r="I5" t="str">
        <f t="shared" si="2"/>
        <v>ETH</v>
      </c>
      <c r="J5" t="str">
        <f t="shared" si="3"/>
        <v>USDETH</v>
      </c>
      <c r="K5" t="str">
        <f t="shared" si="4"/>
        <v>ETHUSD</v>
      </c>
      <c r="L5">
        <f t="shared" si="5"/>
        <v>0</v>
      </c>
      <c r="M5">
        <f t="shared" si="6"/>
        <v>9</v>
      </c>
      <c r="N5" t="b">
        <f t="shared" si="7"/>
        <v>1</v>
      </c>
    </row>
    <row r="6" spans="1:14" x14ac:dyDescent="0.25">
      <c r="A6" s="4" t="s">
        <v>6</v>
      </c>
      <c r="B6" s="4" t="s">
        <v>22</v>
      </c>
      <c r="C6" s="3">
        <v>337.10964999999999</v>
      </c>
      <c r="D6" s="3">
        <v>338.87999989000002</v>
      </c>
      <c r="E6" s="3">
        <v>336.2780846</v>
      </c>
      <c r="F6" s="3">
        <v>338.87999989000002</v>
      </c>
      <c r="G6">
        <f t="shared" si="0"/>
        <v>6</v>
      </c>
      <c r="H6" t="str">
        <f t="shared" si="1"/>
        <v>USD</v>
      </c>
      <c r="I6" t="str">
        <f t="shared" si="2"/>
        <v>ETH</v>
      </c>
      <c r="J6" t="str">
        <f t="shared" si="3"/>
        <v>USDETH</v>
      </c>
      <c r="K6" t="str">
        <f t="shared" si="4"/>
        <v>ETHUSD</v>
      </c>
      <c r="L6">
        <f t="shared" si="5"/>
        <v>0</v>
      </c>
      <c r="M6">
        <f t="shared" si="6"/>
        <v>9</v>
      </c>
      <c r="N6" t="b">
        <f t="shared" si="7"/>
        <v>1</v>
      </c>
    </row>
    <row r="7" spans="1:14" x14ac:dyDescent="0.25">
      <c r="A7" s="4" t="s">
        <v>7</v>
      </c>
      <c r="B7" s="4" t="s">
        <v>22</v>
      </c>
      <c r="C7" s="3">
        <v>340.00000001000001</v>
      </c>
      <c r="D7" s="3">
        <v>340.79769999000001</v>
      </c>
      <c r="E7" s="3">
        <v>340.00000000044599</v>
      </c>
      <c r="F7" s="3">
        <v>341.55635137621402</v>
      </c>
      <c r="G7">
        <f t="shared" si="0"/>
        <v>6</v>
      </c>
      <c r="H7" t="str">
        <f t="shared" si="1"/>
        <v>USD</v>
      </c>
      <c r="I7" t="str">
        <f t="shared" si="2"/>
        <v>ETH</v>
      </c>
      <c r="J7" t="str">
        <f t="shared" si="3"/>
        <v>USDETH</v>
      </c>
      <c r="K7" t="str">
        <f t="shared" si="4"/>
        <v>ETHUSD</v>
      </c>
      <c r="L7">
        <f t="shared" si="5"/>
        <v>0</v>
      </c>
      <c r="M7">
        <f t="shared" si="6"/>
        <v>9</v>
      </c>
      <c r="N7" t="b">
        <f t="shared" si="7"/>
        <v>1</v>
      </c>
    </row>
    <row r="8" spans="1:14" x14ac:dyDescent="0.25">
      <c r="A8" s="4" t="s">
        <v>1239</v>
      </c>
      <c r="B8" s="4" t="s">
        <v>22</v>
      </c>
      <c r="C8" s="3">
        <v>336</v>
      </c>
      <c r="D8" s="3">
        <v>333</v>
      </c>
      <c r="E8" s="3">
        <v>336</v>
      </c>
      <c r="F8" s="3">
        <v>331.48251199999999</v>
      </c>
      <c r="G8">
        <f t="shared" si="0"/>
        <v>6</v>
      </c>
      <c r="H8" t="str">
        <f t="shared" si="1"/>
        <v>USD</v>
      </c>
      <c r="I8" t="str">
        <f t="shared" si="2"/>
        <v>ETH</v>
      </c>
      <c r="J8" t="str">
        <f t="shared" si="3"/>
        <v>USDETH</v>
      </c>
      <c r="K8" t="str">
        <f t="shared" si="4"/>
        <v>ETHUSD</v>
      </c>
      <c r="L8">
        <f t="shared" si="5"/>
        <v>0</v>
      </c>
      <c r="M8">
        <f t="shared" si="6"/>
        <v>9</v>
      </c>
      <c r="N8" t="b">
        <f t="shared" si="7"/>
        <v>1</v>
      </c>
    </row>
    <row r="9" spans="1:14" x14ac:dyDescent="0.25">
      <c r="A9" s="4" t="s">
        <v>1403</v>
      </c>
      <c r="B9" s="4" t="s">
        <v>22</v>
      </c>
      <c r="C9" s="3">
        <v>359.8</v>
      </c>
      <c r="D9" s="3">
        <v>359.8</v>
      </c>
      <c r="E9" s="3">
        <v>359</v>
      </c>
      <c r="F9" s="3">
        <v>328.6632166</v>
      </c>
      <c r="G9">
        <f t="shared" si="0"/>
        <v>6</v>
      </c>
      <c r="H9" t="str">
        <f t="shared" si="1"/>
        <v>USD</v>
      </c>
      <c r="I9" t="str">
        <f t="shared" si="2"/>
        <v>ETH</v>
      </c>
      <c r="J9" t="str">
        <f t="shared" si="3"/>
        <v>USDETH</v>
      </c>
      <c r="K9" t="str">
        <f t="shared" si="4"/>
        <v>ETHUSD</v>
      </c>
      <c r="L9">
        <f t="shared" si="5"/>
        <v>0</v>
      </c>
      <c r="M9">
        <f t="shared" si="6"/>
        <v>9</v>
      </c>
      <c r="N9" t="b">
        <f t="shared" si="7"/>
        <v>1</v>
      </c>
    </row>
    <row r="10" spans="1:14" x14ac:dyDescent="0.25">
      <c r="A10" s="4" t="s">
        <v>0</v>
      </c>
      <c r="B10" s="4" t="s">
        <v>21</v>
      </c>
      <c r="C10" s="3">
        <v>29.35</v>
      </c>
      <c r="D10" s="3">
        <v>29.233177000000001</v>
      </c>
      <c r="E10" s="3">
        <v>29.35</v>
      </c>
      <c r="F10" s="3">
        <v>29.233179</v>
      </c>
      <c r="G10">
        <f t="shared" si="0"/>
        <v>6</v>
      </c>
      <c r="H10" t="str">
        <f t="shared" si="1"/>
        <v>USD</v>
      </c>
      <c r="I10" t="str">
        <f t="shared" si="2"/>
        <v>LTC</v>
      </c>
      <c r="J10" t="str">
        <f t="shared" si="3"/>
        <v>USDLTC</v>
      </c>
      <c r="K10" t="str">
        <f t="shared" si="4"/>
        <v>LTCUSD</v>
      </c>
      <c r="L10">
        <f t="shared" si="5"/>
        <v>0</v>
      </c>
      <c r="M10">
        <f t="shared" si="6"/>
        <v>7</v>
      </c>
      <c r="N10" t="b">
        <f t="shared" si="7"/>
        <v>1</v>
      </c>
    </row>
    <row r="11" spans="1:14" x14ac:dyDescent="0.25">
      <c r="A11" s="4" t="s">
        <v>27</v>
      </c>
      <c r="B11" s="4" t="s">
        <v>21</v>
      </c>
      <c r="C11" s="3">
        <v>27.693999999999999</v>
      </c>
      <c r="D11" s="3">
        <v>27.599</v>
      </c>
      <c r="E11" s="3">
        <v>27.6</v>
      </c>
      <c r="F11" s="3">
        <v>27.598669739439998</v>
      </c>
      <c r="G11">
        <f t="shared" si="0"/>
        <v>6</v>
      </c>
      <c r="H11" t="str">
        <f t="shared" si="1"/>
        <v>USD</v>
      </c>
      <c r="I11" t="str">
        <f t="shared" si="2"/>
        <v>LTC</v>
      </c>
      <c r="J11" t="str">
        <f t="shared" si="3"/>
        <v>USDLTC</v>
      </c>
      <c r="K11" t="str">
        <f t="shared" si="4"/>
        <v>LTCUSD</v>
      </c>
      <c r="L11">
        <f t="shared" si="5"/>
        <v>0</v>
      </c>
      <c r="M11">
        <f t="shared" si="6"/>
        <v>7</v>
      </c>
      <c r="N11" t="b">
        <f t="shared" si="7"/>
        <v>1</v>
      </c>
    </row>
    <row r="12" spans="1:14" x14ac:dyDescent="0.25">
      <c r="A12" s="4" t="s">
        <v>3</v>
      </c>
      <c r="B12" s="4" t="s">
        <v>21</v>
      </c>
      <c r="C12" s="3">
        <v>27.999880000000001</v>
      </c>
      <c r="D12" s="3">
        <v>27.94098</v>
      </c>
      <c r="E12" s="3">
        <v>27.999860000000002</v>
      </c>
      <c r="F12" s="3">
        <v>27.96</v>
      </c>
      <c r="G12">
        <f t="shared" si="0"/>
        <v>6</v>
      </c>
      <c r="H12" t="str">
        <f t="shared" si="1"/>
        <v>USD</v>
      </c>
      <c r="I12" t="str">
        <f t="shared" si="2"/>
        <v>LTC</v>
      </c>
      <c r="J12" t="str">
        <f t="shared" si="3"/>
        <v>USDLTC</v>
      </c>
      <c r="K12" t="str">
        <f t="shared" si="4"/>
        <v>LTCUSD</v>
      </c>
      <c r="L12">
        <f t="shared" si="5"/>
        <v>0</v>
      </c>
      <c r="M12">
        <f t="shared" si="6"/>
        <v>7</v>
      </c>
      <c r="N12" t="b">
        <f t="shared" si="7"/>
        <v>1</v>
      </c>
    </row>
    <row r="13" spans="1:14" x14ac:dyDescent="0.25">
      <c r="A13" s="4" t="s">
        <v>4</v>
      </c>
      <c r="B13" s="4" t="s">
        <v>21</v>
      </c>
      <c r="C13" s="3">
        <v>28.058</v>
      </c>
      <c r="D13" s="3">
        <v>27.315999999999999</v>
      </c>
      <c r="E13" s="3">
        <v>28.108000000000001</v>
      </c>
      <c r="F13" s="3">
        <v>27.315999999999999</v>
      </c>
      <c r="G13">
        <f t="shared" si="0"/>
        <v>6</v>
      </c>
      <c r="H13" t="str">
        <f t="shared" si="1"/>
        <v>USD</v>
      </c>
      <c r="I13" t="str">
        <f t="shared" si="2"/>
        <v>LTC</v>
      </c>
      <c r="J13" t="str">
        <f t="shared" si="3"/>
        <v>USDLTC</v>
      </c>
      <c r="K13" t="str">
        <f t="shared" si="4"/>
        <v>LTCUSD</v>
      </c>
      <c r="L13">
        <f t="shared" si="5"/>
        <v>0</v>
      </c>
      <c r="M13">
        <f t="shared" si="6"/>
        <v>7</v>
      </c>
      <c r="N13" t="b">
        <f t="shared" si="7"/>
        <v>1</v>
      </c>
    </row>
    <row r="14" spans="1:14" x14ac:dyDescent="0.25">
      <c r="A14" s="4" t="s">
        <v>5</v>
      </c>
      <c r="B14" s="4" t="s">
        <v>21</v>
      </c>
      <c r="C14" s="3">
        <v>30.959993279999999</v>
      </c>
      <c r="D14" s="3">
        <v>29.010000009999999</v>
      </c>
      <c r="E14" s="3">
        <v>30.95999328972</v>
      </c>
      <c r="F14" s="3">
        <v>29.010000009999999</v>
      </c>
      <c r="G14">
        <f t="shared" si="0"/>
        <v>6</v>
      </c>
      <c r="H14" t="str">
        <f t="shared" si="1"/>
        <v>USD</v>
      </c>
      <c r="I14" t="str">
        <f t="shared" si="2"/>
        <v>LTC</v>
      </c>
      <c r="J14" t="str">
        <f t="shared" si="3"/>
        <v>USDLTC</v>
      </c>
      <c r="K14" t="str">
        <f t="shared" si="4"/>
        <v>LTCUSD</v>
      </c>
      <c r="L14">
        <f t="shared" si="5"/>
        <v>0</v>
      </c>
      <c r="M14">
        <f t="shared" si="6"/>
        <v>7</v>
      </c>
      <c r="N14" t="b">
        <f t="shared" si="7"/>
        <v>1</v>
      </c>
    </row>
    <row r="15" spans="1:14" x14ac:dyDescent="0.25">
      <c r="A15" s="4" t="s">
        <v>1239</v>
      </c>
      <c r="B15" s="4" t="s">
        <v>21</v>
      </c>
      <c r="C15" s="3">
        <v>30</v>
      </c>
      <c r="D15" s="3">
        <v>28.600149999999999</v>
      </c>
      <c r="E15" s="3">
        <v>30</v>
      </c>
      <c r="F15" s="3">
        <v>28.600149999999999</v>
      </c>
      <c r="G15">
        <f t="shared" si="0"/>
        <v>6</v>
      </c>
      <c r="H15" t="str">
        <f t="shared" si="1"/>
        <v>USD</v>
      </c>
      <c r="I15" t="str">
        <f t="shared" si="2"/>
        <v>LTC</v>
      </c>
      <c r="J15" t="str">
        <f t="shared" si="3"/>
        <v>USDLTC</v>
      </c>
      <c r="K15" t="str">
        <f t="shared" si="4"/>
        <v>LTCUSD</v>
      </c>
      <c r="L15">
        <f t="shared" si="5"/>
        <v>0</v>
      </c>
      <c r="M15">
        <f t="shared" si="6"/>
        <v>7</v>
      </c>
      <c r="N15" t="b">
        <f t="shared" si="7"/>
        <v>1</v>
      </c>
    </row>
    <row r="16" spans="1:14" x14ac:dyDescent="0.25">
      <c r="A16" s="4" t="s">
        <v>1403</v>
      </c>
      <c r="B16" s="4" t="s">
        <v>21</v>
      </c>
      <c r="C16" s="3">
        <v>2.7002000000000002</v>
      </c>
      <c r="D16" s="3">
        <v>29.4499</v>
      </c>
      <c r="E16" s="3">
        <v>30.241468002024</v>
      </c>
      <c r="F16" s="3">
        <v>28.5</v>
      </c>
      <c r="G16">
        <f t="shared" si="0"/>
        <v>6</v>
      </c>
      <c r="H16" t="str">
        <f t="shared" si="1"/>
        <v>USD</v>
      </c>
      <c r="I16" t="str">
        <f t="shared" si="2"/>
        <v>LTC</v>
      </c>
      <c r="J16" t="str">
        <f t="shared" si="3"/>
        <v>USDLTC</v>
      </c>
      <c r="K16" t="str">
        <f t="shared" si="4"/>
        <v>LTCUSD</v>
      </c>
      <c r="L16">
        <f t="shared" si="5"/>
        <v>0</v>
      </c>
      <c r="M16">
        <f t="shared" si="6"/>
        <v>7</v>
      </c>
      <c r="N16" t="b">
        <f t="shared" si="7"/>
        <v>1</v>
      </c>
    </row>
    <row r="17" spans="1:14" x14ac:dyDescent="0.25">
      <c r="A17" s="4" t="s">
        <v>3</v>
      </c>
      <c r="B17" s="4" t="s">
        <v>297</v>
      </c>
      <c r="C17" s="3">
        <v>151.48747</v>
      </c>
      <c r="D17" s="3">
        <v>147.00006999999999</v>
      </c>
      <c r="E17" s="3">
        <v>151.48747</v>
      </c>
      <c r="F17" s="3">
        <v>147.00006999999999</v>
      </c>
      <c r="G17">
        <f t="shared" si="0"/>
        <v>7</v>
      </c>
      <c r="H17" t="str">
        <f t="shared" si="1"/>
        <v>USD</v>
      </c>
      <c r="I17" t="str">
        <f t="shared" ref="I17:I22" si="8">LEFT(B17,4)</f>
        <v>DASH</v>
      </c>
      <c r="J17" t="str">
        <f t="shared" si="3"/>
        <v>USDDASH</v>
      </c>
      <c r="K17" t="str">
        <f t="shared" si="4"/>
        <v>DASHUSD</v>
      </c>
      <c r="L17">
        <f t="shared" si="5"/>
        <v>0</v>
      </c>
      <c r="M17">
        <f t="shared" si="6"/>
        <v>6</v>
      </c>
      <c r="N17" t="b">
        <f t="shared" si="7"/>
        <v>1</v>
      </c>
    </row>
    <row r="18" spans="1:14" x14ac:dyDescent="0.25">
      <c r="A18" s="4" t="s">
        <v>4</v>
      </c>
      <c r="B18" s="4" t="s">
        <v>297</v>
      </c>
      <c r="C18" s="3">
        <v>148.66999999999999</v>
      </c>
      <c r="D18" s="3">
        <v>145.22999999999999</v>
      </c>
      <c r="E18" s="3">
        <v>148.83000000000001</v>
      </c>
      <c r="F18" s="3">
        <v>145.22664</v>
      </c>
      <c r="G18">
        <f t="shared" si="0"/>
        <v>7</v>
      </c>
      <c r="H18" t="str">
        <f t="shared" si="1"/>
        <v>USD</v>
      </c>
      <c r="I18" t="str">
        <f t="shared" si="8"/>
        <v>DASH</v>
      </c>
      <c r="J18" t="str">
        <f t="shared" si="3"/>
        <v>USDDASH</v>
      </c>
      <c r="K18" t="str">
        <f t="shared" si="4"/>
        <v>DASHUSD</v>
      </c>
      <c r="L18">
        <f t="shared" si="5"/>
        <v>0</v>
      </c>
      <c r="M18">
        <f t="shared" si="6"/>
        <v>6</v>
      </c>
      <c r="N18" t="b">
        <f t="shared" si="7"/>
        <v>1</v>
      </c>
    </row>
    <row r="19" spans="1:14" x14ac:dyDescent="0.25">
      <c r="A19" s="4" t="s">
        <v>5</v>
      </c>
      <c r="B19" s="4" t="s">
        <v>297</v>
      </c>
      <c r="C19" s="3">
        <v>156.99999998999999</v>
      </c>
      <c r="D19" s="3">
        <v>152</v>
      </c>
      <c r="E19" s="3">
        <v>156.99999998999999</v>
      </c>
      <c r="F19" s="3">
        <v>152</v>
      </c>
      <c r="G19">
        <f t="shared" si="0"/>
        <v>7</v>
      </c>
      <c r="H19" t="str">
        <f t="shared" si="1"/>
        <v>USD</v>
      </c>
      <c r="I19" t="str">
        <f t="shared" si="8"/>
        <v>DASH</v>
      </c>
      <c r="J19" t="str">
        <f t="shared" si="3"/>
        <v>USDDASH</v>
      </c>
      <c r="K19" t="str">
        <f t="shared" si="4"/>
        <v>DASHUSD</v>
      </c>
      <c r="L19">
        <f t="shared" si="5"/>
        <v>0</v>
      </c>
      <c r="M19">
        <f t="shared" si="6"/>
        <v>6</v>
      </c>
      <c r="N19" t="b">
        <f t="shared" si="7"/>
        <v>1</v>
      </c>
    </row>
    <row r="20" spans="1:14" x14ac:dyDescent="0.25">
      <c r="A20" s="4" t="s">
        <v>7</v>
      </c>
      <c r="B20" s="4" t="s">
        <v>297</v>
      </c>
      <c r="C20" s="3">
        <v>161.00000001000001</v>
      </c>
      <c r="D20" s="3">
        <v>162.37618666</v>
      </c>
      <c r="E20" s="3">
        <v>161</v>
      </c>
      <c r="F20" s="3">
        <v>162.73421133528799</v>
      </c>
      <c r="G20">
        <f t="shared" si="0"/>
        <v>7</v>
      </c>
      <c r="H20" t="str">
        <f t="shared" si="1"/>
        <v>USD</v>
      </c>
      <c r="I20" t="str">
        <f t="shared" si="8"/>
        <v>DASH</v>
      </c>
      <c r="J20" t="str">
        <f t="shared" si="3"/>
        <v>USDDASH</v>
      </c>
      <c r="K20" t="str">
        <f t="shared" si="4"/>
        <v>DASHUSD</v>
      </c>
      <c r="L20">
        <f t="shared" si="5"/>
        <v>0</v>
      </c>
      <c r="M20">
        <f t="shared" si="6"/>
        <v>6</v>
      </c>
      <c r="N20" t="b">
        <f t="shared" si="7"/>
        <v>1</v>
      </c>
    </row>
    <row r="21" spans="1:14" x14ac:dyDescent="0.25">
      <c r="A21" s="4" t="s">
        <v>1239</v>
      </c>
      <c r="B21" s="4" t="s">
        <v>297</v>
      </c>
      <c r="C21" s="3">
        <v>163.70783</v>
      </c>
      <c r="D21" s="3">
        <v>155.5</v>
      </c>
      <c r="E21" s="3">
        <v>168.7341318252</v>
      </c>
      <c r="F21" s="3">
        <v>146.94115485170201</v>
      </c>
      <c r="G21">
        <f t="shared" si="0"/>
        <v>7</v>
      </c>
      <c r="H21" t="str">
        <f t="shared" si="1"/>
        <v>USD</v>
      </c>
      <c r="I21" t="str">
        <f t="shared" si="8"/>
        <v>DASH</v>
      </c>
      <c r="J21" t="str">
        <f t="shared" si="3"/>
        <v>USDDASH</v>
      </c>
      <c r="K21" t="str">
        <f t="shared" si="4"/>
        <v>DASHUSD</v>
      </c>
      <c r="L21">
        <f t="shared" si="5"/>
        <v>0</v>
      </c>
      <c r="M21">
        <f t="shared" si="6"/>
        <v>6</v>
      </c>
      <c r="N21" t="b">
        <f t="shared" si="7"/>
        <v>1</v>
      </c>
    </row>
    <row r="22" spans="1:14" x14ac:dyDescent="0.25">
      <c r="A22" s="4" t="s">
        <v>1403</v>
      </c>
      <c r="B22" s="4" t="s">
        <v>297</v>
      </c>
      <c r="C22" s="3">
        <v>2.101</v>
      </c>
      <c r="D22" s="3">
        <v>195</v>
      </c>
      <c r="E22" s="3">
        <v>167.362407095999</v>
      </c>
      <c r="F22" s="3">
        <v>195</v>
      </c>
      <c r="G22">
        <f t="shared" si="0"/>
        <v>7</v>
      </c>
      <c r="H22" t="str">
        <f t="shared" si="1"/>
        <v>USD</v>
      </c>
      <c r="I22" t="str">
        <f t="shared" si="8"/>
        <v>DASH</v>
      </c>
      <c r="J22" t="str">
        <f t="shared" si="3"/>
        <v>USDDASH</v>
      </c>
      <c r="K22" t="str">
        <f t="shared" si="4"/>
        <v>DASHUSD</v>
      </c>
      <c r="L22">
        <f t="shared" si="5"/>
        <v>0</v>
      </c>
      <c r="M22">
        <f t="shared" si="6"/>
        <v>6</v>
      </c>
      <c r="N22" t="b">
        <f t="shared" si="7"/>
        <v>1</v>
      </c>
    </row>
    <row r="23" spans="1:14" x14ac:dyDescent="0.25">
      <c r="A23" s="4" t="s">
        <v>3</v>
      </c>
      <c r="B23" s="4" t="s">
        <v>293</v>
      </c>
      <c r="C23" s="3">
        <v>2049</v>
      </c>
      <c r="D23" s="3">
        <v>2040.22</v>
      </c>
      <c r="E23" s="3">
        <v>2049</v>
      </c>
      <c r="F23" s="3">
        <v>2048.9989999999998</v>
      </c>
      <c r="G23">
        <f t="shared" si="0"/>
        <v>6</v>
      </c>
      <c r="H23" t="str">
        <f t="shared" si="1"/>
        <v>EUR</v>
      </c>
      <c r="I23" t="str">
        <f>LEFT(B23,3)</f>
        <v>BTC</v>
      </c>
      <c r="J23" t="str">
        <f t="shared" si="3"/>
        <v>EURBTC</v>
      </c>
      <c r="K23" t="str">
        <f t="shared" si="4"/>
        <v>BTCEUR</v>
      </c>
      <c r="L23">
        <f t="shared" si="5"/>
        <v>0</v>
      </c>
      <c r="M23">
        <f t="shared" si="6"/>
        <v>4</v>
      </c>
      <c r="N23" t="b">
        <f t="shared" si="7"/>
        <v>1</v>
      </c>
    </row>
    <row r="24" spans="1:14" x14ac:dyDescent="0.25">
      <c r="A24" s="4" t="s">
        <v>4</v>
      </c>
      <c r="B24" s="4" t="s">
        <v>293</v>
      </c>
      <c r="C24" s="3">
        <v>2222.9899999999998</v>
      </c>
      <c r="D24" s="3">
        <v>1800</v>
      </c>
      <c r="E24" s="3">
        <v>2453.6243999999901</v>
      </c>
      <c r="F24" s="3">
        <v>1800</v>
      </c>
      <c r="G24">
        <f t="shared" si="0"/>
        <v>6</v>
      </c>
      <c r="H24" t="str">
        <f t="shared" si="1"/>
        <v>EUR</v>
      </c>
      <c r="I24" t="str">
        <f>LEFT(B24,3)</f>
        <v>BTC</v>
      </c>
      <c r="J24" t="str">
        <f t="shared" si="3"/>
        <v>EURBTC</v>
      </c>
      <c r="K24" t="str">
        <f t="shared" si="4"/>
        <v>BTCEUR</v>
      </c>
      <c r="L24">
        <f t="shared" si="5"/>
        <v>0</v>
      </c>
      <c r="M24">
        <f t="shared" si="6"/>
        <v>4</v>
      </c>
      <c r="N24" t="b">
        <f t="shared" si="7"/>
        <v>1</v>
      </c>
    </row>
    <row r="25" spans="1:14" x14ac:dyDescent="0.25">
      <c r="A25" s="4" t="s">
        <v>7</v>
      </c>
      <c r="B25" s="4" t="s">
        <v>293</v>
      </c>
      <c r="C25" s="3">
        <v>2190.4236606999998</v>
      </c>
      <c r="D25" s="3">
        <v>2204.7714181900001</v>
      </c>
      <c r="E25" s="3">
        <v>2175.6758487608599</v>
      </c>
      <c r="F25" s="3">
        <v>2223.8878645319401</v>
      </c>
      <c r="G25">
        <f t="shared" si="0"/>
        <v>6</v>
      </c>
      <c r="H25" t="str">
        <f t="shared" si="1"/>
        <v>EUR</v>
      </c>
      <c r="I25" t="str">
        <f>LEFT(B25,3)</f>
        <v>BTC</v>
      </c>
      <c r="J25" t="str">
        <f t="shared" si="3"/>
        <v>EURBTC</v>
      </c>
      <c r="K25" t="str">
        <f t="shared" si="4"/>
        <v>BTCEUR</v>
      </c>
      <c r="L25">
        <f t="shared" si="5"/>
        <v>0</v>
      </c>
      <c r="M25">
        <f t="shared" si="6"/>
        <v>4</v>
      </c>
      <c r="N25" t="b">
        <f t="shared" si="7"/>
        <v>1</v>
      </c>
    </row>
    <row r="26" spans="1:14" x14ac:dyDescent="0.25">
      <c r="A26" s="4" t="s">
        <v>1239</v>
      </c>
      <c r="B26" s="4" t="s">
        <v>293</v>
      </c>
      <c r="C26" s="3">
        <v>2297.99953</v>
      </c>
      <c r="D26" s="3">
        <v>2100.0001400000001</v>
      </c>
      <c r="E26" s="3">
        <v>2297.9997549303798</v>
      </c>
      <c r="F26" s="3">
        <v>2007.4273014441101</v>
      </c>
      <c r="G26">
        <f t="shared" si="0"/>
        <v>6</v>
      </c>
      <c r="H26" t="str">
        <f t="shared" si="1"/>
        <v>EUR</v>
      </c>
      <c r="I26" t="str">
        <f>LEFT(B26,3)</f>
        <v>BTC</v>
      </c>
      <c r="J26" t="str">
        <f t="shared" si="3"/>
        <v>EURBTC</v>
      </c>
      <c r="K26" t="str">
        <f t="shared" si="4"/>
        <v>BTCEUR</v>
      </c>
      <c r="L26">
        <f t="shared" si="5"/>
        <v>0</v>
      </c>
      <c r="M26">
        <f t="shared" si="6"/>
        <v>4</v>
      </c>
      <c r="N26" t="b">
        <f t="shared" si="7"/>
        <v>1</v>
      </c>
    </row>
    <row r="27" spans="1:14" x14ac:dyDescent="0.25">
      <c r="A27" s="4" t="s">
        <v>4</v>
      </c>
      <c r="B27" s="4" t="s">
        <v>306</v>
      </c>
      <c r="C27" s="3">
        <v>2.758E-3</v>
      </c>
      <c r="D27" s="3">
        <v>2.5969999999999999E-3</v>
      </c>
      <c r="E27" s="3">
        <v>2.7599999999999999E-3</v>
      </c>
      <c r="F27" s="3">
        <v>2.5969999999999999E-3</v>
      </c>
      <c r="G27">
        <f t="shared" si="0"/>
        <v>7</v>
      </c>
      <c r="H27" t="str">
        <f t="shared" si="1"/>
        <v>USD</v>
      </c>
      <c r="I27" t="str">
        <f>LEFT(B27,4)</f>
        <v>DOGE</v>
      </c>
      <c r="J27" t="str">
        <f t="shared" si="3"/>
        <v>USDDOGE</v>
      </c>
      <c r="K27" t="str">
        <f t="shared" si="4"/>
        <v>DOGEUSD</v>
      </c>
      <c r="L27">
        <f t="shared" si="5"/>
        <v>0</v>
      </c>
      <c r="M27">
        <f t="shared" si="6"/>
        <v>4</v>
      </c>
      <c r="N27" t="b">
        <f t="shared" si="7"/>
        <v>1</v>
      </c>
    </row>
    <row r="28" spans="1:14" x14ac:dyDescent="0.25">
      <c r="A28" s="4" t="s">
        <v>5</v>
      </c>
      <c r="B28" s="4" t="s">
        <v>306</v>
      </c>
      <c r="C28" s="3">
        <v>2.8998800000000001E-3</v>
      </c>
      <c r="D28" s="3">
        <v>2.7600099999999998E-3</v>
      </c>
      <c r="E28" s="3">
        <v>2.8998800000000001E-3</v>
      </c>
      <c r="F28" s="3">
        <v>2.7600099999999998E-3</v>
      </c>
      <c r="G28">
        <f t="shared" si="0"/>
        <v>7</v>
      </c>
      <c r="H28" t="str">
        <f t="shared" si="1"/>
        <v>USD</v>
      </c>
      <c r="I28" t="str">
        <f>LEFT(B28,4)</f>
        <v>DOGE</v>
      </c>
      <c r="J28" t="str">
        <f t="shared" si="3"/>
        <v>USDDOGE</v>
      </c>
      <c r="K28" t="str">
        <f t="shared" si="4"/>
        <v>DOGEUSD</v>
      </c>
      <c r="L28">
        <f t="shared" si="5"/>
        <v>0</v>
      </c>
      <c r="M28">
        <f t="shared" si="6"/>
        <v>4</v>
      </c>
      <c r="N28" t="b">
        <f t="shared" si="7"/>
        <v>1</v>
      </c>
    </row>
    <row r="29" spans="1:14" x14ac:dyDescent="0.25">
      <c r="A29" s="4" t="s">
        <v>1239</v>
      </c>
      <c r="B29" s="4" t="s">
        <v>306</v>
      </c>
      <c r="C29" s="3">
        <v>3.0000000000000001E-3</v>
      </c>
      <c r="D29" s="3">
        <v>2.7715800000000001E-3</v>
      </c>
      <c r="E29" s="3">
        <v>3.0000000000000001E-3</v>
      </c>
      <c r="F29" s="3">
        <v>2.7715800000000001E-3</v>
      </c>
      <c r="G29">
        <f t="shared" si="0"/>
        <v>7</v>
      </c>
      <c r="H29" t="str">
        <f t="shared" si="1"/>
        <v>USD</v>
      </c>
      <c r="I29" t="str">
        <f>LEFT(B29,4)</f>
        <v>DOGE</v>
      </c>
      <c r="J29" t="str">
        <f t="shared" si="3"/>
        <v>USDDOGE</v>
      </c>
      <c r="K29" t="str">
        <f t="shared" si="4"/>
        <v>DOGEUSD</v>
      </c>
      <c r="L29">
        <f t="shared" si="5"/>
        <v>0</v>
      </c>
      <c r="M29">
        <f t="shared" si="6"/>
        <v>4</v>
      </c>
      <c r="N29" t="b">
        <f t="shared" si="7"/>
        <v>1</v>
      </c>
    </row>
    <row r="30" spans="1:14" x14ac:dyDescent="0.25">
      <c r="A30" s="4" t="s">
        <v>1403</v>
      </c>
      <c r="B30" s="4" t="s">
        <v>306</v>
      </c>
      <c r="C30" s="3">
        <v>1.1902E-4</v>
      </c>
      <c r="D30" s="3">
        <v>3.0000000000000001E-3</v>
      </c>
      <c r="E30" s="3">
        <v>2.9998999999999998E-3</v>
      </c>
      <c r="F30" s="3">
        <v>2.8E-3</v>
      </c>
      <c r="G30">
        <f t="shared" si="0"/>
        <v>7</v>
      </c>
      <c r="H30" t="str">
        <f t="shared" si="1"/>
        <v>USD</v>
      </c>
      <c r="I30" t="str">
        <f>LEFT(B30,4)</f>
        <v>DOGE</v>
      </c>
      <c r="J30" t="str">
        <f t="shared" si="3"/>
        <v>USDDOGE</v>
      </c>
      <c r="K30" t="str">
        <f t="shared" si="4"/>
        <v>DOGEUSD</v>
      </c>
      <c r="L30">
        <f t="shared" si="5"/>
        <v>0</v>
      </c>
      <c r="M30">
        <f t="shared" si="6"/>
        <v>4</v>
      </c>
      <c r="N30" t="b">
        <f t="shared" si="7"/>
        <v>1</v>
      </c>
    </row>
    <row r="31" spans="1:14" x14ac:dyDescent="0.25">
      <c r="A31" s="4" t="s">
        <v>27</v>
      </c>
      <c r="B31" s="4" t="s">
        <v>29</v>
      </c>
      <c r="C31" s="3">
        <v>15.645</v>
      </c>
      <c r="D31" s="3">
        <v>15.615</v>
      </c>
      <c r="E31" s="3">
        <v>15.645</v>
      </c>
      <c r="F31" s="3">
        <v>15.61381044432</v>
      </c>
      <c r="G31">
        <f t="shared" si="0"/>
        <v>6</v>
      </c>
      <c r="H31" t="str">
        <f t="shared" si="1"/>
        <v>USD</v>
      </c>
      <c r="I31" t="str">
        <f t="shared" ref="I31:I51" si="9">LEFT(B31,3)</f>
        <v>ETC</v>
      </c>
      <c r="J31" t="str">
        <f t="shared" si="3"/>
        <v>USDETC</v>
      </c>
      <c r="K31" t="str">
        <f t="shared" si="4"/>
        <v>ETCUSD</v>
      </c>
      <c r="L31">
        <f t="shared" si="5"/>
        <v>0</v>
      </c>
      <c r="M31">
        <f t="shared" si="6"/>
        <v>4</v>
      </c>
      <c r="N31" t="b">
        <f t="shared" si="7"/>
        <v>1</v>
      </c>
    </row>
    <row r="32" spans="1:14" x14ac:dyDescent="0.25">
      <c r="A32" s="4" t="s">
        <v>3</v>
      </c>
      <c r="B32" s="4" t="s">
        <v>29</v>
      </c>
      <c r="C32" s="3">
        <v>16.002099999999999</v>
      </c>
      <c r="D32" s="3">
        <v>15.920019999999999</v>
      </c>
      <c r="E32" s="3">
        <v>16.001480000000001</v>
      </c>
      <c r="F32" s="3">
        <v>15.92004</v>
      </c>
      <c r="G32">
        <f t="shared" si="0"/>
        <v>6</v>
      </c>
      <c r="H32" t="str">
        <f t="shared" si="1"/>
        <v>USD</v>
      </c>
      <c r="I32" t="str">
        <f t="shared" si="9"/>
        <v>ETC</v>
      </c>
      <c r="J32" t="str">
        <f t="shared" si="3"/>
        <v>USDETC</v>
      </c>
      <c r="K32" t="str">
        <f t="shared" si="4"/>
        <v>ETCUSD</v>
      </c>
      <c r="L32">
        <f t="shared" si="5"/>
        <v>0</v>
      </c>
      <c r="M32">
        <f t="shared" si="6"/>
        <v>4</v>
      </c>
      <c r="N32" t="b">
        <f t="shared" si="7"/>
        <v>1</v>
      </c>
    </row>
    <row r="33" spans="1:14" x14ac:dyDescent="0.25">
      <c r="A33" s="4" t="s">
        <v>4</v>
      </c>
      <c r="B33" s="4" t="s">
        <v>29</v>
      </c>
      <c r="C33" s="3">
        <v>17.260000000000002</v>
      </c>
      <c r="D33" s="3">
        <v>13.09</v>
      </c>
      <c r="E33" s="3">
        <v>18.423559999999998</v>
      </c>
      <c r="F33" s="3">
        <v>13.08004</v>
      </c>
      <c r="G33">
        <f t="shared" si="0"/>
        <v>6</v>
      </c>
      <c r="H33" t="str">
        <f t="shared" si="1"/>
        <v>USD</v>
      </c>
      <c r="I33" t="str">
        <f t="shared" si="9"/>
        <v>ETC</v>
      </c>
      <c r="J33" t="str">
        <f t="shared" si="3"/>
        <v>USDETC</v>
      </c>
      <c r="K33" t="str">
        <f t="shared" si="4"/>
        <v>ETCUSD</v>
      </c>
      <c r="L33">
        <f t="shared" si="5"/>
        <v>0</v>
      </c>
      <c r="M33">
        <f t="shared" si="6"/>
        <v>4</v>
      </c>
      <c r="N33" t="b">
        <f t="shared" si="7"/>
        <v>1</v>
      </c>
    </row>
    <row r="34" spans="1:14" x14ac:dyDescent="0.25">
      <c r="A34" s="4" t="s">
        <v>1403</v>
      </c>
      <c r="B34" s="4" t="s">
        <v>29</v>
      </c>
      <c r="C34" s="3">
        <v>18</v>
      </c>
      <c r="D34" s="3">
        <v>18</v>
      </c>
      <c r="E34" s="3">
        <v>18</v>
      </c>
      <c r="F34" s="3">
        <v>17</v>
      </c>
      <c r="G34">
        <f t="shared" si="0"/>
        <v>6</v>
      </c>
      <c r="H34" t="str">
        <f t="shared" si="1"/>
        <v>USD</v>
      </c>
      <c r="I34" t="str">
        <f t="shared" si="9"/>
        <v>ETC</v>
      </c>
      <c r="J34" t="str">
        <f t="shared" si="3"/>
        <v>USDETC</v>
      </c>
      <c r="K34" t="str">
        <f t="shared" si="4"/>
        <v>ETCUSD</v>
      </c>
      <c r="L34">
        <f t="shared" si="5"/>
        <v>0</v>
      </c>
      <c r="M34">
        <f t="shared" si="6"/>
        <v>4</v>
      </c>
      <c r="N34" t="b">
        <f t="shared" si="7"/>
        <v>1</v>
      </c>
    </row>
    <row r="35" spans="1:14" x14ac:dyDescent="0.25">
      <c r="A35" s="4" t="s">
        <v>3</v>
      </c>
      <c r="B35" s="4" t="s">
        <v>285</v>
      </c>
      <c r="C35" s="3">
        <v>7.8799999999999996E-4</v>
      </c>
      <c r="D35" s="3">
        <v>7.8700000000000005E-4</v>
      </c>
      <c r="E35" s="3">
        <v>7.9000000000000001E-4</v>
      </c>
      <c r="F35" s="3">
        <v>7.8799999999999996E-4</v>
      </c>
      <c r="G35">
        <f t="shared" si="0"/>
        <v>6</v>
      </c>
      <c r="H35" t="str">
        <f t="shared" si="1"/>
        <v>BTC</v>
      </c>
      <c r="I35" t="str">
        <f t="shared" si="9"/>
        <v>ICN</v>
      </c>
      <c r="J35" t="str">
        <f t="shared" si="3"/>
        <v>BTCICN</v>
      </c>
      <c r="K35" t="str">
        <f t="shared" si="4"/>
        <v>ICNBTC</v>
      </c>
      <c r="L35">
        <f t="shared" si="5"/>
        <v>0</v>
      </c>
      <c r="M35">
        <f t="shared" si="6"/>
        <v>4</v>
      </c>
      <c r="N35" t="b">
        <f t="shared" si="7"/>
        <v>1</v>
      </c>
    </row>
    <row r="36" spans="1:14" x14ac:dyDescent="0.25">
      <c r="A36" s="4" t="s">
        <v>4</v>
      </c>
      <c r="B36" s="4" t="s">
        <v>285</v>
      </c>
      <c r="C36" s="3">
        <v>8.8800000000000001E-4</v>
      </c>
      <c r="D36" s="3">
        <v>7.2000000000000005E-4</v>
      </c>
      <c r="E36" s="3">
        <v>8.8800000000000001E-4</v>
      </c>
      <c r="F36" s="3">
        <v>7.2000000000000005E-4</v>
      </c>
      <c r="G36">
        <f t="shared" si="0"/>
        <v>6</v>
      </c>
      <c r="H36" t="str">
        <f t="shared" si="1"/>
        <v>BTC</v>
      </c>
      <c r="I36" t="str">
        <f t="shared" si="9"/>
        <v>ICN</v>
      </c>
      <c r="J36" t="str">
        <f t="shared" si="3"/>
        <v>BTCICN</v>
      </c>
      <c r="K36" t="str">
        <f t="shared" si="4"/>
        <v>ICNBTC</v>
      </c>
      <c r="L36">
        <f t="shared" si="5"/>
        <v>0</v>
      </c>
      <c r="M36">
        <f t="shared" si="6"/>
        <v>4</v>
      </c>
      <c r="N36" t="b">
        <f t="shared" si="7"/>
        <v>1</v>
      </c>
    </row>
    <row r="37" spans="1:14" x14ac:dyDescent="0.25">
      <c r="A37" s="4" t="s">
        <v>5</v>
      </c>
      <c r="B37" s="4" t="s">
        <v>285</v>
      </c>
      <c r="C37" s="3">
        <v>7.6000000000000003E-7</v>
      </c>
      <c r="D37" s="3">
        <v>5.6000000000000004E-7</v>
      </c>
      <c r="E37" s="3">
        <v>7.6000000000000003E-7</v>
      </c>
      <c r="F37" s="3">
        <v>5.6000000000000004E-7</v>
      </c>
      <c r="G37">
        <f t="shared" si="0"/>
        <v>6</v>
      </c>
      <c r="H37" t="str">
        <f t="shared" si="1"/>
        <v>BTC</v>
      </c>
      <c r="I37" t="str">
        <f t="shared" si="9"/>
        <v>ICN</v>
      </c>
      <c r="J37" t="str">
        <f t="shared" si="3"/>
        <v>BTCICN</v>
      </c>
      <c r="K37" t="str">
        <f t="shared" si="4"/>
        <v>ICNBTC</v>
      </c>
      <c r="L37">
        <f t="shared" si="5"/>
        <v>0</v>
      </c>
      <c r="M37">
        <f t="shared" si="6"/>
        <v>4</v>
      </c>
      <c r="N37" t="b">
        <f t="shared" si="7"/>
        <v>1</v>
      </c>
    </row>
    <row r="38" spans="1:14" x14ac:dyDescent="0.25">
      <c r="A38" s="4" t="s">
        <v>1239</v>
      </c>
      <c r="B38" s="4" t="s">
        <v>285</v>
      </c>
      <c r="C38" s="3">
        <v>7.9000000000000001E-4</v>
      </c>
      <c r="D38" s="3">
        <v>7.4001000000000004E-4</v>
      </c>
      <c r="E38" s="3">
        <v>7.9000000000000001E-4</v>
      </c>
      <c r="F38" s="3">
        <v>7.4001000000000004E-4</v>
      </c>
      <c r="G38">
        <f t="shared" si="0"/>
        <v>6</v>
      </c>
      <c r="H38" t="str">
        <f t="shared" si="1"/>
        <v>BTC</v>
      </c>
      <c r="I38" t="str">
        <f t="shared" si="9"/>
        <v>ICN</v>
      </c>
      <c r="J38" t="str">
        <f t="shared" si="3"/>
        <v>BTCICN</v>
      </c>
      <c r="K38" t="str">
        <f t="shared" si="4"/>
        <v>ICNBTC</v>
      </c>
      <c r="L38">
        <f t="shared" si="5"/>
        <v>0</v>
      </c>
      <c r="M38">
        <f t="shared" si="6"/>
        <v>4</v>
      </c>
      <c r="N38" t="b">
        <f t="shared" si="7"/>
        <v>1</v>
      </c>
    </row>
    <row r="39" spans="1:14" x14ac:dyDescent="0.25">
      <c r="A39" s="4" t="s">
        <v>0</v>
      </c>
      <c r="B39" s="4" t="s">
        <v>9</v>
      </c>
      <c r="C39" s="3">
        <v>1.5499999999999999E-3</v>
      </c>
      <c r="D39" s="3">
        <v>1.5200000000000001E-3</v>
      </c>
      <c r="E39" s="3">
        <v>1.5499999999999999E-3</v>
      </c>
      <c r="F39" s="3">
        <v>1.5200000000000001E-3</v>
      </c>
      <c r="G39">
        <f t="shared" si="0"/>
        <v>6</v>
      </c>
      <c r="H39" t="str">
        <f t="shared" si="1"/>
        <v>BTC</v>
      </c>
      <c r="I39" t="str">
        <f t="shared" si="9"/>
        <v>NVC</v>
      </c>
      <c r="J39" t="str">
        <f t="shared" si="3"/>
        <v>BTCNVC</v>
      </c>
      <c r="K39" t="str">
        <f t="shared" si="4"/>
        <v>NVCBTC</v>
      </c>
      <c r="L39">
        <f t="shared" si="5"/>
        <v>0</v>
      </c>
      <c r="M39">
        <f t="shared" si="6"/>
        <v>4</v>
      </c>
      <c r="N39" t="b">
        <f t="shared" si="7"/>
        <v>1</v>
      </c>
    </row>
    <row r="40" spans="1:14" x14ac:dyDescent="0.25">
      <c r="A40" s="4" t="s">
        <v>5</v>
      </c>
      <c r="B40" s="4" t="s">
        <v>9</v>
      </c>
      <c r="C40" s="3">
        <v>1.5950000000000001E-3</v>
      </c>
      <c r="D40" s="3">
        <v>1.4101000000000001E-3</v>
      </c>
      <c r="E40" s="3">
        <v>1.5950000000000001E-3</v>
      </c>
      <c r="F40" s="3">
        <v>1.4101000000000001E-3</v>
      </c>
      <c r="G40">
        <f t="shared" si="0"/>
        <v>6</v>
      </c>
      <c r="H40" t="str">
        <f t="shared" si="1"/>
        <v>BTC</v>
      </c>
      <c r="I40" t="str">
        <f t="shared" si="9"/>
        <v>NVC</v>
      </c>
      <c r="J40" t="str">
        <f t="shared" si="3"/>
        <v>BTCNVC</v>
      </c>
      <c r="K40" t="str">
        <f t="shared" si="4"/>
        <v>NVCBTC</v>
      </c>
      <c r="L40">
        <f t="shared" si="5"/>
        <v>0</v>
      </c>
      <c r="M40">
        <f t="shared" si="6"/>
        <v>4</v>
      </c>
      <c r="N40" t="b">
        <f t="shared" si="7"/>
        <v>1</v>
      </c>
    </row>
    <row r="41" spans="1:14" x14ac:dyDescent="0.25">
      <c r="A41" s="4" t="s">
        <v>1239</v>
      </c>
      <c r="B41" s="4" t="s">
        <v>9</v>
      </c>
      <c r="C41" s="3">
        <v>1.5499999999999999E-3</v>
      </c>
      <c r="D41" s="3">
        <v>1.5479999999999999E-3</v>
      </c>
      <c r="E41" s="3">
        <v>1.5499999999999999E-3</v>
      </c>
      <c r="F41" s="3">
        <v>1.5479999999999999E-3</v>
      </c>
      <c r="G41">
        <f t="shared" si="0"/>
        <v>6</v>
      </c>
      <c r="H41" t="str">
        <f t="shared" si="1"/>
        <v>BTC</v>
      </c>
      <c r="I41" t="str">
        <f t="shared" si="9"/>
        <v>NVC</v>
      </c>
      <c r="J41" t="str">
        <f t="shared" si="3"/>
        <v>BTCNVC</v>
      </c>
      <c r="K41" t="str">
        <f t="shared" si="4"/>
        <v>NVCBTC</v>
      </c>
      <c r="L41">
        <f t="shared" si="5"/>
        <v>0</v>
      </c>
      <c r="M41">
        <f t="shared" si="6"/>
        <v>4</v>
      </c>
      <c r="N41" t="b">
        <f t="shared" si="7"/>
        <v>1</v>
      </c>
    </row>
    <row r="42" spans="1:14" x14ac:dyDescent="0.25">
      <c r="A42" s="4" t="s">
        <v>1403</v>
      </c>
      <c r="B42" s="4" t="s">
        <v>9</v>
      </c>
      <c r="C42" s="3">
        <v>1.4518199999999999E-3</v>
      </c>
      <c r="D42" s="3">
        <v>1.4845500000000001E-3</v>
      </c>
      <c r="E42" s="3">
        <v>1.5376299999999999E-3</v>
      </c>
      <c r="F42" s="3">
        <v>1.41019E-3</v>
      </c>
      <c r="G42">
        <f t="shared" si="0"/>
        <v>6</v>
      </c>
      <c r="H42" t="str">
        <f t="shared" si="1"/>
        <v>BTC</v>
      </c>
      <c r="I42" t="str">
        <f t="shared" si="9"/>
        <v>NVC</v>
      </c>
      <c r="J42" t="str">
        <f t="shared" si="3"/>
        <v>BTCNVC</v>
      </c>
      <c r="K42" t="str">
        <f t="shared" si="4"/>
        <v>NVCBTC</v>
      </c>
      <c r="L42">
        <f t="shared" si="5"/>
        <v>0</v>
      </c>
      <c r="M42">
        <f t="shared" si="6"/>
        <v>4</v>
      </c>
      <c r="N42" t="b">
        <f t="shared" si="7"/>
        <v>1</v>
      </c>
    </row>
    <row r="43" spans="1:14" x14ac:dyDescent="0.25">
      <c r="A43" s="4" t="s">
        <v>27</v>
      </c>
      <c r="B43" s="4" t="s">
        <v>34</v>
      </c>
      <c r="C43" s="3">
        <v>42.1</v>
      </c>
      <c r="D43" s="3">
        <v>41.774000000000001</v>
      </c>
      <c r="E43" s="3">
        <v>42.1</v>
      </c>
      <c r="F43" s="3">
        <v>41.773000000000003</v>
      </c>
      <c r="G43">
        <f t="shared" si="0"/>
        <v>6</v>
      </c>
      <c r="H43" t="str">
        <f t="shared" si="1"/>
        <v>USD</v>
      </c>
      <c r="I43" t="str">
        <f t="shared" si="9"/>
        <v>XMR</v>
      </c>
      <c r="J43" t="str">
        <f t="shared" si="3"/>
        <v>USDXMR</v>
      </c>
      <c r="K43" t="str">
        <f t="shared" si="4"/>
        <v>XMRUSD</v>
      </c>
      <c r="L43">
        <f t="shared" si="5"/>
        <v>0</v>
      </c>
      <c r="M43">
        <f t="shared" si="6"/>
        <v>4</v>
      </c>
      <c r="N43" t="b">
        <f t="shared" si="7"/>
        <v>1</v>
      </c>
    </row>
    <row r="44" spans="1:14" x14ac:dyDescent="0.25">
      <c r="A44" s="4" t="s">
        <v>3</v>
      </c>
      <c r="B44" s="4" t="s">
        <v>34</v>
      </c>
      <c r="C44" s="3">
        <v>42.981389999999998</v>
      </c>
      <c r="D44" s="3">
        <v>42.27272</v>
      </c>
      <c r="E44" s="3">
        <v>42.981380000000001</v>
      </c>
      <c r="F44" s="3">
        <v>42.272919999999999</v>
      </c>
      <c r="G44">
        <f t="shared" si="0"/>
        <v>6</v>
      </c>
      <c r="H44" t="str">
        <f t="shared" si="1"/>
        <v>USD</v>
      </c>
      <c r="I44" t="str">
        <f t="shared" si="9"/>
        <v>XMR</v>
      </c>
      <c r="J44" t="str">
        <f t="shared" si="3"/>
        <v>USDXMR</v>
      </c>
      <c r="K44" t="str">
        <f t="shared" si="4"/>
        <v>XMRUSD</v>
      </c>
      <c r="L44">
        <f t="shared" si="5"/>
        <v>0</v>
      </c>
      <c r="M44">
        <f t="shared" si="6"/>
        <v>4</v>
      </c>
      <c r="N44" t="b">
        <f t="shared" si="7"/>
        <v>1</v>
      </c>
    </row>
    <row r="45" spans="1:14" x14ac:dyDescent="0.25">
      <c r="A45" s="4" t="s">
        <v>4</v>
      </c>
      <c r="B45" s="4" t="s">
        <v>34</v>
      </c>
      <c r="C45" s="3">
        <v>42.76</v>
      </c>
      <c r="D45" s="3">
        <v>42.12</v>
      </c>
      <c r="E45" s="3">
        <v>42.8</v>
      </c>
      <c r="F45" s="3">
        <v>42.16</v>
      </c>
      <c r="G45">
        <f t="shared" si="0"/>
        <v>6</v>
      </c>
      <c r="H45" t="str">
        <f t="shared" si="1"/>
        <v>USD</v>
      </c>
      <c r="I45" t="str">
        <f t="shared" si="9"/>
        <v>XMR</v>
      </c>
      <c r="J45" t="str">
        <f t="shared" si="3"/>
        <v>USDXMR</v>
      </c>
      <c r="K45" t="str">
        <f t="shared" si="4"/>
        <v>XMRUSD</v>
      </c>
      <c r="L45">
        <f t="shared" si="5"/>
        <v>0</v>
      </c>
      <c r="M45">
        <f t="shared" si="6"/>
        <v>4</v>
      </c>
      <c r="N45" t="b">
        <f t="shared" si="7"/>
        <v>1</v>
      </c>
    </row>
    <row r="46" spans="1:14" x14ac:dyDescent="0.25">
      <c r="A46" s="4" t="s">
        <v>1239</v>
      </c>
      <c r="B46" s="4" t="s">
        <v>34</v>
      </c>
      <c r="C46" s="3">
        <v>50.979909999999997</v>
      </c>
      <c r="D46" s="3">
        <v>42.75</v>
      </c>
      <c r="E46" s="3">
        <v>50.979909999999997</v>
      </c>
      <c r="F46" s="3">
        <v>42.365924</v>
      </c>
      <c r="G46">
        <f t="shared" si="0"/>
        <v>6</v>
      </c>
      <c r="H46" t="str">
        <f t="shared" si="1"/>
        <v>USD</v>
      </c>
      <c r="I46" t="str">
        <f t="shared" si="9"/>
        <v>XMR</v>
      </c>
      <c r="J46" t="str">
        <f t="shared" si="3"/>
        <v>USDXMR</v>
      </c>
      <c r="K46" t="str">
        <f t="shared" si="4"/>
        <v>XMRUSD</v>
      </c>
      <c r="L46">
        <f t="shared" si="5"/>
        <v>0</v>
      </c>
      <c r="M46">
        <f t="shared" si="6"/>
        <v>4</v>
      </c>
      <c r="N46" t="b">
        <f t="shared" si="7"/>
        <v>1</v>
      </c>
    </row>
    <row r="47" spans="1:14" x14ac:dyDescent="0.25">
      <c r="A47" s="4" t="s">
        <v>1</v>
      </c>
      <c r="B47" s="4" t="s">
        <v>75</v>
      </c>
      <c r="C47" s="3">
        <v>2.5999999999999999E-2</v>
      </c>
      <c r="D47" s="3">
        <v>2.5999990000000001E-2</v>
      </c>
      <c r="E47" s="3">
        <v>2.5999999999999999E-2</v>
      </c>
      <c r="F47" s="3">
        <v>2.5999970319289599E-2</v>
      </c>
      <c r="G47">
        <f t="shared" si="0"/>
        <v>7</v>
      </c>
      <c r="H47" t="str">
        <f>RIGHT(B47,4)</f>
        <v>BTCD</v>
      </c>
      <c r="I47" t="str">
        <f t="shared" si="9"/>
        <v>BTC</v>
      </c>
      <c r="J47" t="str">
        <f t="shared" si="3"/>
        <v>BTCDBTC</v>
      </c>
      <c r="K47" t="str">
        <f t="shared" si="4"/>
        <v>BTCBTCD</v>
      </c>
      <c r="L47">
        <f t="shared" si="5"/>
        <v>0</v>
      </c>
      <c r="M47">
        <f t="shared" si="6"/>
        <v>2</v>
      </c>
      <c r="N47" t="b">
        <f t="shared" si="7"/>
        <v>1</v>
      </c>
    </row>
    <row r="48" spans="1:14" x14ac:dyDescent="0.25">
      <c r="A48" s="4" t="s">
        <v>2</v>
      </c>
      <c r="B48" s="4" t="s">
        <v>75</v>
      </c>
      <c r="C48" s="3">
        <v>2.7990620000000001E-2</v>
      </c>
      <c r="D48" s="3">
        <v>2.607611E-2</v>
      </c>
      <c r="E48" s="3">
        <v>2.7990620000000001E-2</v>
      </c>
      <c r="F48" s="3">
        <v>2.607611E-2</v>
      </c>
      <c r="G48">
        <f t="shared" si="0"/>
        <v>7</v>
      </c>
      <c r="H48" t="str">
        <f>RIGHT(B48,4)</f>
        <v>BTCD</v>
      </c>
      <c r="I48" t="str">
        <f t="shared" si="9"/>
        <v>BTC</v>
      </c>
      <c r="J48" t="str">
        <f t="shared" si="3"/>
        <v>BTCDBTC</v>
      </c>
      <c r="K48" t="str">
        <f t="shared" si="4"/>
        <v>BTCBTCD</v>
      </c>
      <c r="L48">
        <f t="shared" si="5"/>
        <v>0</v>
      </c>
      <c r="M48">
        <f t="shared" si="6"/>
        <v>2</v>
      </c>
      <c r="N48" t="b">
        <f t="shared" si="7"/>
        <v>1</v>
      </c>
    </row>
    <row r="49" spans="1:14" x14ac:dyDescent="0.25">
      <c r="A49" s="4" t="s">
        <v>0</v>
      </c>
      <c r="B49" s="4" t="s">
        <v>23</v>
      </c>
      <c r="C49" s="3">
        <v>142000</v>
      </c>
      <c r="D49" s="3" t="s">
        <v>24</v>
      </c>
      <c r="E49" s="3">
        <v>142000</v>
      </c>
      <c r="F49" s="3">
        <v>141185.023486533</v>
      </c>
      <c r="G49">
        <f t="shared" si="0"/>
        <v>6</v>
      </c>
      <c r="H49" t="str">
        <f t="shared" ref="H49:H80" si="10">RIGHT(B49,3)</f>
        <v>RUR</v>
      </c>
      <c r="I49" t="str">
        <f t="shared" si="9"/>
        <v>BTC</v>
      </c>
      <c r="J49" t="str">
        <f t="shared" si="3"/>
        <v>RURBTC</v>
      </c>
      <c r="K49" t="str">
        <f t="shared" si="4"/>
        <v>BTCRUR</v>
      </c>
      <c r="L49">
        <f t="shared" si="5"/>
        <v>0</v>
      </c>
      <c r="M49">
        <f t="shared" si="6"/>
        <v>3</v>
      </c>
      <c r="N49" t="b">
        <f t="shared" si="7"/>
        <v>1</v>
      </c>
    </row>
    <row r="50" spans="1:14" x14ac:dyDescent="0.25">
      <c r="A50" s="4" t="s">
        <v>5</v>
      </c>
      <c r="B50" s="4" t="s">
        <v>23</v>
      </c>
      <c r="C50" s="3">
        <v>150491.97999999</v>
      </c>
      <c r="D50" s="3">
        <v>149000.21</v>
      </c>
      <c r="E50" s="3">
        <v>150492.716620594</v>
      </c>
      <c r="F50" s="3">
        <v>148557.513530531</v>
      </c>
      <c r="G50">
        <f t="shared" si="0"/>
        <v>6</v>
      </c>
      <c r="H50" t="str">
        <f t="shared" si="10"/>
        <v>RUR</v>
      </c>
      <c r="I50" t="str">
        <f t="shared" si="9"/>
        <v>BTC</v>
      </c>
      <c r="J50" t="str">
        <f t="shared" si="3"/>
        <v>RURBTC</v>
      </c>
      <c r="K50" t="str">
        <f t="shared" si="4"/>
        <v>BTCRUR</v>
      </c>
      <c r="L50">
        <f t="shared" si="5"/>
        <v>0</v>
      </c>
      <c r="M50">
        <f t="shared" si="6"/>
        <v>3</v>
      </c>
      <c r="N50" t="b">
        <f t="shared" si="7"/>
        <v>1</v>
      </c>
    </row>
    <row r="51" spans="1:14" x14ac:dyDescent="0.25">
      <c r="A51" s="4" t="s">
        <v>1239</v>
      </c>
      <c r="B51" s="4" t="s">
        <v>23</v>
      </c>
      <c r="C51" s="3">
        <v>147123.66</v>
      </c>
      <c r="D51" s="3">
        <v>142000.46001000001</v>
      </c>
      <c r="E51" s="3">
        <v>147898.916784959</v>
      </c>
      <c r="F51" s="3">
        <v>142000.46001000001</v>
      </c>
      <c r="G51">
        <f t="shared" si="0"/>
        <v>6</v>
      </c>
      <c r="H51" t="str">
        <f t="shared" si="10"/>
        <v>RUR</v>
      </c>
      <c r="I51" t="str">
        <f t="shared" si="9"/>
        <v>BTC</v>
      </c>
      <c r="J51" t="str">
        <f t="shared" si="3"/>
        <v>RURBTC</v>
      </c>
      <c r="K51" t="str">
        <f t="shared" si="4"/>
        <v>BTCRUR</v>
      </c>
      <c r="L51">
        <f t="shared" si="5"/>
        <v>0</v>
      </c>
      <c r="M51">
        <f t="shared" si="6"/>
        <v>3</v>
      </c>
      <c r="N51" t="b">
        <f t="shared" si="7"/>
        <v>1</v>
      </c>
    </row>
    <row r="52" spans="1:14" hidden="1" x14ac:dyDescent="0.25">
      <c r="A52" t="s">
        <v>5</v>
      </c>
      <c r="B52" t="s">
        <v>755</v>
      </c>
      <c r="C52" s="1">
        <v>7.8999999999999995E-7</v>
      </c>
      <c r="D52" s="1">
        <v>6.4000000000000001E-7</v>
      </c>
      <c r="E52" s="1">
        <v>7.8999999999999995E-7</v>
      </c>
      <c r="F52" s="1">
        <v>6.4000000000000001E-7</v>
      </c>
      <c r="G52">
        <f t="shared" si="0"/>
        <v>7</v>
      </c>
      <c r="H52" t="str">
        <f t="shared" si="10"/>
        <v>BTC</v>
      </c>
      <c r="I52" t="str">
        <f>LEFT(B52,4)</f>
        <v>DBTC</v>
      </c>
      <c r="J52" t="str">
        <f t="shared" si="3"/>
        <v>BTCDBTC</v>
      </c>
      <c r="K52" t="str">
        <f t="shared" si="4"/>
        <v>DBTCBTC</v>
      </c>
      <c r="L52">
        <f t="shared" si="5"/>
        <v>0</v>
      </c>
      <c r="M52">
        <f t="shared" si="6"/>
        <v>1</v>
      </c>
      <c r="N52" t="b">
        <f t="shared" si="7"/>
        <v>1</v>
      </c>
    </row>
    <row r="53" spans="1:14" x14ac:dyDescent="0.25">
      <c r="A53" s="4" t="s">
        <v>0</v>
      </c>
      <c r="B53" s="4" t="s">
        <v>18</v>
      </c>
      <c r="C53" s="3">
        <v>6.5189999999999998E-2</v>
      </c>
      <c r="D53" s="3">
        <v>6.4939999999999998E-2</v>
      </c>
      <c r="E53" s="3">
        <v>6.5246795078400005E-2</v>
      </c>
      <c r="F53" s="3">
        <v>6.4939999999999998E-2</v>
      </c>
      <c r="G53">
        <f t="shared" si="0"/>
        <v>6</v>
      </c>
      <c r="H53" t="str">
        <f t="shared" si="10"/>
        <v>BTC</v>
      </c>
      <c r="I53" t="str">
        <f t="shared" ref="I53:I61" si="11">LEFT(B53,3)</f>
        <v>DSH</v>
      </c>
      <c r="J53" t="str">
        <f t="shared" si="3"/>
        <v>BTCDSH</v>
      </c>
      <c r="K53" t="str">
        <f t="shared" si="4"/>
        <v>DSHBTC</v>
      </c>
      <c r="L53">
        <f t="shared" si="5"/>
        <v>0</v>
      </c>
      <c r="M53">
        <f t="shared" si="6"/>
        <v>3</v>
      </c>
      <c r="N53" t="b">
        <f t="shared" si="7"/>
        <v>1</v>
      </c>
    </row>
    <row r="54" spans="1:14" x14ac:dyDescent="0.25">
      <c r="A54" s="4" t="s">
        <v>27</v>
      </c>
      <c r="B54" s="4" t="s">
        <v>18</v>
      </c>
      <c r="C54" s="3">
        <v>6.5326999999999996E-2</v>
      </c>
      <c r="D54" s="3">
        <v>6.4865000000000006E-2</v>
      </c>
      <c r="E54" s="3">
        <v>6.5322000000000005E-2</v>
      </c>
      <c r="F54" s="3">
        <v>6.4869840972160003E-2</v>
      </c>
      <c r="G54">
        <f t="shared" si="0"/>
        <v>6</v>
      </c>
      <c r="H54" t="str">
        <f t="shared" si="10"/>
        <v>BTC</v>
      </c>
      <c r="I54" t="str">
        <f t="shared" si="11"/>
        <v>DSH</v>
      </c>
      <c r="J54" t="str">
        <f t="shared" si="3"/>
        <v>BTCDSH</v>
      </c>
      <c r="K54" t="str">
        <f t="shared" si="4"/>
        <v>DSHBTC</v>
      </c>
      <c r="L54">
        <f t="shared" si="5"/>
        <v>0</v>
      </c>
      <c r="M54">
        <f t="shared" si="6"/>
        <v>3</v>
      </c>
      <c r="N54" t="b">
        <f t="shared" si="7"/>
        <v>1</v>
      </c>
    </row>
    <row r="55" spans="1:14" x14ac:dyDescent="0.25">
      <c r="A55" s="4" t="s">
        <v>4</v>
      </c>
      <c r="B55" s="4" t="s">
        <v>18</v>
      </c>
      <c r="C55" s="3">
        <v>1.4E-5</v>
      </c>
      <c r="D55" s="3">
        <v>1.2655E-5</v>
      </c>
      <c r="E55" s="3">
        <v>1.4E-5</v>
      </c>
      <c r="F55" s="3">
        <v>1.2655E-5</v>
      </c>
      <c r="G55">
        <f t="shared" si="0"/>
        <v>6</v>
      </c>
      <c r="H55" t="str">
        <f t="shared" si="10"/>
        <v>BTC</v>
      </c>
      <c r="I55" t="str">
        <f t="shared" si="11"/>
        <v>DSH</v>
      </c>
      <c r="J55" t="str">
        <f t="shared" si="3"/>
        <v>BTCDSH</v>
      </c>
      <c r="K55" t="str">
        <f t="shared" si="4"/>
        <v>DSHBTC</v>
      </c>
      <c r="L55">
        <f t="shared" si="5"/>
        <v>0</v>
      </c>
      <c r="M55">
        <f t="shared" si="6"/>
        <v>3</v>
      </c>
      <c r="N55" t="b">
        <f t="shared" si="7"/>
        <v>1</v>
      </c>
    </row>
    <row r="56" spans="1:14" x14ac:dyDescent="0.25">
      <c r="A56" s="4" t="s">
        <v>3</v>
      </c>
      <c r="B56" s="4" t="s">
        <v>284</v>
      </c>
      <c r="C56" s="3">
        <v>276.54998000000001</v>
      </c>
      <c r="D56" s="3">
        <v>276.39999999999998</v>
      </c>
      <c r="E56" s="3">
        <v>276.55</v>
      </c>
      <c r="F56" s="3">
        <v>276.39999999999998</v>
      </c>
      <c r="G56">
        <f t="shared" si="0"/>
        <v>6</v>
      </c>
      <c r="H56" t="str">
        <f t="shared" si="10"/>
        <v>EUR</v>
      </c>
      <c r="I56" t="str">
        <f t="shared" si="11"/>
        <v>ETH</v>
      </c>
      <c r="J56" t="str">
        <f t="shared" si="3"/>
        <v>EURETH</v>
      </c>
      <c r="K56" t="str">
        <f t="shared" si="4"/>
        <v>ETHEUR</v>
      </c>
      <c r="L56">
        <f t="shared" si="5"/>
        <v>0</v>
      </c>
      <c r="M56">
        <f t="shared" si="6"/>
        <v>3</v>
      </c>
      <c r="N56" t="b">
        <f t="shared" si="7"/>
        <v>1</v>
      </c>
    </row>
    <row r="57" spans="1:14" x14ac:dyDescent="0.25">
      <c r="A57" s="4" t="s">
        <v>4</v>
      </c>
      <c r="B57" s="4" t="s">
        <v>284</v>
      </c>
      <c r="C57" s="3">
        <v>303.07319999999999</v>
      </c>
      <c r="D57" s="3">
        <v>155.0001</v>
      </c>
      <c r="E57" s="3">
        <v>324.39534279999998</v>
      </c>
      <c r="F57" s="3">
        <v>155.0000148</v>
      </c>
      <c r="G57">
        <f t="shared" si="0"/>
        <v>6</v>
      </c>
      <c r="H57" t="str">
        <f t="shared" si="10"/>
        <v>EUR</v>
      </c>
      <c r="I57" t="str">
        <f t="shared" si="11"/>
        <v>ETH</v>
      </c>
      <c r="J57" t="str">
        <f t="shared" si="3"/>
        <v>EURETH</v>
      </c>
      <c r="K57" t="str">
        <f t="shared" si="4"/>
        <v>ETHEUR</v>
      </c>
      <c r="L57">
        <f t="shared" si="5"/>
        <v>0</v>
      </c>
      <c r="M57">
        <f t="shared" si="6"/>
        <v>3</v>
      </c>
      <c r="N57" t="b">
        <f t="shared" si="7"/>
        <v>1</v>
      </c>
    </row>
    <row r="58" spans="1:14" x14ac:dyDescent="0.25">
      <c r="A58" s="4" t="s">
        <v>7</v>
      </c>
      <c r="B58" s="4" t="s">
        <v>284</v>
      </c>
      <c r="C58" s="3">
        <v>296.94580001000003</v>
      </c>
      <c r="D58" s="3">
        <v>298.96473405</v>
      </c>
      <c r="E58" s="3">
        <v>294.78455819454899</v>
      </c>
      <c r="F58" s="3">
        <v>300.36616144942002</v>
      </c>
      <c r="G58">
        <f t="shared" si="0"/>
        <v>6</v>
      </c>
      <c r="H58" t="str">
        <f t="shared" si="10"/>
        <v>EUR</v>
      </c>
      <c r="I58" t="str">
        <f t="shared" si="11"/>
        <v>ETH</v>
      </c>
      <c r="J58" t="str">
        <f t="shared" si="3"/>
        <v>EURETH</v>
      </c>
      <c r="K58" t="str">
        <f t="shared" si="4"/>
        <v>ETHEUR</v>
      </c>
      <c r="L58">
        <f t="shared" si="5"/>
        <v>0</v>
      </c>
      <c r="M58">
        <f t="shared" si="6"/>
        <v>3</v>
      </c>
      <c r="N58" t="b">
        <f t="shared" si="7"/>
        <v>1</v>
      </c>
    </row>
    <row r="59" spans="1:14" x14ac:dyDescent="0.25">
      <c r="A59" s="4" t="s">
        <v>0</v>
      </c>
      <c r="B59" s="4" t="s">
        <v>13</v>
      </c>
      <c r="C59" s="3">
        <v>11.07335</v>
      </c>
      <c r="D59" s="3">
        <v>10.994059999999999</v>
      </c>
      <c r="E59" s="3">
        <v>11.074928950559899</v>
      </c>
      <c r="F59" s="3">
        <v>10.982375609017099</v>
      </c>
      <c r="G59">
        <f t="shared" si="0"/>
        <v>6</v>
      </c>
      <c r="H59" t="str">
        <f t="shared" si="10"/>
        <v>LTC</v>
      </c>
      <c r="I59" t="str">
        <f t="shared" si="11"/>
        <v>ETH</v>
      </c>
      <c r="J59" t="str">
        <f t="shared" si="3"/>
        <v>LTCETH</v>
      </c>
      <c r="K59" t="str">
        <f t="shared" si="4"/>
        <v>ETHLTC</v>
      </c>
      <c r="L59">
        <f t="shared" si="5"/>
        <v>0</v>
      </c>
      <c r="M59">
        <f t="shared" si="6"/>
        <v>3</v>
      </c>
      <c r="N59" t="b">
        <f t="shared" si="7"/>
        <v>1</v>
      </c>
    </row>
    <row r="60" spans="1:14" x14ac:dyDescent="0.25">
      <c r="A60" s="4" t="s">
        <v>7</v>
      </c>
      <c r="B60" s="4" t="s">
        <v>13</v>
      </c>
      <c r="C60" s="3">
        <v>11.000305900000001</v>
      </c>
      <c r="D60" s="3">
        <v>11.06889211</v>
      </c>
      <c r="E60" s="3">
        <v>11.000305900000001</v>
      </c>
      <c r="F60" s="3">
        <v>11.06889211</v>
      </c>
      <c r="G60">
        <f t="shared" si="0"/>
        <v>6</v>
      </c>
      <c r="H60" t="str">
        <f t="shared" si="10"/>
        <v>LTC</v>
      </c>
      <c r="I60" t="str">
        <f t="shared" si="11"/>
        <v>ETH</v>
      </c>
      <c r="J60" t="str">
        <f t="shared" si="3"/>
        <v>LTCETH</v>
      </c>
      <c r="K60" t="str">
        <f t="shared" si="4"/>
        <v>ETHLTC</v>
      </c>
      <c r="L60">
        <f t="shared" si="5"/>
        <v>0</v>
      </c>
      <c r="M60">
        <f t="shared" si="6"/>
        <v>3</v>
      </c>
      <c r="N60" t="b">
        <f t="shared" si="7"/>
        <v>1</v>
      </c>
    </row>
    <row r="61" spans="1:14" x14ac:dyDescent="0.25">
      <c r="A61" s="4" t="s">
        <v>1403</v>
      </c>
      <c r="B61" s="4" t="s">
        <v>13</v>
      </c>
      <c r="C61" s="3">
        <v>9.1100000100000003</v>
      </c>
      <c r="D61" s="3">
        <v>9.1100000100000003</v>
      </c>
      <c r="E61" s="3">
        <v>442.87499754786802</v>
      </c>
      <c r="F61" s="3">
        <v>4.3147732291739702</v>
      </c>
      <c r="G61">
        <f t="shared" si="0"/>
        <v>6</v>
      </c>
      <c r="H61" t="str">
        <f t="shared" si="10"/>
        <v>LTC</v>
      </c>
      <c r="I61" t="str">
        <f t="shared" si="11"/>
        <v>ETH</v>
      </c>
      <c r="J61" t="str">
        <f t="shared" si="3"/>
        <v>LTCETH</v>
      </c>
      <c r="K61" t="str">
        <f t="shared" si="4"/>
        <v>ETHLTC</v>
      </c>
      <c r="L61">
        <f t="shared" si="5"/>
        <v>0</v>
      </c>
      <c r="M61">
        <f t="shared" si="6"/>
        <v>3</v>
      </c>
      <c r="N61" t="b">
        <f t="shared" si="7"/>
        <v>1</v>
      </c>
    </row>
    <row r="62" spans="1:14" x14ac:dyDescent="0.25">
      <c r="A62" s="4" t="s">
        <v>5</v>
      </c>
      <c r="B62" s="4" t="s">
        <v>837</v>
      </c>
      <c r="C62" s="6">
        <v>5.4500000000000003E-6</v>
      </c>
      <c r="D62" s="6">
        <v>5.3900000000000001E-6</v>
      </c>
      <c r="E62" s="6">
        <v>5.4500000000000003E-6</v>
      </c>
      <c r="F62" s="6">
        <v>4.9459999999999997E-6</v>
      </c>
      <c r="G62">
        <f t="shared" si="0"/>
        <v>5</v>
      </c>
      <c r="H62" t="str">
        <f t="shared" si="10"/>
        <v>BTC</v>
      </c>
      <c r="I62" t="str">
        <f>LEFT(B62,2)</f>
        <v>GB</v>
      </c>
      <c r="J62" t="str">
        <f t="shared" si="3"/>
        <v>BTCGB</v>
      </c>
      <c r="K62" t="str">
        <f t="shared" si="4"/>
        <v>GBBTC</v>
      </c>
      <c r="L62">
        <f t="shared" si="5"/>
        <v>0</v>
      </c>
      <c r="M62">
        <f t="shared" si="6"/>
        <v>3</v>
      </c>
      <c r="N62" t="b">
        <f t="shared" si="7"/>
        <v>1</v>
      </c>
    </row>
    <row r="63" spans="1:14" x14ac:dyDescent="0.25">
      <c r="A63" s="4" t="s">
        <v>1239</v>
      </c>
      <c r="B63" s="4" t="s">
        <v>837</v>
      </c>
      <c r="C63" s="6">
        <v>5.3700000000000003E-6</v>
      </c>
      <c r="D63" s="6">
        <v>4.25E-6</v>
      </c>
      <c r="E63" s="6">
        <v>5.3700000000000003E-6</v>
      </c>
      <c r="F63" s="6">
        <v>4.25E-6</v>
      </c>
      <c r="G63">
        <f t="shared" si="0"/>
        <v>5</v>
      </c>
      <c r="H63" t="str">
        <f t="shared" si="10"/>
        <v>BTC</v>
      </c>
      <c r="I63" t="str">
        <f>LEFT(B63,2)</f>
        <v>GB</v>
      </c>
      <c r="J63" t="str">
        <f t="shared" si="3"/>
        <v>BTCGB</v>
      </c>
      <c r="K63" t="str">
        <f t="shared" si="4"/>
        <v>GBBTC</v>
      </c>
      <c r="L63">
        <f t="shared" si="5"/>
        <v>0</v>
      </c>
      <c r="M63">
        <f t="shared" si="6"/>
        <v>3</v>
      </c>
      <c r="N63" t="b">
        <f t="shared" si="7"/>
        <v>1</v>
      </c>
    </row>
    <row r="64" spans="1:14" x14ac:dyDescent="0.25">
      <c r="A64" s="4" t="s">
        <v>1403</v>
      </c>
      <c r="B64" s="4" t="s">
        <v>837</v>
      </c>
      <c r="C64" s="6">
        <v>4.1500000000000001E-6</v>
      </c>
      <c r="D64" s="6">
        <v>4.8999999999999997E-6</v>
      </c>
      <c r="E64" s="6">
        <v>5.4500000000000003E-6</v>
      </c>
      <c r="F64" s="6">
        <v>4.1500000000000001E-6</v>
      </c>
      <c r="G64">
        <f t="shared" si="0"/>
        <v>5</v>
      </c>
      <c r="H64" t="str">
        <f t="shared" si="10"/>
        <v>BTC</v>
      </c>
      <c r="I64" t="str">
        <f>LEFT(B64,2)</f>
        <v>GB</v>
      </c>
      <c r="J64" t="str">
        <f t="shared" si="3"/>
        <v>BTCGB</v>
      </c>
      <c r="K64" t="str">
        <f t="shared" si="4"/>
        <v>GBBTC</v>
      </c>
      <c r="L64">
        <f t="shared" si="5"/>
        <v>0</v>
      </c>
      <c r="M64">
        <f t="shared" si="6"/>
        <v>3</v>
      </c>
      <c r="N64" t="b">
        <f t="shared" si="7"/>
        <v>1</v>
      </c>
    </row>
    <row r="65" spans="1:14" x14ac:dyDescent="0.25">
      <c r="A65" s="4" t="s">
        <v>5</v>
      </c>
      <c r="B65" s="4" t="s">
        <v>441</v>
      </c>
      <c r="C65" s="3" t="s">
        <v>364</v>
      </c>
      <c r="D65" s="3">
        <v>4.5644600000000002E-3</v>
      </c>
      <c r="E65" s="3">
        <v>3.1986999999999999E-4</v>
      </c>
      <c r="F65" s="3">
        <v>4.5629410138247999E-3</v>
      </c>
      <c r="G65">
        <f t="shared" ref="G65:G128" si="12">LEN(B65)</f>
        <v>6</v>
      </c>
      <c r="H65" t="str">
        <f t="shared" si="10"/>
        <v>BTC</v>
      </c>
      <c r="I65" t="str">
        <f>LEFT(B65,3)</f>
        <v>ITI</v>
      </c>
      <c r="J65" t="str">
        <f t="shared" ref="J65:J128" si="13">CONCATENATE(H65,I65)</f>
        <v>BTCITI</v>
      </c>
      <c r="K65" t="str">
        <f t="shared" ref="K65:K128" si="14">CONCATENATE(I65,H65)</f>
        <v>ITIBTC</v>
      </c>
      <c r="L65">
        <f t="shared" ref="L65:L128" si="15">COUNTIF(B:B,J65)</f>
        <v>0</v>
      </c>
      <c r="M65">
        <f t="shared" ref="M65:M128" si="16">COUNTIF(B:B,K65)</f>
        <v>3</v>
      </c>
      <c r="N65" t="b">
        <f t="shared" ref="N65:N128" si="17">L65=0</f>
        <v>1</v>
      </c>
    </row>
    <row r="66" spans="1:14" x14ac:dyDescent="0.25">
      <c r="A66" s="4" t="s">
        <v>1239</v>
      </c>
      <c r="B66" s="4" t="s">
        <v>441</v>
      </c>
      <c r="C66" s="3">
        <v>7.0082399999999998E-3</v>
      </c>
      <c r="D66" s="3">
        <v>6.0101800000000004E-3</v>
      </c>
      <c r="E66" s="3">
        <v>7.1444554033183996E-3</v>
      </c>
      <c r="F66" s="3">
        <v>6.0101800000000004E-3</v>
      </c>
      <c r="G66">
        <f t="shared" si="12"/>
        <v>6</v>
      </c>
      <c r="H66" t="str">
        <f t="shared" si="10"/>
        <v>BTC</v>
      </c>
      <c r="I66" t="str">
        <f>LEFT(B66,3)</f>
        <v>ITI</v>
      </c>
      <c r="J66" t="str">
        <f t="shared" si="13"/>
        <v>BTCITI</v>
      </c>
      <c r="K66" t="str">
        <f t="shared" si="14"/>
        <v>ITIBTC</v>
      </c>
      <c r="L66">
        <f t="shared" si="15"/>
        <v>0</v>
      </c>
      <c r="M66">
        <f t="shared" si="16"/>
        <v>3</v>
      </c>
      <c r="N66" t="b">
        <f t="shared" si="17"/>
        <v>1</v>
      </c>
    </row>
    <row r="67" spans="1:14" x14ac:dyDescent="0.25">
      <c r="A67" s="4" t="s">
        <v>1403</v>
      </c>
      <c r="B67" s="4" t="s">
        <v>441</v>
      </c>
      <c r="C67" s="3">
        <v>6.4000000000000003E-3</v>
      </c>
      <c r="D67" s="3">
        <v>7.2998300000000002E-3</v>
      </c>
      <c r="E67" s="3">
        <v>7.2874699999999999E-3</v>
      </c>
      <c r="F67" s="3">
        <v>6.4000000000000003E-3</v>
      </c>
      <c r="G67">
        <f t="shared" si="12"/>
        <v>6</v>
      </c>
      <c r="H67" t="str">
        <f t="shared" si="10"/>
        <v>BTC</v>
      </c>
      <c r="I67" t="str">
        <f>LEFT(B67,3)</f>
        <v>ITI</v>
      </c>
      <c r="J67" t="str">
        <f t="shared" si="13"/>
        <v>BTCITI</v>
      </c>
      <c r="K67" t="str">
        <f t="shared" si="14"/>
        <v>ITIBTC</v>
      </c>
      <c r="L67">
        <f t="shared" si="15"/>
        <v>0</v>
      </c>
      <c r="M67">
        <f t="shared" si="16"/>
        <v>3</v>
      </c>
      <c r="N67" t="b">
        <f t="shared" si="17"/>
        <v>1</v>
      </c>
    </row>
    <row r="68" spans="1:14" x14ac:dyDescent="0.25">
      <c r="A68" s="4" t="s">
        <v>5</v>
      </c>
      <c r="B68" s="4" t="s">
        <v>1039</v>
      </c>
      <c r="C68" s="3">
        <v>4.8019999999999998E-5</v>
      </c>
      <c r="D68" s="3">
        <v>4.5040000000000002E-5</v>
      </c>
      <c r="E68" s="3">
        <v>4.8019999999999998E-5</v>
      </c>
      <c r="F68" s="3">
        <v>4.5040000000000002E-5</v>
      </c>
      <c r="G68">
        <f t="shared" si="12"/>
        <v>7</v>
      </c>
      <c r="H68" t="str">
        <f t="shared" si="10"/>
        <v>BTC</v>
      </c>
      <c r="I68" t="str">
        <f>LEFT(B68,4)</f>
        <v>MOIN</v>
      </c>
      <c r="J68" t="str">
        <f t="shared" si="13"/>
        <v>BTCMOIN</v>
      </c>
      <c r="K68" t="str">
        <f t="shared" si="14"/>
        <v>MOINBTC</v>
      </c>
      <c r="L68">
        <f t="shared" si="15"/>
        <v>0</v>
      </c>
      <c r="M68">
        <f t="shared" si="16"/>
        <v>3</v>
      </c>
      <c r="N68" t="b">
        <f t="shared" si="17"/>
        <v>1</v>
      </c>
    </row>
    <row r="69" spans="1:14" x14ac:dyDescent="0.25">
      <c r="A69" s="4" t="s">
        <v>1239</v>
      </c>
      <c r="B69" s="4" t="s">
        <v>1039</v>
      </c>
      <c r="C69" s="3">
        <v>3.218E-5</v>
      </c>
      <c r="D69" s="3">
        <v>2.8309999999999998E-5</v>
      </c>
      <c r="E69" s="3">
        <v>3.218E-5</v>
      </c>
      <c r="F69" s="3">
        <v>2.8309999999999998E-5</v>
      </c>
      <c r="G69">
        <f t="shared" si="12"/>
        <v>7</v>
      </c>
      <c r="H69" t="str">
        <f t="shared" si="10"/>
        <v>BTC</v>
      </c>
      <c r="I69" t="str">
        <f>LEFT(B69,4)</f>
        <v>MOIN</v>
      </c>
      <c r="J69" t="str">
        <f t="shared" si="13"/>
        <v>BTCMOIN</v>
      </c>
      <c r="K69" t="str">
        <f t="shared" si="14"/>
        <v>MOINBTC</v>
      </c>
      <c r="L69">
        <f t="shared" si="15"/>
        <v>0</v>
      </c>
      <c r="M69">
        <f t="shared" si="16"/>
        <v>3</v>
      </c>
      <c r="N69" t="b">
        <f t="shared" si="17"/>
        <v>1</v>
      </c>
    </row>
    <row r="70" spans="1:14" x14ac:dyDescent="0.25">
      <c r="A70" s="4" t="s">
        <v>1403</v>
      </c>
      <c r="B70" s="4" t="s">
        <v>1039</v>
      </c>
      <c r="C70" s="3">
        <v>3.4489999999999997E-5</v>
      </c>
      <c r="D70" s="3">
        <v>3.4499999999999998E-5</v>
      </c>
      <c r="E70" s="3">
        <v>3.4480000000000002E-5</v>
      </c>
      <c r="F70" s="3">
        <v>2.1100000000000001E-5</v>
      </c>
      <c r="G70">
        <f t="shared" si="12"/>
        <v>7</v>
      </c>
      <c r="H70" t="str">
        <f t="shared" si="10"/>
        <v>BTC</v>
      </c>
      <c r="I70" t="str">
        <f>LEFT(B70,4)</f>
        <v>MOIN</v>
      </c>
      <c r="J70" t="str">
        <f t="shared" si="13"/>
        <v>BTCMOIN</v>
      </c>
      <c r="K70" t="str">
        <f t="shared" si="14"/>
        <v>MOINBTC</v>
      </c>
      <c r="L70">
        <f t="shared" si="15"/>
        <v>0</v>
      </c>
      <c r="M70">
        <f t="shared" si="16"/>
        <v>3</v>
      </c>
      <c r="N70" t="b">
        <f t="shared" si="17"/>
        <v>1</v>
      </c>
    </row>
    <row r="71" spans="1:14" x14ac:dyDescent="0.25">
      <c r="A71" s="4" t="s">
        <v>0</v>
      </c>
      <c r="B71" s="4" t="s">
        <v>10</v>
      </c>
      <c r="C71" s="3">
        <v>7.6999999999999996E-4</v>
      </c>
      <c r="D71" s="3">
        <v>7.6000000000000004E-4</v>
      </c>
      <c r="E71" s="3">
        <v>7.6999999999999996E-4</v>
      </c>
      <c r="F71" s="3">
        <v>7.6000000000000004E-4</v>
      </c>
      <c r="G71">
        <f t="shared" si="12"/>
        <v>6</v>
      </c>
      <c r="H71" t="str">
        <f t="shared" si="10"/>
        <v>BTC</v>
      </c>
      <c r="I71" t="str">
        <f>LEFT(B71,3)</f>
        <v>NMC</v>
      </c>
      <c r="J71" t="str">
        <f t="shared" si="13"/>
        <v>BTCNMC</v>
      </c>
      <c r="K71" t="str">
        <f t="shared" si="14"/>
        <v>NMCBTC</v>
      </c>
      <c r="L71">
        <f t="shared" si="15"/>
        <v>0</v>
      </c>
      <c r="M71">
        <f t="shared" si="16"/>
        <v>3</v>
      </c>
      <c r="N71" t="b">
        <f t="shared" si="17"/>
        <v>1</v>
      </c>
    </row>
    <row r="72" spans="1:14" x14ac:dyDescent="0.25">
      <c r="A72" s="4" t="s">
        <v>5</v>
      </c>
      <c r="B72" s="4" t="s">
        <v>10</v>
      </c>
      <c r="C72" s="3">
        <v>8.1990000000000003E-4</v>
      </c>
      <c r="D72" s="3">
        <v>7.1005000000000005E-4</v>
      </c>
      <c r="E72" s="3">
        <v>8.1990000000000003E-4</v>
      </c>
      <c r="F72" s="3">
        <v>7.1005000000000005E-4</v>
      </c>
      <c r="G72">
        <f t="shared" si="12"/>
        <v>6</v>
      </c>
      <c r="H72" t="str">
        <f t="shared" si="10"/>
        <v>BTC</v>
      </c>
      <c r="I72" t="str">
        <f>LEFT(B72,3)</f>
        <v>NMC</v>
      </c>
      <c r="J72" t="str">
        <f t="shared" si="13"/>
        <v>BTCNMC</v>
      </c>
      <c r="K72" t="str">
        <f t="shared" si="14"/>
        <v>NMCBTC</v>
      </c>
      <c r="L72">
        <f t="shared" si="15"/>
        <v>0</v>
      </c>
      <c r="M72">
        <f t="shared" si="16"/>
        <v>3</v>
      </c>
      <c r="N72" t="b">
        <f t="shared" si="17"/>
        <v>1</v>
      </c>
    </row>
    <row r="73" spans="1:14" x14ac:dyDescent="0.25">
      <c r="A73" s="4" t="s">
        <v>1239</v>
      </c>
      <c r="B73" s="4" t="s">
        <v>10</v>
      </c>
      <c r="C73" s="3">
        <v>7.8001999999999998E-4</v>
      </c>
      <c r="D73" s="3">
        <v>7.4036000000000002E-4</v>
      </c>
      <c r="E73" s="3">
        <v>7.8001999999999998E-4</v>
      </c>
      <c r="F73" s="3">
        <v>7.4036000000000002E-4</v>
      </c>
      <c r="G73">
        <f t="shared" si="12"/>
        <v>6</v>
      </c>
      <c r="H73" t="str">
        <f t="shared" si="10"/>
        <v>BTC</v>
      </c>
      <c r="I73" t="str">
        <f>LEFT(B73,3)</f>
        <v>NMC</v>
      </c>
      <c r="J73" t="str">
        <f t="shared" si="13"/>
        <v>BTCNMC</v>
      </c>
      <c r="K73" t="str">
        <f t="shared" si="14"/>
        <v>NMCBTC</v>
      </c>
      <c r="L73">
        <f t="shared" si="15"/>
        <v>0</v>
      </c>
      <c r="M73">
        <f t="shared" si="16"/>
        <v>3</v>
      </c>
      <c r="N73" t="b">
        <f t="shared" si="17"/>
        <v>1</v>
      </c>
    </row>
    <row r="74" spans="1:14" x14ac:dyDescent="0.25">
      <c r="A74" s="4" t="s">
        <v>5</v>
      </c>
      <c r="B74" s="4" t="s">
        <v>742</v>
      </c>
      <c r="C74" s="3">
        <v>2.0939999999999999E-5</v>
      </c>
      <c r="D74" s="3">
        <v>2.054E-5</v>
      </c>
      <c r="E74" s="3">
        <v>2.0939999999999999E-5</v>
      </c>
      <c r="F74" s="3">
        <v>2.054E-5</v>
      </c>
      <c r="G74">
        <f t="shared" si="12"/>
        <v>7</v>
      </c>
      <c r="H74" t="str">
        <f t="shared" si="10"/>
        <v>BTC</v>
      </c>
      <c r="I74" t="str">
        <f>LEFT(B74,4)</f>
        <v>POSW</v>
      </c>
      <c r="J74" t="str">
        <f t="shared" si="13"/>
        <v>BTCPOSW</v>
      </c>
      <c r="K74" t="str">
        <f t="shared" si="14"/>
        <v>POSWBTC</v>
      </c>
      <c r="L74">
        <f t="shared" si="15"/>
        <v>0</v>
      </c>
      <c r="M74">
        <f t="shared" si="16"/>
        <v>3</v>
      </c>
      <c r="N74" t="b">
        <f t="shared" si="17"/>
        <v>1</v>
      </c>
    </row>
    <row r="75" spans="1:14" x14ac:dyDescent="0.25">
      <c r="A75" s="4" t="s">
        <v>1239</v>
      </c>
      <c r="B75" s="4" t="s">
        <v>742</v>
      </c>
      <c r="C75" s="3">
        <v>2.1420000000000002E-5</v>
      </c>
      <c r="D75" s="3">
        <v>2.0290000000000001E-5</v>
      </c>
      <c r="E75" s="3">
        <v>2.1420000000000002E-5</v>
      </c>
      <c r="F75" s="3">
        <v>2.0290000000000001E-5</v>
      </c>
      <c r="G75">
        <f t="shared" si="12"/>
        <v>7</v>
      </c>
      <c r="H75" t="str">
        <f t="shared" si="10"/>
        <v>BTC</v>
      </c>
      <c r="I75" t="str">
        <f>LEFT(B75,4)</f>
        <v>POSW</v>
      </c>
      <c r="J75" t="str">
        <f t="shared" si="13"/>
        <v>BTCPOSW</v>
      </c>
      <c r="K75" t="str">
        <f t="shared" si="14"/>
        <v>POSWBTC</v>
      </c>
      <c r="L75">
        <f t="shared" si="15"/>
        <v>0</v>
      </c>
      <c r="M75">
        <f t="shared" si="16"/>
        <v>3</v>
      </c>
      <c r="N75" t="b">
        <f t="shared" si="17"/>
        <v>1</v>
      </c>
    </row>
    <row r="76" spans="1:14" x14ac:dyDescent="0.25">
      <c r="A76" s="4" t="s">
        <v>1403</v>
      </c>
      <c r="B76" s="4" t="s">
        <v>742</v>
      </c>
      <c r="C76" s="3">
        <v>2.0129999999999999E-5</v>
      </c>
      <c r="D76" s="3">
        <v>2.2459999999999998E-5</v>
      </c>
      <c r="E76" s="3">
        <v>2.2609999999999999E-5</v>
      </c>
      <c r="F76" s="3">
        <v>2.0380000000000001E-5</v>
      </c>
      <c r="G76">
        <f t="shared" si="12"/>
        <v>7</v>
      </c>
      <c r="H76" t="str">
        <f t="shared" si="10"/>
        <v>BTC</v>
      </c>
      <c r="I76" t="str">
        <f>LEFT(B76,4)</f>
        <v>POSW</v>
      </c>
      <c r="J76" t="str">
        <f t="shared" si="13"/>
        <v>BTCPOSW</v>
      </c>
      <c r="K76" t="str">
        <f t="shared" si="14"/>
        <v>POSWBTC</v>
      </c>
      <c r="L76">
        <f t="shared" si="15"/>
        <v>0</v>
      </c>
      <c r="M76">
        <f t="shared" si="16"/>
        <v>3</v>
      </c>
      <c r="N76" t="b">
        <f t="shared" si="17"/>
        <v>1</v>
      </c>
    </row>
    <row r="77" spans="1:14" x14ac:dyDescent="0.25">
      <c r="A77" s="4" t="s">
        <v>5</v>
      </c>
      <c r="B77" s="4" t="s">
        <v>1008</v>
      </c>
      <c r="C77" s="3">
        <v>9.9799999999999993E-6</v>
      </c>
      <c r="D77" s="3">
        <v>8.0099999999999995E-6</v>
      </c>
      <c r="E77" s="3">
        <v>9.9799999999999993E-6</v>
      </c>
      <c r="F77" s="3">
        <v>8.0099999999999995E-6</v>
      </c>
      <c r="G77">
        <f t="shared" si="12"/>
        <v>8</v>
      </c>
      <c r="H77" t="str">
        <f t="shared" si="10"/>
        <v>BTC</v>
      </c>
      <c r="I77" t="str">
        <f t="shared" ref="I77:I82" si="18">LEFT(B77,5)</f>
        <v>RBIES</v>
      </c>
      <c r="J77" t="str">
        <f t="shared" si="13"/>
        <v>BTCRBIES</v>
      </c>
      <c r="K77" t="str">
        <f t="shared" si="14"/>
        <v>RBIESBTC</v>
      </c>
      <c r="L77">
        <f t="shared" si="15"/>
        <v>0</v>
      </c>
      <c r="M77">
        <f t="shared" si="16"/>
        <v>3</v>
      </c>
      <c r="N77" t="b">
        <f t="shared" si="17"/>
        <v>1</v>
      </c>
    </row>
    <row r="78" spans="1:14" x14ac:dyDescent="0.25">
      <c r="A78" s="4" t="s">
        <v>1239</v>
      </c>
      <c r="B78" s="4" t="s">
        <v>1008</v>
      </c>
      <c r="C78" s="3">
        <v>1.131E-5</v>
      </c>
      <c r="D78" s="3">
        <v>9.6800000000000005E-6</v>
      </c>
      <c r="E78" s="3">
        <v>1.131E-5</v>
      </c>
      <c r="F78" s="3">
        <v>9.6800000000000005E-6</v>
      </c>
      <c r="G78">
        <f t="shared" si="12"/>
        <v>8</v>
      </c>
      <c r="H78" t="str">
        <f t="shared" si="10"/>
        <v>BTC</v>
      </c>
      <c r="I78" t="str">
        <f t="shared" si="18"/>
        <v>RBIES</v>
      </c>
      <c r="J78" t="str">
        <f t="shared" si="13"/>
        <v>BTCRBIES</v>
      </c>
      <c r="K78" t="str">
        <f t="shared" si="14"/>
        <v>RBIESBTC</v>
      </c>
      <c r="L78">
        <f t="shared" si="15"/>
        <v>0</v>
      </c>
      <c r="M78">
        <f t="shared" si="16"/>
        <v>3</v>
      </c>
      <c r="N78" t="b">
        <f t="shared" si="17"/>
        <v>1</v>
      </c>
    </row>
    <row r="79" spans="1:14" x14ac:dyDescent="0.25">
      <c r="A79" s="4" t="s">
        <v>1403</v>
      </c>
      <c r="B79" s="4" t="s">
        <v>1008</v>
      </c>
      <c r="C79" s="3">
        <v>1.096E-5</v>
      </c>
      <c r="D79" s="3">
        <v>1.096E-5</v>
      </c>
      <c r="E79" s="3">
        <v>1.097E-5</v>
      </c>
      <c r="F79" s="3">
        <v>5.57E-6</v>
      </c>
      <c r="G79">
        <f t="shared" si="12"/>
        <v>8</v>
      </c>
      <c r="H79" t="str">
        <f t="shared" si="10"/>
        <v>BTC</v>
      </c>
      <c r="I79" t="str">
        <f t="shared" si="18"/>
        <v>RBIES</v>
      </c>
      <c r="J79" t="str">
        <f t="shared" si="13"/>
        <v>BTCRBIES</v>
      </c>
      <c r="K79" t="str">
        <f t="shared" si="14"/>
        <v>RBIESBTC</v>
      </c>
      <c r="L79">
        <f t="shared" si="15"/>
        <v>0</v>
      </c>
      <c r="M79">
        <f t="shared" si="16"/>
        <v>3</v>
      </c>
      <c r="N79" t="b">
        <f t="shared" si="17"/>
        <v>1</v>
      </c>
    </row>
    <row r="80" spans="1:14" x14ac:dyDescent="0.25">
      <c r="A80" s="4" t="s">
        <v>5</v>
      </c>
      <c r="B80" s="4" t="s">
        <v>596</v>
      </c>
      <c r="C80" s="3">
        <v>2.296E-5</v>
      </c>
      <c r="D80" s="3">
        <v>2.2560000000000001E-5</v>
      </c>
      <c r="E80" s="3">
        <v>2.296E-5</v>
      </c>
      <c r="F80" s="3">
        <v>2.2560000000000001E-5</v>
      </c>
      <c r="G80">
        <f t="shared" si="12"/>
        <v>8</v>
      </c>
      <c r="H80" t="str">
        <f t="shared" si="10"/>
        <v>BTC</v>
      </c>
      <c r="I80" t="str">
        <f t="shared" si="18"/>
        <v>TRUMP</v>
      </c>
      <c r="J80" t="str">
        <f t="shared" si="13"/>
        <v>BTCTRUMP</v>
      </c>
      <c r="K80" t="str">
        <f t="shared" si="14"/>
        <v>TRUMPBTC</v>
      </c>
      <c r="L80">
        <f t="shared" si="15"/>
        <v>0</v>
      </c>
      <c r="M80">
        <f t="shared" si="16"/>
        <v>3</v>
      </c>
      <c r="N80" t="b">
        <f t="shared" si="17"/>
        <v>1</v>
      </c>
    </row>
    <row r="81" spans="1:14" x14ac:dyDescent="0.25">
      <c r="A81" s="4" t="s">
        <v>1239</v>
      </c>
      <c r="B81" s="4" t="s">
        <v>596</v>
      </c>
      <c r="C81" s="3">
        <v>2.4890000000000001E-5</v>
      </c>
      <c r="D81" s="3">
        <v>2.3989999999999999E-5</v>
      </c>
      <c r="E81" s="3">
        <v>2.4890000000000001E-5</v>
      </c>
      <c r="F81" s="3">
        <v>2.3989999999999999E-5</v>
      </c>
      <c r="G81">
        <f t="shared" si="12"/>
        <v>8</v>
      </c>
      <c r="H81" t="str">
        <f t="shared" ref="H81:H116" si="19">RIGHT(B81,3)</f>
        <v>BTC</v>
      </c>
      <c r="I81" t="str">
        <f t="shared" si="18"/>
        <v>TRUMP</v>
      </c>
      <c r="J81" t="str">
        <f t="shared" si="13"/>
        <v>BTCTRUMP</v>
      </c>
      <c r="K81" t="str">
        <f t="shared" si="14"/>
        <v>TRUMPBTC</v>
      </c>
      <c r="L81">
        <f t="shared" si="15"/>
        <v>0</v>
      </c>
      <c r="M81">
        <f t="shared" si="16"/>
        <v>3</v>
      </c>
      <c r="N81" t="b">
        <f t="shared" si="17"/>
        <v>1</v>
      </c>
    </row>
    <row r="82" spans="1:14" x14ac:dyDescent="0.25">
      <c r="A82" s="4" t="s">
        <v>1403</v>
      </c>
      <c r="B82" s="4" t="s">
        <v>596</v>
      </c>
      <c r="C82" s="3">
        <v>2.101E-5</v>
      </c>
      <c r="D82" s="3">
        <v>2.2819999999999998E-5</v>
      </c>
      <c r="E82" s="3">
        <v>2.2889999999999999E-5</v>
      </c>
      <c r="F82" s="3">
        <v>2.14624E-5</v>
      </c>
      <c r="G82">
        <f t="shared" si="12"/>
        <v>8</v>
      </c>
      <c r="H82" t="str">
        <f t="shared" si="19"/>
        <v>BTC</v>
      </c>
      <c r="I82" t="str">
        <f t="shared" si="18"/>
        <v>TRUMP</v>
      </c>
      <c r="J82" t="str">
        <f t="shared" si="13"/>
        <v>BTCTRUMP</v>
      </c>
      <c r="K82" t="str">
        <f t="shared" si="14"/>
        <v>TRUMPBTC</v>
      </c>
      <c r="L82">
        <f t="shared" si="15"/>
        <v>0</v>
      </c>
      <c r="M82">
        <f t="shared" si="16"/>
        <v>3</v>
      </c>
      <c r="N82" t="b">
        <f t="shared" si="17"/>
        <v>1</v>
      </c>
    </row>
    <row r="83" spans="1:14" x14ac:dyDescent="0.25">
      <c r="A83" s="4" t="s">
        <v>1</v>
      </c>
      <c r="B83" s="4" t="s">
        <v>61</v>
      </c>
      <c r="C83" s="3">
        <v>2246.9999999900001</v>
      </c>
      <c r="D83" s="3">
        <v>2244.3523952199998</v>
      </c>
      <c r="E83" s="3">
        <v>2247</v>
      </c>
      <c r="F83" s="3">
        <v>2244.5866787999998</v>
      </c>
      <c r="G83">
        <f t="shared" si="12"/>
        <v>7</v>
      </c>
      <c r="H83" t="str">
        <f t="shared" si="19"/>
        <v>BTC</v>
      </c>
      <c r="I83" t="str">
        <f>LEFT(B83,4)</f>
        <v>USDT</v>
      </c>
      <c r="J83" t="str">
        <f t="shared" si="13"/>
        <v>BTCUSDT</v>
      </c>
      <c r="K83" t="str">
        <f t="shared" si="14"/>
        <v>USDTBTC</v>
      </c>
      <c r="L83">
        <f t="shared" si="15"/>
        <v>0</v>
      </c>
      <c r="M83">
        <f t="shared" si="16"/>
        <v>3</v>
      </c>
      <c r="N83" t="b">
        <f t="shared" si="17"/>
        <v>1</v>
      </c>
    </row>
    <row r="84" spans="1:14" x14ac:dyDescent="0.25">
      <c r="A84" s="4" t="s">
        <v>2</v>
      </c>
      <c r="B84" s="4" t="s">
        <v>61</v>
      </c>
      <c r="C84" s="3">
        <v>2243.03863907</v>
      </c>
      <c r="D84" s="3">
        <v>2235.0000000199998</v>
      </c>
      <c r="E84" s="3">
        <v>2251.0636457587202</v>
      </c>
      <c r="F84" s="3">
        <v>2235.0000000199998</v>
      </c>
      <c r="G84">
        <f t="shared" si="12"/>
        <v>7</v>
      </c>
      <c r="H84" t="str">
        <f t="shared" si="19"/>
        <v>BTC</v>
      </c>
      <c r="I84" t="str">
        <f>LEFT(B84,4)</f>
        <v>USDT</v>
      </c>
      <c r="J84" t="str">
        <f t="shared" si="13"/>
        <v>BTCUSDT</v>
      </c>
      <c r="K84" t="str">
        <f t="shared" si="14"/>
        <v>USDTBTC</v>
      </c>
      <c r="L84">
        <f t="shared" si="15"/>
        <v>0</v>
      </c>
      <c r="M84">
        <f t="shared" si="16"/>
        <v>3</v>
      </c>
      <c r="N84" t="b">
        <f t="shared" si="17"/>
        <v>1</v>
      </c>
    </row>
    <row r="85" spans="1:14" x14ac:dyDescent="0.25">
      <c r="A85" s="4" t="s">
        <v>1403</v>
      </c>
      <c r="B85" s="4" t="s">
        <v>61</v>
      </c>
      <c r="C85" s="3">
        <v>4.8895000000000004E-4</v>
      </c>
      <c r="D85" s="3">
        <v>4.6999999999999999E-4</v>
      </c>
      <c r="E85" s="3">
        <v>4.8888000000000002E-4</v>
      </c>
      <c r="F85" s="3">
        <v>3.2113999999999998E-4</v>
      </c>
      <c r="G85">
        <f t="shared" si="12"/>
        <v>7</v>
      </c>
      <c r="H85" t="str">
        <f t="shared" si="19"/>
        <v>BTC</v>
      </c>
      <c r="I85" t="str">
        <f>LEFT(B85,4)</f>
        <v>USDT</v>
      </c>
      <c r="J85" t="str">
        <f t="shared" si="13"/>
        <v>BTCUSDT</v>
      </c>
      <c r="K85" t="str">
        <f t="shared" si="14"/>
        <v>USDTBTC</v>
      </c>
      <c r="L85">
        <f t="shared" si="15"/>
        <v>0</v>
      </c>
      <c r="M85">
        <f t="shared" si="16"/>
        <v>3</v>
      </c>
      <c r="N85" t="b">
        <f t="shared" si="17"/>
        <v>1</v>
      </c>
    </row>
    <row r="86" spans="1:14" x14ac:dyDescent="0.25">
      <c r="A86" s="4" t="s">
        <v>27</v>
      </c>
      <c r="B86" s="4" t="s">
        <v>32</v>
      </c>
      <c r="C86" s="3">
        <v>334.99</v>
      </c>
      <c r="D86" s="3">
        <v>333.03</v>
      </c>
      <c r="E86" s="3">
        <v>334.99</v>
      </c>
      <c r="F86" s="3">
        <v>333.03</v>
      </c>
      <c r="G86">
        <f t="shared" si="12"/>
        <v>6</v>
      </c>
      <c r="H86" t="str">
        <f t="shared" si="19"/>
        <v>USD</v>
      </c>
      <c r="I86" t="str">
        <f>LEFT(B86,3)</f>
        <v>ZEC</v>
      </c>
      <c r="J86" t="str">
        <f t="shared" si="13"/>
        <v>USDZEC</v>
      </c>
      <c r="K86" t="str">
        <f t="shared" si="14"/>
        <v>ZECUSD</v>
      </c>
      <c r="L86">
        <f t="shared" si="15"/>
        <v>0</v>
      </c>
      <c r="M86">
        <f t="shared" si="16"/>
        <v>3</v>
      </c>
      <c r="N86" t="b">
        <f t="shared" si="17"/>
        <v>1</v>
      </c>
    </row>
    <row r="87" spans="1:14" x14ac:dyDescent="0.25">
      <c r="A87" s="4" t="s">
        <v>3</v>
      </c>
      <c r="B87" s="4" t="s">
        <v>32</v>
      </c>
      <c r="C87" s="3">
        <v>339.81723</v>
      </c>
      <c r="D87" s="3">
        <v>334.83195999999998</v>
      </c>
      <c r="E87" s="3">
        <v>339.81723</v>
      </c>
      <c r="F87" s="3">
        <v>334.83215000000001</v>
      </c>
      <c r="G87">
        <f t="shared" si="12"/>
        <v>6</v>
      </c>
      <c r="H87" t="str">
        <f t="shared" si="19"/>
        <v>USD</v>
      </c>
      <c r="I87" t="str">
        <f>LEFT(B87,3)</f>
        <v>ZEC</v>
      </c>
      <c r="J87" t="str">
        <f t="shared" si="13"/>
        <v>USDZEC</v>
      </c>
      <c r="K87" t="str">
        <f t="shared" si="14"/>
        <v>ZECUSD</v>
      </c>
      <c r="L87">
        <f t="shared" si="15"/>
        <v>0</v>
      </c>
      <c r="M87">
        <f t="shared" si="16"/>
        <v>3</v>
      </c>
      <c r="N87" t="b">
        <f t="shared" si="17"/>
        <v>1</v>
      </c>
    </row>
    <row r="88" spans="1:14" x14ac:dyDescent="0.25">
      <c r="A88" s="4" t="s">
        <v>4</v>
      </c>
      <c r="B88" s="4" t="s">
        <v>32</v>
      </c>
      <c r="C88" s="3">
        <v>338</v>
      </c>
      <c r="D88" s="3">
        <v>331.73</v>
      </c>
      <c r="E88" s="3">
        <v>341.81559999999899</v>
      </c>
      <c r="F88" s="3">
        <v>330.87799999999999</v>
      </c>
      <c r="G88">
        <f t="shared" si="12"/>
        <v>6</v>
      </c>
      <c r="H88" t="str">
        <f t="shared" si="19"/>
        <v>USD</v>
      </c>
      <c r="I88" t="str">
        <f>LEFT(B88,3)</f>
        <v>ZEC</v>
      </c>
      <c r="J88" t="str">
        <f t="shared" si="13"/>
        <v>USDZEC</v>
      </c>
      <c r="K88" t="str">
        <f t="shared" si="14"/>
        <v>ZECUSD</v>
      </c>
      <c r="L88">
        <f t="shared" si="15"/>
        <v>0</v>
      </c>
      <c r="M88">
        <f t="shared" si="16"/>
        <v>3</v>
      </c>
      <c r="N88" t="b">
        <f t="shared" si="17"/>
        <v>1</v>
      </c>
    </row>
    <row r="89" spans="1:14" x14ac:dyDescent="0.25">
      <c r="A89" s="4" t="s">
        <v>5</v>
      </c>
      <c r="B89" s="4" t="s">
        <v>635</v>
      </c>
      <c r="C89" s="3">
        <v>4.9899999999999997E-6</v>
      </c>
      <c r="D89" s="3">
        <v>2.9100000000000001E-6</v>
      </c>
      <c r="E89" s="3">
        <v>4.9899999999999997E-6</v>
      </c>
      <c r="F89" s="3">
        <v>2.9100000000000001E-6</v>
      </c>
      <c r="G89">
        <f t="shared" si="12"/>
        <v>6</v>
      </c>
      <c r="H89" t="str">
        <f t="shared" si="19"/>
        <v>BTC</v>
      </c>
      <c r="I89" t="str">
        <f>LEFT(B89,3)</f>
        <v>ACP</v>
      </c>
      <c r="J89" t="str">
        <f t="shared" si="13"/>
        <v>BTCACP</v>
      </c>
      <c r="K89" t="str">
        <f t="shared" si="14"/>
        <v>ACPBTC</v>
      </c>
      <c r="L89">
        <f t="shared" si="15"/>
        <v>0</v>
      </c>
      <c r="M89">
        <f t="shared" si="16"/>
        <v>2</v>
      </c>
      <c r="N89" t="b">
        <f t="shared" si="17"/>
        <v>1</v>
      </c>
    </row>
    <row r="90" spans="1:14" x14ac:dyDescent="0.25">
      <c r="A90" s="4" t="s">
        <v>1403</v>
      </c>
      <c r="B90" s="4" t="s">
        <v>635</v>
      </c>
      <c r="C90" s="3">
        <v>1.31E-6</v>
      </c>
      <c r="D90" s="3">
        <v>1.31E-6</v>
      </c>
      <c r="E90" s="3">
        <v>1.35E-6</v>
      </c>
      <c r="F90" s="3">
        <v>1.31E-6</v>
      </c>
      <c r="G90">
        <f t="shared" si="12"/>
        <v>6</v>
      </c>
      <c r="H90" t="str">
        <f t="shared" si="19"/>
        <v>BTC</v>
      </c>
      <c r="I90" t="str">
        <f>LEFT(B90,3)</f>
        <v>ACP</v>
      </c>
      <c r="J90" t="str">
        <f t="shared" si="13"/>
        <v>BTCACP</v>
      </c>
      <c r="K90" t="str">
        <f t="shared" si="14"/>
        <v>ACPBTC</v>
      </c>
      <c r="L90">
        <f t="shared" si="15"/>
        <v>0</v>
      </c>
      <c r="M90">
        <f t="shared" si="16"/>
        <v>2</v>
      </c>
      <c r="N90" t="b">
        <f t="shared" si="17"/>
        <v>1</v>
      </c>
    </row>
    <row r="91" spans="1:14" x14ac:dyDescent="0.25">
      <c r="A91" s="4" t="s">
        <v>5</v>
      </c>
      <c r="B91" s="4" t="s">
        <v>785</v>
      </c>
      <c r="C91" s="3">
        <v>6.8800000000000002E-6</v>
      </c>
      <c r="D91" s="3">
        <v>5.4700000000000001E-6</v>
      </c>
      <c r="E91" s="3">
        <v>6.8800000000000002E-6</v>
      </c>
      <c r="F91" s="3">
        <v>5.4700000000000001E-6</v>
      </c>
      <c r="G91">
        <f t="shared" si="12"/>
        <v>7</v>
      </c>
      <c r="H91" t="str">
        <f t="shared" si="19"/>
        <v>BTC</v>
      </c>
      <c r="I91" t="str">
        <f>LEFT(B91,4)</f>
        <v>ADCN</v>
      </c>
      <c r="J91" t="str">
        <f t="shared" si="13"/>
        <v>BTCADCN</v>
      </c>
      <c r="K91" t="str">
        <f t="shared" si="14"/>
        <v>ADCNBTC</v>
      </c>
      <c r="L91">
        <f t="shared" si="15"/>
        <v>0</v>
      </c>
      <c r="M91">
        <f t="shared" si="16"/>
        <v>2</v>
      </c>
      <c r="N91" t="b">
        <f t="shared" si="17"/>
        <v>1</v>
      </c>
    </row>
    <row r="92" spans="1:14" x14ac:dyDescent="0.25">
      <c r="A92" s="4" t="s">
        <v>1403</v>
      </c>
      <c r="B92" s="4" t="s">
        <v>785</v>
      </c>
      <c r="C92" s="3">
        <v>3.7100000000000001E-6</v>
      </c>
      <c r="D92" s="3">
        <v>3.98E-6</v>
      </c>
      <c r="E92" s="3">
        <v>3.98E-6</v>
      </c>
      <c r="F92" s="3">
        <v>3.72E-6</v>
      </c>
      <c r="G92">
        <f t="shared" si="12"/>
        <v>7</v>
      </c>
      <c r="H92" t="str">
        <f t="shared" si="19"/>
        <v>BTC</v>
      </c>
      <c r="I92" t="str">
        <f>LEFT(B92,4)</f>
        <v>ADCN</v>
      </c>
      <c r="J92" t="str">
        <f t="shared" si="13"/>
        <v>BTCADCN</v>
      </c>
      <c r="K92" t="str">
        <f t="shared" si="14"/>
        <v>ADCNBTC</v>
      </c>
      <c r="L92">
        <f t="shared" si="15"/>
        <v>0</v>
      </c>
      <c r="M92">
        <f t="shared" si="16"/>
        <v>2</v>
      </c>
      <c r="N92" t="b">
        <f t="shared" si="17"/>
        <v>1</v>
      </c>
    </row>
    <row r="93" spans="1:14" x14ac:dyDescent="0.25">
      <c r="A93" s="4" t="s">
        <v>5</v>
      </c>
      <c r="B93" s="4" t="s">
        <v>722</v>
      </c>
      <c r="C93" s="3">
        <v>1.403E-5</v>
      </c>
      <c r="D93" s="3">
        <v>1.375E-5</v>
      </c>
      <c r="E93" s="3">
        <v>1.403E-5</v>
      </c>
      <c r="F93" s="3">
        <v>1.375E-5</v>
      </c>
      <c r="G93">
        <f t="shared" si="12"/>
        <v>6</v>
      </c>
      <c r="H93" t="str">
        <f t="shared" si="19"/>
        <v>BTC</v>
      </c>
      <c r="I93" t="str">
        <f t="shared" ref="I93:I100" si="20">LEFT(B93,3)</f>
        <v>ADZ</v>
      </c>
      <c r="J93" t="str">
        <f t="shared" si="13"/>
        <v>BTCADZ</v>
      </c>
      <c r="K93" t="str">
        <f t="shared" si="14"/>
        <v>ADZBTC</v>
      </c>
      <c r="L93">
        <f t="shared" si="15"/>
        <v>0</v>
      </c>
      <c r="M93">
        <f t="shared" si="16"/>
        <v>2</v>
      </c>
      <c r="N93" t="b">
        <f t="shared" si="17"/>
        <v>1</v>
      </c>
    </row>
    <row r="94" spans="1:14" x14ac:dyDescent="0.25">
      <c r="A94" s="4" t="s">
        <v>1239</v>
      </c>
      <c r="B94" s="4" t="s">
        <v>722</v>
      </c>
      <c r="C94" s="3">
        <v>1.4080000000000001E-5</v>
      </c>
      <c r="D94" s="3">
        <v>1.3509999999999999E-5</v>
      </c>
      <c r="E94" s="3">
        <v>1.4080000000000001E-5</v>
      </c>
      <c r="F94" s="3">
        <v>1.3509999999999999E-5</v>
      </c>
      <c r="G94">
        <f t="shared" si="12"/>
        <v>6</v>
      </c>
      <c r="H94" t="str">
        <f t="shared" si="19"/>
        <v>BTC</v>
      </c>
      <c r="I94" t="str">
        <f t="shared" si="20"/>
        <v>ADZ</v>
      </c>
      <c r="J94" t="str">
        <f t="shared" si="13"/>
        <v>BTCADZ</v>
      </c>
      <c r="K94" t="str">
        <f t="shared" si="14"/>
        <v>ADZBTC</v>
      </c>
      <c r="L94">
        <f t="shared" si="15"/>
        <v>0</v>
      </c>
      <c r="M94">
        <f t="shared" si="16"/>
        <v>2</v>
      </c>
      <c r="N94" t="b">
        <f t="shared" si="17"/>
        <v>1</v>
      </c>
    </row>
    <row r="95" spans="1:14" x14ac:dyDescent="0.25">
      <c r="A95" s="4" t="s">
        <v>5</v>
      </c>
      <c r="B95" s="4" t="s">
        <v>925</v>
      </c>
      <c r="C95" s="3">
        <v>4.8799999999999999E-6</v>
      </c>
      <c r="D95" s="3">
        <v>3.36E-6</v>
      </c>
      <c r="E95" s="3">
        <v>4.8799999999999999E-6</v>
      </c>
      <c r="F95" s="3">
        <v>3.36E-6</v>
      </c>
      <c r="G95">
        <f t="shared" si="12"/>
        <v>6</v>
      </c>
      <c r="H95" t="str">
        <f t="shared" si="19"/>
        <v>BTC</v>
      </c>
      <c r="I95" t="str">
        <f t="shared" si="20"/>
        <v>AIB</v>
      </c>
      <c r="J95" t="str">
        <f t="shared" si="13"/>
        <v>BTCAIB</v>
      </c>
      <c r="K95" t="str">
        <f t="shared" si="14"/>
        <v>AIBBTC</v>
      </c>
      <c r="L95">
        <f t="shared" si="15"/>
        <v>0</v>
      </c>
      <c r="M95">
        <f t="shared" si="16"/>
        <v>2</v>
      </c>
      <c r="N95" t="b">
        <f t="shared" si="17"/>
        <v>1</v>
      </c>
    </row>
    <row r="96" spans="1:14" x14ac:dyDescent="0.25">
      <c r="A96" s="4" t="s">
        <v>1403</v>
      </c>
      <c r="B96" s="4" t="s">
        <v>925</v>
      </c>
      <c r="C96" s="3">
        <v>7.4000000000000001E-7</v>
      </c>
      <c r="D96" s="3">
        <v>9.5999999999999991E-7</v>
      </c>
      <c r="E96" s="3">
        <v>9.4E-7</v>
      </c>
      <c r="F96" s="3">
        <v>7.6000000000000003E-7</v>
      </c>
      <c r="G96">
        <f t="shared" si="12"/>
        <v>6</v>
      </c>
      <c r="H96" t="str">
        <f t="shared" si="19"/>
        <v>BTC</v>
      </c>
      <c r="I96" t="str">
        <f t="shared" si="20"/>
        <v>AIB</v>
      </c>
      <c r="J96" t="str">
        <f t="shared" si="13"/>
        <v>BTCAIB</v>
      </c>
      <c r="K96" t="str">
        <f t="shared" si="14"/>
        <v>AIBBTC</v>
      </c>
      <c r="L96">
        <f t="shared" si="15"/>
        <v>0</v>
      </c>
      <c r="M96">
        <f t="shared" si="16"/>
        <v>2</v>
      </c>
      <c r="N96" t="b">
        <f t="shared" si="17"/>
        <v>1</v>
      </c>
    </row>
    <row r="97" spans="1:14" x14ac:dyDescent="0.25">
      <c r="A97" s="4" t="s">
        <v>1239</v>
      </c>
      <c r="B97" s="4" t="s">
        <v>1283</v>
      </c>
      <c r="C97" s="3">
        <v>1.2510000000000001E-5</v>
      </c>
      <c r="D97" s="3">
        <v>1.2300000000000001E-5</v>
      </c>
      <c r="E97" s="3">
        <v>1.2510000000000001E-5</v>
      </c>
      <c r="F97" s="3">
        <v>1.2300000000000001E-5</v>
      </c>
      <c r="G97">
        <f t="shared" si="12"/>
        <v>6</v>
      </c>
      <c r="H97" t="str">
        <f t="shared" si="19"/>
        <v>BTC</v>
      </c>
      <c r="I97" t="str">
        <f t="shared" si="20"/>
        <v>ARC</v>
      </c>
      <c r="J97" t="str">
        <f t="shared" si="13"/>
        <v>BTCARC</v>
      </c>
      <c r="K97" t="str">
        <f t="shared" si="14"/>
        <v>ARCBTC</v>
      </c>
      <c r="L97">
        <f t="shared" si="15"/>
        <v>0</v>
      </c>
      <c r="M97">
        <f t="shared" si="16"/>
        <v>2</v>
      </c>
      <c r="N97" t="b">
        <f t="shared" si="17"/>
        <v>1</v>
      </c>
    </row>
    <row r="98" spans="1:14" x14ac:dyDescent="0.25">
      <c r="A98" s="4" t="s">
        <v>1403</v>
      </c>
      <c r="B98" s="4" t="s">
        <v>1283</v>
      </c>
      <c r="C98" s="3">
        <v>1.112E-5</v>
      </c>
      <c r="D98" s="3">
        <v>1.2099999999999999E-5</v>
      </c>
      <c r="E98" s="3">
        <v>1.2099999999999999E-5</v>
      </c>
      <c r="F98" s="3">
        <v>1.111E-5</v>
      </c>
      <c r="G98">
        <f t="shared" si="12"/>
        <v>6</v>
      </c>
      <c r="H98" t="str">
        <f t="shared" si="19"/>
        <v>BTC</v>
      </c>
      <c r="I98" t="str">
        <f t="shared" si="20"/>
        <v>ARC</v>
      </c>
      <c r="J98" t="str">
        <f t="shared" si="13"/>
        <v>BTCARC</v>
      </c>
      <c r="K98" t="str">
        <f t="shared" si="14"/>
        <v>ARCBTC</v>
      </c>
      <c r="L98">
        <f t="shared" si="15"/>
        <v>0</v>
      </c>
      <c r="M98">
        <f t="shared" si="16"/>
        <v>2</v>
      </c>
      <c r="N98" t="b">
        <f t="shared" si="17"/>
        <v>1</v>
      </c>
    </row>
    <row r="99" spans="1:14" x14ac:dyDescent="0.25">
      <c r="A99" s="4" t="s">
        <v>1239</v>
      </c>
      <c r="B99" s="4" t="s">
        <v>1282</v>
      </c>
      <c r="C99" s="3">
        <v>3.7859999999999998E-2</v>
      </c>
      <c r="D99" s="3">
        <v>2.5020000000000001E-2</v>
      </c>
      <c r="E99" s="3">
        <v>3.7859999999999998E-2</v>
      </c>
      <c r="F99" s="3">
        <v>2.5020000000000001E-2</v>
      </c>
      <c r="G99">
        <f t="shared" si="12"/>
        <v>6</v>
      </c>
      <c r="H99" t="str">
        <f t="shared" si="19"/>
        <v>USD</v>
      </c>
      <c r="I99" t="str">
        <f t="shared" si="20"/>
        <v>ARC</v>
      </c>
      <c r="J99" t="str">
        <f t="shared" si="13"/>
        <v>USDARC</v>
      </c>
      <c r="K99" t="str">
        <f t="shared" si="14"/>
        <v>ARCUSD</v>
      </c>
      <c r="L99">
        <f t="shared" si="15"/>
        <v>0</v>
      </c>
      <c r="M99">
        <f t="shared" si="16"/>
        <v>2</v>
      </c>
      <c r="N99" t="b">
        <f t="shared" si="17"/>
        <v>1</v>
      </c>
    </row>
    <row r="100" spans="1:14" x14ac:dyDescent="0.25">
      <c r="A100" s="4" t="s">
        <v>1403</v>
      </c>
      <c r="B100" s="4" t="s">
        <v>1282</v>
      </c>
      <c r="C100" s="3">
        <v>9.99998E-2</v>
      </c>
      <c r="D100" s="3">
        <v>9.99998E-2</v>
      </c>
      <c r="E100" s="3">
        <v>9.99998E-2</v>
      </c>
      <c r="F100" s="3">
        <v>1.5000299999999999E-2</v>
      </c>
      <c r="G100">
        <f t="shared" si="12"/>
        <v>6</v>
      </c>
      <c r="H100" t="str">
        <f t="shared" si="19"/>
        <v>USD</v>
      </c>
      <c r="I100" t="str">
        <f t="shared" si="20"/>
        <v>ARC</v>
      </c>
      <c r="J100" t="str">
        <f t="shared" si="13"/>
        <v>USDARC</v>
      </c>
      <c r="K100" t="str">
        <f t="shared" si="14"/>
        <v>ARCUSD</v>
      </c>
      <c r="L100">
        <f t="shared" si="15"/>
        <v>0</v>
      </c>
      <c r="M100">
        <f t="shared" si="16"/>
        <v>2</v>
      </c>
      <c r="N100" t="b">
        <f t="shared" si="17"/>
        <v>1</v>
      </c>
    </row>
    <row r="101" spans="1:14" x14ac:dyDescent="0.25">
      <c r="A101" s="4" t="s">
        <v>5</v>
      </c>
      <c r="B101" s="4" t="s">
        <v>1022</v>
      </c>
      <c r="C101" s="3">
        <v>5.6899999999999997E-6</v>
      </c>
      <c r="D101" s="3">
        <v>5.66E-6</v>
      </c>
      <c r="E101" s="3">
        <v>5.6899999999999997E-6</v>
      </c>
      <c r="F101" s="3">
        <v>5.66E-6</v>
      </c>
      <c r="G101">
        <f t="shared" si="12"/>
        <v>7</v>
      </c>
      <c r="H101" t="str">
        <f t="shared" si="19"/>
        <v>BTC</v>
      </c>
      <c r="I101" t="str">
        <f>LEFT(B101,4)</f>
        <v>BASH</v>
      </c>
      <c r="J101" t="str">
        <f t="shared" si="13"/>
        <v>BTCBASH</v>
      </c>
      <c r="K101" t="str">
        <f t="shared" si="14"/>
        <v>BASHBTC</v>
      </c>
      <c r="L101">
        <f t="shared" si="15"/>
        <v>0</v>
      </c>
      <c r="M101">
        <f t="shared" si="16"/>
        <v>2</v>
      </c>
      <c r="N101" t="b">
        <f t="shared" si="17"/>
        <v>1</v>
      </c>
    </row>
    <row r="102" spans="1:14" x14ac:dyDescent="0.25">
      <c r="A102" s="4" t="s">
        <v>1403</v>
      </c>
      <c r="B102" s="4" t="s">
        <v>1022</v>
      </c>
      <c r="C102" s="3">
        <v>6.1999999999999999E-6</v>
      </c>
      <c r="D102" s="3">
        <v>6.1999999999999999E-6</v>
      </c>
      <c r="E102" s="3">
        <v>6.46E-6</v>
      </c>
      <c r="F102" s="3" t="s">
        <v>328</v>
      </c>
      <c r="G102">
        <f t="shared" si="12"/>
        <v>7</v>
      </c>
      <c r="H102" t="str">
        <f t="shared" si="19"/>
        <v>BTC</v>
      </c>
      <c r="I102" t="str">
        <f>LEFT(B102,4)</f>
        <v>BASH</v>
      </c>
      <c r="J102" t="str">
        <f t="shared" si="13"/>
        <v>BTCBASH</v>
      </c>
      <c r="K102" t="str">
        <f t="shared" si="14"/>
        <v>BASHBTC</v>
      </c>
      <c r="L102">
        <f t="shared" si="15"/>
        <v>0</v>
      </c>
      <c r="M102">
        <f t="shared" si="16"/>
        <v>2</v>
      </c>
      <c r="N102" t="b">
        <f t="shared" si="17"/>
        <v>1</v>
      </c>
    </row>
    <row r="103" spans="1:14" x14ac:dyDescent="0.25">
      <c r="A103" s="4" t="s">
        <v>27</v>
      </c>
      <c r="B103" s="4" t="s">
        <v>36</v>
      </c>
      <c r="C103" s="3">
        <v>0.90600000000000003</v>
      </c>
      <c r="D103" s="3">
        <v>0.85</v>
      </c>
      <c r="E103" s="3">
        <v>0.90600000000000003</v>
      </c>
      <c r="F103" s="3">
        <v>0.82452446645440003</v>
      </c>
      <c r="G103">
        <f t="shared" si="12"/>
        <v>6</v>
      </c>
      <c r="H103" t="str">
        <f t="shared" si="19"/>
        <v>BTC</v>
      </c>
      <c r="I103" t="str">
        <f>LEFT(B103,3)</f>
        <v>BCC</v>
      </c>
      <c r="J103" t="str">
        <f t="shared" si="13"/>
        <v>BTCBCC</v>
      </c>
      <c r="K103" t="str">
        <f t="shared" si="14"/>
        <v>BCCBTC</v>
      </c>
      <c r="L103">
        <f t="shared" si="15"/>
        <v>0</v>
      </c>
      <c r="M103">
        <f t="shared" si="16"/>
        <v>2</v>
      </c>
      <c r="N103" t="b">
        <f t="shared" si="17"/>
        <v>1</v>
      </c>
    </row>
    <row r="104" spans="1:14" x14ac:dyDescent="0.25">
      <c r="A104" s="4" t="s">
        <v>1239</v>
      </c>
      <c r="B104" s="4" t="s">
        <v>36</v>
      </c>
      <c r="C104" s="3">
        <v>2.046183E-2</v>
      </c>
      <c r="D104" s="3">
        <v>1.9910000000000001E-2</v>
      </c>
      <c r="E104" s="3">
        <v>2.04618826023556E-2</v>
      </c>
      <c r="F104" s="3">
        <v>1.9359060354799999E-2</v>
      </c>
      <c r="G104">
        <f t="shared" si="12"/>
        <v>6</v>
      </c>
      <c r="H104" t="str">
        <f t="shared" si="19"/>
        <v>BTC</v>
      </c>
      <c r="I104" t="str">
        <f>LEFT(B104,3)</f>
        <v>BCC</v>
      </c>
      <c r="J104" t="str">
        <f t="shared" si="13"/>
        <v>BTCBCC</v>
      </c>
      <c r="K104" t="str">
        <f t="shared" si="14"/>
        <v>BCCBTC</v>
      </c>
      <c r="L104">
        <f t="shared" si="15"/>
        <v>0</v>
      </c>
      <c r="M104">
        <f t="shared" si="16"/>
        <v>2</v>
      </c>
      <c r="N104" t="b">
        <f t="shared" si="17"/>
        <v>1</v>
      </c>
    </row>
    <row r="105" spans="1:14" x14ac:dyDescent="0.25">
      <c r="A105" s="4" t="s">
        <v>5</v>
      </c>
      <c r="B105" s="4" t="s">
        <v>1046</v>
      </c>
      <c r="C105" s="3">
        <v>1.8E-5</v>
      </c>
      <c r="D105" s="3">
        <v>1.08E-5</v>
      </c>
      <c r="E105" s="3">
        <v>1.8E-5</v>
      </c>
      <c r="F105" s="3">
        <v>1.08E-5</v>
      </c>
      <c r="G105">
        <f t="shared" si="12"/>
        <v>6</v>
      </c>
      <c r="H105" t="str">
        <f t="shared" si="19"/>
        <v>BTC</v>
      </c>
      <c r="I105" t="str">
        <f>LEFT(B105,3)</f>
        <v>BHC</v>
      </c>
      <c r="J105" t="str">
        <f t="shared" si="13"/>
        <v>BTCBHC</v>
      </c>
      <c r="K105" t="str">
        <f t="shared" si="14"/>
        <v>BHCBTC</v>
      </c>
      <c r="L105">
        <f t="shared" si="15"/>
        <v>0</v>
      </c>
      <c r="M105">
        <f t="shared" si="16"/>
        <v>2</v>
      </c>
      <c r="N105" t="b">
        <f t="shared" si="17"/>
        <v>1</v>
      </c>
    </row>
    <row r="106" spans="1:14" x14ac:dyDescent="0.25">
      <c r="A106" s="4" t="s">
        <v>1403</v>
      </c>
      <c r="B106" s="4" t="s">
        <v>1046</v>
      </c>
      <c r="C106" s="3" t="s">
        <v>1413</v>
      </c>
      <c r="D106" s="3">
        <v>2.499E-5</v>
      </c>
      <c r="E106" s="3">
        <v>2.9989999999999999E-5</v>
      </c>
      <c r="F106" s="3">
        <v>2.001E-5</v>
      </c>
      <c r="G106">
        <f t="shared" si="12"/>
        <v>6</v>
      </c>
      <c r="H106" t="str">
        <f t="shared" si="19"/>
        <v>BTC</v>
      </c>
      <c r="I106" t="str">
        <f>LEFT(B106,3)</f>
        <v>BHC</v>
      </c>
      <c r="J106" t="str">
        <f t="shared" si="13"/>
        <v>BTCBHC</v>
      </c>
      <c r="K106" t="str">
        <f t="shared" si="14"/>
        <v>BHCBTC</v>
      </c>
      <c r="L106">
        <f t="shared" si="15"/>
        <v>0</v>
      </c>
      <c r="M106">
        <f t="shared" si="16"/>
        <v>2</v>
      </c>
      <c r="N106" t="b">
        <f t="shared" si="17"/>
        <v>1</v>
      </c>
    </row>
    <row r="107" spans="1:14" x14ac:dyDescent="0.25">
      <c r="A107" s="4" t="s">
        <v>5</v>
      </c>
      <c r="B107" s="4" t="s">
        <v>559</v>
      </c>
      <c r="C107" s="3">
        <v>3.1E-7</v>
      </c>
      <c r="D107" s="3">
        <v>2.4999999999999999E-7</v>
      </c>
      <c r="E107" s="3">
        <v>3.1E-7</v>
      </c>
      <c r="F107" s="3">
        <v>2.4999999999999999E-7</v>
      </c>
      <c r="G107">
        <f t="shared" si="12"/>
        <v>7</v>
      </c>
      <c r="H107" t="str">
        <f t="shared" si="19"/>
        <v>BTC</v>
      </c>
      <c r="I107" t="str">
        <f>LEFT(B107,4)</f>
        <v>BIOS</v>
      </c>
      <c r="J107" t="str">
        <f t="shared" si="13"/>
        <v>BTCBIOS</v>
      </c>
      <c r="K107" t="str">
        <f t="shared" si="14"/>
        <v>BIOSBTC</v>
      </c>
      <c r="L107">
        <f t="shared" si="15"/>
        <v>0</v>
      </c>
      <c r="M107">
        <f t="shared" si="16"/>
        <v>2</v>
      </c>
      <c r="N107" t="b">
        <f t="shared" si="17"/>
        <v>1</v>
      </c>
    </row>
    <row r="108" spans="1:14" x14ac:dyDescent="0.25">
      <c r="A108" s="4" t="s">
        <v>1403</v>
      </c>
      <c r="B108" s="4" t="s">
        <v>559</v>
      </c>
      <c r="C108" s="3">
        <v>3.4999999999999998E-7</v>
      </c>
      <c r="D108" s="3">
        <v>3.4999999999999998E-7</v>
      </c>
      <c r="E108" s="3" t="s">
        <v>409</v>
      </c>
      <c r="F108" s="3">
        <v>3.1E-7</v>
      </c>
      <c r="G108">
        <f t="shared" si="12"/>
        <v>7</v>
      </c>
      <c r="H108" t="str">
        <f t="shared" si="19"/>
        <v>BTC</v>
      </c>
      <c r="I108" t="str">
        <f>LEFT(B108,4)</f>
        <v>BIOS</v>
      </c>
      <c r="J108" t="str">
        <f t="shared" si="13"/>
        <v>BTCBIOS</v>
      </c>
      <c r="K108" t="str">
        <f t="shared" si="14"/>
        <v>BIOSBTC</v>
      </c>
      <c r="L108">
        <f t="shared" si="15"/>
        <v>0</v>
      </c>
      <c r="M108">
        <f t="shared" si="16"/>
        <v>2</v>
      </c>
      <c r="N108" t="b">
        <f t="shared" si="17"/>
        <v>1</v>
      </c>
    </row>
    <row r="109" spans="1:14" x14ac:dyDescent="0.25">
      <c r="A109" s="4" t="s">
        <v>1239</v>
      </c>
      <c r="B109" s="4" t="s">
        <v>1301</v>
      </c>
      <c r="C109" s="3">
        <v>4.07E-6</v>
      </c>
      <c r="D109" s="3">
        <v>3.23E-6</v>
      </c>
      <c r="E109" s="3">
        <v>4.07E-6</v>
      </c>
      <c r="F109" s="3">
        <v>3.23E-6</v>
      </c>
      <c r="G109">
        <f t="shared" si="12"/>
        <v>6</v>
      </c>
      <c r="H109" t="str">
        <f t="shared" si="19"/>
        <v>BTC</v>
      </c>
      <c r="I109" t="str">
        <f t="shared" ref="I109:I134" si="21">LEFT(B109,3)</f>
        <v>BIT</v>
      </c>
      <c r="J109" t="str">
        <f t="shared" si="13"/>
        <v>BTCBIT</v>
      </c>
      <c r="K109" t="str">
        <f t="shared" si="14"/>
        <v>BITBTC</v>
      </c>
      <c r="L109">
        <f t="shared" si="15"/>
        <v>0</v>
      </c>
      <c r="M109">
        <f t="shared" si="16"/>
        <v>2</v>
      </c>
      <c r="N109" t="b">
        <f t="shared" si="17"/>
        <v>1</v>
      </c>
    </row>
    <row r="110" spans="1:14" x14ac:dyDescent="0.25">
      <c r="A110" s="4" t="s">
        <v>1403</v>
      </c>
      <c r="B110" s="4" t="s">
        <v>1301</v>
      </c>
      <c r="C110" s="3">
        <v>1.28E-6</v>
      </c>
      <c r="D110" s="3">
        <v>1.86E-6</v>
      </c>
      <c r="E110" s="3">
        <v>1.7999999999999999E-6</v>
      </c>
      <c r="F110" s="3">
        <v>1.31E-6</v>
      </c>
      <c r="G110">
        <f t="shared" si="12"/>
        <v>6</v>
      </c>
      <c r="H110" t="str">
        <f t="shared" si="19"/>
        <v>BTC</v>
      </c>
      <c r="I110" t="str">
        <f t="shared" si="21"/>
        <v>BIT</v>
      </c>
      <c r="J110" t="str">
        <f t="shared" si="13"/>
        <v>BTCBIT</v>
      </c>
      <c r="K110" t="str">
        <f t="shared" si="14"/>
        <v>BITBTC</v>
      </c>
      <c r="L110">
        <f t="shared" si="15"/>
        <v>0</v>
      </c>
      <c r="M110">
        <f t="shared" si="16"/>
        <v>2</v>
      </c>
      <c r="N110" t="b">
        <f t="shared" si="17"/>
        <v>1</v>
      </c>
    </row>
    <row r="111" spans="1:14" x14ac:dyDescent="0.25">
      <c r="A111" s="4" t="s">
        <v>5</v>
      </c>
      <c r="B111" s="4" t="s">
        <v>458</v>
      </c>
      <c r="C111" s="3">
        <v>4.5999999999999999E-7</v>
      </c>
      <c r="D111" s="3">
        <v>3.8000000000000001E-7</v>
      </c>
      <c r="E111" s="3">
        <v>4.5999999999999999E-7</v>
      </c>
      <c r="F111" s="3">
        <v>3.8000000000000001E-7</v>
      </c>
      <c r="G111">
        <f t="shared" si="12"/>
        <v>6</v>
      </c>
      <c r="H111" t="str">
        <f t="shared" si="19"/>
        <v>BTC</v>
      </c>
      <c r="I111" t="str">
        <f t="shared" si="21"/>
        <v>BLU</v>
      </c>
      <c r="J111" t="str">
        <f t="shared" si="13"/>
        <v>BTCBLU</v>
      </c>
      <c r="K111" t="str">
        <f t="shared" si="14"/>
        <v>BLUBTC</v>
      </c>
      <c r="L111">
        <f t="shared" si="15"/>
        <v>0</v>
      </c>
      <c r="M111">
        <f t="shared" si="16"/>
        <v>2</v>
      </c>
      <c r="N111" t="b">
        <f t="shared" si="17"/>
        <v>1</v>
      </c>
    </row>
    <row r="112" spans="1:14" x14ac:dyDescent="0.25">
      <c r="A112" s="4" t="s">
        <v>1239</v>
      </c>
      <c r="B112" s="4" t="s">
        <v>458</v>
      </c>
      <c r="C112" s="3">
        <v>5.0999999999999999E-7</v>
      </c>
      <c r="D112" s="3">
        <v>4.4999999999999998E-7</v>
      </c>
      <c r="E112" s="3">
        <v>5.0999999999999999E-7</v>
      </c>
      <c r="F112" s="3">
        <v>4.4999999999999998E-7</v>
      </c>
      <c r="G112">
        <f t="shared" si="12"/>
        <v>6</v>
      </c>
      <c r="H112" t="str">
        <f t="shared" si="19"/>
        <v>BTC</v>
      </c>
      <c r="I112" t="str">
        <f t="shared" si="21"/>
        <v>BLU</v>
      </c>
      <c r="J112" t="str">
        <f t="shared" si="13"/>
        <v>BTCBLU</v>
      </c>
      <c r="K112" t="str">
        <f t="shared" si="14"/>
        <v>BLUBTC</v>
      </c>
      <c r="L112">
        <f t="shared" si="15"/>
        <v>0</v>
      </c>
      <c r="M112">
        <f t="shared" si="16"/>
        <v>2</v>
      </c>
      <c r="N112" t="b">
        <f t="shared" si="17"/>
        <v>1</v>
      </c>
    </row>
    <row r="113" spans="1:14" x14ac:dyDescent="0.25">
      <c r="A113" s="4" t="s">
        <v>5</v>
      </c>
      <c r="B113" s="4" t="s">
        <v>845</v>
      </c>
      <c r="C113" s="3">
        <v>2.4000000000000001E-5</v>
      </c>
      <c r="D113" s="3">
        <v>2.1999999999999999E-5</v>
      </c>
      <c r="E113" s="3">
        <v>2.4000000000000001E-5</v>
      </c>
      <c r="F113" s="3">
        <v>2.1999999999999999E-5</v>
      </c>
      <c r="G113">
        <f t="shared" si="12"/>
        <v>6</v>
      </c>
      <c r="H113" t="str">
        <f t="shared" si="19"/>
        <v>BTC</v>
      </c>
      <c r="I113" t="str">
        <f t="shared" si="21"/>
        <v>BPC</v>
      </c>
      <c r="J113" t="str">
        <f t="shared" si="13"/>
        <v>BTCBPC</v>
      </c>
      <c r="K113" t="str">
        <f t="shared" si="14"/>
        <v>BPCBTC</v>
      </c>
      <c r="L113">
        <f t="shared" si="15"/>
        <v>0</v>
      </c>
      <c r="M113">
        <f t="shared" si="16"/>
        <v>2</v>
      </c>
      <c r="N113" t="b">
        <f t="shared" si="17"/>
        <v>1</v>
      </c>
    </row>
    <row r="114" spans="1:14" x14ac:dyDescent="0.25">
      <c r="A114" s="4" t="s">
        <v>1239</v>
      </c>
      <c r="B114" s="4" t="s">
        <v>845</v>
      </c>
      <c r="C114" s="3">
        <v>5.1490000000000003E-5</v>
      </c>
      <c r="D114" s="3">
        <v>3.5070000000000001E-5</v>
      </c>
      <c r="E114" s="3">
        <v>5.1490000000000003E-5</v>
      </c>
      <c r="F114" s="3">
        <v>3.5070000000000001E-5</v>
      </c>
      <c r="G114">
        <f t="shared" si="12"/>
        <v>6</v>
      </c>
      <c r="H114" t="str">
        <f t="shared" si="19"/>
        <v>BTC</v>
      </c>
      <c r="I114" t="str">
        <f t="shared" si="21"/>
        <v>BPC</v>
      </c>
      <c r="J114" t="str">
        <f t="shared" si="13"/>
        <v>BTCBPC</v>
      </c>
      <c r="K114" t="str">
        <f t="shared" si="14"/>
        <v>BPCBTC</v>
      </c>
      <c r="L114">
        <f t="shared" si="15"/>
        <v>0</v>
      </c>
      <c r="M114">
        <f t="shared" si="16"/>
        <v>2</v>
      </c>
      <c r="N114" t="b">
        <f t="shared" si="17"/>
        <v>1</v>
      </c>
    </row>
    <row r="115" spans="1:14" x14ac:dyDescent="0.25">
      <c r="A115" s="4" t="s">
        <v>1</v>
      </c>
      <c r="B115" s="4" t="s">
        <v>55</v>
      </c>
      <c r="C115" s="3">
        <v>2.0662999999999999E-4</v>
      </c>
      <c r="D115" s="3">
        <v>2.041E-4</v>
      </c>
      <c r="E115" s="3">
        <v>2.0662999999999999E-4</v>
      </c>
      <c r="F115" s="3">
        <v>2.041E-4</v>
      </c>
      <c r="G115">
        <f t="shared" si="12"/>
        <v>6</v>
      </c>
      <c r="H115" t="str">
        <f t="shared" si="19"/>
        <v>BCY</v>
      </c>
      <c r="I115" t="str">
        <f t="shared" si="21"/>
        <v>BTC</v>
      </c>
      <c r="J115" t="str">
        <f t="shared" si="13"/>
        <v>BCYBTC</v>
      </c>
      <c r="K115" t="str">
        <f t="shared" si="14"/>
        <v>BTCBCY</v>
      </c>
      <c r="L115">
        <f t="shared" si="15"/>
        <v>0</v>
      </c>
      <c r="M115">
        <f t="shared" si="16"/>
        <v>2</v>
      </c>
      <c r="N115" t="b">
        <f t="shared" si="17"/>
        <v>1</v>
      </c>
    </row>
    <row r="116" spans="1:14" x14ac:dyDescent="0.25">
      <c r="A116" s="4" t="s">
        <v>2</v>
      </c>
      <c r="B116" s="4" t="s">
        <v>55</v>
      </c>
      <c r="C116" s="3">
        <v>2.0797E-4</v>
      </c>
      <c r="D116" s="3">
        <v>2.0325000000000001E-4</v>
      </c>
      <c r="E116" s="3">
        <v>2.0797E-4</v>
      </c>
      <c r="F116" s="3">
        <v>2.0325000000000001E-4</v>
      </c>
      <c r="G116">
        <f t="shared" si="12"/>
        <v>6</v>
      </c>
      <c r="H116" t="str">
        <f t="shared" si="19"/>
        <v>BCY</v>
      </c>
      <c r="I116" t="str">
        <f t="shared" si="21"/>
        <v>BTC</v>
      </c>
      <c r="J116" t="str">
        <f t="shared" si="13"/>
        <v>BCYBTC</v>
      </c>
      <c r="K116" t="str">
        <f t="shared" si="14"/>
        <v>BTCBCY</v>
      </c>
      <c r="L116">
        <f t="shared" si="15"/>
        <v>0</v>
      </c>
      <c r="M116">
        <f t="shared" si="16"/>
        <v>2</v>
      </c>
      <c r="N116" t="b">
        <f t="shared" si="17"/>
        <v>1</v>
      </c>
    </row>
    <row r="117" spans="1:14" x14ac:dyDescent="0.25">
      <c r="A117" s="4" t="s">
        <v>1</v>
      </c>
      <c r="B117" s="4" t="s">
        <v>48</v>
      </c>
      <c r="C117" s="3">
        <v>2.455E-5</v>
      </c>
      <c r="D117" s="3">
        <v>2.4409999999999998E-5</v>
      </c>
      <c r="E117" s="3">
        <v>2.455E-5</v>
      </c>
      <c r="F117" s="3">
        <v>2.4430000000000002E-5</v>
      </c>
      <c r="G117">
        <f t="shared" si="12"/>
        <v>7</v>
      </c>
      <c r="H117" t="str">
        <f>RIGHT(B117,4)</f>
        <v>EMC2</v>
      </c>
      <c r="I117" t="str">
        <f t="shared" si="21"/>
        <v>BTC</v>
      </c>
      <c r="J117" t="str">
        <f t="shared" si="13"/>
        <v>EMC2BTC</v>
      </c>
      <c r="K117" t="str">
        <f t="shared" si="14"/>
        <v>BTCEMC2</v>
      </c>
      <c r="L117">
        <f t="shared" si="15"/>
        <v>0</v>
      </c>
      <c r="M117">
        <f t="shared" si="16"/>
        <v>2</v>
      </c>
      <c r="N117" t="b">
        <f t="shared" si="17"/>
        <v>1</v>
      </c>
    </row>
    <row r="118" spans="1:14" x14ac:dyDescent="0.25">
      <c r="A118" s="4" t="s">
        <v>2</v>
      </c>
      <c r="B118" s="4" t="s">
        <v>48</v>
      </c>
      <c r="C118" s="3">
        <v>2.3E-5</v>
      </c>
      <c r="D118" s="3">
        <v>2.1880000000000001E-5</v>
      </c>
      <c r="E118" s="3">
        <v>2.3E-5</v>
      </c>
      <c r="F118" s="3">
        <v>2.1880000000000001E-5</v>
      </c>
      <c r="G118">
        <f t="shared" si="12"/>
        <v>7</v>
      </c>
      <c r="H118" t="str">
        <f>RIGHT(B118,4)</f>
        <v>EMC2</v>
      </c>
      <c r="I118" t="str">
        <f t="shared" si="21"/>
        <v>BTC</v>
      </c>
      <c r="J118" t="str">
        <f t="shared" si="13"/>
        <v>EMC2BTC</v>
      </c>
      <c r="K118" t="str">
        <f t="shared" si="14"/>
        <v>BTCEMC2</v>
      </c>
      <c r="L118">
        <f t="shared" si="15"/>
        <v>0</v>
      </c>
      <c r="M118">
        <f t="shared" si="16"/>
        <v>2</v>
      </c>
      <c r="N118" t="b">
        <f t="shared" si="17"/>
        <v>1</v>
      </c>
    </row>
    <row r="119" spans="1:14" x14ac:dyDescent="0.25">
      <c r="A119" s="4" t="s">
        <v>1</v>
      </c>
      <c r="B119" s="4" t="s">
        <v>59</v>
      </c>
      <c r="C119" s="3">
        <v>1.038266E-2</v>
      </c>
      <c r="D119" s="3">
        <v>1.038241E-2</v>
      </c>
      <c r="E119" s="3">
        <v>1.038266E-2</v>
      </c>
      <c r="F119" s="3">
        <v>1.038241E-2</v>
      </c>
      <c r="G119">
        <f t="shared" si="12"/>
        <v>6</v>
      </c>
      <c r="H119" t="str">
        <f t="shared" ref="H119:H124" si="22">RIGHT(B119,3)</f>
        <v>FCT</v>
      </c>
      <c r="I119" t="str">
        <f t="shared" si="21"/>
        <v>BTC</v>
      </c>
      <c r="J119" t="str">
        <f t="shared" si="13"/>
        <v>FCTBTC</v>
      </c>
      <c r="K119" t="str">
        <f t="shared" si="14"/>
        <v>BTCFCT</v>
      </c>
      <c r="L119">
        <f t="shared" si="15"/>
        <v>0</v>
      </c>
      <c r="M119">
        <f t="shared" si="16"/>
        <v>2</v>
      </c>
      <c r="N119" t="b">
        <f t="shared" si="17"/>
        <v>1</v>
      </c>
    </row>
    <row r="120" spans="1:14" x14ac:dyDescent="0.25">
      <c r="A120" s="4" t="s">
        <v>2</v>
      </c>
      <c r="B120" s="4" t="s">
        <v>59</v>
      </c>
      <c r="C120" s="3">
        <v>1.036961E-2</v>
      </c>
      <c r="D120" s="3">
        <v>1.0315909999999999E-2</v>
      </c>
      <c r="E120" s="3">
        <v>1.036961E-2</v>
      </c>
      <c r="F120" s="3">
        <v>1.0315909999999999E-2</v>
      </c>
      <c r="G120">
        <f t="shared" si="12"/>
        <v>6</v>
      </c>
      <c r="H120" t="str">
        <f t="shared" si="22"/>
        <v>FCT</v>
      </c>
      <c r="I120" t="str">
        <f t="shared" si="21"/>
        <v>BTC</v>
      </c>
      <c r="J120" t="str">
        <f t="shared" si="13"/>
        <v>FCTBTC</v>
      </c>
      <c r="K120" t="str">
        <f t="shared" si="14"/>
        <v>BTCFCT</v>
      </c>
      <c r="L120">
        <f t="shared" si="15"/>
        <v>0</v>
      </c>
      <c r="M120">
        <f t="shared" si="16"/>
        <v>2</v>
      </c>
      <c r="N120" t="b">
        <f t="shared" si="17"/>
        <v>1</v>
      </c>
    </row>
    <row r="121" spans="1:14" x14ac:dyDescent="0.25">
      <c r="A121" s="4" t="s">
        <v>1</v>
      </c>
      <c r="B121" s="4" t="s">
        <v>52</v>
      </c>
      <c r="C121" s="3">
        <v>1.9799999999999999E-4</v>
      </c>
      <c r="D121" s="3">
        <v>1.9759000000000001E-4</v>
      </c>
      <c r="E121" s="3">
        <v>1.9799999999999999E-4</v>
      </c>
      <c r="F121" s="3">
        <v>1.9759000000000001E-4</v>
      </c>
      <c r="G121">
        <f t="shared" si="12"/>
        <v>6</v>
      </c>
      <c r="H121" t="str">
        <f t="shared" si="22"/>
        <v>GNT</v>
      </c>
      <c r="I121" t="str">
        <f t="shared" si="21"/>
        <v>BTC</v>
      </c>
      <c r="J121" t="str">
        <f t="shared" si="13"/>
        <v>GNTBTC</v>
      </c>
      <c r="K121" t="str">
        <f t="shared" si="14"/>
        <v>BTCGNT</v>
      </c>
      <c r="L121">
        <f t="shared" si="15"/>
        <v>0</v>
      </c>
      <c r="M121">
        <f t="shared" si="16"/>
        <v>2</v>
      </c>
      <c r="N121" t="b">
        <f t="shared" si="17"/>
        <v>1</v>
      </c>
    </row>
    <row r="122" spans="1:14" x14ac:dyDescent="0.25">
      <c r="A122" s="4" t="s">
        <v>2</v>
      </c>
      <c r="B122" s="4" t="s">
        <v>52</v>
      </c>
      <c r="C122" s="3">
        <v>1.9963000000000001E-4</v>
      </c>
      <c r="D122" s="3">
        <v>1.985E-4</v>
      </c>
      <c r="E122" s="3">
        <v>1.9963000000000001E-4</v>
      </c>
      <c r="F122" s="3">
        <v>1.985E-4</v>
      </c>
      <c r="G122">
        <f t="shared" si="12"/>
        <v>6</v>
      </c>
      <c r="H122" t="str">
        <f t="shared" si="22"/>
        <v>GNT</v>
      </c>
      <c r="I122" t="str">
        <f t="shared" si="21"/>
        <v>BTC</v>
      </c>
      <c r="J122" t="str">
        <f t="shared" si="13"/>
        <v>GNTBTC</v>
      </c>
      <c r="K122" t="str">
        <f t="shared" si="14"/>
        <v>BTCGNT</v>
      </c>
      <c r="L122">
        <f t="shared" si="15"/>
        <v>0</v>
      </c>
      <c r="M122">
        <f t="shared" si="16"/>
        <v>2</v>
      </c>
      <c r="N122" t="b">
        <f t="shared" si="17"/>
        <v>1</v>
      </c>
    </row>
    <row r="123" spans="1:14" x14ac:dyDescent="0.25">
      <c r="A123" s="4" t="s">
        <v>1</v>
      </c>
      <c r="B123" s="4" t="s">
        <v>62</v>
      </c>
      <c r="C123" s="3">
        <v>2.6233000000000002E-4</v>
      </c>
      <c r="D123" s="3">
        <v>2.61E-4</v>
      </c>
      <c r="E123" s="3">
        <v>2.6225E-4</v>
      </c>
      <c r="F123" s="3">
        <v>2.61E-4</v>
      </c>
      <c r="G123">
        <f t="shared" si="12"/>
        <v>6</v>
      </c>
      <c r="H123" t="str">
        <f t="shared" si="22"/>
        <v>LBC</v>
      </c>
      <c r="I123" t="str">
        <f t="shared" si="21"/>
        <v>BTC</v>
      </c>
      <c r="J123" t="str">
        <f t="shared" si="13"/>
        <v>LBCBTC</v>
      </c>
      <c r="K123" t="str">
        <f t="shared" si="14"/>
        <v>BTCLBC</v>
      </c>
      <c r="L123">
        <f t="shared" si="15"/>
        <v>0</v>
      </c>
      <c r="M123">
        <f t="shared" si="16"/>
        <v>2</v>
      </c>
      <c r="N123" t="b">
        <f t="shared" si="17"/>
        <v>1</v>
      </c>
    </row>
    <row r="124" spans="1:14" x14ac:dyDescent="0.25">
      <c r="A124" s="4" t="s">
        <v>2</v>
      </c>
      <c r="B124" s="4" t="s">
        <v>62</v>
      </c>
      <c r="C124" s="3">
        <v>2.6400000000000002E-4</v>
      </c>
      <c r="D124" s="3">
        <v>2.5835000000000002E-4</v>
      </c>
      <c r="E124" s="3">
        <v>2.6400000000000002E-4</v>
      </c>
      <c r="F124" s="3">
        <v>2.5835000000000002E-4</v>
      </c>
      <c r="G124">
        <f t="shared" si="12"/>
        <v>6</v>
      </c>
      <c r="H124" t="str">
        <f t="shared" si="22"/>
        <v>LBC</v>
      </c>
      <c r="I124" t="str">
        <f t="shared" si="21"/>
        <v>BTC</v>
      </c>
      <c r="J124" t="str">
        <f t="shared" si="13"/>
        <v>LBCBTC</v>
      </c>
      <c r="K124" t="str">
        <f t="shared" si="14"/>
        <v>BTCLBC</v>
      </c>
      <c r="L124">
        <f t="shared" si="15"/>
        <v>0</v>
      </c>
      <c r="M124">
        <f t="shared" si="16"/>
        <v>2</v>
      </c>
      <c r="N124" t="b">
        <f t="shared" si="17"/>
        <v>1</v>
      </c>
    </row>
    <row r="125" spans="1:14" x14ac:dyDescent="0.25">
      <c r="A125" s="4" t="s">
        <v>1</v>
      </c>
      <c r="B125" s="4" t="s">
        <v>78</v>
      </c>
      <c r="C125" s="3">
        <v>1.1048E-4</v>
      </c>
      <c r="D125" s="3">
        <v>1.1E-4</v>
      </c>
      <c r="E125" s="3">
        <v>1.1048E-4</v>
      </c>
      <c r="F125" s="3">
        <v>1.1E-4</v>
      </c>
      <c r="G125">
        <f t="shared" si="12"/>
        <v>7</v>
      </c>
      <c r="H125" t="str">
        <f t="shared" ref="H125:H130" si="23">RIGHT(B125,4)</f>
        <v>NAUT</v>
      </c>
      <c r="I125" t="str">
        <f t="shared" si="21"/>
        <v>BTC</v>
      </c>
      <c r="J125" t="str">
        <f t="shared" si="13"/>
        <v>NAUTBTC</v>
      </c>
      <c r="K125" t="str">
        <f t="shared" si="14"/>
        <v>BTCNAUT</v>
      </c>
      <c r="L125">
        <f t="shared" si="15"/>
        <v>0</v>
      </c>
      <c r="M125">
        <f t="shared" si="16"/>
        <v>2</v>
      </c>
      <c r="N125" t="b">
        <f t="shared" si="17"/>
        <v>1</v>
      </c>
    </row>
    <row r="126" spans="1:14" x14ac:dyDescent="0.25">
      <c r="A126" s="4" t="s">
        <v>2</v>
      </c>
      <c r="B126" s="4" t="s">
        <v>78</v>
      </c>
      <c r="C126" s="3">
        <v>1.0961E-4</v>
      </c>
      <c r="D126" s="3">
        <v>1.0789E-4</v>
      </c>
      <c r="E126" s="3">
        <v>1.0961E-4</v>
      </c>
      <c r="F126" s="3">
        <v>1.0789E-4</v>
      </c>
      <c r="G126">
        <f t="shared" si="12"/>
        <v>7</v>
      </c>
      <c r="H126" t="str">
        <f t="shared" si="23"/>
        <v>NAUT</v>
      </c>
      <c r="I126" t="str">
        <f t="shared" si="21"/>
        <v>BTC</v>
      </c>
      <c r="J126" t="str">
        <f t="shared" si="13"/>
        <v>NAUTBTC</v>
      </c>
      <c r="K126" t="str">
        <f t="shared" si="14"/>
        <v>BTCNAUT</v>
      </c>
      <c r="L126">
        <f t="shared" si="15"/>
        <v>0</v>
      </c>
      <c r="M126">
        <f t="shared" si="16"/>
        <v>2</v>
      </c>
      <c r="N126" t="b">
        <f t="shared" si="17"/>
        <v>1</v>
      </c>
    </row>
    <row r="127" spans="1:14" x14ac:dyDescent="0.25">
      <c r="A127" s="4" t="s">
        <v>1</v>
      </c>
      <c r="B127" s="4" t="s">
        <v>46</v>
      </c>
      <c r="C127" s="3">
        <v>8.1000000000000004E-6</v>
      </c>
      <c r="D127" s="3">
        <v>8.0900000000000005E-6</v>
      </c>
      <c r="E127" s="3">
        <v>8.1000000000000004E-6</v>
      </c>
      <c r="F127" s="3">
        <v>8.0900000000000005E-6</v>
      </c>
      <c r="G127">
        <f t="shared" si="12"/>
        <v>7</v>
      </c>
      <c r="H127" t="str">
        <f t="shared" si="23"/>
        <v>PINK</v>
      </c>
      <c r="I127" t="str">
        <f t="shared" si="21"/>
        <v>BTC</v>
      </c>
      <c r="J127" t="str">
        <f t="shared" si="13"/>
        <v>PINKBTC</v>
      </c>
      <c r="K127" t="str">
        <f t="shared" si="14"/>
        <v>BTCPINK</v>
      </c>
      <c r="L127">
        <f t="shared" si="15"/>
        <v>0</v>
      </c>
      <c r="M127">
        <f t="shared" si="16"/>
        <v>2</v>
      </c>
      <c r="N127" t="b">
        <f t="shared" si="17"/>
        <v>1</v>
      </c>
    </row>
    <row r="128" spans="1:14" x14ac:dyDescent="0.25">
      <c r="A128" s="4" t="s">
        <v>2</v>
      </c>
      <c r="B128" s="4" t="s">
        <v>46</v>
      </c>
      <c r="C128" s="3">
        <v>8.0499999999999992E-6</v>
      </c>
      <c r="D128" s="3">
        <v>7.9500000000000001E-6</v>
      </c>
      <c r="E128" s="3">
        <v>8.0499999999999992E-6</v>
      </c>
      <c r="F128" s="3">
        <v>7.9400000000000002E-6</v>
      </c>
      <c r="G128">
        <f t="shared" si="12"/>
        <v>7</v>
      </c>
      <c r="H128" t="str">
        <f t="shared" si="23"/>
        <v>PINK</v>
      </c>
      <c r="I128" t="str">
        <f t="shared" si="21"/>
        <v>BTC</v>
      </c>
      <c r="J128" t="str">
        <f t="shared" si="13"/>
        <v>PINKBTC</v>
      </c>
      <c r="K128" t="str">
        <f t="shared" si="14"/>
        <v>BTCPINK</v>
      </c>
      <c r="L128">
        <f t="shared" si="15"/>
        <v>0</v>
      </c>
      <c r="M128">
        <f t="shared" si="16"/>
        <v>2</v>
      </c>
      <c r="N128" t="b">
        <f t="shared" si="17"/>
        <v>1</v>
      </c>
    </row>
    <row r="129" spans="1:14" x14ac:dyDescent="0.25">
      <c r="A129" s="4" t="s">
        <v>1</v>
      </c>
      <c r="B129" s="4" t="s">
        <v>49</v>
      </c>
      <c r="C129" s="3">
        <v>2.1623499999999999E-3</v>
      </c>
      <c r="D129" s="3">
        <v>2.1506199999999998E-3</v>
      </c>
      <c r="E129" s="3">
        <v>2.1664105387168E-3</v>
      </c>
      <c r="F129" s="3">
        <v>2.1506199999999998E-3</v>
      </c>
      <c r="G129">
        <f t="shared" ref="G129:G192" si="24">LEN(B129)</f>
        <v>7</v>
      </c>
      <c r="H129" t="str">
        <f t="shared" si="23"/>
        <v>RADS</v>
      </c>
      <c r="I129" t="str">
        <f t="shared" si="21"/>
        <v>BTC</v>
      </c>
      <c r="J129" t="str">
        <f t="shared" ref="J129:J192" si="25">CONCATENATE(H129,I129)</f>
        <v>RADSBTC</v>
      </c>
      <c r="K129" t="str">
        <f t="shared" ref="K129:K192" si="26">CONCATENATE(I129,H129)</f>
        <v>BTCRADS</v>
      </c>
      <c r="L129">
        <f t="shared" ref="L129:L192" si="27">COUNTIF(B:B,J129)</f>
        <v>0</v>
      </c>
      <c r="M129">
        <f t="shared" ref="M129:M192" si="28">COUNTIF(B:B,K129)</f>
        <v>2</v>
      </c>
      <c r="N129" t="b">
        <f t="shared" ref="N129:N192" si="29">L129=0</f>
        <v>1</v>
      </c>
    </row>
    <row r="130" spans="1:14" x14ac:dyDescent="0.25">
      <c r="A130" s="4" t="s">
        <v>2</v>
      </c>
      <c r="B130" s="4" t="s">
        <v>49</v>
      </c>
      <c r="C130" s="3">
        <v>2.2247299999999999E-3</v>
      </c>
      <c r="D130" s="3">
        <v>2.1462E-3</v>
      </c>
      <c r="E130" s="3">
        <v>2.2247199999999999E-3</v>
      </c>
      <c r="F130" s="3">
        <v>2.14627E-3</v>
      </c>
      <c r="G130">
        <f t="shared" si="24"/>
        <v>7</v>
      </c>
      <c r="H130" t="str">
        <f t="shared" si="23"/>
        <v>RADS</v>
      </c>
      <c r="I130" t="str">
        <f t="shared" si="21"/>
        <v>BTC</v>
      </c>
      <c r="J130" t="str">
        <f t="shared" si="25"/>
        <v>RADSBTC</v>
      </c>
      <c r="K130" t="str">
        <f t="shared" si="26"/>
        <v>BTCRADS</v>
      </c>
      <c r="L130">
        <f t="shared" si="27"/>
        <v>0</v>
      </c>
      <c r="M130">
        <f t="shared" si="28"/>
        <v>2</v>
      </c>
      <c r="N130" t="b">
        <f t="shared" si="29"/>
        <v>1</v>
      </c>
    </row>
    <row r="131" spans="1:14" x14ac:dyDescent="0.25">
      <c r="A131" s="4" t="s">
        <v>6</v>
      </c>
      <c r="B131" s="4" t="s">
        <v>1232</v>
      </c>
      <c r="C131" s="3">
        <v>139500.06</v>
      </c>
      <c r="D131" s="3">
        <v>149306.98000000001</v>
      </c>
      <c r="E131" s="3">
        <v>138177.28852786301</v>
      </c>
      <c r="F131" s="3">
        <v>150299.17468</v>
      </c>
      <c r="G131">
        <f t="shared" si="24"/>
        <v>6</v>
      </c>
      <c r="H131" t="str">
        <f t="shared" ref="H131:H162" si="30">RIGHT(B131,3)</f>
        <v>RUB</v>
      </c>
      <c r="I131" t="str">
        <f t="shared" si="21"/>
        <v>BTC</v>
      </c>
      <c r="J131" t="str">
        <f t="shared" si="25"/>
        <v>RUBBTC</v>
      </c>
      <c r="K131" t="str">
        <f t="shared" si="26"/>
        <v>BTCRUB</v>
      </c>
      <c r="L131">
        <f t="shared" si="27"/>
        <v>0</v>
      </c>
      <c r="M131">
        <f t="shared" si="28"/>
        <v>2</v>
      </c>
      <c r="N131" t="b">
        <f t="shared" si="29"/>
        <v>1</v>
      </c>
    </row>
    <row r="132" spans="1:14" x14ac:dyDescent="0.25">
      <c r="A132" s="4" t="s">
        <v>7</v>
      </c>
      <c r="B132" s="4" t="s">
        <v>1232</v>
      </c>
      <c r="C132" s="3">
        <v>146300.00101010001</v>
      </c>
      <c r="D132" s="3">
        <v>146692.79999999999</v>
      </c>
      <c r="E132" s="3">
        <v>146300.000444982</v>
      </c>
      <c r="F132" s="3">
        <v>147173.90289202801</v>
      </c>
      <c r="G132">
        <f t="shared" si="24"/>
        <v>6</v>
      </c>
      <c r="H132" t="str">
        <f t="shared" si="30"/>
        <v>RUB</v>
      </c>
      <c r="I132" t="str">
        <f t="shared" si="21"/>
        <v>BTC</v>
      </c>
      <c r="J132" t="str">
        <f t="shared" si="25"/>
        <v>RUBBTC</v>
      </c>
      <c r="K132" t="str">
        <f t="shared" si="26"/>
        <v>BTCRUB</v>
      </c>
      <c r="L132">
        <f t="shared" si="27"/>
        <v>0</v>
      </c>
      <c r="M132">
        <f t="shared" si="28"/>
        <v>2</v>
      </c>
      <c r="N132" t="b">
        <f t="shared" si="29"/>
        <v>1</v>
      </c>
    </row>
    <row r="133" spans="1:14" x14ac:dyDescent="0.25">
      <c r="A133" s="4" t="s">
        <v>1</v>
      </c>
      <c r="B133" s="4" t="s">
        <v>45</v>
      </c>
      <c r="C133" s="3">
        <v>1.6464E-4</v>
      </c>
      <c r="D133" s="3">
        <v>1.6217E-4</v>
      </c>
      <c r="E133" s="3">
        <v>1.6464E-4</v>
      </c>
      <c r="F133" s="3">
        <v>1.6217E-4</v>
      </c>
      <c r="G133">
        <f t="shared" si="24"/>
        <v>6</v>
      </c>
      <c r="H133" t="str">
        <f t="shared" si="30"/>
        <v>XVC</v>
      </c>
      <c r="I133" t="str">
        <f t="shared" si="21"/>
        <v>BTC</v>
      </c>
      <c r="J133" t="str">
        <f t="shared" si="25"/>
        <v>XVCBTC</v>
      </c>
      <c r="K133" t="str">
        <f t="shared" si="26"/>
        <v>BTCXVC</v>
      </c>
      <c r="L133">
        <f t="shared" si="27"/>
        <v>0</v>
      </c>
      <c r="M133">
        <f t="shared" si="28"/>
        <v>2</v>
      </c>
      <c r="N133" t="b">
        <f t="shared" si="29"/>
        <v>1</v>
      </c>
    </row>
    <row r="134" spans="1:14" x14ac:dyDescent="0.25">
      <c r="A134" s="4" t="s">
        <v>2</v>
      </c>
      <c r="B134" s="4" t="s">
        <v>45</v>
      </c>
      <c r="C134" s="3">
        <v>1.56E-4</v>
      </c>
      <c r="D134" s="3">
        <v>1.516E-4</v>
      </c>
      <c r="E134" s="3">
        <v>1.56E-4</v>
      </c>
      <c r="F134" s="3">
        <v>1.5160999999999999E-4</v>
      </c>
      <c r="G134">
        <f t="shared" si="24"/>
        <v>6</v>
      </c>
      <c r="H134" t="str">
        <f t="shared" si="30"/>
        <v>XVC</v>
      </c>
      <c r="I134" t="str">
        <f t="shared" si="21"/>
        <v>BTC</v>
      </c>
      <c r="J134" t="str">
        <f t="shared" si="25"/>
        <v>XVCBTC</v>
      </c>
      <c r="K134" t="str">
        <f t="shared" si="26"/>
        <v>BTCXVC</v>
      </c>
      <c r="L134">
        <f t="shared" si="27"/>
        <v>0</v>
      </c>
      <c r="M134">
        <f t="shared" si="28"/>
        <v>2</v>
      </c>
      <c r="N134" t="b">
        <f t="shared" si="29"/>
        <v>1</v>
      </c>
    </row>
    <row r="135" spans="1:14" x14ac:dyDescent="0.25">
      <c r="A135" s="4" t="s">
        <v>1239</v>
      </c>
      <c r="B135" s="4" t="s">
        <v>1305</v>
      </c>
      <c r="C135" s="3">
        <v>2.3989000000000001E-4</v>
      </c>
      <c r="D135" s="3">
        <v>1.9529000000000001E-4</v>
      </c>
      <c r="E135" s="3">
        <v>2.3989000000000001E-4</v>
      </c>
      <c r="F135" s="3">
        <v>1.9529000000000001E-4</v>
      </c>
      <c r="G135">
        <f t="shared" si="24"/>
        <v>7</v>
      </c>
      <c r="H135" t="str">
        <f t="shared" si="30"/>
        <v>BTC</v>
      </c>
      <c r="I135" t="str">
        <f>LEFT(B135,4)</f>
        <v>CCRB</v>
      </c>
      <c r="J135" t="str">
        <f t="shared" si="25"/>
        <v>BTCCCRB</v>
      </c>
      <c r="K135" t="str">
        <f t="shared" si="26"/>
        <v>CCRBBTC</v>
      </c>
      <c r="L135">
        <f t="shared" si="27"/>
        <v>0</v>
      </c>
      <c r="M135">
        <f t="shared" si="28"/>
        <v>2</v>
      </c>
      <c r="N135" t="b">
        <f t="shared" si="29"/>
        <v>1</v>
      </c>
    </row>
    <row r="136" spans="1:14" x14ac:dyDescent="0.25">
      <c r="A136" s="4" t="s">
        <v>1403</v>
      </c>
      <c r="B136" s="4" t="s">
        <v>1305</v>
      </c>
      <c r="C136" s="3">
        <v>1.8772E-4</v>
      </c>
      <c r="D136" s="3">
        <v>1.8772E-4</v>
      </c>
      <c r="E136" s="3">
        <v>2.1987999999999999E-4</v>
      </c>
      <c r="F136" s="3">
        <v>1.8772E-4</v>
      </c>
      <c r="G136">
        <f t="shared" si="24"/>
        <v>7</v>
      </c>
      <c r="H136" t="str">
        <f t="shared" si="30"/>
        <v>BTC</v>
      </c>
      <c r="I136" t="str">
        <f>LEFT(B136,4)</f>
        <v>CCRB</v>
      </c>
      <c r="J136" t="str">
        <f t="shared" si="25"/>
        <v>BTCCCRB</v>
      </c>
      <c r="K136" t="str">
        <f t="shared" si="26"/>
        <v>CCRBBTC</v>
      </c>
      <c r="L136">
        <f t="shared" si="27"/>
        <v>0</v>
      </c>
      <c r="M136">
        <f t="shared" si="28"/>
        <v>2</v>
      </c>
      <c r="N136" t="b">
        <f t="shared" si="29"/>
        <v>1</v>
      </c>
    </row>
    <row r="137" spans="1:14" x14ac:dyDescent="0.25">
      <c r="A137" s="4" t="s">
        <v>5</v>
      </c>
      <c r="B137" s="4" t="s">
        <v>1166</v>
      </c>
      <c r="C137" s="3">
        <v>1.1999999999999999E-7</v>
      </c>
      <c r="D137" s="3">
        <v>1.1000000000000001E-7</v>
      </c>
      <c r="E137" s="3">
        <v>1.1999999999999999E-7</v>
      </c>
      <c r="F137" s="3">
        <v>1.1000000000000001E-7</v>
      </c>
      <c r="G137">
        <f t="shared" si="24"/>
        <v>5</v>
      </c>
      <c r="H137" t="str">
        <f t="shared" si="30"/>
        <v>BTC</v>
      </c>
      <c r="I137" t="str">
        <f>LEFT(B137,2)</f>
        <v>CJ</v>
      </c>
      <c r="J137" t="str">
        <f t="shared" si="25"/>
        <v>BTCCJ</v>
      </c>
      <c r="K137" t="str">
        <f t="shared" si="26"/>
        <v>CJBTC</v>
      </c>
      <c r="L137">
        <f t="shared" si="27"/>
        <v>0</v>
      </c>
      <c r="M137">
        <f t="shared" si="28"/>
        <v>2</v>
      </c>
      <c r="N137" t="b">
        <f t="shared" si="29"/>
        <v>1</v>
      </c>
    </row>
    <row r="138" spans="1:14" x14ac:dyDescent="0.25">
      <c r="A138" s="4" t="s">
        <v>1403</v>
      </c>
      <c r="B138" s="4" t="s">
        <v>1166</v>
      </c>
      <c r="C138" s="3">
        <v>1.1999999999999999E-7</v>
      </c>
      <c r="D138" s="3">
        <v>1.3E-7</v>
      </c>
      <c r="E138" s="3">
        <v>1.4000000000000001E-7</v>
      </c>
      <c r="F138" s="3">
        <v>1.1999999999999999E-7</v>
      </c>
      <c r="G138">
        <f t="shared" si="24"/>
        <v>5</v>
      </c>
      <c r="H138" t="str">
        <f t="shared" si="30"/>
        <v>BTC</v>
      </c>
      <c r="I138" t="str">
        <f>LEFT(B138,2)</f>
        <v>CJ</v>
      </c>
      <c r="J138" t="str">
        <f t="shared" si="25"/>
        <v>BTCCJ</v>
      </c>
      <c r="K138" t="str">
        <f t="shared" si="26"/>
        <v>CJBTC</v>
      </c>
      <c r="L138">
        <f t="shared" si="27"/>
        <v>0</v>
      </c>
      <c r="M138">
        <f t="shared" si="28"/>
        <v>2</v>
      </c>
      <c r="N138" t="b">
        <f t="shared" si="29"/>
        <v>1</v>
      </c>
    </row>
    <row r="139" spans="1:14" x14ac:dyDescent="0.25">
      <c r="A139" s="4" t="s">
        <v>5</v>
      </c>
      <c r="B139" s="4" t="s">
        <v>439</v>
      </c>
      <c r="C139" s="3">
        <v>8.1499999999999999E-6</v>
      </c>
      <c r="D139" s="3">
        <v>8.0199999999999994E-6</v>
      </c>
      <c r="E139" s="3">
        <v>8.1499999999999999E-6</v>
      </c>
      <c r="F139" s="3">
        <v>8.0199999999999994E-6</v>
      </c>
      <c r="G139">
        <f t="shared" si="24"/>
        <v>6</v>
      </c>
      <c r="H139" t="str">
        <f t="shared" si="30"/>
        <v>BTC</v>
      </c>
      <c r="I139" t="str">
        <f>LEFT(B139,3)</f>
        <v>CNT</v>
      </c>
      <c r="J139" t="str">
        <f t="shared" si="25"/>
        <v>BTCCNT</v>
      </c>
      <c r="K139" t="str">
        <f t="shared" si="26"/>
        <v>CNTBTC</v>
      </c>
      <c r="L139">
        <f t="shared" si="27"/>
        <v>0</v>
      </c>
      <c r="M139">
        <f t="shared" si="28"/>
        <v>2</v>
      </c>
      <c r="N139" t="b">
        <f t="shared" si="29"/>
        <v>1</v>
      </c>
    </row>
    <row r="140" spans="1:14" x14ac:dyDescent="0.25">
      <c r="A140" s="4" t="s">
        <v>1403</v>
      </c>
      <c r="B140" s="4" t="s">
        <v>439</v>
      </c>
      <c r="C140" s="3">
        <v>7.7300000000000005E-6</v>
      </c>
      <c r="D140" s="3">
        <v>8.4400000000000005E-6</v>
      </c>
      <c r="E140" s="3">
        <v>1.183E-5</v>
      </c>
      <c r="F140" s="3">
        <v>7.8900000000000007E-6</v>
      </c>
      <c r="G140">
        <f t="shared" si="24"/>
        <v>6</v>
      </c>
      <c r="H140" t="str">
        <f t="shared" si="30"/>
        <v>BTC</v>
      </c>
      <c r="I140" t="str">
        <f>LEFT(B140,3)</f>
        <v>CNT</v>
      </c>
      <c r="J140" t="str">
        <f t="shared" si="25"/>
        <v>BTCCNT</v>
      </c>
      <c r="K140" t="str">
        <f t="shared" si="26"/>
        <v>CNTBTC</v>
      </c>
      <c r="L140">
        <f t="shared" si="27"/>
        <v>0</v>
      </c>
      <c r="M140">
        <f t="shared" si="28"/>
        <v>2</v>
      </c>
      <c r="N140" t="b">
        <f t="shared" si="29"/>
        <v>1</v>
      </c>
    </row>
    <row r="141" spans="1:14" x14ac:dyDescent="0.25">
      <c r="A141" s="4" t="s">
        <v>5</v>
      </c>
      <c r="B141" s="4" t="s">
        <v>860</v>
      </c>
      <c r="C141" s="3">
        <v>5.7000000000000005E-7</v>
      </c>
      <c r="D141" s="3">
        <v>5.6000000000000004E-7</v>
      </c>
      <c r="E141" s="3">
        <v>5.7000000000000005E-7</v>
      </c>
      <c r="F141" s="3">
        <v>5.6000000000000004E-7</v>
      </c>
      <c r="G141">
        <f t="shared" si="24"/>
        <v>8</v>
      </c>
      <c r="H141" t="str">
        <f t="shared" si="30"/>
        <v>BTC</v>
      </c>
      <c r="I141" t="str">
        <f>LEFT(B141,5)</f>
        <v>CREVA</v>
      </c>
      <c r="J141" t="str">
        <f t="shared" si="25"/>
        <v>BTCCREVA</v>
      </c>
      <c r="K141" t="str">
        <f t="shared" si="26"/>
        <v>CREVABTC</v>
      </c>
      <c r="L141">
        <f t="shared" si="27"/>
        <v>0</v>
      </c>
      <c r="M141">
        <f t="shared" si="28"/>
        <v>2</v>
      </c>
      <c r="N141" t="b">
        <f t="shared" si="29"/>
        <v>1</v>
      </c>
    </row>
    <row r="142" spans="1:14" x14ac:dyDescent="0.25">
      <c r="A142" s="4" t="s">
        <v>1239</v>
      </c>
      <c r="B142" s="4" t="s">
        <v>860</v>
      </c>
      <c r="C142" s="3">
        <v>5.6000000000000004E-7</v>
      </c>
      <c r="D142" s="3">
        <v>5.3000000000000001E-7</v>
      </c>
      <c r="E142" s="3">
        <v>5.6000000000000004E-7</v>
      </c>
      <c r="F142" s="3">
        <v>5.3000000000000001E-7</v>
      </c>
      <c r="G142">
        <f t="shared" si="24"/>
        <v>8</v>
      </c>
      <c r="H142" t="str">
        <f t="shared" si="30"/>
        <v>BTC</v>
      </c>
      <c r="I142" t="str">
        <f>LEFT(B142,5)</f>
        <v>CREVA</v>
      </c>
      <c r="J142" t="str">
        <f t="shared" si="25"/>
        <v>BTCCREVA</v>
      </c>
      <c r="K142" t="str">
        <f t="shared" si="26"/>
        <v>CREVABTC</v>
      </c>
      <c r="L142">
        <f t="shared" si="27"/>
        <v>0</v>
      </c>
      <c r="M142">
        <f t="shared" si="28"/>
        <v>2</v>
      </c>
      <c r="N142" t="b">
        <f t="shared" si="29"/>
        <v>1</v>
      </c>
    </row>
    <row r="143" spans="1:14" x14ac:dyDescent="0.25">
      <c r="A143" s="4" t="s">
        <v>4</v>
      </c>
      <c r="B143" s="4" t="s">
        <v>333</v>
      </c>
      <c r="C143" s="3">
        <v>5.6519999999999999E-3</v>
      </c>
      <c r="D143" s="3">
        <v>4.6509999999999998E-3</v>
      </c>
      <c r="E143" s="3">
        <v>5.6519999999999999E-3</v>
      </c>
      <c r="F143" s="3">
        <v>4.6509999999999998E-3</v>
      </c>
      <c r="G143">
        <f t="shared" si="24"/>
        <v>6</v>
      </c>
      <c r="H143" t="str">
        <f t="shared" si="30"/>
        <v>BTC</v>
      </c>
      <c r="I143" t="str">
        <f>LEFT(B143,3)</f>
        <v>DCT</v>
      </c>
      <c r="J143" t="str">
        <f t="shared" si="25"/>
        <v>BTCDCT</v>
      </c>
      <c r="K143" t="str">
        <f t="shared" si="26"/>
        <v>DCTBTC</v>
      </c>
      <c r="L143">
        <f t="shared" si="27"/>
        <v>0</v>
      </c>
      <c r="M143">
        <f t="shared" si="28"/>
        <v>2</v>
      </c>
      <c r="N143" t="b">
        <f t="shared" si="29"/>
        <v>1</v>
      </c>
    </row>
    <row r="144" spans="1:14" x14ac:dyDescent="0.25">
      <c r="A144" s="4" t="s">
        <v>5</v>
      </c>
      <c r="B144" s="4" t="s">
        <v>333</v>
      </c>
      <c r="C144" s="3">
        <v>5.7999999999999995E-7</v>
      </c>
      <c r="D144" s="3" t="s">
        <v>401</v>
      </c>
      <c r="E144" s="3">
        <v>5.7999999999999995E-7</v>
      </c>
      <c r="F144" s="3" t="s">
        <v>401</v>
      </c>
      <c r="G144">
        <f t="shared" si="24"/>
        <v>6</v>
      </c>
      <c r="H144" t="str">
        <f t="shared" si="30"/>
        <v>BTC</v>
      </c>
      <c r="I144" t="str">
        <f>LEFT(B144,3)</f>
        <v>DCT</v>
      </c>
      <c r="J144" t="str">
        <f t="shared" si="25"/>
        <v>BTCDCT</v>
      </c>
      <c r="K144" t="str">
        <f t="shared" si="26"/>
        <v>DCTBTC</v>
      </c>
      <c r="L144">
        <f t="shared" si="27"/>
        <v>0</v>
      </c>
      <c r="M144">
        <f t="shared" si="28"/>
        <v>2</v>
      </c>
      <c r="N144" t="b">
        <f t="shared" si="29"/>
        <v>1</v>
      </c>
    </row>
    <row r="145" spans="1:14" x14ac:dyDescent="0.25">
      <c r="A145" s="4" t="s">
        <v>5</v>
      </c>
      <c r="B145" s="4" t="s">
        <v>1139</v>
      </c>
      <c r="C145" s="3" t="s">
        <v>362</v>
      </c>
      <c r="D145" s="3" t="s">
        <v>364</v>
      </c>
      <c r="E145" s="3" t="s">
        <v>362</v>
      </c>
      <c r="F145" s="3" t="s">
        <v>401</v>
      </c>
      <c r="G145">
        <f t="shared" si="24"/>
        <v>7</v>
      </c>
      <c r="H145" t="str">
        <f t="shared" si="30"/>
        <v>BTC</v>
      </c>
      <c r="I145" t="str">
        <f>LEFT(B145,4)</f>
        <v>DIME</v>
      </c>
      <c r="J145" t="str">
        <f t="shared" si="25"/>
        <v>BTCDIME</v>
      </c>
      <c r="K145" t="str">
        <f t="shared" si="26"/>
        <v>DIMEBTC</v>
      </c>
      <c r="L145">
        <f t="shared" si="27"/>
        <v>0</v>
      </c>
      <c r="M145">
        <f t="shared" si="28"/>
        <v>2</v>
      </c>
      <c r="N145" t="b">
        <f t="shared" si="29"/>
        <v>1</v>
      </c>
    </row>
    <row r="146" spans="1:14" x14ac:dyDescent="0.25">
      <c r="A146" s="4" t="s">
        <v>1239</v>
      </c>
      <c r="B146" s="4" t="s">
        <v>1139</v>
      </c>
      <c r="C146" s="3" t="s">
        <v>362</v>
      </c>
      <c r="D146" s="3" t="s">
        <v>364</v>
      </c>
      <c r="E146" s="3" t="s">
        <v>362</v>
      </c>
      <c r="F146" s="3" t="s">
        <v>364</v>
      </c>
      <c r="G146">
        <f t="shared" si="24"/>
        <v>7</v>
      </c>
      <c r="H146" t="str">
        <f t="shared" si="30"/>
        <v>BTC</v>
      </c>
      <c r="I146" t="str">
        <f>LEFT(B146,4)</f>
        <v>DIME</v>
      </c>
      <c r="J146" t="str">
        <f t="shared" si="25"/>
        <v>BTCDIME</v>
      </c>
      <c r="K146" t="str">
        <f t="shared" si="26"/>
        <v>DIMEBTC</v>
      </c>
      <c r="L146">
        <f t="shared" si="27"/>
        <v>0</v>
      </c>
      <c r="M146">
        <f t="shared" si="28"/>
        <v>2</v>
      </c>
      <c r="N146" t="b">
        <f t="shared" si="29"/>
        <v>1</v>
      </c>
    </row>
    <row r="147" spans="1:14" x14ac:dyDescent="0.25">
      <c r="A147" s="4" t="s">
        <v>5</v>
      </c>
      <c r="B147" s="4" t="s">
        <v>662</v>
      </c>
      <c r="C147" s="3">
        <v>1.6899999999999999E-6</v>
      </c>
      <c r="D147" s="3">
        <v>1.15E-6</v>
      </c>
      <c r="E147" s="3">
        <v>1.6899999999999999E-6</v>
      </c>
      <c r="F147" s="3">
        <v>1.15E-6</v>
      </c>
      <c r="G147">
        <f t="shared" si="24"/>
        <v>6</v>
      </c>
      <c r="H147" t="str">
        <f t="shared" si="30"/>
        <v>BTC</v>
      </c>
      <c r="I147" t="str">
        <f t="shared" ref="I147:I152" si="31">LEFT(B147,3)</f>
        <v>DRZ</v>
      </c>
      <c r="J147" t="str">
        <f t="shared" si="25"/>
        <v>BTCDRZ</v>
      </c>
      <c r="K147" t="str">
        <f t="shared" si="26"/>
        <v>DRZBTC</v>
      </c>
      <c r="L147">
        <f t="shared" si="27"/>
        <v>0</v>
      </c>
      <c r="M147">
        <f t="shared" si="28"/>
        <v>2</v>
      </c>
      <c r="N147" t="b">
        <f t="shared" si="29"/>
        <v>1</v>
      </c>
    </row>
    <row r="148" spans="1:14" x14ac:dyDescent="0.25">
      <c r="A148" s="4" t="s">
        <v>1403</v>
      </c>
      <c r="B148" s="4" t="s">
        <v>662</v>
      </c>
      <c r="C148" s="3">
        <v>1.1000000000000001E-6</v>
      </c>
      <c r="D148" s="3">
        <v>4.6999999999999999E-6</v>
      </c>
      <c r="E148" s="3">
        <v>4.6E-6</v>
      </c>
      <c r="F148" s="3">
        <v>1.15E-6</v>
      </c>
      <c r="G148">
        <f t="shared" si="24"/>
        <v>6</v>
      </c>
      <c r="H148" t="str">
        <f t="shared" si="30"/>
        <v>BTC</v>
      </c>
      <c r="I148" t="str">
        <f t="shared" si="31"/>
        <v>DRZ</v>
      </c>
      <c r="J148" t="str">
        <f t="shared" si="25"/>
        <v>BTCDRZ</v>
      </c>
      <c r="K148" t="str">
        <f t="shared" si="26"/>
        <v>DRZBTC</v>
      </c>
      <c r="L148">
        <f t="shared" si="27"/>
        <v>0</v>
      </c>
      <c r="M148">
        <f t="shared" si="28"/>
        <v>2</v>
      </c>
      <c r="N148" t="b">
        <f t="shared" si="29"/>
        <v>1</v>
      </c>
    </row>
    <row r="149" spans="1:14" x14ac:dyDescent="0.25">
      <c r="A149" s="4" t="s">
        <v>0</v>
      </c>
      <c r="B149" s="4" t="s">
        <v>11</v>
      </c>
      <c r="C149" s="3" t="s">
        <v>12</v>
      </c>
      <c r="D149" s="3">
        <v>155.38306</v>
      </c>
      <c r="E149" s="3">
        <v>156</v>
      </c>
      <c r="F149" s="3">
        <v>155.38306</v>
      </c>
      <c r="G149">
        <f t="shared" si="24"/>
        <v>6</v>
      </c>
      <c r="H149" t="str">
        <f t="shared" si="30"/>
        <v>USD</v>
      </c>
      <c r="I149" t="str">
        <f t="shared" si="31"/>
        <v>DSH</v>
      </c>
      <c r="J149" t="str">
        <f t="shared" si="25"/>
        <v>USDDSH</v>
      </c>
      <c r="K149" t="str">
        <f t="shared" si="26"/>
        <v>DSHUSD</v>
      </c>
      <c r="L149">
        <f t="shared" si="27"/>
        <v>0</v>
      </c>
      <c r="M149">
        <f t="shared" si="28"/>
        <v>2</v>
      </c>
      <c r="N149" t="b">
        <f t="shared" si="29"/>
        <v>1</v>
      </c>
    </row>
    <row r="150" spans="1:14" x14ac:dyDescent="0.25">
      <c r="A150" s="4" t="s">
        <v>27</v>
      </c>
      <c r="B150" s="4" t="s">
        <v>11</v>
      </c>
      <c r="C150" s="3">
        <v>146.32</v>
      </c>
      <c r="D150" s="3">
        <v>145.66</v>
      </c>
      <c r="E150" s="3">
        <v>146.45670410240001</v>
      </c>
      <c r="F150" s="3">
        <v>145.57763954319901</v>
      </c>
      <c r="G150">
        <f t="shared" si="24"/>
        <v>6</v>
      </c>
      <c r="H150" t="str">
        <f t="shared" si="30"/>
        <v>USD</v>
      </c>
      <c r="I150" t="str">
        <f t="shared" si="31"/>
        <v>DSH</v>
      </c>
      <c r="J150" t="str">
        <f t="shared" si="25"/>
        <v>USDDSH</v>
      </c>
      <c r="K150" t="str">
        <f t="shared" si="26"/>
        <v>DSHUSD</v>
      </c>
      <c r="L150">
        <f t="shared" si="27"/>
        <v>0</v>
      </c>
      <c r="M150">
        <f t="shared" si="28"/>
        <v>2</v>
      </c>
      <c r="N150" t="b">
        <f t="shared" si="29"/>
        <v>1</v>
      </c>
    </row>
    <row r="151" spans="1:14" x14ac:dyDescent="0.25">
      <c r="A151" s="4" t="s">
        <v>5</v>
      </c>
      <c r="B151" s="4" t="s">
        <v>983</v>
      </c>
      <c r="C151" s="3">
        <v>1.33899E-3</v>
      </c>
      <c r="D151" s="3">
        <v>1.2979999999999999E-3</v>
      </c>
      <c r="E151" s="3">
        <v>1.33899E-3</v>
      </c>
      <c r="F151" s="3">
        <v>1.2979999999999999E-3</v>
      </c>
      <c r="G151">
        <f t="shared" si="24"/>
        <v>6</v>
      </c>
      <c r="H151" t="str">
        <f t="shared" si="30"/>
        <v>BTC</v>
      </c>
      <c r="I151" t="str">
        <f t="shared" si="31"/>
        <v>ECN</v>
      </c>
      <c r="J151" t="str">
        <f t="shared" si="25"/>
        <v>BTCECN</v>
      </c>
      <c r="K151" t="str">
        <f t="shared" si="26"/>
        <v>ECNBTC</v>
      </c>
      <c r="L151">
        <f t="shared" si="27"/>
        <v>0</v>
      </c>
      <c r="M151">
        <f t="shared" si="28"/>
        <v>2</v>
      </c>
      <c r="N151" t="b">
        <f t="shared" si="29"/>
        <v>1</v>
      </c>
    </row>
    <row r="152" spans="1:14" x14ac:dyDescent="0.25">
      <c r="A152" s="4" t="s">
        <v>1403</v>
      </c>
      <c r="B152" s="4" t="s">
        <v>983</v>
      </c>
      <c r="C152" s="3">
        <v>1.32693E-3</v>
      </c>
      <c r="D152" s="3">
        <v>1.5671700000000001E-3</v>
      </c>
      <c r="E152" s="3">
        <v>1.4997000000000001E-3</v>
      </c>
      <c r="F152" s="3">
        <v>1.4002400000000001E-3</v>
      </c>
      <c r="G152">
        <f t="shared" si="24"/>
        <v>6</v>
      </c>
      <c r="H152" t="str">
        <f t="shared" si="30"/>
        <v>BTC</v>
      </c>
      <c r="I152" t="str">
        <f t="shared" si="31"/>
        <v>ECN</v>
      </c>
      <c r="J152" t="str">
        <f t="shared" si="25"/>
        <v>BTCECN</v>
      </c>
      <c r="K152" t="str">
        <f t="shared" si="26"/>
        <v>ECNBTC</v>
      </c>
      <c r="L152">
        <f t="shared" si="27"/>
        <v>0</v>
      </c>
      <c r="M152">
        <f t="shared" si="28"/>
        <v>2</v>
      </c>
      <c r="N152" t="b">
        <f t="shared" si="29"/>
        <v>1</v>
      </c>
    </row>
    <row r="153" spans="1:14" x14ac:dyDescent="0.25">
      <c r="A153" s="4" t="s">
        <v>1239</v>
      </c>
      <c r="B153" s="4" t="s">
        <v>1263</v>
      </c>
      <c r="C153" s="3">
        <v>1.447E-5</v>
      </c>
      <c r="D153" s="3">
        <v>1.254E-5</v>
      </c>
      <c r="E153" s="3">
        <v>1.447E-5</v>
      </c>
      <c r="F153" s="3">
        <v>1.254E-5</v>
      </c>
      <c r="G153">
        <f t="shared" si="24"/>
        <v>5</v>
      </c>
      <c r="H153" t="str">
        <f t="shared" si="30"/>
        <v>BTC</v>
      </c>
      <c r="I153" t="str">
        <f>LEFT(B153,2)</f>
        <v>EL</v>
      </c>
      <c r="J153" t="str">
        <f t="shared" si="25"/>
        <v>BTCEL</v>
      </c>
      <c r="K153" t="str">
        <f t="shared" si="26"/>
        <v>ELBTC</v>
      </c>
      <c r="L153">
        <f t="shared" si="27"/>
        <v>0</v>
      </c>
      <c r="M153">
        <f t="shared" si="28"/>
        <v>2</v>
      </c>
      <c r="N153" t="b">
        <f t="shared" si="29"/>
        <v>1</v>
      </c>
    </row>
    <row r="154" spans="1:14" x14ac:dyDescent="0.25">
      <c r="A154" s="4" t="s">
        <v>1403</v>
      </c>
      <c r="B154" s="4" t="s">
        <v>1263</v>
      </c>
      <c r="C154" s="3">
        <v>1.5639999999999999E-5</v>
      </c>
      <c r="D154" s="3">
        <v>2.298E-5</v>
      </c>
      <c r="E154" s="3">
        <v>1.6030000000000001E-5</v>
      </c>
      <c r="F154" s="3">
        <v>1.5639999999999999E-5</v>
      </c>
      <c r="G154">
        <f t="shared" si="24"/>
        <v>5</v>
      </c>
      <c r="H154" t="str">
        <f t="shared" si="30"/>
        <v>BTC</v>
      </c>
      <c r="I154" t="str">
        <f>LEFT(B154,2)</f>
        <v>EL</v>
      </c>
      <c r="J154" t="str">
        <f t="shared" si="25"/>
        <v>BTCEL</v>
      </c>
      <c r="K154" t="str">
        <f t="shared" si="26"/>
        <v>ELBTC</v>
      </c>
      <c r="L154">
        <f t="shared" si="27"/>
        <v>0</v>
      </c>
      <c r="M154">
        <f t="shared" si="28"/>
        <v>2</v>
      </c>
      <c r="N154" t="b">
        <f t="shared" si="29"/>
        <v>1</v>
      </c>
    </row>
    <row r="155" spans="1:14" x14ac:dyDescent="0.25">
      <c r="A155" s="4" t="s">
        <v>5</v>
      </c>
      <c r="B155" s="4" t="s">
        <v>861</v>
      </c>
      <c r="C155" s="3">
        <v>4.69E-6</v>
      </c>
      <c r="D155" s="3">
        <v>3.5200000000000002E-6</v>
      </c>
      <c r="E155" s="3">
        <v>4.69E-6</v>
      </c>
      <c r="F155" s="3">
        <v>3.5200000000000002E-6</v>
      </c>
      <c r="G155">
        <f t="shared" si="24"/>
        <v>6</v>
      </c>
      <c r="H155" t="str">
        <f t="shared" si="30"/>
        <v>BTC</v>
      </c>
      <c r="I155" t="str">
        <f>LEFT(B155,3)</f>
        <v>ELE</v>
      </c>
      <c r="J155" t="str">
        <f t="shared" si="25"/>
        <v>BTCELE</v>
      </c>
      <c r="K155" t="str">
        <f t="shared" si="26"/>
        <v>ELEBTC</v>
      </c>
      <c r="L155">
        <f t="shared" si="27"/>
        <v>0</v>
      </c>
      <c r="M155">
        <f t="shared" si="28"/>
        <v>2</v>
      </c>
      <c r="N155" t="b">
        <f t="shared" si="29"/>
        <v>1</v>
      </c>
    </row>
    <row r="156" spans="1:14" x14ac:dyDescent="0.25">
      <c r="A156" s="4" t="s">
        <v>1403</v>
      </c>
      <c r="B156" s="4" t="s">
        <v>861</v>
      </c>
      <c r="C156" s="3">
        <v>3.0800000000000002E-6</v>
      </c>
      <c r="D156" s="3">
        <v>3.9199999999999997E-6</v>
      </c>
      <c r="E156" s="3">
        <v>3.49E-6</v>
      </c>
      <c r="F156" s="3">
        <v>3.0800000000000002E-6</v>
      </c>
      <c r="G156">
        <f t="shared" si="24"/>
        <v>6</v>
      </c>
      <c r="H156" t="str">
        <f t="shared" si="30"/>
        <v>BTC</v>
      </c>
      <c r="I156" t="str">
        <f>LEFT(B156,3)</f>
        <v>ELE</v>
      </c>
      <c r="J156" t="str">
        <f t="shared" si="25"/>
        <v>BTCELE</v>
      </c>
      <c r="K156" t="str">
        <f t="shared" si="26"/>
        <v>ELEBTC</v>
      </c>
      <c r="L156">
        <f t="shared" si="27"/>
        <v>0</v>
      </c>
      <c r="M156">
        <f t="shared" si="28"/>
        <v>2</v>
      </c>
      <c r="N156" t="b">
        <f t="shared" si="29"/>
        <v>1</v>
      </c>
    </row>
    <row r="157" spans="1:14" x14ac:dyDescent="0.25">
      <c r="A157" s="4" t="s">
        <v>1239</v>
      </c>
      <c r="B157" s="4" t="s">
        <v>1262</v>
      </c>
      <c r="C157" s="3">
        <v>3.5439999999999999E-2</v>
      </c>
      <c r="D157" s="3">
        <v>3.0099999999999998E-2</v>
      </c>
      <c r="E157" s="3">
        <v>3.5439999999999999E-2</v>
      </c>
      <c r="F157" s="3">
        <v>3.0099999999999998E-2</v>
      </c>
      <c r="G157">
        <f t="shared" si="24"/>
        <v>5</v>
      </c>
      <c r="H157" t="str">
        <f t="shared" si="30"/>
        <v>USD</v>
      </c>
      <c r="I157" t="str">
        <f>LEFT(B157,2)</f>
        <v>EL</v>
      </c>
      <c r="J157" t="str">
        <f t="shared" si="25"/>
        <v>USDEL</v>
      </c>
      <c r="K157" t="str">
        <f t="shared" si="26"/>
        <v>ELUSD</v>
      </c>
      <c r="L157">
        <f t="shared" si="27"/>
        <v>0</v>
      </c>
      <c r="M157">
        <f t="shared" si="28"/>
        <v>2</v>
      </c>
      <c r="N157" t="b">
        <f t="shared" si="29"/>
        <v>1</v>
      </c>
    </row>
    <row r="158" spans="1:14" x14ac:dyDescent="0.25">
      <c r="A158" s="4" t="s">
        <v>1403</v>
      </c>
      <c r="B158" s="4" t="s">
        <v>1262</v>
      </c>
      <c r="C158" s="3">
        <v>0.14979993</v>
      </c>
      <c r="D158" s="3">
        <v>0.14979993</v>
      </c>
      <c r="E158" s="3">
        <v>0.13999998999999999</v>
      </c>
      <c r="F158" s="3">
        <v>0.03</v>
      </c>
      <c r="G158">
        <f t="shared" si="24"/>
        <v>5</v>
      </c>
      <c r="H158" t="str">
        <f t="shared" si="30"/>
        <v>USD</v>
      </c>
      <c r="I158" t="str">
        <f>LEFT(B158,2)</f>
        <v>EL</v>
      </c>
      <c r="J158" t="str">
        <f t="shared" si="25"/>
        <v>USDEL</v>
      </c>
      <c r="K158" t="str">
        <f t="shared" si="26"/>
        <v>ELUSD</v>
      </c>
      <c r="L158">
        <f t="shared" si="27"/>
        <v>0</v>
      </c>
      <c r="M158">
        <f t="shared" si="28"/>
        <v>2</v>
      </c>
      <c r="N158" t="b">
        <f t="shared" si="29"/>
        <v>1</v>
      </c>
    </row>
    <row r="159" spans="1:14" x14ac:dyDescent="0.25">
      <c r="A159" s="4" t="s">
        <v>5</v>
      </c>
      <c r="B159" s="4" t="s">
        <v>1163</v>
      </c>
      <c r="C159" s="3">
        <v>8.4100000000000008E-6</v>
      </c>
      <c r="D159" s="3">
        <v>6.1E-6</v>
      </c>
      <c r="E159" s="3">
        <v>8.4100000000000008E-6</v>
      </c>
      <c r="F159" s="3">
        <v>6.1E-6</v>
      </c>
      <c r="G159">
        <f t="shared" si="24"/>
        <v>6</v>
      </c>
      <c r="H159" t="str">
        <f t="shared" si="30"/>
        <v>BTC</v>
      </c>
      <c r="I159" t="str">
        <f t="shared" ref="I159:I164" si="32">LEFT(B159,3)</f>
        <v>ENT</v>
      </c>
      <c r="J159" t="str">
        <f t="shared" si="25"/>
        <v>BTCENT</v>
      </c>
      <c r="K159" t="str">
        <f t="shared" si="26"/>
        <v>ENTBTC</v>
      </c>
      <c r="L159">
        <f t="shared" si="27"/>
        <v>0</v>
      </c>
      <c r="M159">
        <f t="shared" si="28"/>
        <v>2</v>
      </c>
      <c r="N159" t="b">
        <f t="shared" si="29"/>
        <v>1</v>
      </c>
    </row>
    <row r="160" spans="1:14" x14ac:dyDescent="0.25">
      <c r="A160" s="4" t="s">
        <v>1239</v>
      </c>
      <c r="B160" s="4" t="s">
        <v>1163</v>
      </c>
      <c r="C160" s="3">
        <v>7.79E-6</v>
      </c>
      <c r="D160" s="3">
        <v>6.4500000000000001E-6</v>
      </c>
      <c r="E160" s="3">
        <v>7.79E-6</v>
      </c>
      <c r="F160" s="3">
        <v>6.4500000000000001E-6</v>
      </c>
      <c r="G160">
        <f t="shared" si="24"/>
        <v>6</v>
      </c>
      <c r="H160" t="str">
        <f t="shared" si="30"/>
        <v>BTC</v>
      </c>
      <c r="I160" t="str">
        <f t="shared" si="32"/>
        <v>ENT</v>
      </c>
      <c r="J160" t="str">
        <f t="shared" si="25"/>
        <v>BTCENT</v>
      </c>
      <c r="K160" t="str">
        <f t="shared" si="26"/>
        <v>ENTBTC</v>
      </c>
      <c r="L160">
        <f t="shared" si="27"/>
        <v>0</v>
      </c>
      <c r="M160">
        <f t="shared" si="28"/>
        <v>2</v>
      </c>
      <c r="N160" t="b">
        <f t="shared" si="29"/>
        <v>1</v>
      </c>
    </row>
    <row r="161" spans="1:14" x14ac:dyDescent="0.25">
      <c r="A161" s="4" t="s">
        <v>5</v>
      </c>
      <c r="B161" s="4" t="s">
        <v>606</v>
      </c>
      <c r="C161" s="3">
        <v>20340.979999980002</v>
      </c>
      <c r="D161" s="3">
        <v>20070.000000010001</v>
      </c>
      <c r="E161" s="3">
        <v>20344.335025789002</v>
      </c>
      <c r="F161" s="3">
        <v>20070.000000002899</v>
      </c>
      <c r="G161">
        <f t="shared" si="24"/>
        <v>6</v>
      </c>
      <c r="H161" t="str">
        <f t="shared" si="30"/>
        <v>RUR</v>
      </c>
      <c r="I161" t="str">
        <f t="shared" si="32"/>
        <v>ETH</v>
      </c>
      <c r="J161" t="str">
        <f t="shared" si="25"/>
        <v>RURETH</v>
      </c>
      <c r="K161" t="str">
        <f t="shared" si="26"/>
        <v>ETHRUR</v>
      </c>
      <c r="L161">
        <f t="shared" si="27"/>
        <v>0</v>
      </c>
      <c r="M161">
        <f t="shared" si="28"/>
        <v>2</v>
      </c>
      <c r="N161" t="b">
        <f t="shared" si="29"/>
        <v>1</v>
      </c>
    </row>
    <row r="162" spans="1:14" x14ac:dyDescent="0.25">
      <c r="A162" s="4" t="s">
        <v>1239</v>
      </c>
      <c r="B162" s="4" t="s">
        <v>606</v>
      </c>
      <c r="C162" s="3">
        <v>21000</v>
      </c>
      <c r="D162" s="3">
        <v>16000.411120000001</v>
      </c>
      <c r="E162" s="3">
        <v>23763.551586312798</v>
      </c>
      <c r="F162" s="3">
        <v>15656.902160031899</v>
      </c>
      <c r="G162">
        <f t="shared" si="24"/>
        <v>6</v>
      </c>
      <c r="H162" t="str">
        <f t="shared" si="30"/>
        <v>RUR</v>
      </c>
      <c r="I162" t="str">
        <f t="shared" si="32"/>
        <v>ETH</v>
      </c>
      <c r="J162" t="str">
        <f t="shared" si="25"/>
        <v>RURETH</v>
      </c>
      <c r="K162" t="str">
        <f t="shared" si="26"/>
        <v>ETHRUR</v>
      </c>
      <c r="L162">
        <f t="shared" si="27"/>
        <v>0</v>
      </c>
      <c r="M162">
        <f t="shared" si="28"/>
        <v>2</v>
      </c>
      <c r="N162" t="b">
        <f t="shared" si="29"/>
        <v>1</v>
      </c>
    </row>
    <row r="163" spans="1:14" x14ac:dyDescent="0.25">
      <c r="A163" s="4" t="s">
        <v>5</v>
      </c>
      <c r="B163" s="4" t="s">
        <v>1043</v>
      </c>
      <c r="C163" s="3" t="s">
        <v>520</v>
      </c>
      <c r="D163" s="3">
        <v>6.3E-7</v>
      </c>
      <c r="E163" s="3" t="s">
        <v>520</v>
      </c>
      <c r="F163" s="3">
        <v>6.3E-7</v>
      </c>
      <c r="G163">
        <f t="shared" si="24"/>
        <v>6</v>
      </c>
      <c r="H163" t="str">
        <f t="shared" ref="H163:H194" si="33">RIGHT(B163,3)</f>
        <v>BTC</v>
      </c>
      <c r="I163" t="str">
        <f t="shared" si="32"/>
        <v>FJC</v>
      </c>
      <c r="J163" t="str">
        <f t="shared" si="25"/>
        <v>BTCFJC</v>
      </c>
      <c r="K163" t="str">
        <f t="shared" si="26"/>
        <v>FJCBTC</v>
      </c>
      <c r="L163">
        <f t="shared" si="27"/>
        <v>0</v>
      </c>
      <c r="M163">
        <f t="shared" si="28"/>
        <v>2</v>
      </c>
      <c r="N163" t="b">
        <f t="shared" si="29"/>
        <v>1</v>
      </c>
    </row>
    <row r="164" spans="1:14" x14ac:dyDescent="0.25">
      <c r="A164" s="4" t="s">
        <v>1403</v>
      </c>
      <c r="B164" s="4" t="s">
        <v>1043</v>
      </c>
      <c r="C164" s="3">
        <v>7.0999999999999998E-7</v>
      </c>
      <c r="D164" s="3" t="s">
        <v>403</v>
      </c>
      <c r="E164" s="3" t="s">
        <v>403</v>
      </c>
      <c r="F164" s="3" t="s">
        <v>520</v>
      </c>
      <c r="G164">
        <f t="shared" si="24"/>
        <v>6</v>
      </c>
      <c r="H164" t="str">
        <f t="shared" si="33"/>
        <v>BTC</v>
      </c>
      <c r="I164" t="str">
        <f t="shared" si="32"/>
        <v>FJC</v>
      </c>
      <c r="J164" t="str">
        <f t="shared" si="25"/>
        <v>BTCFJC</v>
      </c>
      <c r="K164" t="str">
        <f t="shared" si="26"/>
        <v>FJCBTC</v>
      </c>
      <c r="L164">
        <f t="shared" si="27"/>
        <v>0</v>
      </c>
      <c r="M164">
        <f t="shared" si="28"/>
        <v>2</v>
      </c>
      <c r="N164" t="b">
        <f t="shared" si="29"/>
        <v>1</v>
      </c>
    </row>
    <row r="165" spans="1:14" x14ac:dyDescent="0.25">
      <c r="A165" s="4" t="s">
        <v>5</v>
      </c>
      <c r="B165" s="4" t="s">
        <v>1125</v>
      </c>
      <c r="C165" s="3">
        <v>1.0999899999999999E-3</v>
      </c>
      <c r="D165" s="3">
        <v>9.6400000000000001E-4</v>
      </c>
      <c r="E165" s="3">
        <v>1.0999899999999999E-3</v>
      </c>
      <c r="F165" s="3">
        <v>9.6400000000000001E-4</v>
      </c>
      <c r="G165">
        <f t="shared" si="24"/>
        <v>7</v>
      </c>
      <c r="H165" t="str">
        <f t="shared" si="33"/>
        <v>BTC</v>
      </c>
      <c r="I165" t="str">
        <f>LEFT(B165,4)</f>
        <v>FRST</v>
      </c>
      <c r="J165" t="str">
        <f t="shared" si="25"/>
        <v>BTCFRST</v>
      </c>
      <c r="K165" t="str">
        <f t="shared" si="26"/>
        <v>FRSTBTC</v>
      </c>
      <c r="L165">
        <f t="shared" si="27"/>
        <v>0</v>
      </c>
      <c r="M165">
        <f t="shared" si="28"/>
        <v>2</v>
      </c>
      <c r="N165" t="b">
        <f t="shared" si="29"/>
        <v>1</v>
      </c>
    </row>
    <row r="166" spans="1:14" x14ac:dyDescent="0.25">
      <c r="A166" s="4" t="s">
        <v>1239</v>
      </c>
      <c r="B166" s="4" t="s">
        <v>1125</v>
      </c>
      <c r="C166" s="3">
        <v>9.9351999999999991E-4</v>
      </c>
      <c r="D166" s="3">
        <v>9.5200000000000005E-4</v>
      </c>
      <c r="E166" s="3">
        <v>9.9352107390439999E-4</v>
      </c>
      <c r="F166" s="3">
        <v>9.5200000000000005E-4</v>
      </c>
      <c r="G166">
        <f t="shared" si="24"/>
        <v>7</v>
      </c>
      <c r="H166" t="str">
        <f t="shared" si="33"/>
        <v>BTC</v>
      </c>
      <c r="I166" t="str">
        <f>LEFT(B166,4)</f>
        <v>FRST</v>
      </c>
      <c r="J166" t="str">
        <f t="shared" si="25"/>
        <v>BTCFRST</v>
      </c>
      <c r="K166" t="str">
        <f t="shared" si="26"/>
        <v>FRSTBTC</v>
      </c>
      <c r="L166">
        <f t="shared" si="27"/>
        <v>0</v>
      </c>
      <c r="M166">
        <f t="shared" si="28"/>
        <v>2</v>
      </c>
      <c r="N166" t="b">
        <f t="shared" si="29"/>
        <v>1</v>
      </c>
    </row>
    <row r="167" spans="1:14" x14ac:dyDescent="0.25">
      <c r="A167" s="4" t="s">
        <v>5</v>
      </c>
      <c r="B167" s="4" t="s">
        <v>566</v>
      </c>
      <c r="C167" s="3">
        <v>3.7900000000000001E-6</v>
      </c>
      <c r="D167" s="3">
        <v>3.2100000000000002E-6</v>
      </c>
      <c r="E167" s="3">
        <v>3.7900000000000001E-6</v>
      </c>
      <c r="F167" s="3">
        <v>3.2100000000000002E-6</v>
      </c>
      <c r="G167">
        <f t="shared" si="24"/>
        <v>6</v>
      </c>
      <c r="H167" t="str">
        <f t="shared" si="33"/>
        <v>BTC</v>
      </c>
      <c r="I167" t="str">
        <f t="shared" ref="I167:I174" si="34">LEFT(B167,3)</f>
        <v>GHS</v>
      </c>
      <c r="J167" t="str">
        <f t="shared" si="25"/>
        <v>BTCGHS</v>
      </c>
      <c r="K167" t="str">
        <f t="shared" si="26"/>
        <v>GHSBTC</v>
      </c>
      <c r="L167">
        <f t="shared" si="27"/>
        <v>0</v>
      </c>
      <c r="M167">
        <f t="shared" si="28"/>
        <v>2</v>
      </c>
      <c r="N167" t="b">
        <f t="shared" si="29"/>
        <v>1</v>
      </c>
    </row>
    <row r="168" spans="1:14" x14ac:dyDescent="0.25">
      <c r="A168" s="4" t="s">
        <v>6</v>
      </c>
      <c r="B168" s="4" t="s">
        <v>566</v>
      </c>
      <c r="C168" s="3">
        <v>1.453E-5</v>
      </c>
      <c r="D168" s="3">
        <v>1.4769999999999999E-5</v>
      </c>
      <c r="E168" s="3">
        <v>1.453E-5</v>
      </c>
      <c r="F168" s="3">
        <v>1.4769999999999999E-5</v>
      </c>
      <c r="G168">
        <f t="shared" si="24"/>
        <v>6</v>
      </c>
      <c r="H168" t="str">
        <f t="shared" si="33"/>
        <v>BTC</v>
      </c>
      <c r="I168" t="str">
        <f t="shared" si="34"/>
        <v>GHS</v>
      </c>
      <c r="J168" t="str">
        <f t="shared" si="25"/>
        <v>BTCGHS</v>
      </c>
      <c r="K168" t="str">
        <f t="shared" si="26"/>
        <v>GHSBTC</v>
      </c>
      <c r="L168">
        <f t="shared" si="27"/>
        <v>0</v>
      </c>
      <c r="M168">
        <f t="shared" si="28"/>
        <v>2</v>
      </c>
      <c r="N168" t="b">
        <f t="shared" si="29"/>
        <v>1</v>
      </c>
    </row>
    <row r="169" spans="1:14" x14ac:dyDescent="0.25">
      <c r="A169" s="4" t="s">
        <v>5</v>
      </c>
      <c r="B169" s="4" t="s">
        <v>989</v>
      </c>
      <c r="C169" s="3">
        <v>1.1999999999999999E-7</v>
      </c>
      <c r="D169" s="3" t="s">
        <v>539</v>
      </c>
      <c r="E169" s="3">
        <v>1.1999999999999999E-7</v>
      </c>
      <c r="F169" s="3" t="s">
        <v>539</v>
      </c>
      <c r="G169">
        <f t="shared" si="24"/>
        <v>6</v>
      </c>
      <c r="H169" t="str">
        <f t="shared" si="33"/>
        <v>BTC</v>
      </c>
      <c r="I169" t="str">
        <f t="shared" si="34"/>
        <v>HCC</v>
      </c>
      <c r="J169" t="str">
        <f t="shared" si="25"/>
        <v>BTCHCC</v>
      </c>
      <c r="K169" t="str">
        <f t="shared" si="26"/>
        <v>HCCBTC</v>
      </c>
      <c r="L169">
        <f t="shared" si="27"/>
        <v>0</v>
      </c>
      <c r="M169">
        <f t="shared" si="28"/>
        <v>2</v>
      </c>
      <c r="N169" t="b">
        <f t="shared" si="29"/>
        <v>1</v>
      </c>
    </row>
    <row r="170" spans="1:14" x14ac:dyDescent="0.25">
      <c r="A170" s="4" t="s">
        <v>1403</v>
      </c>
      <c r="B170" s="4" t="s">
        <v>989</v>
      </c>
      <c r="C170" s="3" t="s">
        <v>435</v>
      </c>
      <c r="D170" s="3">
        <v>1.1999999999999999E-7</v>
      </c>
      <c r="E170" s="3">
        <v>1.1999999999999999E-7</v>
      </c>
      <c r="F170" s="3" t="s">
        <v>540</v>
      </c>
      <c r="G170">
        <f t="shared" si="24"/>
        <v>6</v>
      </c>
      <c r="H170" t="str">
        <f t="shared" si="33"/>
        <v>BTC</v>
      </c>
      <c r="I170" t="str">
        <f t="shared" si="34"/>
        <v>HCC</v>
      </c>
      <c r="J170" t="str">
        <f t="shared" si="25"/>
        <v>BTCHCC</v>
      </c>
      <c r="K170" t="str">
        <f t="shared" si="26"/>
        <v>HCCBTC</v>
      </c>
      <c r="L170">
        <f t="shared" si="27"/>
        <v>0</v>
      </c>
      <c r="M170">
        <f t="shared" si="28"/>
        <v>2</v>
      </c>
      <c r="N170" t="b">
        <f t="shared" si="29"/>
        <v>1</v>
      </c>
    </row>
    <row r="171" spans="1:14" x14ac:dyDescent="0.25">
      <c r="A171" s="4" t="s">
        <v>5</v>
      </c>
      <c r="B171" s="4" t="s">
        <v>1087</v>
      </c>
      <c r="C171" s="3">
        <v>1.698E-5</v>
      </c>
      <c r="D171" s="3">
        <v>1.135E-5</v>
      </c>
      <c r="E171" s="3">
        <v>1.698E-5</v>
      </c>
      <c r="F171" s="3">
        <v>1.135E-5</v>
      </c>
      <c r="G171">
        <f t="shared" si="24"/>
        <v>6</v>
      </c>
      <c r="H171" t="str">
        <f t="shared" si="33"/>
        <v>BTC</v>
      </c>
      <c r="I171" t="str">
        <f t="shared" si="34"/>
        <v>HXX</v>
      </c>
      <c r="J171" t="str">
        <f t="shared" si="25"/>
        <v>BTCHXX</v>
      </c>
      <c r="K171" t="str">
        <f t="shared" si="26"/>
        <v>HXXBTC</v>
      </c>
      <c r="L171">
        <f t="shared" si="27"/>
        <v>0</v>
      </c>
      <c r="M171">
        <f t="shared" si="28"/>
        <v>2</v>
      </c>
      <c r="N171" t="b">
        <f t="shared" si="29"/>
        <v>1</v>
      </c>
    </row>
    <row r="172" spans="1:14" x14ac:dyDescent="0.25">
      <c r="A172" s="4" t="s">
        <v>1403</v>
      </c>
      <c r="B172" s="4" t="s">
        <v>1087</v>
      </c>
      <c r="C172" s="3">
        <v>1.2500000000000001E-5</v>
      </c>
      <c r="D172" s="3">
        <v>1.2500000000000001E-5</v>
      </c>
      <c r="E172" s="3">
        <v>1.8539999999999999E-5</v>
      </c>
      <c r="F172" s="3">
        <v>7.1600000000000001E-6</v>
      </c>
      <c r="G172">
        <f t="shared" si="24"/>
        <v>6</v>
      </c>
      <c r="H172" t="str">
        <f t="shared" si="33"/>
        <v>BTC</v>
      </c>
      <c r="I172" t="str">
        <f t="shared" si="34"/>
        <v>HXX</v>
      </c>
      <c r="J172" t="str">
        <f t="shared" si="25"/>
        <v>BTCHXX</v>
      </c>
      <c r="K172" t="str">
        <f t="shared" si="26"/>
        <v>HXXBTC</v>
      </c>
      <c r="L172">
        <f t="shared" si="27"/>
        <v>0</v>
      </c>
      <c r="M172">
        <f t="shared" si="28"/>
        <v>2</v>
      </c>
      <c r="N172" t="b">
        <f t="shared" si="29"/>
        <v>1</v>
      </c>
    </row>
    <row r="173" spans="1:14" x14ac:dyDescent="0.25">
      <c r="A173" s="4" t="s">
        <v>5</v>
      </c>
      <c r="B173" s="4" t="s">
        <v>551</v>
      </c>
      <c r="C173" s="3">
        <v>6.8499999999999996E-6</v>
      </c>
      <c r="D173" s="3">
        <v>5.3700000000000003E-6</v>
      </c>
      <c r="E173" s="3">
        <v>6.8499999999999996E-6</v>
      </c>
      <c r="F173" s="3">
        <v>5.3700000000000003E-6</v>
      </c>
      <c r="G173">
        <f t="shared" si="24"/>
        <v>6</v>
      </c>
      <c r="H173" t="str">
        <f t="shared" si="33"/>
        <v>BTC</v>
      </c>
      <c r="I173" t="str">
        <f t="shared" si="34"/>
        <v>ISL</v>
      </c>
      <c r="J173" t="str">
        <f t="shared" si="25"/>
        <v>BTCISL</v>
      </c>
      <c r="K173" t="str">
        <f t="shared" si="26"/>
        <v>ISLBTC</v>
      </c>
      <c r="L173">
        <f t="shared" si="27"/>
        <v>0</v>
      </c>
      <c r="M173">
        <f t="shared" si="28"/>
        <v>2</v>
      </c>
      <c r="N173" t="b">
        <f t="shared" si="29"/>
        <v>1</v>
      </c>
    </row>
    <row r="174" spans="1:14" x14ac:dyDescent="0.25">
      <c r="A174" s="4" t="s">
        <v>1403</v>
      </c>
      <c r="B174" s="4" t="s">
        <v>551</v>
      </c>
      <c r="C174" s="3">
        <v>8.3599999999999996E-6</v>
      </c>
      <c r="D174" s="3">
        <v>8.3699999999999995E-6</v>
      </c>
      <c r="E174" s="3">
        <v>8.2500000000000006E-6</v>
      </c>
      <c r="F174" s="3" t="s">
        <v>692</v>
      </c>
      <c r="G174">
        <f t="shared" si="24"/>
        <v>6</v>
      </c>
      <c r="H174" t="str">
        <f t="shared" si="33"/>
        <v>BTC</v>
      </c>
      <c r="I174" t="str">
        <f t="shared" si="34"/>
        <v>ISL</v>
      </c>
      <c r="J174" t="str">
        <f t="shared" si="25"/>
        <v>BTCISL</v>
      </c>
      <c r="K174" t="str">
        <f t="shared" si="26"/>
        <v>ISLBTC</v>
      </c>
      <c r="L174">
        <f t="shared" si="27"/>
        <v>0</v>
      </c>
      <c r="M174">
        <f t="shared" si="28"/>
        <v>2</v>
      </c>
      <c r="N174" t="b">
        <f t="shared" si="29"/>
        <v>1</v>
      </c>
    </row>
    <row r="175" spans="1:14" x14ac:dyDescent="0.25">
      <c r="A175" s="4" t="s">
        <v>5</v>
      </c>
      <c r="B175" s="4" t="s">
        <v>1176</v>
      </c>
      <c r="C175" s="3">
        <v>2.6699999999999998E-6</v>
      </c>
      <c r="D175" s="3">
        <v>2.12E-6</v>
      </c>
      <c r="E175" s="3">
        <v>2.6699999999999998E-6</v>
      </c>
      <c r="F175" s="3">
        <v>2.12E-6</v>
      </c>
      <c r="G175">
        <f t="shared" si="24"/>
        <v>5</v>
      </c>
      <c r="H175" t="str">
        <f t="shared" si="33"/>
        <v>BTC</v>
      </c>
      <c r="I175" t="str">
        <f>LEFT(B175,2)</f>
        <v>KC</v>
      </c>
      <c r="J175" t="str">
        <f t="shared" si="25"/>
        <v>BTCKC</v>
      </c>
      <c r="K175" t="str">
        <f t="shared" si="26"/>
        <v>KCBTC</v>
      </c>
      <c r="L175">
        <f t="shared" si="27"/>
        <v>0</v>
      </c>
      <c r="M175">
        <f t="shared" si="28"/>
        <v>2</v>
      </c>
      <c r="N175" t="b">
        <f t="shared" si="29"/>
        <v>1</v>
      </c>
    </row>
    <row r="176" spans="1:14" x14ac:dyDescent="0.25">
      <c r="A176" s="4" t="s">
        <v>1403</v>
      </c>
      <c r="B176" s="4" t="s">
        <v>1176</v>
      </c>
      <c r="C176" s="3" t="s">
        <v>362</v>
      </c>
      <c r="D176" s="3" t="s">
        <v>361</v>
      </c>
      <c r="E176" s="3" t="s">
        <v>361</v>
      </c>
      <c r="F176" s="3" t="s">
        <v>362</v>
      </c>
      <c r="G176">
        <f t="shared" si="24"/>
        <v>5</v>
      </c>
      <c r="H176" t="str">
        <f t="shared" si="33"/>
        <v>BTC</v>
      </c>
      <c r="I176" t="str">
        <f>LEFT(B176,2)</f>
        <v>KC</v>
      </c>
      <c r="J176" t="str">
        <f t="shared" si="25"/>
        <v>BTCKC</v>
      </c>
      <c r="K176" t="str">
        <f t="shared" si="26"/>
        <v>KCBTC</v>
      </c>
      <c r="L176">
        <f t="shared" si="27"/>
        <v>0</v>
      </c>
      <c r="M176">
        <f t="shared" si="28"/>
        <v>2</v>
      </c>
      <c r="N176" t="b">
        <f t="shared" si="29"/>
        <v>1</v>
      </c>
    </row>
    <row r="177" spans="1:14" x14ac:dyDescent="0.25">
      <c r="A177" s="4" t="s">
        <v>1239</v>
      </c>
      <c r="B177" s="4" t="s">
        <v>1268</v>
      </c>
      <c r="C177" s="3">
        <v>2.3999000000000001E-4</v>
      </c>
      <c r="D177" s="3">
        <v>2.2604999999999999E-4</v>
      </c>
      <c r="E177" s="3">
        <v>2.3999000000000001E-4</v>
      </c>
      <c r="F177" s="3">
        <v>2.2604999999999999E-4</v>
      </c>
      <c r="G177">
        <f t="shared" si="24"/>
        <v>6</v>
      </c>
      <c r="H177" t="str">
        <f t="shared" si="33"/>
        <v>BTC</v>
      </c>
      <c r="I177" t="str">
        <f>LEFT(B177,3)</f>
        <v>LEO</v>
      </c>
      <c r="J177" t="str">
        <f t="shared" si="25"/>
        <v>BTCLEO</v>
      </c>
      <c r="K177" t="str">
        <f t="shared" si="26"/>
        <v>LEOBTC</v>
      </c>
      <c r="L177">
        <f t="shared" si="27"/>
        <v>0</v>
      </c>
      <c r="M177">
        <f t="shared" si="28"/>
        <v>2</v>
      </c>
      <c r="N177" t="b">
        <f t="shared" si="29"/>
        <v>1</v>
      </c>
    </row>
    <row r="178" spans="1:14" x14ac:dyDescent="0.25">
      <c r="A178" s="4" t="s">
        <v>1403</v>
      </c>
      <c r="B178" s="4" t="s">
        <v>1268</v>
      </c>
      <c r="C178" s="3">
        <v>2.2000000000000001E-4</v>
      </c>
      <c r="D178" s="3">
        <v>2.4981999999999999E-4</v>
      </c>
      <c r="E178" s="3">
        <v>2.4899999999999998E-4</v>
      </c>
      <c r="F178" s="3">
        <v>2.2000000000000001E-4</v>
      </c>
      <c r="G178">
        <f t="shared" si="24"/>
        <v>6</v>
      </c>
      <c r="H178" t="str">
        <f t="shared" si="33"/>
        <v>BTC</v>
      </c>
      <c r="I178" t="str">
        <f>LEFT(B178,3)</f>
        <v>LEO</v>
      </c>
      <c r="J178" t="str">
        <f t="shared" si="25"/>
        <v>BTCLEO</v>
      </c>
      <c r="K178" t="str">
        <f t="shared" si="26"/>
        <v>LEOBTC</v>
      </c>
      <c r="L178">
        <f t="shared" si="27"/>
        <v>0</v>
      </c>
      <c r="M178">
        <f t="shared" si="28"/>
        <v>2</v>
      </c>
      <c r="N178" t="b">
        <f t="shared" si="29"/>
        <v>1</v>
      </c>
    </row>
    <row r="179" spans="1:14" x14ac:dyDescent="0.25">
      <c r="A179" s="4" t="s">
        <v>1239</v>
      </c>
      <c r="B179" s="4" t="s">
        <v>1267</v>
      </c>
      <c r="C179" s="3">
        <v>0.62</v>
      </c>
      <c r="D179" s="3">
        <v>0.55633999999999995</v>
      </c>
      <c r="E179" s="3">
        <v>0.62</v>
      </c>
      <c r="F179" s="3">
        <v>0.55633999999999995</v>
      </c>
      <c r="G179">
        <f t="shared" si="24"/>
        <v>6</v>
      </c>
      <c r="H179" t="str">
        <f t="shared" si="33"/>
        <v>USD</v>
      </c>
      <c r="I179" t="str">
        <f>LEFT(B179,3)</f>
        <v>LEO</v>
      </c>
      <c r="J179" t="str">
        <f t="shared" si="25"/>
        <v>USDLEO</v>
      </c>
      <c r="K179" t="str">
        <f t="shared" si="26"/>
        <v>LEOUSD</v>
      </c>
      <c r="L179">
        <f t="shared" si="27"/>
        <v>0</v>
      </c>
      <c r="M179">
        <f t="shared" si="28"/>
        <v>2</v>
      </c>
      <c r="N179" t="b">
        <f t="shared" si="29"/>
        <v>1</v>
      </c>
    </row>
    <row r="180" spans="1:14" x14ac:dyDescent="0.25">
      <c r="A180" s="4" t="s">
        <v>1403</v>
      </c>
      <c r="B180" s="4" t="s">
        <v>1267</v>
      </c>
      <c r="C180" s="3">
        <v>0.79700000000000004</v>
      </c>
      <c r="D180" s="3">
        <v>0.79700000000000004</v>
      </c>
      <c r="E180" s="3">
        <v>0.79500000000000004</v>
      </c>
      <c r="F180" s="3">
        <v>0.4</v>
      </c>
      <c r="G180">
        <f t="shared" si="24"/>
        <v>6</v>
      </c>
      <c r="H180" t="str">
        <f t="shared" si="33"/>
        <v>USD</v>
      </c>
      <c r="I180" t="str">
        <f>LEFT(B180,3)</f>
        <v>LEO</v>
      </c>
      <c r="J180" t="str">
        <f t="shared" si="25"/>
        <v>USDLEO</v>
      </c>
      <c r="K180" t="str">
        <f t="shared" si="26"/>
        <v>LEOUSD</v>
      </c>
      <c r="L180">
        <f t="shared" si="27"/>
        <v>0</v>
      </c>
      <c r="M180">
        <f t="shared" si="28"/>
        <v>2</v>
      </c>
      <c r="N180" t="b">
        <f t="shared" si="29"/>
        <v>1</v>
      </c>
    </row>
    <row r="181" spans="1:14" x14ac:dyDescent="0.25">
      <c r="A181" s="4" t="s">
        <v>5</v>
      </c>
      <c r="B181" s="4" t="s">
        <v>769</v>
      </c>
      <c r="C181" s="3" t="s">
        <v>384</v>
      </c>
      <c r="D181" s="3" t="s">
        <v>361</v>
      </c>
      <c r="E181" s="3" t="s">
        <v>384</v>
      </c>
      <c r="F181" s="3" t="s">
        <v>361</v>
      </c>
      <c r="G181">
        <f t="shared" si="24"/>
        <v>8</v>
      </c>
      <c r="H181" t="str">
        <f t="shared" si="33"/>
        <v>BTC</v>
      </c>
      <c r="I181" t="str">
        <f>LEFT(B181,5)</f>
        <v>LEPEN</v>
      </c>
      <c r="J181" t="str">
        <f t="shared" si="25"/>
        <v>BTCLEPEN</v>
      </c>
      <c r="K181" t="str">
        <f t="shared" si="26"/>
        <v>LEPENBTC</v>
      </c>
      <c r="L181">
        <f t="shared" si="27"/>
        <v>0</v>
      </c>
      <c r="M181">
        <f t="shared" si="28"/>
        <v>2</v>
      </c>
      <c r="N181" t="b">
        <f t="shared" si="29"/>
        <v>1</v>
      </c>
    </row>
    <row r="182" spans="1:14" x14ac:dyDescent="0.25">
      <c r="A182" s="4" t="s">
        <v>1403</v>
      </c>
      <c r="B182" s="4" t="s">
        <v>769</v>
      </c>
      <c r="C182" s="3" t="s">
        <v>384</v>
      </c>
      <c r="D182" s="3" t="s">
        <v>381</v>
      </c>
      <c r="E182" s="3" t="s">
        <v>381</v>
      </c>
      <c r="F182" s="3" t="s">
        <v>384</v>
      </c>
      <c r="G182">
        <f t="shared" si="24"/>
        <v>8</v>
      </c>
      <c r="H182" t="str">
        <f t="shared" si="33"/>
        <v>BTC</v>
      </c>
      <c r="I182" t="str">
        <f>LEFT(B182,5)</f>
        <v>LEPEN</v>
      </c>
      <c r="J182" t="str">
        <f t="shared" si="25"/>
        <v>BTCLEPEN</v>
      </c>
      <c r="K182" t="str">
        <f t="shared" si="26"/>
        <v>LEPENBTC</v>
      </c>
      <c r="L182">
        <f t="shared" si="27"/>
        <v>0</v>
      </c>
      <c r="M182">
        <f t="shared" si="28"/>
        <v>2</v>
      </c>
      <c r="N182" t="b">
        <f t="shared" si="29"/>
        <v>1</v>
      </c>
    </row>
    <row r="183" spans="1:14" x14ac:dyDescent="0.25">
      <c r="A183" s="4" t="s">
        <v>3</v>
      </c>
      <c r="B183" s="4" t="s">
        <v>279</v>
      </c>
      <c r="C183" s="3">
        <v>25.079989999999999</v>
      </c>
      <c r="D183" s="3">
        <v>24.89452</v>
      </c>
      <c r="E183" s="3">
        <v>25.08</v>
      </c>
      <c r="F183" s="3">
        <v>24.894549999999999</v>
      </c>
      <c r="G183">
        <f t="shared" si="24"/>
        <v>6</v>
      </c>
      <c r="H183" t="str">
        <f t="shared" si="33"/>
        <v>EUR</v>
      </c>
      <c r="I183" t="str">
        <f>LEFT(B183,3)</f>
        <v>LTC</v>
      </c>
      <c r="J183" t="str">
        <f t="shared" si="25"/>
        <v>EURLTC</v>
      </c>
      <c r="K183" t="str">
        <f t="shared" si="26"/>
        <v>LTCEUR</v>
      </c>
      <c r="L183">
        <f t="shared" si="27"/>
        <v>0</v>
      </c>
      <c r="M183">
        <f t="shared" si="28"/>
        <v>2</v>
      </c>
      <c r="N183" t="b">
        <f t="shared" si="29"/>
        <v>1</v>
      </c>
    </row>
    <row r="184" spans="1:14" x14ac:dyDescent="0.25">
      <c r="A184" s="4" t="s">
        <v>4</v>
      </c>
      <c r="B184" s="4" t="s">
        <v>279</v>
      </c>
      <c r="C184" s="3">
        <v>23</v>
      </c>
      <c r="D184" s="3">
        <v>11.571999999999999</v>
      </c>
      <c r="E184" s="3">
        <v>23</v>
      </c>
      <c r="F184" s="3">
        <v>11.5594</v>
      </c>
      <c r="G184">
        <f t="shared" si="24"/>
        <v>6</v>
      </c>
      <c r="H184" t="str">
        <f t="shared" si="33"/>
        <v>EUR</v>
      </c>
      <c r="I184" t="str">
        <f>LEFT(B184,3)</f>
        <v>LTC</v>
      </c>
      <c r="J184" t="str">
        <f t="shared" si="25"/>
        <v>EURLTC</v>
      </c>
      <c r="K184" t="str">
        <f t="shared" si="26"/>
        <v>LTCEUR</v>
      </c>
      <c r="L184">
        <f t="shared" si="27"/>
        <v>0</v>
      </c>
      <c r="M184">
        <f t="shared" si="28"/>
        <v>2</v>
      </c>
      <c r="N184" t="b">
        <f t="shared" si="29"/>
        <v>1</v>
      </c>
    </row>
    <row r="185" spans="1:14" x14ac:dyDescent="0.25">
      <c r="A185" s="4" t="s">
        <v>5</v>
      </c>
      <c r="B185" s="4" t="s">
        <v>1051</v>
      </c>
      <c r="C185" s="3">
        <v>3.4999999999999998E-7</v>
      </c>
      <c r="D185" s="3">
        <v>2.6E-7</v>
      </c>
      <c r="E185" s="3">
        <v>3.4999999999999998E-7</v>
      </c>
      <c r="F185" s="3">
        <v>2.6E-7</v>
      </c>
      <c r="G185">
        <f t="shared" si="24"/>
        <v>7</v>
      </c>
      <c r="H185" t="str">
        <f t="shared" si="33"/>
        <v>BTC</v>
      </c>
      <c r="I185" t="str">
        <f>LEFT(B185,4)</f>
        <v>LTCR</v>
      </c>
      <c r="J185" t="str">
        <f t="shared" si="25"/>
        <v>BTCLTCR</v>
      </c>
      <c r="K185" t="str">
        <f t="shared" si="26"/>
        <v>LTCRBTC</v>
      </c>
      <c r="L185">
        <f t="shared" si="27"/>
        <v>0</v>
      </c>
      <c r="M185">
        <f t="shared" si="28"/>
        <v>2</v>
      </c>
      <c r="N185" t="b">
        <f t="shared" si="29"/>
        <v>1</v>
      </c>
    </row>
    <row r="186" spans="1:14" x14ac:dyDescent="0.25">
      <c r="A186" s="4" t="s">
        <v>1403</v>
      </c>
      <c r="B186" s="4" t="s">
        <v>1051</v>
      </c>
      <c r="C186" s="3" t="s">
        <v>355</v>
      </c>
      <c r="D186" s="3">
        <v>1.1999999999999999E-7</v>
      </c>
      <c r="E186" s="3">
        <v>1.3E-7</v>
      </c>
      <c r="F186" s="3" t="s">
        <v>355</v>
      </c>
      <c r="G186">
        <f t="shared" si="24"/>
        <v>7</v>
      </c>
      <c r="H186" t="str">
        <f t="shared" si="33"/>
        <v>BTC</v>
      </c>
      <c r="I186" t="str">
        <f>LEFT(B186,4)</f>
        <v>LTCR</v>
      </c>
      <c r="J186" t="str">
        <f t="shared" si="25"/>
        <v>BTCLTCR</v>
      </c>
      <c r="K186" t="str">
        <f t="shared" si="26"/>
        <v>LTCRBTC</v>
      </c>
      <c r="L186">
        <f t="shared" si="27"/>
        <v>0</v>
      </c>
      <c r="M186">
        <f t="shared" si="28"/>
        <v>2</v>
      </c>
      <c r="N186" t="b">
        <f t="shared" si="29"/>
        <v>1</v>
      </c>
    </row>
    <row r="187" spans="1:14" x14ac:dyDescent="0.25">
      <c r="A187" s="4" t="s">
        <v>5</v>
      </c>
      <c r="B187" s="4" t="s">
        <v>1079</v>
      </c>
      <c r="C187" s="3">
        <v>1.02E-6</v>
      </c>
      <c r="D187" s="3">
        <v>9.5999999999999991E-7</v>
      </c>
      <c r="E187" s="3">
        <v>1.02E-6</v>
      </c>
      <c r="F187" s="3">
        <v>9.5999999999999991E-7</v>
      </c>
      <c r="G187">
        <f t="shared" si="24"/>
        <v>6</v>
      </c>
      <c r="H187" t="str">
        <f t="shared" si="33"/>
        <v>BTC</v>
      </c>
      <c r="I187" t="str">
        <f>LEFT(B187,3)</f>
        <v>LTS</v>
      </c>
      <c r="J187" t="str">
        <f t="shared" si="25"/>
        <v>BTCLTS</v>
      </c>
      <c r="K187" t="str">
        <f t="shared" si="26"/>
        <v>LTSBTC</v>
      </c>
      <c r="L187">
        <f t="shared" si="27"/>
        <v>0</v>
      </c>
      <c r="M187">
        <f t="shared" si="28"/>
        <v>2</v>
      </c>
      <c r="N187" t="b">
        <f t="shared" si="29"/>
        <v>1</v>
      </c>
    </row>
    <row r="188" spans="1:14" x14ac:dyDescent="0.25">
      <c r="A188" s="4" t="s">
        <v>1403</v>
      </c>
      <c r="B188" s="4" t="s">
        <v>1079</v>
      </c>
      <c r="C188" s="3">
        <v>7.5000000000000002E-7</v>
      </c>
      <c r="D188" s="3">
        <v>1.1000000000000001E-6</v>
      </c>
      <c r="E188" s="3">
        <v>1.1400000000000001E-6</v>
      </c>
      <c r="F188" s="3" t="s">
        <v>520</v>
      </c>
      <c r="G188">
        <f t="shared" si="24"/>
        <v>6</v>
      </c>
      <c r="H188" t="str">
        <f t="shared" si="33"/>
        <v>BTC</v>
      </c>
      <c r="I188" t="str">
        <f>LEFT(B188,3)</f>
        <v>LTS</v>
      </c>
      <c r="J188" t="str">
        <f t="shared" si="25"/>
        <v>BTCLTS</v>
      </c>
      <c r="K188" t="str">
        <f t="shared" si="26"/>
        <v>LTSBTC</v>
      </c>
      <c r="L188">
        <f t="shared" si="27"/>
        <v>0</v>
      </c>
      <c r="M188">
        <f t="shared" si="28"/>
        <v>2</v>
      </c>
      <c r="N188" t="b">
        <f t="shared" si="29"/>
        <v>1</v>
      </c>
    </row>
    <row r="189" spans="1:14" x14ac:dyDescent="0.25">
      <c r="A189" s="4" t="s">
        <v>5</v>
      </c>
      <c r="B189" s="4" t="s">
        <v>454</v>
      </c>
      <c r="C189" s="3">
        <v>8.2400000000000007E-6</v>
      </c>
      <c r="D189" s="3">
        <v>6.8800000000000002E-6</v>
      </c>
      <c r="E189" s="3">
        <v>8.2400000000000007E-6</v>
      </c>
      <c r="F189" s="3">
        <v>6.8800000000000002E-6</v>
      </c>
      <c r="G189">
        <f t="shared" si="24"/>
        <v>7</v>
      </c>
      <c r="H189" t="str">
        <f t="shared" si="33"/>
        <v>BTC</v>
      </c>
      <c r="I189" t="str">
        <f t="shared" ref="I189:I198" si="35">LEFT(B189,4)</f>
        <v>LUNA</v>
      </c>
      <c r="J189" t="str">
        <f t="shared" si="25"/>
        <v>BTCLUNA</v>
      </c>
      <c r="K189" t="str">
        <f t="shared" si="26"/>
        <v>LUNABTC</v>
      </c>
      <c r="L189">
        <f t="shared" si="27"/>
        <v>0</v>
      </c>
      <c r="M189">
        <f t="shared" si="28"/>
        <v>2</v>
      </c>
      <c r="N189" t="b">
        <f t="shared" si="29"/>
        <v>1</v>
      </c>
    </row>
    <row r="190" spans="1:14" x14ac:dyDescent="0.25">
      <c r="A190" s="4" t="s">
        <v>1239</v>
      </c>
      <c r="B190" s="4" t="s">
        <v>454</v>
      </c>
      <c r="C190" s="3">
        <v>8.8400000000000001E-6</v>
      </c>
      <c r="D190" s="3">
        <v>6.8199999999999999E-6</v>
      </c>
      <c r="E190" s="3">
        <v>8.8400000000000001E-6</v>
      </c>
      <c r="F190" s="3">
        <v>6.8199999999999999E-6</v>
      </c>
      <c r="G190">
        <f t="shared" si="24"/>
        <v>7</v>
      </c>
      <c r="H190" t="str">
        <f t="shared" si="33"/>
        <v>BTC</v>
      </c>
      <c r="I190" t="str">
        <f t="shared" si="35"/>
        <v>LUNA</v>
      </c>
      <c r="J190" t="str">
        <f t="shared" si="25"/>
        <v>BTCLUNA</v>
      </c>
      <c r="K190" t="str">
        <f t="shared" si="26"/>
        <v>LUNABTC</v>
      </c>
      <c r="L190">
        <f t="shared" si="27"/>
        <v>0</v>
      </c>
      <c r="M190">
        <f t="shared" si="28"/>
        <v>2</v>
      </c>
      <c r="N190" t="b">
        <f t="shared" si="29"/>
        <v>1</v>
      </c>
    </row>
    <row r="191" spans="1:14" x14ac:dyDescent="0.25">
      <c r="A191" s="4" t="s">
        <v>5</v>
      </c>
      <c r="B191" s="4" t="s">
        <v>884</v>
      </c>
      <c r="C191" s="3">
        <v>9.9000000000000005E-7</v>
      </c>
      <c r="D191" s="3" t="s">
        <v>885</v>
      </c>
      <c r="E191" s="3">
        <v>9.9000000000000005E-7</v>
      </c>
      <c r="F191" s="3" t="s">
        <v>885</v>
      </c>
      <c r="G191">
        <f t="shared" si="24"/>
        <v>7</v>
      </c>
      <c r="H191" t="str">
        <f t="shared" si="33"/>
        <v>BTC</v>
      </c>
      <c r="I191" t="str">
        <f t="shared" si="35"/>
        <v>MOJO</v>
      </c>
      <c r="J191" t="str">
        <f t="shared" si="25"/>
        <v>BTCMOJO</v>
      </c>
      <c r="K191" t="str">
        <f t="shared" si="26"/>
        <v>MOJOBTC</v>
      </c>
      <c r="L191">
        <f t="shared" si="27"/>
        <v>0</v>
      </c>
      <c r="M191">
        <f t="shared" si="28"/>
        <v>2</v>
      </c>
      <c r="N191" t="b">
        <f t="shared" si="29"/>
        <v>1</v>
      </c>
    </row>
    <row r="192" spans="1:14" x14ac:dyDescent="0.25">
      <c r="A192" s="4" t="s">
        <v>1239</v>
      </c>
      <c r="B192" s="4" t="s">
        <v>884</v>
      </c>
      <c r="C192" s="3">
        <v>2.9000000000000002E-6</v>
      </c>
      <c r="D192" s="3">
        <v>2.8899999999999999E-6</v>
      </c>
      <c r="E192" s="3">
        <v>2.9000000000000002E-6</v>
      </c>
      <c r="F192" s="3">
        <v>2.8899999999999999E-6</v>
      </c>
      <c r="G192">
        <f t="shared" si="24"/>
        <v>7</v>
      </c>
      <c r="H192" t="str">
        <f t="shared" si="33"/>
        <v>BTC</v>
      </c>
      <c r="I192" t="str">
        <f t="shared" si="35"/>
        <v>MOJO</v>
      </c>
      <c r="J192" t="str">
        <f t="shared" si="25"/>
        <v>BTCMOJO</v>
      </c>
      <c r="K192" t="str">
        <f t="shared" si="26"/>
        <v>MOJOBTC</v>
      </c>
      <c r="L192">
        <f t="shared" si="27"/>
        <v>0</v>
      </c>
      <c r="M192">
        <f t="shared" si="28"/>
        <v>2</v>
      </c>
      <c r="N192" t="b">
        <f t="shared" si="29"/>
        <v>1</v>
      </c>
    </row>
    <row r="193" spans="1:14" x14ac:dyDescent="0.25">
      <c r="A193" s="4" t="s">
        <v>1239</v>
      </c>
      <c r="B193" s="4" t="s">
        <v>1330</v>
      </c>
      <c r="C193" s="3">
        <v>9.4399999999999994E-6</v>
      </c>
      <c r="D193" s="3">
        <v>8.9199999999999993E-6</v>
      </c>
      <c r="E193" s="3">
        <v>9.4399999999999994E-6</v>
      </c>
      <c r="F193" s="3">
        <v>8.9199999999999993E-6</v>
      </c>
      <c r="G193">
        <f t="shared" ref="G193:G256" si="36">LEN(B193)</f>
        <v>7</v>
      </c>
      <c r="H193" t="str">
        <f t="shared" si="33"/>
        <v>BTC</v>
      </c>
      <c r="I193" t="str">
        <f t="shared" si="35"/>
        <v>MSCN</v>
      </c>
      <c r="J193" t="str">
        <f t="shared" ref="J193:J256" si="37">CONCATENATE(H193,I193)</f>
        <v>BTCMSCN</v>
      </c>
      <c r="K193" t="str">
        <f t="shared" ref="K193:K256" si="38">CONCATENATE(I193,H193)</f>
        <v>MSCNBTC</v>
      </c>
      <c r="L193">
        <f t="shared" ref="L193:L256" si="39">COUNTIF(B:B,J193)</f>
        <v>0</v>
      </c>
      <c r="M193">
        <f t="shared" ref="M193:M256" si="40">COUNTIF(B:B,K193)</f>
        <v>2</v>
      </c>
      <c r="N193" t="b">
        <f t="shared" ref="N193:N256" si="41">L193=0</f>
        <v>1</v>
      </c>
    </row>
    <row r="194" spans="1:14" x14ac:dyDescent="0.25">
      <c r="A194" s="4" t="s">
        <v>1403</v>
      </c>
      <c r="B194" s="4" t="s">
        <v>1330</v>
      </c>
      <c r="C194" s="3">
        <v>5.5199999999999997E-6</v>
      </c>
      <c r="D194" s="3">
        <v>8.8599999999999999E-6</v>
      </c>
      <c r="E194" s="3">
        <v>8.8899999999999996E-6</v>
      </c>
      <c r="F194" s="3">
        <v>5.5199999999999997E-6</v>
      </c>
      <c r="G194">
        <f t="shared" si="36"/>
        <v>7</v>
      </c>
      <c r="H194" t="str">
        <f t="shared" si="33"/>
        <v>BTC</v>
      </c>
      <c r="I194" t="str">
        <f t="shared" si="35"/>
        <v>MSCN</v>
      </c>
      <c r="J194" t="str">
        <f t="shared" si="37"/>
        <v>BTCMSCN</v>
      </c>
      <c r="K194" t="str">
        <f t="shared" si="38"/>
        <v>MSCNBTC</v>
      </c>
      <c r="L194">
        <f t="shared" si="39"/>
        <v>0</v>
      </c>
      <c r="M194">
        <f t="shared" si="40"/>
        <v>2</v>
      </c>
      <c r="N194" t="b">
        <f t="shared" si="41"/>
        <v>1</v>
      </c>
    </row>
    <row r="195" spans="1:14" x14ac:dyDescent="0.25">
      <c r="A195" s="4" t="s">
        <v>1239</v>
      </c>
      <c r="B195" s="4" t="s">
        <v>1328</v>
      </c>
      <c r="C195" s="3">
        <v>2.478E-2</v>
      </c>
      <c r="D195" s="3">
        <v>2.0590000000000001E-2</v>
      </c>
      <c r="E195" s="3">
        <v>2.478E-2</v>
      </c>
      <c r="F195" s="3">
        <v>2.0590000000000001E-2</v>
      </c>
      <c r="G195">
        <f t="shared" si="36"/>
        <v>7</v>
      </c>
      <c r="H195" t="str">
        <f t="shared" ref="H195:H226" si="42">RIGHT(B195,3)</f>
        <v>USD</v>
      </c>
      <c r="I195" t="str">
        <f t="shared" si="35"/>
        <v>MSCN</v>
      </c>
      <c r="J195" t="str">
        <f t="shared" si="37"/>
        <v>USDMSCN</v>
      </c>
      <c r="K195" t="str">
        <f t="shared" si="38"/>
        <v>MSCNUSD</v>
      </c>
      <c r="L195">
        <f t="shared" si="39"/>
        <v>0</v>
      </c>
      <c r="M195">
        <f t="shared" si="40"/>
        <v>2</v>
      </c>
      <c r="N195" t="b">
        <f t="shared" si="41"/>
        <v>1</v>
      </c>
    </row>
    <row r="196" spans="1:14" x14ac:dyDescent="0.25">
      <c r="A196" s="4" t="s">
        <v>1403</v>
      </c>
      <c r="B196" s="4" t="s">
        <v>1328</v>
      </c>
      <c r="C196" s="3">
        <v>0.17994999</v>
      </c>
      <c r="D196" s="3">
        <v>0.17994999</v>
      </c>
      <c r="E196" s="3">
        <v>0.17994993000000001</v>
      </c>
      <c r="F196" s="3">
        <v>5.00046E-3</v>
      </c>
      <c r="G196">
        <f t="shared" si="36"/>
        <v>7</v>
      </c>
      <c r="H196" t="str">
        <f t="shared" si="42"/>
        <v>USD</v>
      </c>
      <c r="I196" t="str">
        <f t="shared" si="35"/>
        <v>MSCN</v>
      </c>
      <c r="J196" t="str">
        <f t="shared" si="37"/>
        <v>USDMSCN</v>
      </c>
      <c r="K196" t="str">
        <f t="shared" si="38"/>
        <v>MSCNUSD</v>
      </c>
      <c r="L196">
        <f t="shared" si="39"/>
        <v>0</v>
      </c>
      <c r="M196">
        <f t="shared" si="40"/>
        <v>2</v>
      </c>
      <c r="N196" t="b">
        <f t="shared" si="41"/>
        <v>1</v>
      </c>
    </row>
    <row r="197" spans="1:14" x14ac:dyDescent="0.25">
      <c r="A197" s="4" t="s">
        <v>5</v>
      </c>
      <c r="B197" s="4" t="s">
        <v>623</v>
      </c>
      <c r="C197" s="3">
        <v>6.4999999999999994E-5</v>
      </c>
      <c r="D197" s="3">
        <v>6.2089999999999997E-5</v>
      </c>
      <c r="E197" s="3">
        <v>6.4999999999999994E-5</v>
      </c>
      <c r="F197" s="3">
        <v>6.2089999999999997E-5</v>
      </c>
      <c r="G197">
        <f t="shared" si="36"/>
        <v>7</v>
      </c>
      <c r="H197" t="str">
        <f t="shared" si="42"/>
        <v>BTC</v>
      </c>
      <c r="I197" t="str">
        <f t="shared" si="35"/>
        <v>NOTE</v>
      </c>
      <c r="J197" t="str">
        <f t="shared" si="37"/>
        <v>BTCNOTE</v>
      </c>
      <c r="K197" t="str">
        <f t="shared" si="38"/>
        <v>NOTEBTC</v>
      </c>
      <c r="L197">
        <f t="shared" si="39"/>
        <v>0</v>
      </c>
      <c r="M197">
        <f t="shared" si="40"/>
        <v>2</v>
      </c>
      <c r="N197" t="b">
        <f t="shared" si="41"/>
        <v>1</v>
      </c>
    </row>
    <row r="198" spans="1:14" x14ac:dyDescent="0.25">
      <c r="A198" s="4" t="s">
        <v>1403</v>
      </c>
      <c r="B198" s="4" t="s">
        <v>623</v>
      </c>
      <c r="C198" s="3">
        <v>6.1260000000000006E-5</v>
      </c>
      <c r="D198" s="3">
        <v>6.3830000000000004E-5</v>
      </c>
      <c r="E198" s="3">
        <v>6.6450000000000002E-5</v>
      </c>
      <c r="F198" s="3">
        <v>6.1260000000000006E-5</v>
      </c>
      <c r="G198">
        <f t="shared" si="36"/>
        <v>7</v>
      </c>
      <c r="H198" t="str">
        <f t="shared" si="42"/>
        <v>BTC</v>
      </c>
      <c r="I198" t="str">
        <f t="shared" si="35"/>
        <v>NOTE</v>
      </c>
      <c r="J198" t="str">
        <f t="shared" si="37"/>
        <v>BTCNOTE</v>
      </c>
      <c r="K198" t="str">
        <f t="shared" si="38"/>
        <v>NOTEBTC</v>
      </c>
      <c r="L198">
        <f t="shared" si="39"/>
        <v>0</v>
      </c>
      <c r="M198">
        <f t="shared" si="40"/>
        <v>2</v>
      </c>
      <c r="N198" t="b">
        <f t="shared" si="41"/>
        <v>1</v>
      </c>
    </row>
    <row r="199" spans="1:14" x14ac:dyDescent="0.25">
      <c r="A199" s="4" t="s">
        <v>0</v>
      </c>
      <c r="B199" s="4" t="s">
        <v>26</v>
      </c>
      <c r="C199" s="3">
        <v>3.68</v>
      </c>
      <c r="D199" s="3">
        <v>3.621</v>
      </c>
      <c r="E199" s="3">
        <v>3.68</v>
      </c>
      <c r="F199" s="3">
        <v>3.6196480000000002</v>
      </c>
      <c r="G199">
        <f t="shared" si="36"/>
        <v>6</v>
      </c>
      <c r="H199" t="str">
        <f t="shared" si="42"/>
        <v>USD</v>
      </c>
      <c r="I199" t="str">
        <f>LEFT(B199,3)</f>
        <v>NVC</v>
      </c>
      <c r="J199" t="str">
        <f t="shared" si="37"/>
        <v>USDNVC</v>
      </c>
      <c r="K199" t="str">
        <f t="shared" si="38"/>
        <v>NVCUSD</v>
      </c>
      <c r="L199">
        <f t="shared" si="39"/>
        <v>0</v>
      </c>
      <c r="M199">
        <f t="shared" si="40"/>
        <v>2</v>
      </c>
      <c r="N199" t="b">
        <f t="shared" si="41"/>
        <v>1</v>
      </c>
    </row>
    <row r="200" spans="1:14" x14ac:dyDescent="0.25">
      <c r="A200" s="4" t="s">
        <v>1403</v>
      </c>
      <c r="B200" s="4" t="s">
        <v>26</v>
      </c>
      <c r="C200" s="3">
        <v>7</v>
      </c>
      <c r="D200" s="3">
        <v>7</v>
      </c>
      <c r="E200" s="3">
        <v>5</v>
      </c>
      <c r="F200" s="3">
        <v>3.4009999999999998</v>
      </c>
      <c r="G200">
        <f t="shared" si="36"/>
        <v>6</v>
      </c>
      <c r="H200" t="str">
        <f t="shared" si="42"/>
        <v>USD</v>
      </c>
      <c r="I200" t="str">
        <f>LEFT(B200,3)</f>
        <v>NVC</v>
      </c>
      <c r="J200" t="str">
        <f t="shared" si="37"/>
        <v>USDNVC</v>
      </c>
      <c r="K200" t="str">
        <f t="shared" si="38"/>
        <v>NVCUSD</v>
      </c>
      <c r="L200">
        <f t="shared" si="39"/>
        <v>0</v>
      </c>
      <c r="M200">
        <f t="shared" si="40"/>
        <v>2</v>
      </c>
      <c r="N200" t="b">
        <f t="shared" si="41"/>
        <v>1</v>
      </c>
    </row>
    <row r="201" spans="1:14" x14ac:dyDescent="0.25">
      <c r="A201" s="4" t="s">
        <v>4</v>
      </c>
      <c r="B201" s="4" t="s">
        <v>344</v>
      </c>
      <c r="C201" s="3">
        <v>0.16320999999999999</v>
      </c>
      <c r="D201" s="3">
        <v>0.12783</v>
      </c>
      <c r="E201" s="3">
        <v>0.16320999999999999</v>
      </c>
      <c r="F201" s="3">
        <v>0.12783</v>
      </c>
      <c r="G201">
        <f t="shared" si="36"/>
        <v>6</v>
      </c>
      <c r="H201" t="str">
        <f t="shared" si="42"/>
        <v>USD</v>
      </c>
      <c r="I201" t="str">
        <f>LEFT(B201,3)</f>
        <v>NXT</v>
      </c>
      <c r="J201" t="str">
        <f t="shared" si="37"/>
        <v>USDNXT</v>
      </c>
      <c r="K201" t="str">
        <f t="shared" si="38"/>
        <v>NXTUSD</v>
      </c>
      <c r="L201">
        <f t="shared" si="39"/>
        <v>0</v>
      </c>
      <c r="M201">
        <f t="shared" si="40"/>
        <v>2</v>
      </c>
      <c r="N201" t="b">
        <f t="shared" si="41"/>
        <v>1</v>
      </c>
    </row>
    <row r="202" spans="1:14" x14ac:dyDescent="0.25">
      <c r="A202" s="4" t="s">
        <v>1403</v>
      </c>
      <c r="B202" s="4" t="s">
        <v>344</v>
      </c>
      <c r="C202" s="3">
        <v>0.01</v>
      </c>
      <c r="D202" s="3">
        <v>0.39999899999999999</v>
      </c>
      <c r="E202" s="3">
        <v>0.39989999999999998</v>
      </c>
      <c r="F202" s="3">
        <v>0.152</v>
      </c>
      <c r="G202">
        <f t="shared" si="36"/>
        <v>6</v>
      </c>
      <c r="H202" t="str">
        <f t="shared" si="42"/>
        <v>USD</v>
      </c>
      <c r="I202" t="str">
        <f>LEFT(B202,3)</f>
        <v>NXT</v>
      </c>
      <c r="J202" t="str">
        <f t="shared" si="37"/>
        <v>USDNXT</v>
      </c>
      <c r="K202" t="str">
        <f t="shared" si="38"/>
        <v>NXTUSD</v>
      </c>
      <c r="L202">
        <f t="shared" si="39"/>
        <v>0</v>
      </c>
      <c r="M202">
        <f t="shared" si="40"/>
        <v>2</v>
      </c>
      <c r="N202" t="b">
        <f t="shared" si="41"/>
        <v>1</v>
      </c>
    </row>
    <row r="203" spans="1:14" x14ac:dyDescent="0.25">
      <c r="A203" s="4" t="s">
        <v>1239</v>
      </c>
      <c r="B203" s="4" t="s">
        <v>1295</v>
      </c>
      <c r="C203" s="3">
        <v>7.4998999999999997E-4</v>
      </c>
      <c r="D203" s="3">
        <v>4.7832000000000001E-4</v>
      </c>
      <c r="E203" s="3">
        <v>7.4998999999999997E-4</v>
      </c>
      <c r="F203" s="3">
        <v>4.7832000000000001E-4</v>
      </c>
      <c r="G203">
        <f t="shared" si="36"/>
        <v>5</v>
      </c>
      <c r="H203" t="str">
        <f t="shared" si="42"/>
        <v>BTC</v>
      </c>
      <c r="I203" t="str">
        <f>LEFT(B203,2)</f>
        <v>OD</v>
      </c>
      <c r="J203" t="str">
        <f t="shared" si="37"/>
        <v>BTCOD</v>
      </c>
      <c r="K203" t="str">
        <f t="shared" si="38"/>
        <v>ODBTC</v>
      </c>
      <c r="L203">
        <f t="shared" si="39"/>
        <v>0</v>
      </c>
      <c r="M203">
        <f t="shared" si="40"/>
        <v>2</v>
      </c>
      <c r="N203" t="b">
        <f t="shared" si="41"/>
        <v>1</v>
      </c>
    </row>
    <row r="204" spans="1:14" x14ac:dyDescent="0.25">
      <c r="A204" s="4" t="s">
        <v>1403</v>
      </c>
      <c r="B204" s="4" t="s">
        <v>1295</v>
      </c>
      <c r="C204" s="3">
        <v>1E-3</v>
      </c>
      <c r="D204" s="3">
        <v>1.0950199999999999E-3</v>
      </c>
      <c r="E204" s="3">
        <v>1.0950199999999999E-3</v>
      </c>
      <c r="F204" s="3">
        <v>3.0001000000000002E-4</v>
      </c>
      <c r="G204">
        <f t="shared" si="36"/>
        <v>5</v>
      </c>
      <c r="H204" t="str">
        <f t="shared" si="42"/>
        <v>BTC</v>
      </c>
      <c r="I204" t="str">
        <f>LEFT(B204,2)</f>
        <v>OD</v>
      </c>
      <c r="J204" t="str">
        <f t="shared" si="37"/>
        <v>BTCOD</v>
      </c>
      <c r="K204" t="str">
        <f t="shared" si="38"/>
        <v>ODBTC</v>
      </c>
      <c r="L204">
        <f t="shared" si="39"/>
        <v>0</v>
      </c>
      <c r="M204">
        <f t="shared" si="40"/>
        <v>2</v>
      </c>
      <c r="N204" t="b">
        <f t="shared" si="41"/>
        <v>1</v>
      </c>
    </row>
    <row r="205" spans="1:14" x14ac:dyDescent="0.25">
      <c r="A205" s="4" t="s">
        <v>1239</v>
      </c>
      <c r="B205" s="4" t="s">
        <v>1387</v>
      </c>
      <c r="C205" s="3" t="s">
        <v>1388</v>
      </c>
      <c r="D205" s="3">
        <v>2.9E-5</v>
      </c>
      <c r="E205" s="3" t="s">
        <v>1388</v>
      </c>
      <c r="F205" s="3">
        <v>2.9E-5</v>
      </c>
      <c r="G205">
        <f t="shared" si="36"/>
        <v>6</v>
      </c>
      <c r="H205" t="str">
        <f t="shared" si="42"/>
        <v>BTC</v>
      </c>
      <c r="I205" t="str">
        <f>LEFT(B205,3)</f>
        <v>OTX</v>
      </c>
      <c r="J205" t="str">
        <f t="shared" si="37"/>
        <v>BTCOTX</v>
      </c>
      <c r="K205" t="str">
        <f t="shared" si="38"/>
        <v>OTXBTC</v>
      </c>
      <c r="L205">
        <f t="shared" si="39"/>
        <v>0</v>
      </c>
      <c r="M205">
        <f t="shared" si="40"/>
        <v>2</v>
      </c>
      <c r="N205" t="b">
        <f t="shared" si="41"/>
        <v>1</v>
      </c>
    </row>
    <row r="206" spans="1:14" x14ac:dyDescent="0.25">
      <c r="A206" s="4" t="s">
        <v>1403</v>
      </c>
      <c r="B206" s="4" t="s">
        <v>1387</v>
      </c>
      <c r="C206" s="3">
        <v>8.8799999999999997E-6</v>
      </c>
      <c r="D206" s="3">
        <v>1.395E-5</v>
      </c>
      <c r="E206" s="3">
        <v>1.395E-5</v>
      </c>
      <c r="F206" s="3">
        <v>1.3509999999999999E-5</v>
      </c>
      <c r="G206">
        <f t="shared" si="36"/>
        <v>6</v>
      </c>
      <c r="H206" t="str">
        <f t="shared" si="42"/>
        <v>BTC</v>
      </c>
      <c r="I206" t="str">
        <f>LEFT(B206,3)</f>
        <v>OTX</v>
      </c>
      <c r="J206" t="str">
        <f t="shared" si="37"/>
        <v>BTCOTX</v>
      </c>
      <c r="K206" t="str">
        <f t="shared" si="38"/>
        <v>OTXBTC</v>
      </c>
      <c r="L206">
        <f t="shared" si="39"/>
        <v>0</v>
      </c>
      <c r="M206">
        <f t="shared" si="40"/>
        <v>2</v>
      </c>
      <c r="N206" t="b">
        <f t="shared" si="41"/>
        <v>1</v>
      </c>
    </row>
    <row r="207" spans="1:14" x14ac:dyDescent="0.25">
      <c r="A207" s="4" t="s">
        <v>1239</v>
      </c>
      <c r="B207" s="4" t="s">
        <v>1386</v>
      </c>
      <c r="C207" s="3">
        <v>8.5000000000000006E-2</v>
      </c>
      <c r="D207" s="3">
        <v>0.08</v>
      </c>
      <c r="E207" s="3">
        <v>8.5000000000000006E-2</v>
      </c>
      <c r="F207" s="3">
        <v>0.08</v>
      </c>
      <c r="G207">
        <f t="shared" si="36"/>
        <v>6</v>
      </c>
      <c r="H207" t="str">
        <f t="shared" si="42"/>
        <v>USD</v>
      </c>
      <c r="I207" t="str">
        <f>LEFT(B207,3)</f>
        <v>OTX</v>
      </c>
      <c r="J207" t="str">
        <f t="shared" si="37"/>
        <v>USDOTX</v>
      </c>
      <c r="K207" t="str">
        <f t="shared" si="38"/>
        <v>OTXUSD</v>
      </c>
      <c r="L207">
        <f t="shared" si="39"/>
        <v>0</v>
      </c>
      <c r="M207">
        <f t="shared" si="40"/>
        <v>2</v>
      </c>
      <c r="N207" t="b">
        <f t="shared" si="41"/>
        <v>1</v>
      </c>
    </row>
    <row r="208" spans="1:14" x14ac:dyDescent="0.25">
      <c r="A208" s="4" t="s">
        <v>1403</v>
      </c>
      <c r="B208" s="4" t="s">
        <v>1386</v>
      </c>
      <c r="C208" s="3">
        <v>0.05</v>
      </c>
      <c r="D208" s="3">
        <v>0.05</v>
      </c>
      <c r="E208" s="3">
        <v>0.87995999999999996</v>
      </c>
      <c r="F208" s="3">
        <v>1.1049999999999999E-5</v>
      </c>
      <c r="G208">
        <f t="shared" si="36"/>
        <v>6</v>
      </c>
      <c r="H208" t="str">
        <f t="shared" si="42"/>
        <v>USD</v>
      </c>
      <c r="I208" t="str">
        <f>LEFT(B208,3)</f>
        <v>OTX</v>
      </c>
      <c r="J208" t="str">
        <f t="shared" si="37"/>
        <v>USDOTX</v>
      </c>
      <c r="K208" t="str">
        <f t="shared" si="38"/>
        <v>OTXUSD</v>
      </c>
      <c r="L208">
        <f t="shared" si="39"/>
        <v>0</v>
      </c>
      <c r="M208">
        <f t="shared" si="40"/>
        <v>2</v>
      </c>
      <c r="N208" t="b">
        <f t="shared" si="41"/>
        <v>1</v>
      </c>
    </row>
    <row r="209" spans="1:14" x14ac:dyDescent="0.25">
      <c r="A209" s="4" t="s">
        <v>5</v>
      </c>
      <c r="B209" s="4" t="s">
        <v>775</v>
      </c>
      <c r="C209" s="3">
        <v>9.2900000000000008E-6</v>
      </c>
      <c r="D209" s="3">
        <v>9.0100000000000001E-6</v>
      </c>
      <c r="E209" s="3">
        <v>9.2900000000000008E-6</v>
      </c>
      <c r="F209" s="3">
        <v>9.0100000000000001E-6</v>
      </c>
      <c r="G209">
        <f t="shared" si="36"/>
        <v>7</v>
      </c>
      <c r="H209" t="str">
        <f t="shared" si="42"/>
        <v>BTC</v>
      </c>
      <c r="I209" t="str">
        <f t="shared" ref="I209:I218" si="43">LEFT(B209,4)</f>
        <v>POST</v>
      </c>
      <c r="J209" t="str">
        <f t="shared" si="37"/>
        <v>BTCPOST</v>
      </c>
      <c r="K209" t="str">
        <f t="shared" si="38"/>
        <v>POSTBTC</v>
      </c>
      <c r="L209">
        <f t="shared" si="39"/>
        <v>0</v>
      </c>
      <c r="M209">
        <f t="shared" si="40"/>
        <v>2</v>
      </c>
      <c r="N209" t="b">
        <f t="shared" si="41"/>
        <v>1</v>
      </c>
    </row>
    <row r="210" spans="1:14" x14ac:dyDescent="0.25">
      <c r="A210" s="4" t="s">
        <v>1239</v>
      </c>
      <c r="B210" s="4" t="s">
        <v>775</v>
      </c>
      <c r="C210" s="3">
        <v>9.5400000000000001E-6</v>
      </c>
      <c r="D210" s="3">
        <v>8.6899999999999998E-6</v>
      </c>
      <c r="E210" s="3">
        <v>9.5400000000000001E-6</v>
      </c>
      <c r="F210" s="3">
        <v>8.6899999999999998E-6</v>
      </c>
      <c r="G210">
        <f t="shared" si="36"/>
        <v>7</v>
      </c>
      <c r="H210" t="str">
        <f t="shared" si="42"/>
        <v>BTC</v>
      </c>
      <c r="I210" t="str">
        <f t="shared" si="43"/>
        <v>POST</v>
      </c>
      <c r="J210" t="str">
        <f t="shared" si="37"/>
        <v>BTCPOST</v>
      </c>
      <c r="K210" t="str">
        <f t="shared" si="38"/>
        <v>POSTBTC</v>
      </c>
      <c r="L210">
        <f t="shared" si="39"/>
        <v>0</v>
      </c>
      <c r="M210">
        <f t="shared" si="40"/>
        <v>2</v>
      </c>
      <c r="N210" t="b">
        <f t="shared" si="41"/>
        <v>1</v>
      </c>
    </row>
    <row r="211" spans="1:14" x14ac:dyDescent="0.25">
      <c r="A211" s="4" t="s">
        <v>1239</v>
      </c>
      <c r="B211" s="4" t="s">
        <v>1335</v>
      </c>
      <c r="C211" s="3">
        <v>9.1849199999999992E-3</v>
      </c>
      <c r="D211" s="3">
        <v>9.7502999999999999E-4</v>
      </c>
      <c r="E211" s="3">
        <v>9.1849199999999992E-3</v>
      </c>
      <c r="F211" s="3">
        <v>9.7502999999999999E-4</v>
      </c>
      <c r="G211">
        <f t="shared" si="36"/>
        <v>7</v>
      </c>
      <c r="H211" t="str">
        <f t="shared" si="42"/>
        <v>LTC</v>
      </c>
      <c r="I211" t="str">
        <f t="shared" si="43"/>
        <v>POSW</v>
      </c>
      <c r="J211" t="str">
        <f t="shared" si="37"/>
        <v>LTCPOSW</v>
      </c>
      <c r="K211" t="str">
        <f t="shared" si="38"/>
        <v>POSWLTC</v>
      </c>
      <c r="L211">
        <f t="shared" si="39"/>
        <v>0</v>
      </c>
      <c r="M211">
        <f t="shared" si="40"/>
        <v>2</v>
      </c>
      <c r="N211" t="b">
        <f t="shared" si="41"/>
        <v>1</v>
      </c>
    </row>
    <row r="212" spans="1:14" x14ac:dyDescent="0.25">
      <c r="A212" s="4" t="s">
        <v>1403</v>
      </c>
      <c r="B212" s="4" t="s">
        <v>1335</v>
      </c>
      <c r="C212" s="3">
        <v>2.0110000000000002E-3</v>
      </c>
      <c r="D212" s="3">
        <v>2.0110000000000002E-3</v>
      </c>
      <c r="E212" s="3">
        <v>4.9999979999999999E-2</v>
      </c>
      <c r="F212" s="3">
        <v>1.10001E-3</v>
      </c>
      <c r="G212">
        <f t="shared" si="36"/>
        <v>7</v>
      </c>
      <c r="H212" t="str">
        <f t="shared" si="42"/>
        <v>LTC</v>
      </c>
      <c r="I212" t="str">
        <f t="shared" si="43"/>
        <v>POSW</v>
      </c>
      <c r="J212" t="str">
        <f t="shared" si="37"/>
        <v>LTCPOSW</v>
      </c>
      <c r="K212" t="str">
        <f t="shared" si="38"/>
        <v>POSWLTC</v>
      </c>
      <c r="L212">
        <f t="shared" si="39"/>
        <v>0</v>
      </c>
      <c r="M212">
        <f t="shared" si="40"/>
        <v>2</v>
      </c>
      <c r="N212" t="b">
        <f t="shared" si="41"/>
        <v>1</v>
      </c>
    </row>
    <row r="213" spans="1:14" x14ac:dyDescent="0.25">
      <c r="A213" s="4" t="s">
        <v>1239</v>
      </c>
      <c r="B213" s="4" t="s">
        <v>1333</v>
      </c>
      <c r="C213" s="3">
        <v>6.6100000000000006E-2</v>
      </c>
      <c r="D213" s="3">
        <v>4.6019999999999998E-2</v>
      </c>
      <c r="E213" s="3">
        <v>6.6100000000000006E-2</v>
      </c>
      <c r="F213" s="3">
        <v>4.6019999999999998E-2</v>
      </c>
      <c r="G213">
        <f t="shared" si="36"/>
        <v>7</v>
      </c>
      <c r="H213" t="str">
        <f t="shared" si="42"/>
        <v>USD</v>
      </c>
      <c r="I213" t="str">
        <f t="shared" si="43"/>
        <v>POSW</v>
      </c>
      <c r="J213" t="str">
        <f t="shared" si="37"/>
        <v>USDPOSW</v>
      </c>
      <c r="K213" t="str">
        <f t="shared" si="38"/>
        <v>POSWUSD</v>
      </c>
      <c r="L213">
        <f t="shared" si="39"/>
        <v>0</v>
      </c>
      <c r="M213">
        <f t="shared" si="40"/>
        <v>2</v>
      </c>
      <c r="N213" t="b">
        <f t="shared" si="41"/>
        <v>1</v>
      </c>
    </row>
    <row r="214" spans="1:14" x14ac:dyDescent="0.25">
      <c r="A214" s="4" t="s">
        <v>1403</v>
      </c>
      <c r="B214" s="4" t="s">
        <v>1333</v>
      </c>
      <c r="C214" s="3">
        <v>0.2</v>
      </c>
      <c r="D214" s="3">
        <v>0.2</v>
      </c>
      <c r="E214" s="3">
        <v>0.19999800000000001</v>
      </c>
      <c r="F214" s="3">
        <v>5.5000010000000002E-2</v>
      </c>
      <c r="G214">
        <f t="shared" si="36"/>
        <v>7</v>
      </c>
      <c r="H214" t="str">
        <f t="shared" si="42"/>
        <v>USD</v>
      </c>
      <c r="I214" t="str">
        <f t="shared" si="43"/>
        <v>POSW</v>
      </c>
      <c r="J214" t="str">
        <f t="shared" si="37"/>
        <v>USDPOSW</v>
      </c>
      <c r="K214" t="str">
        <f t="shared" si="38"/>
        <v>POSWUSD</v>
      </c>
      <c r="L214">
        <f t="shared" si="39"/>
        <v>0</v>
      </c>
      <c r="M214">
        <f t="shared" si="40"/>
        <v>2</v>
      </c>
      <c r="N214" t="b">
        <f t="shared" si="41"/>
        <v>1</v>
      </c>
    </row>
    <row r="215" spans="1:14" x14ac:dyDescent="0.25">
      <c r="A215" s="4" t="s">
        <v>1239</v>
      </c>
      <c r="B215" s="4" t="s">
        <v>1314</v>
      </c>
      <c r="C215" s="3">
        <v>1.6899999999999999E-6</v>
      </c>
      <c r="D215" s="3">
        <v>1.46E-6</v>
      </c>
      <c r="E215" s="3">
        <v>1.6899999999999999E-6</v>
      </c>
      <c r="F215" s="3">
        <v>1.46E-6</v>
      </c>
      <c r="G215">
        <f t="shared" si="36"/>
        <v>7</v>
      </c>
      <c r="H215" t="str">
        <f t="shared" si="42"/>
        <v>BTC</v>
      </c>
      <c r="I215" t="str">
        <f t="shared" si="43"/>
        <v>PRES</v>
      </c>
      <c r="J215" t="str">
        <f t="shared" si="37"/>
        <v>BTCPRES</v>
      </c>
      <c r="K215" t="str">
        <f t="shared" si="38"/>
        <v>PRESBTC</v>
      </c>
      <c r="L215">
        <f t="shared" si="39"/>
        <v>0</v>
      </c>
      <c r="M215">
        <f t="shared" si="40"/>
        <v>2</v>
      </c>
      <c r="N215" t="b">
        <f t="shared" si="41"/>
        <v>1</v>
      </c>
    </row>
    <row r="216" spans="1:14" x14ac:dyDescent="0.25">
      <c r="A216" s="4" t="s">
        <v>1403</v>
      </c>
      <c r="B216" s="4" t="s">
        <v>1314</v>
      </c>
      <c r="C216" s="3">
        <v>1.35E-6</v>
      </c>
      <c r="D216" s="3">
        <v>1.3999999999999999E-6</v>
      </c>
      <c r="E216" s="3">
        <v>1.39E-6</v>
      </c>
      <c r="F216" s="3">
        <v>1.35E-6</v>
      </c>
      <c r="G216">
        <f t="shared" si="36"/>
        <v>7</v>
      </c>
      <c r="H216" t="str">
        <f t="shared" si="42"/>
        <v>BTC</v>
      </c>
      <c r="I216" t="str">
        <f t="shared" si="43"/>
        <v>PRES</v>
      </c>
      <c r="J216" t="str">
        <f t="shared" si="37"/>
        <v>BTCPRES</v>
      </c>
      <c r="K216" t="str">
        <f t="shared" si="38"/>
        <v>PRESBTC</v>
      </c>
      <c r="L216">
        <f t="shared" si="39"/>
        <v>0</v>
      </c>
      <c r="M216">
        <f t="shared" si="40"/>
        <v>2</v>
      </c>
      <c r="N216" t="b">
        <f t="shared" si="41"/>
        <v>1</v>
      </c>
    </row>
    <row r="217" spans="1:14" x14ac:dyDescent="0.25">
      <c r="A217" s="4" t="s">
        <v>5</v>
      </c>
      <c r="B217" s="4" t="s">
        <v>924</v>
      </c>
      <c r="C217" s="3" t="s">
        <v>364</v>
      </c>
      <c r="D217" s="3">
        <v>1.4077999999999999E-4</v>
      </c>
      <c r="E217" s="3">
        <v>3.7E-7</v>
      </c>
      <c r="F217" s="3">
        <v>1.4077999999999999E-4</v>
      </c>
      <c r="G217">
        <f t="shared" si="36"/>
        <v>7</v>
      </c>
      <c r="H217" t="str">
        <f t="shared" si="42"/>
        <v>BTC</v>
      </c>
      <c r="I217" t="str">
        <f t="shared" si="43"/>
        <v>PROC</v>
      </c>
      <c r="J217" t="str">
        <f t="shared" si="37"/>
        <v>BTCPROC</v>
      </c>
      <c r="K217" t="str">
        <f t="shared" si="38"/>
        <v>PROCBTC</v>
      </c>
      <c r="L217">
        <f t="shared" si="39"/>
        <v>0</v>
      </c>
      <c r="M217">
        <f t="shared" si="40"/>
        <v>2</v>
      </c>
      <c r="N217" t="b">
        <f t="shared" si="41"/>
        <v>1</v>
      </c>
    </row>
    <row r="218" spans="1:14" x14ac:dyDescent="0.25">
      <c r="A218" s="4" t="s">
        <v>1403</v>
      </c>
      <c r="B218" s="4" t="s">
        <v>924</v>
      </c>
      <c r="C218" s="3">
        <v>5.503E-5</v>
      </c>
      <c r="D218" s="3">
        <v>8.9980000000000002E-5</v>
      </c>
      <c r="E218" s="3">
        <v>8.9959999999999999E-5</v>
      </c>
      <c r="F218" s="3">
        <v>6.012E-5</v>
      </c>
      <c r="G218">
        <f t="shared" si="36"/>
        <v>7</v>
      </c>
      <c r="H218" t="str">
        <f t="shared" si="42"/>
        <v>BTC</v>
      </c>
      <c r="I218" t="str">
        <f t="shared" si="43"/>
        <v>PROC</v>
      </c>
      <c r="J218" t="str">
        <f t="shared" si="37"/>
        <v>BTCPROC</v>
      </c>
      <c r="K218" t="str">
        <f t="shared" si="38"/>
        <v>PROCBTC</v>
      </c>
      <c r="L218">
        <f t="shared" si="39"/>
        <v>0</v>
      </c>
      <c r="M218">
        <f t="shared" si="40"/>
        <v>2</v>
      </c>
      <c r="N218" t="b">
        <f t="shared" si="41"/>
        <v>1</v>
      </c>
    </row>
    <row r="219" spans="1:14" x14ac:dyDescent="0.25">
      <c r="A219" s="4" t="s">
        <v>5</v>
      </c>
      <c r="B219" s="4" t="s">
        <v>444</v>
      </c>
      <c r="C219" s="3">
        <v>3.6500000000000002E-6</v>
      </c>
      <c r="D219" s="3">
        <v>2.9500000000000001E-6</v>
      </c>
      <c r="E219" s="3">
        <v>3.6500000000000002E-6</v>
      </c>
      <c r="F219" s="3">
        <v>2.9500000000000001E-6</v>
      </c>
      <c r="G219">
        <f t="shared" si="36"/>
        <v>6</v>
      </c>
      <c r="H219" t="str">
        <f t="shared" si="42"/>
        <v>BTC</v>
      </c>
      <c r="I219" t="str">
        <f>LEFT(B219,3)</f>
        <v>PSB</v>
      </c>
      <c r="J219" t="str">
        <f t="shared" si="37"/>
        <v>BTCPSB</v>
      </c>
      <c r="K219" t="str">
        <f t="shared" si="38"/>
        <v>PSBBTC</v>
      </c>
      <c r="L219">
        <f t="shared" si="39"/>
        <v>0</v>
      </c>
      <c r="M219">
        <f t="shared" si="40"/>
        <v>2</v>
      </c>
      <c r="N219" t="b">
        <f t="shared" si="41"/>
        <v>1</v>
      </c>
    </row>
    <row r="220" spans="1:14" x14ac:dyDescent="0.25">
      <c r="A220" s="4" t="s">
        <v>1403</v>
      </c>
      <c r="B220" s="4" t="s">
        <v>444</v>
      </c>
      <c r="C220" s="3">
        <v>2.65E-6</v>
      </c>
      <c r="D220" s="3">
        <v>3.7299999999999999E-6</v>
      </c>
      <c r="E220" s="3">
        <v>3.8600000000000003E-6</v>
      </c>
      <c r="F220" s="3">
        <v>2.7E-6</v>
      </c>
      <c r="G220">
        <f t="shared" si="36"/>
        <v>6</v>
      </c>
      <c r="H220" t="str">
        <f t="shared" si="42"/>
        <v>BTC</v>
      </c>
      <c r="I220" t="str">
        <f>LEFT(B220,3)</f>
        <v>PSB</v>
      </c>
      <c r="J220" t="str">
        <f t="shared" si="37"/>
        <v>BTCPSB</v>
      </c>
      <c r="K220" t="str">
        <f t="shared" si="38"/>
        <v>PSBBTC</v>
      </c>
      <c r="L220">
        <f t="shared" si="39"/>
        <v>0</v>
      </c>
      <c r="M220">
        <f t="shared" si="40"/>
        <v>2</v>
      </c>
      <c r="N220" t="b">
        <f t="shared" si="41"/>
        <v>1</v>
      </c>
    </row>
    <row r="221" spans="1:14" x14ac:dyDescent="0.25">
      <c r="A221" s="4" t="s">
        <v>5</v>
      </c>
      <c r="B221" s="4" t="s">
        <v>1177</v>
      </c>
      <c r="C221" s="3">
        <v>3.5499999999999999E-6</v>
      </c>
      <c r="D221" s="3">
        <v>1.4500000000000001E-6</v>
      </c>
      <c r="E221" s="3">
        <v>3.5499999999999999E-6</v>
      </c>
      <c r="F221" s="3">
        <v>1.4500000000000001E-6</v>
      </c>
      <c r="G221">
        <f t="shared" si="36"/>
        <v>6</v>
      </c>
      <c r="H221" t="str">
        <f t="shared" si="42"/>
        <v>BTC</v>
      </c>
      <c r="I221" t="str">
        <f>LEFT(B221,3)</f>
        <v>REE</v>
      </c>
      <c r="J221" t="str">
        <f t="shared" si="37"/>
        <v>BTCREE</v>
      </c>
      <c r="K221" t="str">
        <f t="shared" si="38"/>
        <v>REEBTC</v>
      </c>
      <c r="L221">
        <f t="shared" si="39"/>
        <v>0</v>
      </c>
      <c r="M221">
        <f t="shared" si="40"/>
        <v>2</v>
      </c>
      <c r="N221" t="b">
        <f t="shared" si="41"/>
        <v>1</v>
      </c>
    </row>
    <row r="222" spans="1:14" x14ac:dyDescent="0.25">
      <c r="A222" s="4" t="s">
        <v>1239</v>
      </c>
      <c r="B222" s="4" t="s">
        <v>1177</v>
      </c>
      <c r="C222" s="3">
        <v>1.592E-5</v>
      </c>
      <c r="D222" s="3">
        <v>1.292E-5</v>
      </c>
      <c r="E222" s="3">
        <v>1.592E-5</v>
      </c>
      <c r="F222" s="3">
        <v>1.292E-5</v>
      </c>
      <c r="G222">
        <f t="shared" si="36"/>
        <v>6</v>
      </c>
      <c r="H222" t="str">
        <f t="shared" si="42"/>
        <v>BTC</v>
      </c>
      <c r="I222" t="str">
        <f>LEFT(B222,3)</f>
        <v>REE</v>
      </c>
      <c r="J222" t="str">
        <f t="shared" si="37"/>
        <v>BTCREE</v>
      </c>
      <c r="K222" t="str">
        <f t="shared" si="38"/>
        <v>REEBTC</v>
      </c>
      <c r="L222">
        <f t="shared" si="39"/>
        <v>0</v>
      </c>
      <c r="M222">
        <f t="shared" si="40"/>
        <v>2</v>
      </c>
      <c r="N222" t="b">
        <f t="shared" si="41"/>
        <v>1</v>
      </c>
    </row>
    <row r="223" spans="1:14" x14ac:dyDescent="0.25">
      <c r="A223" s="4" t="s">
        <v>5</v>
      </c>
      <c r="B223" s="4" t="s">
        <v>524</v>
      </c>
      <c r="C223" s="3">
        <v>1.1999999999999999E-7</v>
      </c>
      <c r="D223" s="3">
        <v>1.1000000000000001E-7</v>
      </c>
      <c r="E223" s="3">
        <v>1.1999999999999999E-7</v>
      </c>
      <c r="F223" s="3">
        <v>1.1000000000000001E-7</v>
      </c>
      <c r="G223">
        <f t="shared" si="36"/>
        <v>7</v>
      </c>
      <c r="H223" t="str">
        <f t="shared" si="42"/>
        <v>BTC</v>
      </c>
      <c r="I223" t="str">
        <f>LEFT(B223,4)</f>
        <v>RIDE</v>
      </c>
      <c r="J223" t="str">
        <f t="shared" si="37"/>
        <v>BTCRIDE</v>
      </c>
      <c r="K223" t="str">
        <f t="shared" si="38"/>
        <v>RIDEBTC</v>
      </c>
      <c r="L223">
        <f t="shared" si="39"/>
        <v>0</v>
      </c>
      <c r="M223">
        <f t="shared" si="40"/>
        <v>2</v>
      </c>
      <c r="N223" t="b">
        <f t="shared" si="41"/>
        <v>1</v>
      </c>
    </row>
    <row r="224" spans="1:14" x14ac:dyDescent="0.25">
      <c r="A224" s="4" t="s">
        <v>1403</v>
      </c>
      <c r="B224" s="4" t="s">
        <v>524</v>
      </c>
      <c r="C224" s="3">
        <v>1.3E-7</v>
      </c>
      <c r="D224" s="3">
        <v>2.2000000000000001E-7</v>
      </c>
      <c r="E224" s="3">
        <v>2.2000000000000001E-7</v>
      </c>
      <c r="F224" s="3">
        <v>1.4000000000000001E-7</v>
      </c>
      <c r="G224">
        <f t="shared" si="36"/>
        <v>7</v>
      </c>
      <c r="H224" t="str">
        <f t="shared" si="42"/>
        <v>BTC</v>
      </c>
      <c r="I224" t="str">
        <f>LEFT(B224,4)</f>
        <v>RIDE</v>
      </c>
      <c r="J224" t="str">
        <f t="shared" si="37"/>
        <v>BTCRIDE</v>
      </c>
      <c r="K224" t="str">
        <f t="shared" si="38"/>
        <v>RIDEBTC</v>
      </c>
      <c r="L224">
        <f t="shared" si="39"/>
        <v>0</v>
      </c>
      <c r="M224">
        <f t="shared" si="40"/>
        <v>2</v>
      </c>
      <c r="N224" t="b">
        <f t="shared" si="41"/>
        <v>1</v>
      </c>
    </row>
    <row r="225" spans="1:14" x14ac:dyDescent="0.25">
      <c r="A225" s="4" t="s">
        <v>5</v>
      </c>
      <c r="B225" s="4" t="s">
        <v>923</v>
      </c>
      <c r="C225" s="3">
        <v>3.7E-7</v>
      </c>
      <c r="D225" s="3">
        <v>3.3999999999999997E-7</v>
      </c>
      <c r="E225" s="3">
        <v>3.7E-7</v>
      </c>
      <c r="F225" s="3">
        <v>3.3999999999999997E-7</v>
      </c>
      <c r="G225">
        <f t="shared" si="36"/>
        <v>8</v>
      </c>
      <c r="H225" t="str">
        <f t="shared" si="42"/>
        <v>BTC</v>
      </c>
      <c r="I225" t="str">
        <f>LEFT(B225,5)</f>
        <v>ROYAL</v>
      </c>
      <c r="J225" t="str">
        <f t="shared" si="37"/>
        <v>BTCROYAL</v>
      </c>
      <c r="K225" t="str">
        <f t="shared" si="38"/>
        <v>ROYALBTC</v>
      </c>
      <c r="L225">
        <f t="shared" si="39"/>
        <v>0</v>
      </c>
      <c r="M225">
        <f t="shared" si="40"/>
        <v>2</v>
      </c>
      <c r="N225" t="b">
        <f t="shared" si="41"/>
        <v>1</v>
      </c>
    </row>
    <row r="226" spans="1:14" x14ac:dyDescent="0.25">
      <c r="A226" s="4" t="s">
        <v>1403</v>
      </c>
      <c r="B226" s="4" t="s">
        <v>923</v>
      </c>
      <c r="C226" s="3" t="s">
        <v>374</v>
      </c>
      <c r="D226" s="3">
        <v>3.4999999999999998E-7</v>
      </c>
      <c r="E226" s="3">
        <v>3.4999999999999998E-7</v>
      </c>
      <c r="F226" s="3">
        <v>2.3999999999999998E-7</v>
      </c>
      <c r="G226">
        <f t="shared" si="36"/>
        <v>8</v>
      </c>
      <c r="H226" t="str">
        <f t="shared" si="42"/>
        <v>BTC</v>
      </c>
      <c r="I226" t="str">
        <f>LEFT(B226,5)</f>
        <v>ROYAL</v>
      </c>
      <c r="J226" t="str">
        <f t="shared" si="37"/>
        <v>BTCROYAL</v>
      </c>
      <c r="K226" t="str">
        <f t="shared" si="38"/>
        <v>ROYALBTC</v>
      </c>
      <c r="L226">
        <f t="shared" si="39"/>
        <v>0</v>
      </c>
      <c r="M226">
        <f t="shared" si="40"/>
        <v>2</v>
      </c>
      <c r="N226" t="b">
        <f t="shared" si="41"/>
        <v>1</v>
      </c>
    </row>
    <row r="227" spans="1:14" x14ac:dyDescent="0.25">
      <c r="A227" s="4" t="s">
        <v>5</v>
      </c>
      <c r="B227" s="4" t="s">
        <v>399</v>
      </c>
      <c r="C227" s="3">
        <v>28.78999993</v>
      </c>
      <c r="D227" s="3">
        <v>24.62</v>
      </c>
      <c r="E227" s="3">
        <v>28.78999993</v>
      </c>
      <c r="F227" s="3">
        <v>24.62</v>
      </c>
      <c r="G227">
        <f t="shared" si="36"/>
        <v>6</v>
      </c>
      <c r="H227" t="str">
        <f t="shared" ref="H227:H258" si="44">RIGHT(B227,3)</f>
        <v>RUR</v>
      </c>
      <c r="I227" t="str">
        <f>LEFT(B227,3)</f>
        <v>SIB</v>
      </c>
      <c r="J227" t="str">
        <f t="shared" si="37"/>
        <v>RURSIB</v>
      </c>
      <c r="K227" t="str">
        <f t="shared" si="38"/>
        <v>SIBRUR</v>
      </c>
      <c r="L227">
        <f t="shared" si="39"/>
        <v>0</v>
      </c>
      <c r="M227">
        <f t="shared" si="40"/>
        <v>2</v>
      </c>
      <c r="N227" t="b">
        <f t="shared" si="41"/>
        <v>1</v>
      </c>
    </row>
    <row r="228" spans="1:14" x14ac:dyDescent="0.25">
      <c r="A228" s="4" t="s">
        <v>1239</v>
      </c>
      <c r="B228" s="4" t="s">
        <v>399</v>
      </c>
      <c r="C228" s="3">
        <v>27</v>
      </c>
      <c r="D228" s="3">
        <v>26</v>
      </c>
      <c r="E228" s="3">
        <v>28.9999</v>
      </c>
      <c r="F228" s="3">
        <v>27</v>
      </c>
      <c r="G228">
        <f t="shared" si="36"/>
        <v>6</v>
      </c>
      <c r="H228" t="str">
        <f t="shared" si="44"/>
        <v>RUR</v>
      </c>
      <c r="I228" t="str">
        <f>LEFT(B228,3)</f>
        <v>SIB</v>
      </c>
      <c r="J228" t="str">
        <f t="shared" si="37"/>
        <v>RURSIB</v>
      </c>
      <c r="K228" t="str">
        <f t="shared" si="38"/>
        <v>SIBRUR</v>
      </c>
      <c r="L228">
        <f t="shared" si="39"/>
        <v>0</v>
      </c>
      <c r="M228">
        <f t="shared" si="40"/>
        <v>2</v>
      </c>
      <c r="N228" t="b">
        <f t="shared" si="41"/>
        <v>1</v>
      </c>
    </row>
    <row r="229" spans="1:14" x14ac:dyDescent="0.25">
      <c r="A229" s="4" t="s">
        <v>1239</v>
      </c>
      <c r="B229" s="4" t="s">
        <v>1353</v>
      </c>
      <c r="C229" s="3">
        <v>5.1000000000000003E-6</v>
      </c>
      <c r="D229" s="3">
        <v>4.1400000000000002E-6</v>
      </c>
      <c r="E229" s="3">
        <v>5.1000000000000003E-6</v>
      </c>
      <c r="F229" s="3">
        <v>4.1400000000000002E-6</v>
      </c>
      <c r="G229">
        <f t="shared" si="36"/>
        <v>7</v>
      </c>
      <c r="H229" t="str">
        <f t="shared" si="44"/>
        <v>BTC</v>
      </c>
      <c r="I229" t="str">
        <f>LEFT(B229,4)</f>
        <v>SOAR</v>
      </c>
      <c r="J229" t="str">
        <f t="shared" si="37"/>
        <v>BTCSOAR</v>
      </c>
      <c r="K229" t="str">
        <f t="shared" si="38"/>
        <v>SOARBTC</v>
      </c>
      <c r="L229">
        <f t="shared" si="39"/>
        <v>0</v>
      </c>
      <c r="M229">
        <f t="shared" si="40"/>
        <v>2</v>
      </c>
      <c r="N229" t="b">
        <f t="shared" si="41"/>
        <v>1</v>
      </c>
    </row>
    <row r="230" spans="1:14" x14ac:dyDescent="0.25">
      <c r="A230" s="4" t="s">
        <v>1403</v>
      </c>
      <c r="B230" s="4" t="s">
        <v>1353</v>
      </c>
      <c r="C230" s="3">
        <v>3.8399999999999997E-6</v>
      </c>
      <c r="D230" s="3">
        <v>8.1000000000000004E-6</v>
      </c>
      <c r="E230" s="3">
        <v>6.1999999999999999E-6</v>
      </c>
      <c r="F230" s="3">
        <v>4.1300000000000003E-6</v>
      </c>
      <c r="G230">
        <f t="shared" si="36"/>
        <v>7</v>
      </c>
      <c r="H230" t="str">
        <f t="shared" si="44"/>
        <v>BTC</v>
      </c>
      <c r="I230" t="str">
        <f>LEFT(B230,4)</f>
        <v>SOAR</v>
      </c>
      <c r="J230" t="str">
        <f t="shared" si="37"/>
        <v>BTCSOAR</v>
      </c>
      <c r="K230" t="str">
        <f t="shared" si="38"/>
        <v>SOARBTC</v>
      </c>
      <c r="L230">
        <f t="shared" si="39"/>
        <v>0</v>
      </c>
      <c r="M230">
        <f t="shared" si="40"/>
        <v>2</v>
      </c>
      <c r="N230" t="b">
        <f t="shared" si="41"/>
        <v>1</v>
      </c>
    </row>
    <row r="231" spans="1:14" x14ac:dyDescent="0.25">
      <c r="A231" s="4" t="s">
        <v>5</v>
      </c>
      <c r="B231" s="4" t="s">
        <v>533</v>
      </c>
      <c r="C231" s="3" t="s">
        <v>374</v>
      </c>
      <c r="D231" s="3">
        <v>2.8000000000000002E-7</v>
      </c>
      <c r="E231" s="3" t="s">
        <v>374</v>
      </c>
      <c r="F231" s="3">
        <v>2.8000000000000002E-7</v>
      </c>
      <c r="G231">
        <f t="shared" si="36"/>
        <v>7</v>
      </c>
      <c r="H231" t="str">
        <f t="shared" si="44"/>
        <v>BTC</v>
      </c>
      <c r="I231" t="str">
        <f>LEFT(B231,4)</f>
        <v>SONG</v>
      </c>
      <c r="J231" t="str">
        <f t="shared" si="37"/>
        <v>BTCSONG</v>
      </c>
      <c r="K231" t="str">
        <f t="shared" si="38"/>
        <v>SONGBTC</v>
      </c>
      <c r="L231">
        <f t="shared" si="39"/>
        <v>0</v>
      </c>
      <c r="M231">
        <f t="shared" si="40"/>
        <v>2</v>
      </c>
      <c r="N231" t="b">
        <f t="shared" si="41"/>
        <v>1</v>
      </c>
    </row>
    <row r="232" spans="1:14" x14ac:dyDescent="0.25">
      <c r="A232" s="4" t="s">
        <v>1403</v>
      </c>
      <c r="B232" s="4" t="s">
        <v>533</v>
      </c>
      <c r="C232" s="3">
        <v>2.2000000000000001E-7</v>
      </c>
      <c r="D232" s="3">
        <v>2.6E-7</v>
      </c>
      <c r="E232" s="3" t="s">
        <v>374</v>
      </c>
      <c r="F232" s="3">
        <v>2.2999999999999999E-7</v>
      </c>
      <c r="G232">
        <f t="shared" si="36"/>
        <v>7</v>
      </c>
      <c r="H232" t="str">
        <f t="shared" si="44"/>
        <v>BTC</v>
      </c>
      <c r="I232" t="str">
        <f>LEFT(B232,4)</f>
        <v>SONG</v>
      </c>
      <c r="J232" t="str">
        <f t="shared" si="37"/>
        <v>BTCSONG</v>
      </c>
      <c r="K232" t="str">
        <f t="shared" si="38"/>
        <v>SONGBTC</v>
      </c>
      <c r="L232">
        <f t="shared" si="39"/>
        <v>0</v>
      </c>
      <c r="M232">
        <f t="shared" si="40"/>
        <v>2</v>
      </c>
      <c r="N232" t="b">
        <f t="shared" si="41"/>
        <v>1</v>
      </c>
    </row>
    <row r="233" spans="1:14" x14ac:dyDescent="0.25">
      <c r="A233" s="4" t="s">
        <v>5</v>
      </c>
      <c r="B233" s="4" t="s">
        <v>386</v>
      </c>
      <c r="C233" s="3">
        <v>2.12E-6</v>
      </c>
      <c r="D233" s="3">
        <v>1.73E-6</v>
      </c>
      <c r="E233" s="3">
        <v>2.12E-6</v>
      </c>
      <c r="F233" s="3">
        <v>1.73E-6</v>
      </c>
      <c r="G233">
        <f t="shared" si="36"/>
        <v>6</v>
      </c>
      <c r="H233" t="str">
        <f t="shared" si="44"/>
        <v>BTC</v>
      </c>
      <c r="I233" t="str">
        <f>LEFT(B233,3)</f>
        <v>SXC</v>
      </c>
      <c r="J233" t="str">
        <f t="shared" si="37"/>
        <v>BTCSXC</v>
      </c>
      <c r="K233" t="str">
        <f t="shared" si="38"/>
        <v>SXCBTC</v>
      </c>
      <c r="L233">
        <f t="shared" si="39"/>
        <v>0</v>
      </c>
      <c r="M233">
        <f t="shared" si="40"/>
        <v>2</v>
      </c>
      <c r="N233" t="b">
        <f t="shared" si="41"/>
        <v>1</v>
      </c>
    </row>
    <row r="234" spans="1:14" x14ac:dyDescent="0.25">
      <c r="A234" s="4" t="s">
        <v>1239</v>
      </c>
      <c r="B234" s="4" t="s">
        <v>386</v>
      </c>
      <c r="C234" s="3">
        <v>1.9400000000000001E-6</v>
      </c>
      <c r="D234" s="3">
        <v>1.72E-6</v>
      </c>
      <c r="E234" s="3">
        <v>1.9400000000000001E-6</v>
      </c>
      <c r="F234" s="3">
        <v>1.72E-6</v>
      </c>
      <c r="G234">
        <f t="shared" si="36"/>
        <v>6</v>
      </c>
      <c r="H234" t="str">
        <f t="shared" si="44"/>
        <v>BTC</v>
      </c>
      <c r="I234" t="str">
        <f>LEFT(B234,3)</f>
        <v>SXC</v>
      </c>
      <c r="J234" t="str">
        <f t="shared" si="37"/>
        <v>BTCSXC</v>
      </c>
      <c r="K234" t="str">
        <f t="shared" si="38"/>
        <v>SXCBTC</v>
      </c>
      <c r="L234">
        <f t="shared" si="39"/>
        <v>0</v>
      </c>
      <c r="M234">
        <f t="shared" si="40"/>
        <v>2</v>
      </c>
      <c r="N234" t="b">
        <f t="shared" si="41"/>
        <v>1</v>
      </c>
    </row>
    <row r="235" spans="1:14" x14ac:dyDescent="0.25">
      <c r="A235" s="4" t="s">
        <v>4</v>
      </c>
      <c r="B235" s="4" t="s">
        <v>318</v>
      </c>
      <c r="C235" s="3">
        <v>1.27998E-3</v>
      </c>
      <c r="D235" s="3">
        <v>8.4000000000000003E-4</v>
      </c>
      <c r="E235" s="3">
        <v>1.27998E-3</v>
      </c>
      <c r="F235" s="3">
        <v>8.4000000000000003E-4</v>
      </c>
      <c r="G235">
        <f t="shared" si="36"/>
        <v>7</v>
      </c>
      <c r="H235" t="str">
        <f t="shared" si="44"/>
        <v>BTC</v>
      </c>
      <c r="I235" t="str">
        <f>LEFT(B235,4)</f>
        <v>TAAS</v>
      </c>
      <c r="J235" t="str">
        <f t="shared" si="37"/>
        <v>BTCTAAS</v>
      </c>
      <c r="K235" t="str">
        <f t="shared" si="38"/>
        <v>TAASBTC</v>
      </c>
      <c r="L235">
        <f t="shared" si="39"/>
        <v>0</v>
      </c>
      <c r="M235">
        <f t="shared" si="40"/>
        <v>2</v>
      </c>
      <c r="N235" t="b">
        <f t="shared" si="41"/>
        <v>1</v>
      </c>
    </row>
    <row r="236" spans="1:14" x14ac:dyDescent="0.25">
      <c r="A236" s="4" t="s">
        <v>1239</v>
      </c>
      <c r="B236" s="4" t="s">
        <v>318</v>
      </c>
      <c r="C236" s="3">
        <v>1.1948799999999999E-3</v>
      </c>
      <c r="D236" s="3">
        <v>1.06247E-3</v>
      </c>
      <c r="E236" s="3">
        <v>1.1948799999999999E-3</v>
      </c>
      <c r="F236" s="3">
        <v>1.06247E-3</v>
      </c>
      <c r="G236">
        <f t="shared" si="36"/>
        <v>7</v>
      </c>
      <c r="H236" t="str">
        <f t="shared" si="44"/>
        <v>BTC</v>
      </c>
      <c r="I236" t="str">
        <f>LEFT(B236,4)</f>
        <v>TAAS</v>
      </c>
      <c r="J236" t="str">
        <f t="shared" si="37"/>
        <v>BTCTAAS</v>
      </c>
      <c r="K236" t="str">
        <f t="shared" si="38"/>
        <v>TAASBTC</v>
      </c>
      <c r="L236">
        <f t="shared" si="39"/>
        <v>0</v>
      </c>
      <c r="M236">
        <f t="shared" si="40"/>
        <v>2</v>
      </c>
      <c r="N236" t="b">
        <f t="shared" si="41"/>
        <v>1</v>
      </c>
    </row>
    <row r="237" spans="1:14" x14ac:dyDescent="0.25">
      <c r="A237" s="4" t="s">
        <v>5</v>
      </c>
      <c r="B237" s="4" t="s">
        <v>891</v>
      </c>
      <c r="C237" s="3">
        <v>5.2E-7</v>
      </c>
      <c r="D237" s="3" t="s">
        <v>401</v>
      </c>
      <c r="E237" s="3">
        <v>5.2E-7</v>
      </c>
      <c r="F237" s="3" t="s">
        <v>401</v>
      </c>
      <c r="G237">
        <f t="shared" si="36"/>
        <v>6</v>
      </c>
      <c r="H237" t="str">
        <f t="shared" si="44"/>
        <v>BTC</v>
      </c>
      <c r="I237" t="str">
        <f>LEFT(B237,3)</f>
        <v>TLE</v>
      </c>
      <c r="J237" t="str">
        <f t="shared" si="37"/>
        <v>BTCTLE</v>
      </c>
      <c r="K237" t="str">
        <f t="shared" si="38"/>
        <v>TLEBTC</v>
      </c>
      <c r="L237">
        <f t="shared" si="39"/>
        <v>0</v>
      </c>
      <c r="M237">
        <f t="shared" si="40"/>
        <v>2</v>
      </c>
      <c r="N237" t="b">
        <f t="shared" si="41"/>
        <v>1</v>
      </c>
    </row>
    <row r="238" spans="1:14" x14ac:dyDescent="0.25">
      <c r="A238" s="4" t="s">
        <v>1403</v>
      </c>
      <c r="B238" s="4" t="s">
        <v>891</v>
      </c>
      <c r="C238" s="3">
        <v>1.504E-5</v>
      </c>
      <c r="D238" s="3">
        <v>5.999E-5</v>
      </c>
      <c r="E238" s="3" t="s">
        <v>84</v>
      </c>
      <c r="F238" s="3">
        <v>2.001E-5</v>
      </c>
      <c r="G238">
        <f t="shared" si="36"/>
        <v>6</v>
      </c>
      <c r="H238" t="str">
        <f t="shared" si="44"/>
        <v>BTC</v>
      </c>
      <c r="I238" t="str">
        <f>LEFT(B238,3)</f>
        <v>TLE</v>
      </c>
      <c r="J238" t="str">
        <f t="shared" si="37"/>
        <v>BTCTLE</v>
      </c>
      <c r="K238" t="str">
        <f t="shared" si="38"/>
        <v>TLEBTC</v>
      </c>
      <c r="L238">
        <f t="shared" si="39"/>
        <v>0</v>
      </c>
      <c r="M238">
        <f t="shared" si="40"/>
        <v>2</v>
      </c>
      <c r="N238" t="b">
        <f t="shared" si="41"/>
        <v>1</v>
      </c>
    </row>
    <row r="239" spans="1:14" x14ac:dyDescent="0.25">
      <c r="A239" s="4" t="s">
        <v>5</v>
      </c>
      <c r="B239" s="4" t="s">
        <v>802</v>
      </c>
      <c r="C239" s="3">
        <v>6.0999999999999998E-7</v>
      </c>
      <c r="D239" s="3" t="s">
        <v>409</v>
      </c>
      <c r="E239" s="3">
        <v>6.0999999999999998E-7</v>
      </c>
      <c r="F239" s="3" t="s">
        <v>409</v>
      </c>
      <c r="G239">
        <f t="shared" si="36"/>
        <v>6</v>
      </c>
      <c r="H239" t="str">
        <f t="shared" si="44"/>
        <v>BTC</v>
      </c>
      <c r="I239" t="str">
        <f>LEFT(B239,3)</f>
        <v>TSE</v>
      </c>
      <c r="J239" t="str">
        <f t="shared" si="37"/>
        <v>BTCTSE</v>
      </c>
      <c r="K239" t="str">
        <f t="shared" si="38"/>
        <v>TSEBTC</v>
      </c>
      <c r="L239">
        <f t="shared" si="39"/>
        <v>0</v>
      </c>
      <c r="M239">
        <f t="shared" si="40"/>
        <v>2</v>
      </c>
      <c r="N239" t="b">
        <f t="shared" si="41"/>
        <v>1</v>
      </c>
    </row>
    <row r="240" spans="1:14" x14ac:dyDescent="0.25">
      <c r="A240" s="4" t="s">
        <v>1403</v>
      </c>
      <c r="B240" s="4" t="s">
        <v>802</v>
      </c>
      <c r="C240" s="3">
        <v>4.8999999999999997E-7</v>
      </c>
      <c r="D240" s="3">
        <v>6.7999999999999995E-7</v>
      </c>
      <c r="E240" s="3">
        <v>5.6000000000000004E-7</v>
      </c>
      <c r="F240" s="3">
        <v>4.7999999999999996E-7</v>
      </c>
      <c r="G240">
        <f t="shared" si="36"/>
        <v>6</v>
      </c>
      <c r="H240" t="str">
        <f t="shared" si="44"/>
        <v>BTC</v>
      </c>
      <c r="I240" t="str">
        <f>LEFT(B240,3)</f>
        <v>TSE</v>
      </c>
      <c r="J240" t="str">
        <f t="shared" si="37"/>
        <v>BTCTSE</v>
      </c>
      <c r="K240" t="str">
        <f t="shared" si="38"/>
        <v>TSEBTC</v>
      </c>
      <c r="L240">
        <f t="shared" si="39"/>
        <v>0</v>
      </c>
      <c r="M240">
        <f t="shared" si="40"/>
        <v>2</v>
      </c>
      <c r="N240" t="b">
        <f t="shared" si="41"/>
        <v>1</v>
      </c>
    </row>
    <row r="241" spans="1:14" x14ac:dyDescent="0.25">
      <c r="A241" s="4" t="s">
        <v>5</v>
      </c>
      <c r="B241" s="4" t="s">
        <v>1214</v>
      </c>
      <c r="C241" s="3">
        <v>3.9010000000000001E-5</v>
      </c>
      <c r="D241" s="3">
        <v>2.5150000000000001E-5</v>
      </c>
      <c r="E241" s="3">
        <v>3.9010000000000001E-5</v>
      </c>
      <c r="F241" s="3">
        <v>2.5150000000000001E-5</v>
      </c>
      <c r="G241">
        <f t="shared" si="36"/>
        <v>4</v>
      </c>
      <c r="H241" t="str">
        <f t="shared" si="44"/>
        <v>BTC</v>
      </c>
      <c r="I241" t="str">
        <f>LEFT(B241,1)</f>
        <v>U</v>
      </c>
      <c r="J241" t="str">
        <f t="shared" si="37"/>
        <v>BTCU</v>
      </c>
      <c r="K241" t="str">
        <f t="shared" si="38"/>
        <v>UBTC</v>
      </c>
      <c r="L241">
        <f t="shared" si="39"/>
        <v>0</v>
      </c>
      <c r="M241">
        <f t="shared" si="40"/>
        <v>2</v>
      </c>
      <c r="N241" t="b">
        <f t="shared" si="41"/>
        <v>1</v>
      </c>
    </row>
    <row r="242" spans="1:14" x14ac:dyDescent="0.25">
      <c r="A242" s="4" t="s">
        <v>1403</v>
      </c>
      <c r="B242" s="4" t="s">
        <v>1214</v>
      </c>
      <c r="C242" s="3">
        <v>5.6500000000000001E-6</v>
      </c>
      <c r="D242" s="3">
        <v>5.66E-6</v>
      </c>
      <c r="E242" s="3">
        <v>5.6500000000000001E-6</v>
      </c>
      <c r="F242" s="3">
        <v>5.6400000000000002E-6</v>
      </c>
      <c r="G242">
        <f t="shared" si="36"/>
        <v>4</v>
      </c>
      <c r="H242" t="str">
        <f t="shared" si="44"/>
        <v>BTC</v>
      </c>
      <c r="I242" t="str">
        <f>LEFT(B242,1)</f>
        <v>U</v>
      </c>
      <c r="J242" t="str">
        <f t="shared" si="37"/>
        <v>BTCU</v>
      </c>
      <c r="K242" t="str">
        <f t="shared" si="38"/>
        <v>UBTC</v>
      </c>
      <c r="L242">
        <f t="shared" si="39"/>
        <v>0</v>
      </c>
      <c r="M242">
        <f t="shared" si="40"/>
        <v>2</v>
      </c>
      <c r="N242" t="b">
        <f t="shared" si="41"/>
        <v>1</v>
      </c>
    </row>
    <row r="243" spans="1:14" x14ac:dyDescent="0.25">
      <c r="A243" s="4" t="s">
        <v>1239</v>
      </c>
      <c r="B243" s="4" t="s">
        <v>1307</v>
      </c>
      <c r="C243" s="3" t="s">
        <v>361</v>
      </c>
      <c r="D243" s="3" t="s">
        <v>362</v>
      </c>
      <c r="E243" s="3" t="s">
        <v>361</v>
      </c>
      <c r="F243" s="3" t="s">
        <v>362</v>
      </c>
      <c r="G243">
        <f t="shared" si="36"/>
        <v>6</v>
      </c>
      <c r="H243" t="str">
        <f t="shared" si="44"/>
        <v>BTC</v>
      </c>
      <c r="I243" t="str">
        <f t="shared" ref="I243:I250" si="45">LEFT(B243,3)</f>
        <v>UNC</v>
      </c>
      <c r="J243" t="str">
        <f t="shared" si="37"/>
        <v>BTCUNC</v>
      </c>
      <c r="K243" t="str">
        <f t="shared" si="38"/>
        <v>UNCBTC</v>
      </c>
      <c r="L243">
        <f t="shared" si="39"/>
        <v>0</v>
      </c>
      <c r="M243">
        <f t="shared" si="40"/>
        <v>2</v>
      </c>
      <c r="N243" t="b">
        <f t="shared" si="41"/>
        <v>1</v>
      </c>
    </row>
    <row r="244" spans="1:14" x14ac:dyDescent="0.25">
      <c r="A244" s="4" t="s">
        <v>1403</v>
      </c>
      <c r="B244" s="4" t="s">
        <v>1307</v>
      </c>
      <c r="C244" s="3" t="s">
        <v>362</v>
      </c>
      <c r="D244" s="3" t="s">
        <v>361</v>
      </c>
      <c r="E244" s="3" t="s">
        <v>361</v>
      </c>
      <c r="F244" s="3" t="s">
        <v>362</v>
      </c>
      <c r="G244">
        <f t="shared" si="36"/>
        <v>6</v>
      </c>
      <c r="H244" t="str">
        <f t="shared" si="44"/>
        <v>BTC</v>
      </c>
      <c r="I244" t="str">
        <f t="shared" si="45"/>
        <v>UNC</v>
      </c>
      <c r="J244" t="str">
        <f t="shared" si="37"/>
        <v>BTCUNC</v>
      </c>
      <c r="K244" t="str">
        <f t="shared" si="38"/>
        <v>UNCBTC</v>
      </c>
      <c r="L244">
        <f t="shared" si="39"/>
        <v>0</v>
      </c>
      <c r="M244">
        <f t="shared" si="40"/>
        <v>2</v>
      </c>
      <c r="N244" t="b">
        <f t="shared" si="41"/>
        <v>1</v>
      </c>
    </row>
    <row r="245" spans="1:14" x14ac:dyDescent="0.25">
      <c r="A245" s="4" t="s">
        <v>1239</v>
      </c>
      <c r="B245" s="4" t="s">
        <v>1380</v>
      </c>
      <c r="C245" s="3">
        <v>3.1470000000000002E-5</v>
      </c>
      <c r="D245" s="3">
        <v>3.0689999999999999E-5</v>
      </c>
      <c r="E245" s="3">
        <v>3.1470000000000002E-5</v>
      </c>
      <c r="F245" s="3">
        <v>3.0689999999999999E-5</v>
      </c>
      <c r="G245">
        <f t="shared" si="36"/>
        <v>6</v>
      </c>
      <c r="H245" t="str">
        <f t="shared" si="44"/>
        <v>BTC</v>
      </c>
      <c r="I245" t="str">
        <f t="shared" si="45"/>
        <v>UNY</v>
      </c>
      <c r="J245" t="str">
        <f t="shared" si="37"/>
        <v>BTCUNY</v>
      </c>
      <c r="K245" t="str">
        <f t="shared" si="38"/>
        <v>UNYBTC</v>
      </c>
      <c r="L245">
        <f t="shared" si="39"/>
        <v>0</v>
      </c>
      <c r="M245">
        <f t="shared" si="40"/>
        <v>2</v>
      </c>
      <c r="N245" t="b">
        <f t="shared" si="41"/>
        <v>1</v>
      </c>
    </row>
    <row r="246" spans="1:14" x14ac:dyDescent="0.25">
      <c r="A246" s="4" t="s">
        <v>1403</v>
      </c>
      <c r="B246" s="4" t="s">
        <v>1380</v>
      </c>
      <c r="C246" s="3">
        <v>2.8E-5</v>
      </c>
      <c r="D246" s="3" t="s">
        <v>1388</v>
      </c>
      <c r="E246" s="3" t="s">
        <v>1388</v>
      </c>
      <c r="F246" s="3">
        <v>2.8E-5</v>
      </c>
      <c r="G246">
        <f t="shared" si="36"/>
        <v>6</v>
      </c>
      <c r="H246" t="str">
        <f t="shared" si="44"/>
        <v>BTC</v>
      </c>
      <c r="I246" t="str">
        <f t="shared" si="45"/>
        <v>UNY</v>
      </c>
      <c r="J246" t="str">
        <f t="shared" si="37"/>
        <v>BTCUNY</v>
      </c>
      <c r="K246" t="str">
        <f t="shared" si="38"/>
        <v>UNYBTC</v>
      </c>
      <c r="L246">
        <f t="shared" si="39"/>
        <v>0</v>
      </c>
      <c r="M246">
        <f t="shared" si="40"/>
        <v>2</v>
      </c>
      <c r="N246" t="b">
        <f t="shared" si="41"/>
        <v>1</v>
      </c>
    </row>
    <row r="247" spans="1:14" x14ac:dyDescent="0.25">
      <c r="A247" s="4" t="s">
        <v>1239</v>
      </c>
      <c r="B247" s="4" t="s">
        <v>1381</v>
      </c>
      <c r="C247" s="3">
        <v>3.9987699999999996E-3</v>
      </c>
      <c r="D247" s="3">
        <v>1.15E-3</v>
      </c>
      <c r="E247" s="3">
        <v>3.9987699999999996E-3</v>
      </c>
      <c r="F247" s="3">
        <v>1.15E-3</v>
      </c>
      <c r="G247">
        <f t="shared" si="36"/>
        <v>6</v>
      </c>
      <c r="H247" t="str">
        <f t="shared" si="44"/>
        <v>LTC</v>
      </c>
      <c r="I247" t="str">
        <f t="shared" si="45"/>
        <v>UNY</v>
      </c>
      <c r="J247" t="str">
        <f t="shared" si="37"/>
        <v>LTCUNY</v>
      </c>
      <c r="K247" t="str">
        <f t="shared" si="38"/>
        <v>UNYLTC</v>
      </c>
      <c r="L247">
        <f t="shared" si="39"/>
        <v>0</v>
      </c>
      <c r="M247">
        <f t="shared" si="40"/>
        <v>2</v>
      </c>
      <c r="N247" t="b">
        <f t="shared" si="41"/>
        <v>1</v>
      </c>
    </row>
    <row r="248" spans="1:14" x14ac:dyDescent="0.25">
      <c r="A248" s="4" t="s">
        <v>1403</v>
      </c>
      <c r="B248" s="4" t="s">
        <v>1381</v>
      </c>
      <c r="C248" s="3">
        <v>3.0969000000000001E-3</v>
      </c>
      <c r="D248" s="3">
        <v>3.0969000000000001E-3</v>
      </c>
      <c r="E248" s="3">
        <v>3.0969000000000001E-3</v>
      </c>
      <c r="F248" s="3">
        <v>3.01E-6</v>
      </c>
      <c r="G248">
        <f t="shared" si="36"/>
        <v>6</v>
      </c>
      <c r="H248" t="str">
        <f t="shared" si="44"/>
        <v>LTC</v>
      </c>
      <c r="I248" t="str">
        <f t="shared" si="45"/>
        <v>UNY</v>
      </c>
      <c r="J248" t="str">
        <f t="shared" si="37"/>
        <v>LTCUNY</v>
      </c>
      <c r="K248" t="str">
        <f t="shared" si="38"/>
        <v>UNYLTC</v>
      </c>
      <c r="L248">
        <f t="shared" si="39"/>
        <v>0</v>
      </c>
      <c r="M248">
        <f t="shared" si="40"/>
        <v>2</v>
      </c>
      <c r="N248" t="b">
        <f t="shared" si="41"/>
        <v>1</v>
      </c>
    </row>
    <row r="249" spans="1:14" x14ac:dyDescent="0.25">
      <c r="A249" s="4" t="s">
        <v>1239</v>
      </c>
      <c r="B249" s="4" t="s">
        <v>1379</v>
      </c>
      <c r="C249" s="3">
        <v>8.3989999999999995E-2</v>
      </c>
      <c r="D249" s="3">
        <v>7.0000000000000007E-2</v>
      </c>
      <c r="E249" s="3">
        <v>8.3989999999999995E-2</v>
      </c>
      <c r="F249" s="3">
        <v>7.0000000000000007E-2</v>
      </c>
      <c r="G249">
        <f t="shared" si="36"/>
        <v>6</v>
      </c>
      <c r="H249" t="str">
        <f t="shared" si="44"/>
        <v>USD</v>
      </c>
      <c r="I249" t="str">
        <f t="shared" si="45"/>
        <v>UNY</v>
      </c>
      <c r="J249" t="str">
        <f t="shared" si="37"/>
        <v>USDUNY</v>
      </c>
      <c r="K249" t="str">
        <f t="shared" si="38"/>
        <v>UNYUSD</v>
      </c>
      <c r="L249">
        <f t="shared" si="39"/>
        <v>0</v>
      </c>
      <c r="M249">
        <f t="shared" si="40"/>
        <v>2</v>
      </c>
      <c r="N249" t="b">
        <f t="shared" si="41"/>
        <v>1</v>
      </c>
    </row>
    <row r="250" spans="1:14" x14ac:dyDescent="0.25">
      <c r="A250" s="4" t="s">
        <v>1403</v>
      </c>
      <c r="B250" s="4" t="s">
        <v>1379</v>
      </c>
      <c r="C250" s="3">
        <v>9.5000000000000001E-2</v>
      </c>
      <c r="D250" s="3">
        <v>9.5000000000000001E-2</v>
      </c>
      <c r="E250" s="3">
        <v>9.5000000000000001E-2</v>
      </c>
      <c r="F250" s="3">
        <v>3.2500010000000003E-2</v>
      </c>
      <c r="G250">
        <f t="shared" si="36"/>
        <v>6</v>
      </c>
      <c r="H250" t="str">
        <f t="shared" si="44"/>
        <v>USD</v>
      </c>
      <c r="I250" t="str">
        <f t="shared" si="45"/>
        <v>UNY</v>
      </c>
      <c r="J250" t="str">
        <f t="shared" si="37"/>
        <v>USDUNY</v>
      </c>
      <c r="K250" t="str">
        <f t="shared" si="38"/>
        <v>UNYUSD</v>
      </c>
      <c r="L250">
        <f t="shared" si="39"/>
        <v>0</v>
      </c>
      <c r="M250">
        <f t="shared" si="40"/>
        <v>2</v>
      </c>
      <c r="N250" t="b">
        <f t="shared" si="41"/>
        <v>1</v>
      </c>
    </row>
    <row r="251" spans="1:14" x14ac:dyDescent="0.25">
      <c r="A251" s="4" t="s">
        <v>1</v>
      </c>
      <c r="B251" s="4" t="s">
        <v>60</v>
      </c>
      <c r="C251" s="3">
        <v>304.44366991999999</v>
      </c>
      <c r="D251" s="3">
        <v>304.44366989999997</v>
      </c>
      <c r="E251" s="3">
        <v>305.716325433902</v>
      </c>
      <c r="F251" s="3">
        <v>304.44373999999999</v>
      </c>
      <c r="G251">
        <f t="shared" si="36"/>
        <v>7</v>
      </c>
      <c r="H251" t="str">
        <f t="shared" si="44"/>
        <v>ETH</v>
      </c>
      <c r="I251" t="str">
        <f t="shared" ref="I251:I256" si="46">LEFT(B251,4)</f>
        <v>USDT</v>
      </c>
      <c r="J251" t="str">
        <f t="shared" si="37"/>
        <v>ETHUSDT</v>
      </c>
      <c r="K251" t="str">
        <f t="shared" si="38"/>
        <v>USDTETH</v>
      </c>
      <c r="L251">
        <f t="shared" si="39"/>
        <v>0</v>
      </c>
      <c r="M251">
        <f t="shared" si="40"/>
        <v>2</v>
      </c>
      <c r="N251" t="b">
        <f t="shared" si="41"/>
        <v>1</v>
      </c>
    </row>
    <row r="252" spans="1:14" x14ac:dyDescent="0.25">
      <c r="A252" s="4" t="s">
        <v>2</v>
      </c>
      <c r="B252" s="4" t="s">
        <v>60</v>
      </c>
      <c r="C252" s="3">
        <v>303.68900000000002</v>
      </c>
      <c r="D252" s="3">
        <v>284.25099999999998</v>
      </c>
      <c r="E252" s="3">
        <v>303.68900000000002</v>
      </c>
      <c r="F252" s="3">
        <v>283.28257265008</v>
      </c>
      <c r="G252">
        <f t="shared" si="36"/>
        <v>7</v>
      </c>
      <c r="H252" t="str">
        <f t="shared" si="44"/>
        <v>ETH</v>
      </c>
      <c r="I252" t="str">
        <f t="shared" si="46"/>
        <v>USDT</v>
      </c>
      <c r="J252" t="str">
        <f t="shared" si="37"/>
        <v>ETHUSDT</v>
      </c>
      <c r="K252" t="str">
        <f t="shared" si="38"/>
        <v>USDTETH</v>
      </c>
      <c r="L252">
        <f t="shared" si="39"/>
        <v>0</v>
      </c>
      <c r="M252">
        <f t="shared" si="40"/>
        <v>2</v>
      </c>
      <c r="N252" t="b">
        <f t="shared" si="41"/>
        <v>1</v>
      </c>
    </row>
    <row r="253" spans="1:14" x14ac:dyDescent="0.25">
      <c r="A253" s="4" t="s">
        <v>3</v>
      </c>
      <c r="B253" s="4" t="s">
        <v>298</v>
      </c>
      <c r="C253" s="3">
        <v>1.0209999999999999</v>
      </c>
      <c r="D253" s="3">
        <v>1.02</v>
      </c>
      <c r="E253" s="3">
        <v>1.0209999999999999</v>
      </c>
      <c r="F253" s="3">
        <v>1.02</v>
      </c>
      <c r="G253">
        <f t="shared" si="36"/>
        <v>7</v>
      </c>
      <c r="H253" t="str">
        <f t="shared" si="44"/>
        <v>USD</v>
      </c>
      <c r="I253" t="str">
        <f t="shared" si="46"/>
        <v>USDT</v>
      </c>
      <c r="J253" t="str">
        <f t="shared" si="37"/>
        <v>USDUSDT</v>
      </c>
      <c r="K253" t="str">
        <f t="shared" si="38"/>
        <v>USDTUSD</v>
      </c>
      <c r="L253">
        <f t="shared" si="39"/>
        <v>0</v>
      </c>
      <c r="M253">
        <f t="shared" si="40"/>
        <v>2</v>
      </c>
      <c r="N253" t="b">
        <f t="shared" si="41"/>
        <v>1</v>
      </c>
    </row>
    <row r="254" spans="1:14" x14ac:dyDescent="0.25">
      <c r="A254" s="4" t="s">
        <v>1403</v>
      </c>
      <c r="B254" s="4" t="s">
        <v>298</v>
      </c>
      <c r="C254" s="3">
        <v>0.96000004999999999</v>
      </c>
      <c r="D254" s="3">
        <v>1.1179999300000001</v>
      </c>
      <c r="E254" s="3">
        <v>1.1179999300000001</v>
      </c>
      <c r="F254" s="3">
        <v>1.02</v>
      </c>
      <c r="G254">
        <f t="shared" si="36"/>
        <v>7</v>
      </c>
      <c r="H254" t="str">
        <f t="shared" si="44"/>
        <v>USD</v>
      </c>
      <c r="I254" t="str">
        <f t="shared" si="46"/>
        <v>USDT</v>
      </c>
      <c r="J254" t="str">
        <f t="shared" si="37"/>
        <v>USDUSDT</v>
      </c>
      <c r="K254" t="str">
        <f t="shared" si="38"/>
        <v>USDTUSD</v>
      </c>
      <c r="L254">
        <f t="shared" si="39"/>
        <v>0</v>
      </c>
      <c r="M254">
        <f t="shared" si="40"/>
        <v>2</v>
      </c>
      <c r="N254" t="b">
        <f t="shared" si="41"/>
        <v>1</v>
      </c>
    </row>
    <row r="255" spans="1:14" x14ac:dyDescent="0.25">
      <c r="A255" s="4" t="s">
        <v>5</v>
      </c>
      <c r="B255" s="4" t="s">
        <v>754</v>
      </c>
      <c r="C255" s="3">
        <v>1.26E-6</v>
      </c>
      <c r="D255" s="3">
        <v>6.6000000000000003E-7</v>
      </c>
      <c r="E255" s="3">
        <v>1.26E-6</v>
      </c>
      <c r="F255" s="3">
        <v>6.6000000000000003E-7</v>
      </c>
      <c r="G255">
        <f t="shared" si="36"/>
        <v>7</v>
      </c>
      <c r="H255" t="str">
        <f t="shared" si="44"/>
        <v>BTC</v>
      </c>
      <c r="I255" t="str">
        <f t="shared" si="46"/>
        <v>VEC2</v>
      </c>
      <c r="J255" t="str">
        <f t="shared" si="37"/>
        <v>BTCVEC2</v>
      </c>
      <c r="K255" t="str">
        <f t="shared" si="38"/>
        <v>VEC2BTC</v>
      </c>
      <c r="L255">
        <f t="shared" si="39"/>
        <v>0</v>
      </c>
      <c r="M255">
        <f t="shared" si="40"/>
        <v>2</v>
      </c>
      <c r="N255" t="b">
        <f t="shared" si="41"/>
        <v>1</v>
      </c>
    </row>
    <row r="256" spans="1:14" x14ac:dyDescent="0.25">
      <c r="A256" s="4" t="s">
        <v>1403</v>
      </c>
      <c r="B256" s="4" t="s">
        <v>754</v>
      </c>
      <c r="C256" s="3">
        <v>9.0999999999999997E-7</v>
      </c>
      <c r="D256" s="3">
        <v>1.72E-6</v>
      </c>
      <c r="E256" s="3">
        <v>1.04E-6</v>
      </c>
      <c r="F256" s="3">
        <v>9.0999999999999997E-7</v>
      </c>
      <c r="G256">
        <f t="shared" si="36"/>
        <v>7</v>
      </c>
      <c r="H256" t="str">
        <f t="shared" si="44"/>
        <v>BTC</v>
      </c>
      <c r="I256" t="str">
        <f t="shared" si="46"/>
        <v>VEC2</v>
      </c>
      <c r="J256" t="str">
        <f t="shared" si="37"/>
        <v>BTCVEC2</v>
      </c>
      <c r="K256" t="str">
        <f t="shared" si="38"/>
        <v>VEC2BTC</v>
      </c>
      <c r="L256">
        <f t="shared" si="39"/>
        <v>0</v>
      </c>
      <c r="M256">
        <f t="shared" si="40"/>
        <v>2</v>
      </c>
      <c r="N256" t="b">
        <f t="shared" si="41"/>
        <v>1</v>
      </c>
    </row>
    <row r="257" spans="1:14" x14ac:dyDescent="0.25">
      <c r="A257" s="4" t="s">
        <v>1239</v>
      </c>
      <c r="B257" s="4" t="s">
        <v>1299</v>
      </c>
      <c r="C257" s="3">
        <v>3.76E-6</v>
      </c>
      <c r="D257" s="3" t="s">
        <v>1003</v>
      </c>
      <c r="E257" s="3">
        <v>3.76E-6</v>
      </c>
      <c r="F257" s="3" t="s">
        <v>1003</v>
      </c>
      <c r="G257">
        <f t="shared" ref="G257:G320" si="47">LEN(B257)</f>
        <v>6</v>
      </c>
      <c r="H257" t="str">
        <f t="shared" si="44"/>
        <v>BTC</v>
      </c>
      <c r="I257" t="str">
        <f t="shared" ref="I257:I268" si="48">LEFT(B257,3)</f>
        <v>VRS</v>
      </c>
      <c r="J257" t="str">
        <f t="shared" ref="J257:J320" si="49">CONCATENATE(H257,I257)</f>
        <v>BTCVRS</v>
      </c>
      <c r="K257" t="str">
        <f t="shared" ref="K257:K320" si="50">CONCATENATE(I257,H257)</f>
        <v>VRSBTC</v>
      </c>
      <c r="L257">
        <f t="shared" ref="L257:L320" si="51">COUNTIF(B:B,J257)</f>
        <v>0</v>
      </c>
      <c r="M257">
        <f t="shared" ref="M257:M320" si="52">COUNTIF(B:B,K257)</f>
        <v>2</v>
      </c>
      <c r="N257" t="b">
        <f t="shared" ref="N257:N320" si="53">L257=0</f>
        <v>1</v>
      </c>
    </row>
    <row r="258" spans="1:14" x14ac:dyDescent="0.25">
      <c r="A258" s="4" t="s">
        <v>1403</v>
      </c>
      <c r="B258" s="4" t="s">
        <v>1299</v>
      </c>
      <c r="C258" s="3">
        <v>2.8899999999999999E-6</v>
      </c>
      <c r="D258" s="3">
        <v>2.9100000000000001E-6</v>
      </c>
      <c r="E258" s="3">
        <v>3.9700000000000001E-6</v>
      </c>
      <c r="F258" s="3">
        <v>2.6699999999999998E-6</v>
      </c>
      <c r="G258">
        <f t="shared" si="47"/>
        <v>6</v>
      </c>
      <c r="H258" t="str">
        <f t="shared" si="44"/>
        <v>BTC</v>
      </c>
      <c r="I258" t="str">
        <f t="shared" si="48"/>
        <v>VRS</v>
      </c>
      <c r="J258" t="str">
        <f t="shared" si="49"/>
        <v>BTCVRS</v>
      </c>
      <c r="K258" t="str">
        <f t="shared" si="50"/>
        <v>VRSBTC</v>
      </c>
      <c r="L258">
        <f t="shared" si="51"/>
        <v>0</v>
      </c>
      <c r="M258">
        <f t="shared" si="52"/>
        <v>2</v>
      </c>
      <c r="N258" t="b">
        <f t="shared" si="53"/>
        <v>1</v>
      </c>
    </row>
    <row r="259" spans="1:14" x14ac:dyDescent="0.25">
      <c r="A259" s="4" t="s">
        <v>1239</v>
      </c>
      <c r="B259" s="4" t="s">
        <v>1298</v>
      </c>
      <c r="C259" s="3">
        <v>1.1990000000000001E-2</v>
      </c>
      <c r="D259" s="3">
        <v>6.6800000000000002E-3</v>
      </c>
      <c r="E259" s="3">
        <v>1.1990000000000001E-2</v>
      </c>
      <c r="F259" s="3">
        <v>6.6800000000000002E-3</v>
      </c>
      <c r="G259">
        <f t="shared" si="47"/>
        <v>6</v>
      </c>
      <c r="H259" t="str">
        <f t="shared" ref="H259:H287" si="54">RIGHT(B259,3)</f>
        <v>USD</v>
      </c>
      <c r="I259" t="str">
        <f t="shared" si="48"/>
        <v>VRS</v>
      </c>
      <c r="J259" t="str">
        <f t="shared" si="49"/>
        <v>USDVRS</v>
      </c>
      <c r="K259" t="str">
        <f t="shared" si="50"/>
        <v>VRSUSD</v>
      </c>
      <c r="L259">
        <f t="shared" si="51"/>
        <v>0</v>
      </c>
      <c r="M259">
        <f t="shared" si="52"/>
        <v>2</v>
      </c>
      <c r="N259" t="b">
        <f t="shared" si="53"/>
        <v>1</v>
      </c>
    </row>
    <row r="260" spans="1:14" x14ac:dyDescent="0.25">
      <c r="A260" s="4" t="s">
        <v>1403</v>
      </c>
      <c r="B260" s="4" t="s">
        <v>1298</v>
      </c>
      <c r="C260" s="3">
        <v>1.953042E-2</v>
      </c>
      <c r="D260" s="3">
        <v>1.953042E-2</v>
      </c>
      <c r="E260" s="3">
        <v>1.9519990000000001E-2</v>
      </c>
      <c r="F260" s="3">
        <v>7.00031E-3</v>
      </c>
      <c r="G260">
        <f t="shared" si="47"/>
        <v>6</v>
      </c>
      <c r="H260" t="str">
        <f t="shared" si="54"/>
        <v>USD</v>
      </c>
      <c r="I260" t="str">
        <f t="shared" si="48"/>
        <v>VRS</v>
      </c>
      <c r="J260" t="str">
        <f t="shared" si="49"/>
        <v>USDVRS</v>
      </c>
      <c r="K260" t="str">
        <f t="shared" si="50"/>
        <v>VRSUSD</v>
      </c>
      <c r="L260">
        <f t="shared" si="51"/>
        <v>0</v>
      </c>
      <c r="M260">
        <f t="shared" si="52"/>
        <v>2</v>
      </c>
      <c r="N260" t="b">
        <f t="shared" si="53"/>
        <v>1</v>
      </c>
    </row>
    <row r="261" spans="1:14" x14ac:dyDescent="0.25">
      <c r="A261" s="4" t="s">
        <v>5</v>
      </c>
      <c r="B261" s="4" t="s">
        <v>844</v>
      </c>
      <c r="C261" s="3">
        <v>1.009E-5</v>
      </c>
      <c r="D261" s="3">
        <v>9.8099999999999992E-6</v>
      </c>
      <c r="E261" s="3">
        <v>1.009E-5</v>
      </c>
      <c r="F261" s="3">
        <v>9.8099999999999992E-6</v>
      </c>
      <c r="G261">
        <f t="shared" si="47"/>
        <v>6</v>
      </c>
      <c r="H261" t="str">
        <f t="shared" si="54"/>
        <v>BTC</v>
      </c>
      <c r="I261" t="str">
        <f t="shared" si="48"/>
        <v>XBY</v>
      </c>
      <c r="J261" t="str">
        <f t="shared" si="49"/>
        <v>BTCXBY</v>
      </c>
      <c r="K261" t="str">
        <f t="shared" si="50"/>
        <v>XBYBTC</v>
      </c>
      <c r="L261">
        <f t="shared" si="51"/>
        <v>0</v>
      </c>
      <c r="M261">
        <f t="shared" si="52"/>
        <v>2</v>
      </c>
      <c r="N261" t="b">
        <f t="shared" si="53"/>
        <v>1</v>
      </c>
    </row>
    <row r="262" spans="1:14" x14ac:dyDescent="0.25">
      <c r="A262" s="4" t="s">
        <v>1403</v>
      </c>
      <c r="B262" s="4" t="s">
        <v>844</v>
      </c>
      <c r="C262" s="3">
        <v>9.7000000000000003E-6</v>
      </c>
      <c r="D262" s="3">
        <v>1.039E-5</v>
      </c>
      <c r="E262" s="3">
        <v>1.0180000000000001E-5</v>
      </c>
      <c r="F262" s="3">
        <v>9.6900000000000004E-6</v>
      </c>
      <c r="G262">
        <f t="shared" si="47"/>
        <v>6</v>
      </c>
      <c r="H262" t="str">
        <f t="shared" si="54"/>
        <v>BTC</v>
      </c>
      <c r="I262" t="str">
        <f t="shared" si="48"/>
        <v>XBY</v>
      </c>
      <c r="J262" t="str">
        <f t="shared" si="49"/>
        <v>BTCXBY</v>
      </c>
      <c r="K262" t="str">
        <f t="shared" si="50"/>
        <v>XBYBTC</v>
      </c>
      <c r="L262">
        <f t="shared" si="51"/>
        <v>0</v>
      </c>
      <c r="M262">
        <f t="shared" si="52"/>
        <v>2</v>
      </c>
      <c r="N262" t="b">
        <f t="shared" si="53"/>
        <v>1</v>
      </c>
    </row>
    <row r="263" spans="1:14" x14ac:dyDescent="0.25">
      <c r="A263" s="4" t="s">
        <v>5</v>
      </c>
      <c r="B263" s="4" t="s">
        <v>841</v>
      </c>
      <c r="C263" s="3">
        <v>1.7400000000000001E-6</v>
      </c>
      <c r="D263" s="3">
        <v>1.5099999999999999E-6</v>
      </c>
      <c r="E263" s="3">
        <v>1.7400000000000001E-6</v>
      </c>
      <c r="F263" s="3">
        <v>1.5099999999999999E-6</v>
      </c>
      <c r="G263">
        <f t="shared" si="47"/>
        <v>6</v>
      </c>
      <c r="H263" t="str">
        <f t="shared" si="54"/>
        <v>BTC</v>
      </c>
      <c r="I263" t="str">
        <f t="shared" si="48"/>
        <v>XHI</v>
      </c>
      <c r="J263" t="str">
        <f t="shared" si="49"/>
        <v>BTCXHI</v>
      </c>
      <c r="K263" t="str">
        <f t="shared" si="50"/>
        <v>XHIBTC</v>
      </c>
      <c r="L263">
        <f t="shared" si="51"/>
        <v>0</v>
      </c>
      <c r="M263">
        <f t="shared" si="52"/>
        <v>2</v>
      </c>
      <c r="N263" t="b">
        <f t="shared" si="53"/>
        <v>1</v>
      </c>
    </row>
    <row r="264" spans="1:14" x14ac:dyDescent="0.25">
      <c r="A264" s="4" t="s">
        <v>1403</v>
      </c>
      <c r="B264" s="4" t="s">
        <v>841</v>
      </c>
      <c r="C264" s="3">
        <v>1.5600000000000001E-6</v>
      </c>
      <c r="D264" s="3">
        <v>1.7E-6</v>
      </c>
      <c r="E264" s="3">
        <v>1.66E-6</v>
      </c>
      <c r="F264" s="3">
        <v>1.55E-6</v>
      </c>
      <c r="G264">
        <f t="shared" si="47"/>
        <v>6</v>
      </c>
      <c r="H264" t="str">
        <f t="shared" si="54"/>
        <v>BTC</v>
      </c>
      <c r="I264" t="str">
        <f t="shared" si="48"/>
        <v>XHI</v>
      </c>
      <c r="J264" t="str">
        <f t="shared" si="49"/>
        <v>BTCXHI</v>
      </c>
      <c r="K264" t="str">
        <f t="shared" si="50"/>
        <v>XHIBTC</v>
      </c>
      <c r="L264">
        <f t="shared" si="51"/>
        <v>0</v>
      </c>
      <c r="M264">
        <f t="shared" si="52"/>
        <v>2</v>
      </c>
      <c r="N264" t="b">
        <f t="shared" si="53"/>
        <v>1</v>
      </c>
    </row>
    <row r="265" spans="1:14" x14ac:dyDescent="0.25">
      <c r="A265" s="4" t="s">
        <v>5</v>
      </c>
      <c r="B265" s="4" t="s">
        <v>460</v>
      </c>
      <c r="C265" s="3">
        <v>1.06E-4</v>
      </c>
      <c r="D265" s="3">
        <v>7.7089999999999995E-5</v>
      </c>
      <c r="E265" s="3">
        <v>1.06E-4</v>
      </c>
      <c r="F265" s="3">
        <v>7.7089999999999995E-5</v>
      </c>
      <c r="G265">
        <f t="shared" si="47"/>
        <v>6</v>
      </c>
      <c r="H265" t="str">
        <f t="shared" si="54"/>
        <v>BTC</v>
      </c>
      <c r="I265" t="str">
        <f t="shared" si="48"/>
        <v>XMS</v>
      </c>
      <c r="J265" t="str">
        <f t="shared" si="49"/>
        <v>BTCXMS</v>
      </c>
      <c r="K265" t="str">
        <f t="shared" si="50"/>
        <v>XMSBTC</v>
      </c>
      <c r="L265">
        <f t="shared" si="51"/>
        <v>0</v>
      </c>
      <c r="M265">
        <f t="shared" si="52"/>
        <v>2</v>
      </c>
      <c r="N265" t="b">
        <f t="shared" si="53"/>
        <v>1</v>
      </c>
    </row>
    <row r="266" spans="1:14" x14ac:dyDescent="0.25">
      <c r="A266" s="4" t="s">
        <v>1239</v>
      </c>
      <c r="B266" s="4" t="s">
        <v>460</v>
      </c>
      <c r="C266" s="3">
        <v>6.6000000000000003E-7</v>
      </c>
      <c r="D266" s="3">
        <v>5.2E-7</v>
      </c>
      <c r="E266" s="3">
        <v>6.6000000000000003E-7</v>
      </c>
      <c r="F266" s="3">
        <v>5.2E-7</v>
      </c>
      <c r="G266">
        <f t="shared" si="47"/>
        <v>6</v>
      </c>
      <c r="H266" t="str">
        <f t="shared" si="54"/>
        <v>BTC</v>
      </c>
      <c r="I266" t="str">
        <f t="shared" si="48"/>
        <v>XMS</v>
      </c>
      <c r="J266" t="str">
        <f t="shared" si="49"/>
        <v>BTCXMS</v>
      </c>
      <c r="K266" t="str">
        <f t="shared" si="50"/>
        <v>XMSBTC</v>
      </c>
      <c r="L266">
        <f t="shared" si="51"/>
        <v>0</v>
      </c>
      <c r="M266">
        <f t="shared" si="52"/>
        <v>2</v>
      </c>
      <c r="N266" t="b">
        <f t="shared" si="53"/>
        <v>1</v>
      </c>
    </row>
    <row r="267" spans="1:14" x14ac:dyDescent="0.25">
      <c r="A267" s="4" t="s">
        <v>27</v>
      </c>
      <c r="B267" s="4" t="s">
        <v>40</v>
      </c>
      <c r="C267" s="3">
        <v>0.23436000000000001</v>
      </c>
      <c r="D267" s="3">
        <v>0.23302999999999999</v>
      </c>
      <c r="E267" s="3">
        <v>0.23436000000000001</v>
      </c>
      <c r="F267" s="3">
        <v>0.23302999999999999</v>
      </c>
      <c r="G267">
        <f t="shared" si="47"/>
        <v>6</v>
      </c>
      <c r="H267" t="str">
        <f t="shared" si="54"/>
        <v>USD</v>
      </c>
      <c r="I267" t="str">
        <f t="shared" si="48"/>
        <v>XRP</v>
      </c>
      <c r="J267" t="str">
        <f t="shared" si="49"/>
        <v>USDXRP</v>
      </c>
      <c r="K267" t="str">
        <f t="shared" si="50"/>
        <v>XRPUSD</v>
      </c>
      <c r="L267">
        <f t="shared" si="51"/>
        <v>0</v>
      </c>
      <c r="M267">
        <f t="shared" si="52"/>
        <v>2</v>
      </c>
      <c r="N267" t="b">
        <f t="shared" si="53"/>
        <v>1</v>
      </c>
    </row>
    <row r="268" spans="1:14" x14ac:dyDescent="0.25">
      <c r="A268" s="4" t="s">
        <v>3</v>
      </c>
      <c r="B268" s="4" t="s">
        <v>40</v>
      </c>
      <c r="C268" s="3">
        <v>0.237291</v>
      </c>
      <c r="D268" s="3">
        <v>0.234157</v>
      </c>
      <c r="E268" s="3">
        <v>0.23778099999999999</v>
      </c>
      <c r="F268" s="3">
        <v>0.23421700000000001</v>
      </c>
      <c r="G268">
        <f t="shared" si="47"/>
        <v>6</v>
      </c>
      <c r="H268" t="str">
        <f t="shared" si="54"/>
        <v>USD</v>
      </c>
      <c r="I268" t="str">
        <f t="shared" si="48"/>
        <v>XRP</v>
      </c>
      <c r="J268" t="str">
        <f t="shared" si="49"/>
        <v>USDXRP</v>
      </c>
      <c r="K268" t="str">
        <f t="shared" si="50"/>
        <v>XRPUSD</v>
      </c>
      <c r="L268">
        <f t="shared" si="51"/>
        <v>0</v>
      </c>
      <c r="M268">
        <f t="shared" si="52"/>
        <v>2</v>
      </c>
      <c r="N268" t="b">
        <f t="shared" si="53"/>
        <v>1</v>
      </c>
    </row>
    <row r="269" spans="1:14" x14ac:dyDescent="0.25">
      <c r="A269" s="4" t="s">
        <v>1239</v>
      </c>
      <c r="B269" s="4" t="s">
        <v>1325</v>
      </c>
      <c r="C269" s="3">
        <v>9.6899999999999997E-5</v>
      </c>
      <c r="D269" s="3">
        <v>7.6080000000000003E-5</v>
      </c>
      <c r="E269" s="3">
        <v>9.6899999999999997E-5</v>
      </c>
      <c r="F269" s="3">
        <v>7.6080000000000003E-5</v>
      </c>
      <c r="G269">
        <f t="shared" si="47"/>
        <v>8</v>
      </c>
      <c r="H269" t="str">
        <f t="shared" si="54"/>
        <v>BTC</v>
      </c>
      <c r="I269" t="str">
        <f>LEFT(B269,5)</f>
        <v>XSPEC</v>
      </c>
      <c r="J269" t="str">
        <f t="shared" si="49"/>
        <v>BTCXSPEC</v>
      </c>
      <c r="K269" t="str">
        <f t="shared" si="50"/>
        <v>XSPECBTC</v>
      </c>
      <c r="L269">
        <f t="shared" si="51"/>
        <v>0</v>
      </c>
      <c r="M269">
        <f t="shared" si="52"/>
        <v>2</v>
      </c>
      <c r="N269" t="b">
        <f t="shared" si="53"/>
        <v>1</v>
      </c>
    </row>
    <row r="270" spans="1:14" x14ac:dyDescent="0.25">
      <c r="A270" s="4" t="s">
        <v>1403</v>
      </c>
      <c r="B270" s="4" t="s">
        <v>1325</v>
      </c>
      <c r="C270" s="3" t="s">
        <v>1013</v>
      </c>
      <c r="D270" s="3">
        <v>8.3209999999999998E-5</v>
      </c>
      <c r="E270" s="3">
        <v>8.3209999999999998E-5</v>
      </c>
      <c r="F270" s="3">
        <v>6.0189999999999998E-5</v>
      </c>
      <c r="G270">
        <f t="shared" si="47"/>
        <v>8</v>
      </c>
      <c r="H270" t="str">
        <f t="shared" si="54"/>
        <v>BTC</v>
      </c>
      <c r="I270" t="str">
        <f>LEFT(B270,5)</f>
        <v>XSPEC</v>
      </c>
      <c r="J270" t="str">
        <f t="shared" si="49"/>
        <v>BTCXSPEC</v>
      </c>
      <c r="K270" t="str">
        <f t="shared" si="50"/>
        <v>XSPECBTC</v>
      </c>
      <c r="L270">
        <f t="shared" si="51"/>
        <v>0</v>
      </c>
      <c r="M270">
        <f t="shared" si="52"/>
        <v>2</v>
      </c>
      <c r="N270" t="b">
        <f t="shared" si="53"/>
        <v>1</v>
      </c>
    </row>
    <row r="271" spans="1:14" x14ac:dyDescent="0.25">
      <c r="A271" s="4" t="s">
        <v>1239</v>
      </c>
      <c r="B271" s="4" t="s">
        <v>1309</v>
      </c>
      <c r="C271" s="3">
        <v>1.13E-5</v>
      </c>
      <c r="D271" s="3">
        <v>1.1250000000000001E-5</v>
      </c>
      <c r="E271" s="3">
        <v>1.13E-5</v>
      </c>
      <c r="F271" s="3">
        <v>1.1250000000000001E-5</v>
      </c>
      <c r="G271">
        <f t="shared" si="47"/>
        <v>6</v>
      </c>
      <c r="H271" t="str">
        <f t="shared" si="54"/>
        <v>BTC</v>
      </c>
      <c r="I271" t="str">
        <f t="shared" ref="I271:I276" si="55">LEFT(B271,3)</f>
        <v>XTO</v>
      </c>
      <c r="J271" t="str">
        <f t="shared" si="49"/>
        <v>BTCXTO</v>
      </c>
      <c r="K271" t="str">
        <f t="shared" si="50"/>
        <v>XTOBTC</v>
      </c>
      <c r="L271">
        <f t="shared" si="51"/>
        <v>0</v>
      </c>
      <c r="M271">
        <f t="shared" si="52"/>
        <v>2</v>
      </c>
      <c r="N271" t="b">
        <f t="shared" si="53"/>
        <v>1</v>
      </c>
    </row>
    <row r="272" spans="1:14" x14ac:dyDescent="0.25">
      <c r="A272" s="4" t="s">
        <v>1403</v>
      </c>
      <c r="B272" s="4" t="s">
        <v>1309</v>
      </c>
      <c r="C272" s="3">
        <v>9.0499999999999997E-6</v>
      </c>
      <c r="D272" s="3">
        <v>1.736E-5</v>
      </c>
      <c r="E272" s="3">
        <v>1.7499999999999998E-5</v>
      </c>
      <c r="F272" s="3">
        <v>1.4059999999999999E-5</v>
      </c>
      <c r="G272">
        <f t="shared" si="47"/>
        <v>6</v>
      </c>
      <c r="H272" t="str">
        <f t="shared" si="54"/>
        <v>BTC</v>
      </c>
      <c r="I272" t="str">
        <f t="shared" si="55"/>
        <v>XTO</v>
      </c>
      <c r="J272" t="str">
        <f t="shared" si="49"/>
        <v>BTCXTO</v>
      </c>
      <c r="K272" t="str">
        <f t="shared" si="50"/>
        <v>XTOBTC</v>
      </c>
      <c r="L272">
        <f t="shared" si="51"/>
        <v>0</v>
      </c>
      <c r="M272">
        <f t="shared" si="52"/>
        <v>2</v>
      </c>
      <c r="N272" t="b">
        <f t="shared" si="53"/>
        <v>1</v>
      </c>
    </row>
    <row r="273" spans="1:14" x14ac:dyDescent="0.25">
      <c r="A273" s="4" t="s">
        <v>1239</v>
      </c>
      <c r="B273" s="4" t="s">
        <v>1259</v>
      </c>
      <c r="C273" s="3">
        <v>3.2200000000000001E-6</v>
      </c>
      <c r="D273" s="3">
        <v>3.1300000000000001E-6</v>
      </c>
      <c r="E273" s="3">
        <v>3.2200000000000001E-6</v>
      </c>
      <c r="F273" s="3">
        <v>3.1300000000000001E-6</v>
      </c>
      <c r="G273">
        <f t="shared" si="47"/>
        <v>6</v>
      </c>
      <c r="H273" t="str">
        <f t="shared" si="54"/>
        <v>BTC</v>
      </c>
      <c r="I273" t="str">
        <f t="shared" si="55"/>
        <v>YOC</v>
      </c>
      <c r="J273" t="str">
        <f t="shared" si="49"/>
        <v>BTCYOC</v>
      </c>
      <c r="K273" t="str">
        <f t="shared" si="50"/>
        <v>YOCBTC</v>
      </c>
      <c r="L273">
        <f t="shared" si="51"/>
        <v>0</v>
      </c>
      <c r="M273">
        <f t="shared" si="52"/>
        <v>2</v>
      </c>
      <c r="N273" t="b">
        <f t="shared" si="53"/>
        <v>1</v>
      </c>
    </row>
    <row r="274" spans="1:14" x14ac:dyDescent="0.25">
      <c r="A274" s="4" t="s">
        <v>1403</v>
      </c>
      <c r="B274" s="4" t="s">
        <v>1259</v>
      </c>
      <c r="C274" s="3">
        <v>2.4499999999999998E-6</v>
      </c>
      <c r="D274" s="3" t="s">
        <v>1003</v>
      </c>
      <c r="E274" s="3">
        <v>3.0699999999999998E-6</v>
      </c>
      <c r="F274" s="3">
        <v>2.6199999999999999E-6</v>
      </c>
      <c r="G274">
        <f t="shared" si="47"/>
        <v>6</v>
      </c>
      <c r="H274" t="str">
        <f t="shared" si="54"/>
        <v>BTC</v>
      </c>
      <c r="I274" t="str">
        <f t="shared" si="55"/>
        <v>YOC</v>
      </c>
      <c r="J274" t="str">
        <f t="shared" si="49"/>
        <v>BTCYOC</v>
      </c>
      <c r="K274" t="str">
        <f t="shared" si="50"/>
        <v>YOCBTC</v>
      </c>
      <c r="L274">
        <f t="shared" si="51"/>
        <v>0</v>
      </c>
      <c r="M274">
        <f t="shared" si="52"/>
        <v>2</v>
      </c>
      <c r="N274" t="b">
        <f t="shared" si="53"/>
        <v>1</v>
      </c>
    </row>
    <row r="275" spans="1:14" x14ac:dyDescent="0.25">
      <c r="A275" s="4" t="s">
        <v>1239</v>
      </c>
      <c r="B275" s="4" t="s">
        <v>1258</v>
      </c>
      <c r="C275" s="3">
        <v>8.3099999999999997E-3</v>
      </c>
      <c r="D275" s="3">
        <v>7.28E-3</v>
      </c>
      <c r="E275" s="3">
        <v>8.3099999999999997E-3</v>
      </c>
      <c r="F275" s="3">
        <v>7.28E-3</v>
      </c>
      <c r="G275">
        <f t="shared" si="47"/>
        <v>6</v>
      </c>
      <c r="H275" t="str">
        <f t="shared" si="54"/>
        <v>USD</v>
      </c>
      <c r="I275" t="str">
        <f t="shared" si="55"/>
        <v>YOC</v>
      </c>
      <c r="J275" t="str">
        <f t="shared" si="49"/>
        <v>USDYOC</v>
      </c>
      <c r="K275" t="str">
        <f t="shared" si="50"/>
        <v>YOCUSD</v>
      </c>
      <c r="L275">
        <f t="shared" si="51"/>
        <v>0</v>
      </c>
      <c r="M275">
        <f t="shared" si="52"/>
        <v>2</v>
      </c>
      <c r="N275" t="b">
        <f t="shared" si="53"/>
        <v>1</v>
      </c>
    </row>
    <row r="276" spans="1:14" x14ac:dyDescent="0.25">
      <c r="A276" s="4" t="s">
        <v>1403</v>
      </c>
      <c r="B276" s="4" t="s">
        <v>1258</v>
      </c>
      <c r="C276" s="3">
        <v>1.2994E-2</v>
      </c>
      <c r="D276" s="3">
        <v>1.2994E-2</v>
      </c>
      <c r="E276" s="3">
        <v>9.9000000000000008E-3</v>
      </c>
      <c r="F276" s="3">
        <v>3.1249099999999998E-3</v>
      </c>
      <c r="G276">
        <f t="shared" si="47"/>
        <v>6</v>
      </c>
      <c r="H276" t="str">
        <f t="shared" si="54"/>
        <v>USD</v>
      </c>
      <c r="I276" t="str">
        <f t="shared" si="55"/>
        <v>YOC</v>
      </c>
      <c r="J276" t="str">
        <f t="shared" si="49"/>
        <v>USDYOC</v>
      </c>
      <c r="K276" t="str">
        <f t="shared" si="50"/>
        <v>YOCUSD</v>
      </c>
      <c r="L276">
        <f t="shared" si="51"/>
        <v>0</v>
      </c>
      <c r="M276">
        <f t="shared" si="52"/>
        <v>2</v>
      </c>
      <c r="N276" t="b">
        <f t="shared" si="53"/>
        <v>1</v>
      </c>
    </row>
    <row r="277" spans="1:14" x14ac:dyDescent="0.25">
      <c r="A277" s="4" t="s">
        <v>5</v>
      </c>
      <c r="B277" s="4" t="s">
        <v>1055</v>
      </c>
      <c r="C277" s="3">
        <v>1.3599999999999999E-6</v>
      </c>
      <c r="D277" s="3">
        <v>1.3200000000000001E-6</v>
      </c>
      <c r="E277" s="3">
        <v>1.3599999999999999E-6</v>
      </c>
      <c r="F277" s="3">
        <v>1.3200000000000001E-6</v>
      </c>
      <c r="G277">
        <f t="shared" si="47"/>
        <v>7</v>
      </c>
      <c r="H277" t="str">
        <f t="shared" si="54"/>
        <v>BTC</v>
      </c>
      <c r="I277" t="str">
        <f>LEFT(B277,4)</f>
        <v>ZENI</v>
      </c>
      <c r="J277" t="str">
        <f t="shared" si="49"/>
        <v>BTCZENI</v>
      </c>
      <c r="K277" t="str">
        <f t="shared" si="50"/>
        <v>ZENIBTC</v>
      </c>
      <c r="L277">
        <f t="shared" si="51"/>
        <v>0</v>
      </c>
      <c r="M277">
        <f t="shared" si="52"/>
        <v>2</v>
      </c>
      <c r="N277" t="b">
        <f t="shared" si="53"/>
        <v>1</v>
      </c>
    </row>
    <row r="278" spans="1:14" x14ac:dyDescent="0.25">
      <c r="A278" s="4" t="s">
        <v>1403</v>
      </c>
      <c r="B278" s="4" t="s">
        <v>1055</v>
      </c>
      <c r="C278" s="3">
        <v>1.35E-6</v>
      </c>
      <c r="D278" s="3">
        <v>1.37E-6</v>
      </c>
      <c r="E278" s="3">
        <v>1.3400000000000001E-6</v>
      </c>
      <c r="F278" s="3">
        <v>1.2899999999999999E-6</v>
      </c>
      <c r="G278">
        <f t="shared" si="47"/>
        <v>7</v>
      </c>
      <c r="H278" t="str">
        <f t="shared" si="54"/>
        <v>BTC</v>
      </c>
      <c r="I278" t="str">
        <f>LEFT(B278,4)</f>
        <v>ZENI</v>
      </c>
      <c r="J278" t="str">
        <f t="shared" si="49"/>
        <v>BTCZENI</v>
      </c>
      <c r="K278" t="str">
        <f t="shared" si="50"/>
        <v>ZENIBTC</v>
      </c>
      <c r="L278">
        <f t="shared" si="51"/>
        <v>0</v>
      </c>
      <c r="M278">
        <f t="shared" si="52"/>
        <v>2</v>
      </c>
      <c r="N278" t="b">
        <f t="shared" si="53"/>
        <v>1</v>
      </c>
    </row>
    <row r="279" spans="1:14" hidden="1" x14ac:dyDescent="0.25">
      <c r="A279" t="s">
        <v>5</v>
      </c>
      <c r="B279" t="s">
        <v>926</v>
      </c>
      <c r="C279" s="1">
        <v>4.8431E-4</v>
      </c>
      <c r="D279" s="1">
        <v>3.6356000000000002E-4</v>
      </c>
      <c r="E279" s="1">
        <v>4.8431E-4</v>
      </c>
      <c r="F279" s="1">
        <v>3.6356000000000002E-4</v>
      </c>
      <c r="G279">
        <f t="shared" si="47"/>
        <v>6</v>
      </c>
      <c r="H279" t="str">
        <f t="shared" si="54"/>
        <v>BTC</v>
      </c>
      <c r="I279" t="str">
        <f>LEFT(B279,3)</f>
        <v>007</v>
      </c>
      <c r="J279" t="str">
        <f t="shared" si="49"/>
        <v>BTC007</v>
      </c>
      <c r="K279" t="str">
        <f t="shared" si="50"/>
        <v>007BTC</v>
      </c>
      <c r="L279">
        <f t="shared" si="51"/>
        <v>0</v>
      </c>
      <c r="M279">
        <f t="shared" si="52"/>
        <v>1</v>
      </c>
      <c r="N279" t="b">
        <f t="shared" si="53"/>
        <v>1</v>
      </c>
    </row>
    <row r="280" spans="1:14" hidden="1" x14ac:dyDescent="0.25">
      <c r="A280" t="s">
        <v>5</v>
      </c>
      <c r="B280" t="s">
        <v>1145</v>
      </c>
      <c r="C280" s="5">
        <v>5.9999999999999995E-8</v>
      </c>
      <c r="D280" s="5">
        <v>4.9999999999999998E-8</v>
      </c>
      <c r="E280" s="5">
        <v>5.9999999999999995E-8</v>
      </c>
      <c r="F280" s="5">
        <v>4.9999999999999998E-8</v>
      </c>
      <c r="G280">
        <f t="shared" si="47"/>
        <v>7</v>
      </c>
      <c r="H280" t="str">
        <f t="shared" si="54"/>
        <v>BTC</v>
      </c>
      <c r="I280" t="str">
        <f>LEFT(B280,4)</f>
        <v>1337</v>
      </c>
      <c r="J280" t="str">
        <f t="shared" si="49"/>
        <v>BTC1337</v>
      </c>
      <c r="K280" t="str">
        <f t="shared" si="50"/>
        <v>1337BTC</v>
      </c>
      <c r="L280">
        <f t="shared" si="51"/>
        <v>0</v>
      </c>
      <c r="M280">
        <f t="shared" si="52"/>
        <v>1</v>
      </c>
      <c r="N280" t="b">
        <f t="shared" si="53"/>
        <v>1</v>
      </c>
    </row>
    <row r="281" spans="1:14" hidden="1" x14ac:dyDescent="0.25">
      <c r="A281" t="s">
        <v>5</v>
      </c>
      <c r="B281" t="s">
        <v>1128</v>
      </c>
      <c r="C281" s="1">
        <v>2.52E-6</v>
      </c>
      <c r="D281" s="1">
        <v>1.5E-6</v>
      </c>
      <c r="E281" s="1">
        <v>2.52E-6</v>
      </c>
      <c r="F281" s="1">
        <v>1.5E-6</v>
      </c>
      <c r="G281">
        <f t="shared" si="47"/>
        <v>7</v>
      </c>
      <c r="H281" t="str">
        <f t="shared" si="54"/>
        <v>BTC</v>
      </c>
      <c r="I281" t="str">
        <f>LEFT(B281,4)</f>
        <v>2015</v>
      </c>
      <c r="J281" t="str">
        <f t="shared" si="49"/>
        <v>BTC2015</v>
      </c>
      <c r="K281" t="str">
        <f t="shared" si="50"/>
        <v>2015BTC</v>
      </c>
      <c r="L281">
        <f t="shared" si="51"/>
        <v>0</v>
      </c>
      <c r="M281">
        <f t="shared" si="52"/>
        <v>1</v>
      </c>
      <c r="N281" t="b">
        <f t="shared" si="53"/>
        <v>1</v>
      </c>
    </row>
    <row r="282" spans="1:14" hidden="1" x14ac:dyDescent="0.25">
      <c r="A282" t="s">
        <v>5</v>
      </c>
      <c r="B282" t="s">
        <v>920</v>
      </c>
      <c r="C282" s="1">
        <v>6.8990540000000003E-2</v>
      </c>
      <c r="D282" s="1">
        <v>3.9998970000000002E-2</v>
      </c>
      <c r="E282" s="1" t="s">
        <v>719</v>
      </c>
      <c r="F282" s="1">
        <v>3.9998970000000002E-2</v>
      </c>
      <c r="G282">
        <f t="shared" si="47"/>
        <v>6</v>
      </c>
      <c r="H282" t="str">
        <f t="shared" si="54"/>
        <v>BTC</v>
      </c>
      <c r="I282" t="str">
        <f>LEFT(B282,3)</f>
        <v>256</v>
      </c>
      <c r="J282" t="str">
        <f t="shared" si="49"/>
        <v>BTC256</v>
      </c>
      <c r="K282" t="str">
        <f t="shared" si="50"/>
        <v>256BTC</v>
      </c>
      <c r="L282">
        <f t="shared" si="51"/>
        <v>0</v>
      </c>
      <c r="M282">
        <f t="shared" si="52"/>
        <v>1</v>
      </c>
      <c r="N282" t="b">
        <f t="shared" si="53"/>
        <v>1</v>
      </c>
    </row>
    <row r="283" spans="1:14" hidden="1" x14ac:dyDescent="0.25">
      <c r="A283" t="s">
        <v>5</v>
      </c>
      <c r="B283" t="s">
        <v>599</v>
      </c>
      <c r="C283" s="1" t="s">
        <v>381</v>
      </c>
      <c r="D283" s="1" t="s">
        <v>384</v>
      </c>
      <c r="E283" s="1" t="s">
        <v>381</v>
      </c>
      <c r="F283" s="1" t="s">
        <v>384</v>
      </c>
      <c r="G283">
        <f t="shared" si="47"/>
        <v>9</v>
      </c>
      <c r="H283" t="str">
        <f t="shared" si="54"/>
        <v>BTC</v>
      </c>
      <c r="I283" t="str">
        <f>LEFT(B283,6)</f>
        <v>2BACCO</v>
      </c>
      <c r="J283" t="str">
        <f t="shared" si="49"/>
        <v>BTC2BACCO</v>
      </c>
      <c r="K283" t="str">
        <f t="shared" si="50"/>
        <v>2BACCOBTC</v>
      </c>
      <c r="L283">
        <f t="shared" si="51"/>
        <v>0</v>
      </c>
      <c r="M283">
        <f t="shared" si="52"/>
        <v>1</v>
      </c>
      <c r="N283" t="b">
        <f t="shared" si="53"/>
        <v>1</v>
      </c>
    </row>
    <row r="284" spans="1:14" hidden="1" x14ac:dyDescent="0.25">
      <c r="A284" t="s">
        <v>5</v>
      </c>
      <c r="B284" t="s">
        <v>927</v>
      </c>
      <c r="C284" s="1">
        <v>6.19E-6</v>
      </c>
      <c r="D284" s="1">
        <v>5.2499999999999997E-6</v>
      </c>
      <c r="E284" s="1">
        <v>6.19E-6</v>
      </c>
      <c r="F284" s="1">
        <v>5.2499999999999997E-6</v>
      </c>
      <c r="G284">
        <f t="shared" si="47"/>
        <v>8</v>
      </c>
      <c r="H284" t="str">
        <f t="shared" si="54"/>
        <v>BTC</v>
      </c>
      <c r="I284" t="str">
        <f>LEFT(B284,5)</f>
        <v>32BIT</v>
      </c>
      <c r="J284" t="str">
        <f t="shared" si="49"/>
        <v>BTC32BIT</v>
      </c>
      <c r="K284" t="str">
        <f t="shared" si="50"/>
        <v>32BITBTC</v>
      </c>
      <c r="L284">
        <f t="shared" si="51"/>
        <v>0</v>
      </c>
      <c r="M284">
        <f t="shared" si="52"/>
        <v>1</v>
      </c>
      <c r="N284" t="b">
        <f t="shared" si="53"/>
        <v>1</v>
      </c>
    </row>
    <row r="285" spans="1:14" hidden="1" x14ac:dyDescent="0.25">
      <c r="A285" t="s">
        <v>5</v>
      </c>
      <c r="B285" t="s">
        <v>968</v>
      </c>
      <c r="C285" s="1" t="s">
        <v>362</v>
      </c>
      <c r="D285" s="1" t="s">
        <v>364</v>
      </c>
      <c r="E285" s="1" t="s">
        <v>362</v>
      </c>
      <c r="F285" s="1">
        <v>2.00001E-3</v>
      </c>
      <c r="G285">
        <f t="shared" si="47"/>
        <v>6</v>
      </c>
      <c r="H285" t="str">
        <f t="shared" si="54"/>
        <v>BTC</v>
      </c>
      <c r="I285" t="str">
        <f t="shared" ref="I285:I291" si="56">LEFT(B285,3)</f>
        <v>365</v>
      </c>
      <c r="J285" t="str">
        <f t="shared" si="49"/>
        <v>BTC365</v>
      </c>
      <c r="K285" t="str">
        <f t="shared" si="50"/>
        <v>365BTC</v>
      </c>
      <c r="L285">
        <f t="shared" si="51"/>
        <v>0</v>
      </c>
      <c r="M285">
        <f t="shared" si="52"/>
        <v>1</v>
      </c>
      <c r="N285" t="b">
        <f t="shared" si="53"/>
        <v>1</v>
      </c>
    </row>
    <row r="286" spans="1:14" hidden="1" x14ac:dyDescent="0.25">
      <c r="A286" t="s">
        <v>5</v>
      </c>
      <c r="B286" t="s">
        <v>645</v>
      </c>
      <c r="C286" s="1" t="s">
        <v>362</v>
      </c>
      <c r="D286" s="1" t="s">
        <v>364</v>
      </c>
      <c r="E286" s="1" t="s">
        <v>362</v>
      </c>
      <c r="F286" s="1">
        <v>1.863E-5</v>
      </c>
      <c r="G286">
        <f t="shared" si="47"/>
        <v>6</v>
      </c>
      <c r="H286" t="str">
        <f t="shared" si="54"/>
        <v>BTC</v>
      </c>
      <c r="I286" t="str">
        <f t="shared" si="56"/>
        <v>404</v>
      </c>
      <c r="J286" t="str">
        <f t="shared" si="49"/>
        <v>BTC404</v>
      </c>
      <c r="K286" t="str">
        <f t="shared" si="50"/>
        <v>404BTC</v>
      </c>
      <c r="L286">
        <f t="shared" si="51"/>
        <v>0</v>
      </c>
      <c r="M286">
        <f t="shared" si="52"/>
        <v>1</v>
      </c>
      <c r="N286" t="b">
        <f t="shared" si="53"/>
        <v>1</v>
      </c>
    </row>
    <row r="287" spans="1:14" hidden="1" x14ac:dyDescent="0.25">
      <c r="A287" t="s">
        <v>1403</v>
      </c>
      <c r="B287" t="s">
        <v>1405</v>
      </c>
      <c r="C287" s="1">
        <v>3.8999999999999999E-5</v>
      </c>
      <c r="D287" s="1">
        <v>5.1490000000000003E-5</v>
      </c>
      <c r="E287" s="1">
        <v>4.5500000000000001E-5</v>
      </c>
      <c r="F287" s="1">
        <v>3.6050000000000002E-5</v>
      </c>
      <c r="G287">
        <f t="shared" si="47"/>
        <v>6</v>
      </c>
      <c r="H287" t="str">
        <f t="shared" si="54"/>
        <v>BTC</v>
      </c>
      <c r="I287" t="str">
        <f t="shared" si="56"/>
        <v>611</v>
      </c>
      <c r="J287" t="str">
        <f t="shared" si="49"/>
        <v>BTC611</v>
      </c>
      <c r="K287" t="str">
        <f t="shared" si="50"/>
        <v>611BTC</v>
      </c>
      <c r="L287">
        <f t="shared" si="51"/>
        <v>0</v>
      </c>
      <c r="M287">
        <f t="shared" si="52"/>
        <v>1</v>
      </c>
      <c r="N287" t="b">
        <f t="shared" si="53"/>
        <v>1</v>
      </c>
    </row>
    <row r="288" spans="1:14" hidden="1" x14ac:dyDescent="0.25">
      <c r="A288" t="s">
        <v>1403</v>
      </c>
      <c r="B288" t="s">
        <v>1904</v>
      </c>
      <c r="C288" s="1">
        <v>934.99999887000001</v>
      </c>
      <c r="D288" s="1">
        <v>934.99999887000001</v>
      </c>
      <c r="E288" s="1">
        <v>934.99999885</v>
      </c>
      <c r="F288" s="1">
        <v>20.000000010000001</v>
      </c>
      <c r="G288">
        <f t="shared" si="47"/>
        <v>7</v>
      </c>
      <c r="H288" t="str">
        <f>RIGHT(B288,4)</f>
        <v>DOGE</v>
      </c>
      <c r="I288" t="str">
        <f t="shared" si="56"/>
        <v>611</v>
      </c>
      <c r="J288" t="str">
        <f t="shared" si="49"/>
        <v>DOGE611</v>
      </c>
      <c r="K288" t="str">
        <f t="shared" si="50"/>
        <v>611DOGE</v>
      </c>
      <c r="L288">
        <f t="shared" si="51"/>
        <v>0</v>
      </c>
      <c r="M288">
        <f t="shared" si="52"/>
        <v>1</v>
      </c>
      <c r="N288" t="b">
        <f t="shared" si="53"/>
        <v>1</v>
      </c>
    </row>
    <row r="289" spans="1:14" hidden="1" x14ac:dyDescent="0.25">
      <c r="A289" t="s">
        <v>1403</v>
      </c>
      <c r="B289" t="s">
        <v>1712</v>
      </c>
      <c r="C289" s="1">
        <v>4.3999000000000003E-2</v>
      </c>
      <c r="D289" s="1">
        <v>4.3999000000000003E-2</v>
      </c>
      <c r="E289" s="1">
        <v>0.199119976</v>
      </c>
      <c r="F289" s="1">
        <v>1.0090999999999999E-4</v>
      </c>
      <c r="G289">
        <f t="shared" si="47"/>
        <v>6</v>
      </c>
      <c r="H289" t="str">
        <f>RIGHT(B289,3)</f>
        <v>LTC</v>
      </c>
      <c r="I289" t="str">
        <f t="shared" si="56"/>
        <v>611</v>
      </c>
      <c r="J289" t="str">
        <f t="shared" si="49"/>
        <v>LTC611</v>
      </c>
      <c r="K289" t="str">
        <f t="shared" si="50"/>
        <v>611LTC</v>
      </c>
      <c r="L289">
        <f t="shared" si="51"/>
        <v>0</v>
      </c>
      <c r="M289">
        <f t="shared" si="52"/>
        <v>1</v>
      </c>
      <c r="N289" t="b">
        <f t="shared" si="53"/>
        <v>1</v>
      </c>
    </row>
    <row r="290" spans="1:14" hidden="1" x14ac:dyDescent="0.25">
      <c r="A290" t="s">
        <v>1403</v>
      </c>
      <c r="B290" t="s">
        <v>1533</v>
      </c>
      <c r="C290" s="1">
        <v>0.4</v>
      </c>
      <c r="D290" s="1">
        <v>0.4</v>
      </c>
      <c r="E290" s="1">
        <v>0.44901391997863899</v>
      </c>
      <c r="F290" s="1">
        <v>2.7E-2</v>
      </c>
      <c r="G290">
        <f t="shared" si="47"/>
        <v>6</v>
      </c>
      <c r="H290" t="str">
        <f>RIGHT(B290,3)</f>
        <v>USD</v>
      </c>
      <c r="I290" t="str">
        <f t="shared" si="56"/>
        <v>611</v>
      </c>
      <c r="J290" t="str">
        <f t="shared" si="49"/>
        <v>USD611</v>
      </c>
      <c r="K290" t="str">
        <f t="shared" si="50"/>
        <v>611USD</v>
      </c>
      <c r="L290">
        <f t="shared" si="51"/>
        <v>0</v>
      </c>
      <c r="M290">
        <f t="shared" si="52"/>
        <v>1</v>
      </c>
      <c r="N290" t="b">
        <f t="shared" si="53"/>
        <v>1</v>
      </c>
    </row>
    <row r="291" spans="1:14" hidden="1" x14ac:dyDescent="0.25">
      <c r="A291" t="s">
        <v>5</v>
      </c>
      <c r="B291" t="s">
        <v>817</v>
      </c>
      <c r="C291" s="1">
        <v>5.5000000000000003E-7</v>
      </c>
      <c r="D291" s="1">
        <v>4.7E-7</v>
      </c>
      <c r="E291" s="1">
        <v>5.5000000000000003E-7</v>
      </c>
      <c r="F291" s="1">
        <v>4.7E-7</v>
      </c>
      <c r="G291">
        <f t="shared" si="47"/>
        <v>6</v>
      </c>
      <c r="H291" t="str">
        <f>RIGHT(B291,3)</f>
        <v>BTC</v>
      </c>
      <c r="I291" t="str">
        <f t="shared" si="56"/>
        <v>888</v>
      </c>
      <c r="J291" t="str">
        <f t="shared" si="49"/>
        <v>BTC888</v>
      </c>
      <c r="K291" t="str">
        <f t="shared" si="50"/>
        <v>888BTC</v>
      </c>
      <c r="L291">
        <f t="shared" si="51"/>
        <v>0</v>
      </c>
      <c r="M291">
        <f t="shared" si="52"/>
        <v>1</v>
      </c>
      <c r="N291" t="b">
        <f t="shared" si="53"/>
        <v>1</v>
      </c>
    </row>
    <row r="292" spans="1:14" hidden="1" x14ac:dyDescent="0.25">
      <c r="A292" t="s">
        <v>1403</v>
      </c>
      <c r="B292" t="s">
        <v>1406</v>
      </c>
      <c r="C292" s="1">
        <v>2.79E-6</v>
      </c>
      <c r="D292" s="1">
        <v>2.79E-6</v>
      </c>
      <c r="E292" s="1">
        <v>2.8200000000000001E-6</v>
      </c>
      <c r="F292" s="1">
        <v>2.1500000000000002E-6</v>
      </c>
      <c r="G292">
        <f t="shared" si="47"/>
        <v>8</v>
      </c>
      <c r="H292" t="str">
        <f>RIGHT(B292,3)</f>
        <v>BTC</v>
      </c>
      <c r="I292" t="str">
        <f>LEFT(B292,5)</f>
        <v>9COIN</v>
      </c>
      <c r="J292" t="str">
        <f t="shared" si="49"/>
        <v>BTC9COIN</v>
      </c>
      <c r="K292" t="str">
        <f t="shared" si="50"/>
        <v>9COINBTC</v>
      </c>
      <c r="L292">
        <f t="shared" si="51"/>
        <v>0</v>
      </c>
      <c r="M292">
        <f t="shared" si="52"/>
        <v>1</v>
      </c>
      <c r="N292" t="b">
        <f t="shared" si="53"/>
        <v>1</v>
      </c>
    </row>
    <row r="293" spans="1:14" hidden="1" x14ac:dyDescent="0.25">
      <c r="A293" t="s">
        <v>1403</v>
      </c>
      <c r="B293" t="s">
        <v>1905</v>
      </c>
      <c r="C293" s="1">
        <v>24.99999</v>
      </c>
      <c r="D293" s="1">
        <v>24.99999</v>
      </c>
      <c r="E293" s="1">
        <v>21.999998999999999</v>
      </c>
      <c r="F293" s="1">
        <v>1.1934004300000001</v>
      </c>
      <c r="G293">
        <f t="shared" si="47"/>
        <v>9</v>
      </c>
      <c r="H293" t="str">
        <f>RIGHT(B293,4)</f>
        <v>DOGE</v>
      </c>
      <c r="I293" t="str">
        <f>LEFT(B293,5)</f>
        <v>9COIN</v>
      </c>
      <c r="J293" t="str">
        <f t="shared" si="49"/>
        <v>DOGE9COIN</v>
      </c>
      <c r="K293" t="str">
        <f t="shared" si="50"/>
        <v>9COINDOGE</v>
      </c>
      <c r="L293">
        <f t="shared" si="51"/>
        <v>0</v>
      </c>
      <c r="M293">
        <f t="shared" si="52"/>
        <v>1</v>
      </c>
      <c r="N293" t="b">
        <f t="shared" si="53"/>
        <v>1</v>
      </c>
    </row>
    <row r="294" spans="1:14" hidden="1" x14ac:dyDescent="0.25">
      <c r="A294" t="s">
        <v>1403</v>
      </c>
      <c r="B294" t="s">
        <v>1713</v>
      </c>
      <c r="C294" s="1">
        <v>3.0999000000000001E-3</v>
      </c>
      <c r="D294" s="1">
        <v>3.0999000000000001E-3</v>
      </c>
      <c r="E294" s="1">
        <v>3.0999000000000001E-3</v>
      </c>
      <c r="F294" s="1">
        <v>1.39E-6</v>
      </c>
      <c r="G294">
        <f t="shared" si="47"/>
        <v>8</v>
      </c>
      <c r="H294" t="str">
        <f>RIGHT(B294,3)</f>
        <v>LTC</v>
      </c>
      <c r="I294" t="str">
        <f>LEFT(B294,5)</f>
        <v>9COIN</v>
      </c>
      <c r="J294" t="str">
        <f t="shared" si="49"/>
        <v>LTC9COIN</v>
      </c>
      <c r="K294" t="str">
        <f t="shared" si="50"/>
        <v>9COINLTC</v>
      </c>
      <c r="L294">
        <f t="shared" si="51"/>
        <v>0</v>
      </c>
      <c r="M294">
        <f t="shared" si="52"/>
        <v>1</v>
      </c>
      <c r="N294" t="b">
        <f t="shared" si="53"/>
        <v>1</v>
      </c>
    </row>
    <row r="295" spans="1:14" hidden="1" x14ac:dyDescent="0.25">
      <c r="A295" t="s">
        <v>1403</v>
      </c>
      <c r="B295" t="s">
        <v>1534</v>
      </c>
      <c r="C295" s="1">
        <v>2.1369889999999999E-2</v>
      </c>
      <c r="D295" s="1">
        <v>2.1369889999999999E-2</v>
      </c>
      <c r="E295" s="1">
        <v>8.0003000000000001E-3</v>
      </c>
      <c r="F295" s="1">
        <v>4.0004E-4</v>
      </c>
      <c r="G295">
        <f t="shared" si="47"/>
        <v>8</v>
      </c>
      <c r="H295" t="str">
        <f>RIGHT(B295,3)</f>
        <v>USD</v>
      </c>
      <c r="I295" t="str">
        <f>LEFT(B295,5)</f>
        <v>9COIN</v>
      </c>
      <c r="J295" t="str">
        <f t="shared" si="49"/>
        <v>USD9COIN</v>
      </c>
      <c r="K295" t="str">
        <f t="shared" si="50"/>
        <v>9COINUSD</v>
      </c>
      <c r="L295">
        <f t="shared" si="51"/>
        <v>0</v>
      </c>
      <c r="M295">
        <f t="shared" si="52"/>
        <v>1</v>
      </c>
      <c r="N295" t="b">
        <f t="shared" si="53"/>
        <v>1</v>
      </c>
    </row>
    <row r="296" spans="1:14" hidden="1" x14ac:dyDescent="0.25">
      <c r="A296" t="s">
        <v>1403</v>
      </c>
      <c r="B296" t="s">
        <v>1407</v>
      </c>
      <c r="C296" s="1">
        <v>1.8E-3</v>
      </c>
      <c r="D296" s="1">
        <v>2.9699000000000001E-3</v>
      </c>
      <c r="E296" s="1">
        <v>2.9699800000000001E-3</v>
      </c>
      <c r="F296" s="1">
        <v>1.9001000000000001E-3</v>
      </c>
      <c r="G296">
        <f t="shared" si="47"/>
        <v>6</v>
      </c>
      <c r="H296" t="str">
        <f>RIGHT(B296,3)</f>
        <v>BTC</v>
      </c>
      <c r="I296" t="str">
        <f>LEFT(B296,3)</f>
        <v>ABC</v>
      </c>
      <c r="J296" t="str">
        <f t="shared" si="49"/>
        <v>BTCABC</v>
      </c>
      <c r="K296" t="str">
        <f t="shared" si="50"/>
        <v>ABCBTC</v>
      </c>
      <c r="L296">
        <f t="shared" si="51"/>
        <v>0</v>
      </c>
      <c r="M296">
        <f t="shared" si="52"/>
        <v>1</v>
      </c>
      <c r="N296" t="b">
        <f t="shared" si="53"/>
        <v>1</v>
      </c>
    </row>
    <row r="297" spans="1:14" hidden="1" x14ac:dyDescent="0.25">
      <c r="A297" t="s">
        <v>1403</v>
      </c>
      <c r="B297" t="s">
        <v>1906</v>
      </c>
      <c r="C297" s="1">
        <v>15000</v>
      </c>
      <c r="D297" s="1">
        <v>15000</v>
      </c>
      <c r="E297" s="1">
        <v>863663.11110503995</v>
      </c>
      <c r="F297" s="1">
        <v>0.9</v>
      </c>
      <c r="G297">
        <f t="shared" si="47"/>
        <v>7</v>
      </c>
      <c r="H297" t="str">
        <f>RIGHT(B297,4)</f>
        <v>DOGE</v>
      </c>
      <c r="I297" t="str">
        <f>LEFT(B297,3)</f>
        <v>ABC</v>
      </c>
      <c r="J297" t="str">
        <f t="shared" si="49"/>
        <v>DOGEABC</v>
      </c>
      <c r="K297" t="str">
        <f t="shared" si="50"/>
        <v>ABCDOGE</v>
      </c>
      <c r="L297">
        <f t="shared" si="51"/>
        <v>0</v>
      </c>
      <c r="M297">
        <f t="shared" si="52"/>
        <v>1</v>
      </c>
      <c r="N297" t="b">
        <f t="shared" si="53"/>
        <v>1</v>
      </c>
    </row>
    <row r="298" spans="1:14" hidden="1" x14ac:dyDescent="0.25">
      <c r="A298" t="s">
        <v>1403</v>
      </c>
      <c r="B298" t="s">
        <v>1714</v>
      </c>
      <c r="C298" s="1">
        <v>0</v>
      </c>
      <c r="D298" s="1">
        <v>0</v>
      </c>
      <c r="E298" s="1">
        <v>3.1271900000000001</v>
      </c>
      <c r="F298" s="1" t="s">
        <v>361</v>
      </c>
      <c r="G298">
        <f t="shared" si="47"/>
        <v>6</v>
      </c>
      <c r="H298" t="str">
        <f t="shared" ref="H298:H305" si="57">RIGHT(B298,3)</f>
        <v>LTC</v>
      </c>
      <c r="I298" t="str">
        <f>LEFT(B298,3)</f>
        <v>ABC</v>
      </c>
      <c r="J298" t="str">
        <f t="shared" si="49"/>
        <v>LTCABC</v>
      </c>
      <c r="K298" t="str">
        <f t="shared" si="50"/>
        <v>ABCLTC</v>
      </c>
      <c r="L298">
        <f t="shared" si="51"/>
        <v>0</v>
      </c>
      <c r="M298">
        <f t="shared" si="52"/>
        <v>1</v>
      </c>
      <c r="N298" t="b">
        <f t="shared" si="53"/>
        <v>1</v>
      </c>
    </row>
    <row r="299" spans="1:14" hidden="1" x14ac:dyDescent="0.25">
      <c r="A299" t="s">
        <v>1403</v>
      </c>
      <c r="B299" t="s">
        <v>1535</v>
      </c>
      <c r="C299" s="1">
        <v>400</v>
      </c>
      <c r="D299" s="1">
        <v>400</v>
      </c>
      <c r="E299" s="1">
        <v>98</v>
      </c>
      <c r="F299" s="1">
        <v>4</v>
      </c>
      <c r="G299">
        <f t="shared" si="47"/>
        <v>6</v>
      </c>
      <c r="H299" t="str">
        <f t="shared" si="57"/>
        <v>USD</v>
      </c>
      <c r="I299" t="str">
        <f>LEFT(B299,3)</f>
        <v>ABC</v>
      </c>
      <c r="J299" t="str">
        <f t="shared" si="49"/>
        <v>USDABC</v>
      </c>
      <c r="K299" t="str">
        <f t="shared" si="50"/>
        <v>ABCUSD</v>
      </c>
      <c r="L299">
        <f t="shared" si="51"/>
        <v>0</v>
      </c>
      <c r="M299">
        <f t="shared" si="52"/>
        <v>1</v>
      </c>
      <c r="N299" t="b">
        <f t="shared" si="53"/>
        <v>1</v>
      </c>
    </row>
    <row r="300" spans="1:14" hidden="1" x14ac:dyDescent="0.25">
      <c r="A300" t="s">
        <v>1239</v>
      </c>
      <c r="B300" t="s">
        <v>1324</v>
      </c>
      <c r="C300" s="1">
        <v>1.2297E-4</v>
      </c>
      <c r="D300" s="1">
        <v>9.1500000000000001E-5</v>
      </c>
      <c r="E300" s="1">
        <v>1.2297E-4</v>
      </c>
      <c r="F300" s="1">
        <v>9.1500000000000001E-5</v>
      </c>
      <c r="G300">
        <f t="shared" si="47"/>
        <v>6</v>
      </c>
      <c r="H300" t="str">
        <f t="shared" si="57"/>
        <v>BTC</v>
      </c>
      <c r="I300" t="str">
        <f>LEFT(B300,3)</f>
        <v>ABN</v>
      </c>
      <c r="J300" t="str">
        <f t="shared" si="49"/>
        <v>BTCABN</v>
      </c>
      <c r="K300" t="str">
        <f t="shared" si="50"/>
        <v>ABNBTC</v>
      </c>
      <c r="L300">
        <f t="shared" si="51"/>
        <v>0</v>
      </c>
      <c r="M300">
        <f t="shared" si="52"/>
        <v>1</v>
      </c>
      <c r="N300" t="b">
        <f t="shared" si="53"/>
        <v>1</v>
      </c>
    </row>
    <row r="301" spans="1:14" hidden="1" x14ac:dyDescent="0.25">
      <c r="A301" t="s">
        <v>5</v>
      </c>
      <c r="B301" t="s">
        <v>1037</v>
      </c>
      <c r="C301" s="1" t="s">
        <v>361</v>
      </c>
      <c r="D301" s="1" t="s">
        <v>362</v>
      </c>
      <c r="E301" s="1" t="s">
        <v>361</v>
      </c>
      <c r="F301" s="1" t="s">
        <v>362</v>
      </c>
      <c r="G301">
        <f t="shared" si="47"/>
        <v>7</v>
      </c>
      <c r="H301" t="str">
        <f t="shared" si="57"/>
        <v>BTC</v>
      </c>
      <c r="I301" t="str">
        <f>LEFT(B301,4)</f>
        <v>ACES</v>
      </c>
      <c r="J301" t="str">
        <f t="shared" si="49"/>
        <v>BTCACES</v>
      </c>
      <c r="K301" t="str">
        <f t="shared" si="50"/>
        <v>ACESBTC</v>
      </c>
      <c r="L301">
        <f t="shared" si="51"/>
        <v>0</v>
      </c>
      <c r="M301">
        <f t="shared" si="52"/>
        <v>1</v>
      </c>
      <c r="N301" t="b">
        <f t="shared" si="53"/>
        <v>1</v>
      </c>
    </row>
    <row r="302" spans="1:14" hidden="1" x14ac:dyDescent="0.25">
      <c r="A302" t="s">
        <v>5</v>
      </c>
      <c r="B302" t="s">
        <v>429</v>
      </c>
      <c r="C302" s="1" t="s">
        <v>361</v>
      </c>
      <c r="D302" s="1" t="s">
        <v>362</v>
      </c>
      <c r="E302" s="1" t="s">
        <v>361</v>
      </c>
      <c r="F302" s="1" t="s">
        <v>362</v>
      </c>
      <c r="G302">
        <f t="shared" si="47"/>
        <v>7</v>
      </c>
      <c r="H302" t="str">
        <f t="shared" si="57"/>
        <v>BTC</v>
      </c>
      <c r="I302" t="str">
        <f>LEFT(B302,4)</f>
        <v>ACID</v>
      </c>
      <c r="J302" t="str">
        <f t="shared" si="49"/>
        <v>BTCACID</v>
      </c>
      <c r="K302" t="str">
        <f t="shared" si="50"/>
        <v>ACIDBTC</v>
      </c>
      <c r="L302">
        <f t="shared" si="51"/>
        <v>0</v>
      </c>
      <c r="M302">
        <f t="shared" si="52"/>
        <v>1</v>
      </c>
      <c r="N302" t="b">
        <f t="shared" si="53"/>
        <v>1</v>
      </c>
    </row>
    <row r="303" spans="1:14" hidden="1" x14ac:dyDescent="0.25">
      <c r="A303" t="s">
        <v>5</v>
      </c>
      <c r="B303" t="s">
        <v>997</v>
      </c>
      <c r="C303" s="1">
        <v>1.6999999999999999E-7</v>
      </c>
      <c r="D303" s="1">
        <v>1.4999999999999999E-7</v>
      </c>
      <c r="E303" s="1">
        <v>1.6999999999999999E-7</v>
      </c>
      <c r="F303" s="1">
        <v>1.4999999999999999E-7</v>
      </c>
      <c r="G303">
        <f t="shared" si="47"/>
        <v>7</v>
      </c>
      <c r="H303" t="str">
        <f t="shared" si="57"/>
        <v>BTC</v>
      </c>
      <c r="I303" t="str">
        <f>LEFT(B303,4)</f>
        <v>ACLR</v>
      </c>
      <c r="J303" t="str">
        <f t="shared" si="49"/>
        <v>BTCACLR</v>
      </c>
      <c r="K303" t="str">
        <f t="shared" si="50"/>
        <v>ACLRBTC</v>
      </c>
      <c r="L303">
        <f t="shared" si="51"/>
        <v>0</v>
      </c>
      <c r="M303">
        <f t="shared" si="52"/>
        <v>1</v>
      </c>
      <c r="N303" t="b">
        <f t="shared" si="53"/>
        <v>1</v>
      </c>
    </row>
    <row r="304" spans="1:14" hidden="1" x14ac:dyDescent="0.25">
      <c r="A304" t="s">
        <v>1239</v>
      </c>
      <c r="B304" t="s">
        <v>1326</v>
      </c>
      <c r="C304" s="1">
        <v>2.7E-6</v>
      </c>
      <c r="D304" s="1">
        <v>1.7E-6</v>
      </c>
      <c r="E304" s="1">
        <v>2.7E-6</v>
      </c>
      <c r="F304" s="1">
        <v>1.7E-6</v>
      </c>
      <c r="G304">
        <f t="shared" si="47"/>
        <v>6</v>
      </c>
      <c r="H304" t="str">
        <f t="shared" si="57"/>
        <v>BTC</v>
      </c>
      <c r="I304" t="str">
        <f>LEFT(B304,3)</f>
        <v>ACN</v>
      </c>
      <c r="J304" t="str">
        <f t="shared" si="49"/>
        <v>BTCACN</v>
      </c>
      <c r="K304" t="str">
        <f t="shared" si="50"/>
        <v>ACNBTC</v>
      </c>
      <c r="L304">
        <f t="shared" si="51"/>
        <v>0</v>
      </c>
      <c r="M304">
        <f t="shared" si="52"/>
        <v>1</v>
      </c>
      <c r="N304" t="b">
        <f t="shared" si="53"/>
        <v>1</v>
      </c>
    </row>
    <row r="305" spans="1:14" hidden="1" x14ac:dyDescent="0.25">
      <c r="A305" t="s">
        <v>5</v>
      </c>
      <c r="B305" t="s">
        <v>525</v>
      </c>
      <c r="C305" s="1">
        <v>2.474E-5</v>
      </c>
      <c r="D305" s="1">
        <v>1.502E-5</v>
      </c>
      <c r="E305" s="1">
        <v>2.474E-5</v>
      </c>
      <c r="F305" s="1">
        <v>1.502E-5</v>
      </c>
      <c r="G305">
        <f t="shared" si="47"/>
        <v>8</v>
      </c>
      <c r="H305" t="str">
        <f t="shared" si="57"/>
        <v>BTC</v>
      </c>
      <c r="I305" t="str">
        <f>LEFT(B305,5)</f>
        <v>ACOIN</v>
      </c>
      <c r="J305" t="str">
        <f t="shared" si="49"/>
        <v>BTCACOIN</v>
      </c>
      <c r="K305" t="str">
        <f t="shared" si="50"/>
        <v>ACOINBTC</v>
      </c>
      <c r="L305">
        <f t="shared" si="51"/>
        <v>0</v>
      </c>
      <c r="M305">
        <f t="shared" si="52"/>
        <v>1</v>
      </c>
      <c r="N305" t="b">
        <f t="shared" si="53"/>
        <v>1</v>
      </c>
    </row>
    <row r="306" spans="1:14" hidden="1" x14ac:dyDescent="0.25">
      <c r="A306" t="s">
        <v>1403</v>
      </c>
      <c r="B306" t="s">
        <v>1907</v>
      </c>
      <c r="C306" s="1">
        <v>4.0000000099999999</v>
      </c>
      <c r="D306" s="1">
        <v>1.1000000000000001</v>
      </c>
      <c r="E306" s="1">
        <v>4.9999999800000001</v>
      </c>
      <c r="F306" s="1">
        <v>9.5000329999999994E-2</v>
      </c>
      <c r="G306">
        <f t="shared" si="47"/>
        <v>7</v>
      </c>
      <c r="H306" t="str">
        <f>RIGHT(B306,4)</f>
        <v>DOGE</v>
      </c>
      <c r="I306" t="str">
        <f>LEFT(B306,3)</f>
        <v>ACP</v>
      </c>
      <c r="J306" t="str">
        <f t="shared" si="49"/>
        <v>DOGEACP</v>
      </c>
      <c r="K306" t="str">
        <f t="shared" si="50"/>
        <v>ACPDOGE</v>
      </c>
      <c r="L306">
        <f t="shared" si="51"/>
        <v>0</v>
      </c>
      <c r="M306">
        <f t="shared" si="52"/>
        <v>1</v>
      </c>
      <c r="N306" t="b">
        <f t="shared" si="53"/>
        <v>1</v>
      </c>
    </row>
    <row r="307" spans="1:14" hidden="1" x14ac:dyDescent="0.25">
      <c r="A307" t="s">
        <v>1403</v>
      </c>
      <c r="B307" t="s">
        <v>1715</v>
      </c>
      <c r="C307" s="1">
        <v>2.9500000000000001E-6</v>
      </c>
      <c r="D307" s="1">
        <v>2.0000000000000001E-4</v>
      </c>
      <c r="E307" s="1">
        <v>8.9999999999999998E-4</v>
      </c>
      <c r="F307" s="1">
        <v>7.79E-6</v>
      </c>
      <c r="G307">
        <f t="shared" si="47"/>
        <v>6</v>
      </c>
      <c r="H307" t="str">
        <f>RIGHT(B307,3)</f>
        <v>LTC</v>
      </c>
      <c r="I307" t="str">
        <f>LEFT(B307,3)</f>
        <v>ACP</v>
      </c>
      <c r="J307" t="str">
        <f t="shared" si="49"/>
        <v>LTCACP</v>
      </c>
      <c r="K307" t="str">
        <f t="shared" si="50"/>
        <v>ACPLTC</v>
      </c>
      <c r="L307">
        <f t="shared" si="51"/>
        <v>0</v>
      </c>
      <c r="M307">
        <f t="shared" si="52"/>
        <v>1</v>
      </c>
      <c r="N307" t="b">
        <f t="shared" si="53"/>
        <v>1</v>
      </c>
    </row>
    <row r="308" spans="1:14" hidden="1" x14ac:dyDescent="0.25">
      <c r="A308" t="s">
        <v>5</v>
      </c>
      <c r="B308" t="s">
        <v>862</v>
      </c>
      <c r="C308" s="1">
        <v>7.8000000000000005E-7</v>
      </c>
      <c r="D308" s="1">
        <v>4.4000000000000002E-7</v>
      </c>
      <c r="E308" s="1">
        <v>7.8000000000000005E-7</v>
      </c>
      <c r="F308" s="1">
        <v>4.4000000000000002E-7</v>
      </c>
      <c r="G308">
        <f t="shared" si="47"/>
        <v>7</v>
      </c>
      <c r="H308" t="str">
        <f>RIGHT(B308,3)</f>
        <v>BTC</v>
      </c>
      <c r="I308" t="str">
        <f>LEFT(B308,4)</f>
        <v>ACPR</v>
      </c>
      <c r="J308" t="str">
        <f t="shared" si="49"/>
        <v>BTCACPR</v>
      </c>
      <c r="K308" t="str">
        <f t="shared" si="50"/>
        <v>ACPRBTC</v>
      </c>
      <c r="L308">
        <f t="shared" si="51"/>
        <v>0</v>
      </c>
      <c r="M308">
        <f t="shared" si="52"/>
        <v>1</v>
      </c>
      <c r="N308" t="b">
        <f t="shared" si="53"/>
        <v>1</v>
      </c>
    </row>
    <row r="309" spans="1:14" hidden="1" x14ac:dyDescent="0.25">
      <c r="A309" t="s">
        <v>1403</v>
      </c>
      <c r="B309" t="s">
        <v>1536</v>
      </c>
      <c r="C309" s="1">
        <v>0.01</v>
      </c>
      <c r="D309" s="1">
        <v>0.01</v>
      </c>
      <c r="E309" s="1">
        <v>1.9900000000000001E-2</v>
      </c>
      <c r="F309" s="1">
        <v>1.00001E-3</v>
      </c>
      <c r="G309">
        <f t="shared" si="47"/>
        <v>6</v>
      </c>
      <c r="H309" t="str">
        <f>RIGHT(B309,3)</f>
        <v>USD</v>
      </c>
      <c r="I309" t="str">
        <f>LEFT(B309,3)</f>
        <v>ACP</v>
      </c>
      <c r="J309" t="str">
        <f t="shared" si="49"/>
        <v>USDACP</v>
      </c>
      <c r="K309" t="str">
        <f t="shared" si="50"/>
        <v>ACPUSD</v>
      </c>
      <c r="L309">
        <f t="shared" si="51"/>
        <v>0</v>
      </c>
      <c r="M309">
        <f t="shared" si="52"/>
        <v>1</v>
      </c>
      <c r="N309" t="b">
        <f t="shared" si="53"/>
        <v>1</v>
      </c>
    </row>
    <row r="310" spans="1:14" hidden="1" x14ac:dyDescent="0.25">
      <c r="A310" t="s">
        <v>5</v>
      </c>
      <c r="B310" t="s">
        <v>542</v>
      </c>
      <c r="C310" s="1" t="s">
        <v>403</v>
      </c>
      <c r="D310" s="1">
        <v>7.1999999999999999E-7</v>
      </c>
      <c r="E310" s="1" t="s">
        <v>403</v>
      </c>
      <c r="F310" s="1">
        <v>7.1999999999999999E-7</v>
      </c>
      <c r="G310">
        <f t="shared" si="47"/>
        <v>6</v>
      </c>
      <c r="H310" t="str">
        <f>RIGHT(B310,3)</f>
        <v>BTC</v>
      </c>
      <c r="I310" t="str">
        <f>LEFT(B310,3)</f>
        <v>ADC</v>
      </c>
      <c r="J310" t="str">
        <f t="shared" si="49"/>
        <v>BTCADC</v>
      </c>
      <c r="K310" t="str">
        <f t="shared" si="50"/>
        <v>ADCBTC</v>
      </c>
      <c r="L310">
        <f t="shared" si="51"/>
        <v>0</v>
      </c>
      <c r="M310">
        <f t="shared" si="52"/>
        <v>1</v>
      </c>
      <c r="N310" t="b">
        <f t="shared" si="53"/>
        <v>1</v>
      </c>
    </row>
    <row r="311" spans="1:14" hidden="1" x14ac:dyDescent="0.25">
      <c r="A311" t="s">
        <v>1403</v>
      </c>
      <c r="B311" t="s">
        <v>1908</v>
      </c>
      <c r="C311" s="1">
        <v>9.4789998999999998</v>
      </c>
      <c r="D311" s="1">
        <v>9.4789998999999998</v>
      </c>
      <c r="E311" s="1">
        <v>7</v>
      </c>
      <c r="F311" s="1">
        <v>0.74000007000000001</v>
      </c>
      <c r="G311">
        <f t="shared" si="47"/>
        <v>8</v>
      </c>
      <c r="H311" t="str">
        <f>RIGHT(B311,4)</f>
        <v>DOGE</v>
      </c>
      <c r="I311" t="str">
        <f>LEFT(B311,4)</f>
        <v>ADCN</v>
      </c>
      <c r="J311" t="str">
        <f t="shared" si="49"/>
        <v>DOGEADCN</v>
      </c>
      <c r="K311" t="str">
        <f t="shared" si="50"/>
        <v>ADCNDOGE</v>
      </c>
      <c r="L311">
        <f t="shared" si="51"/>
        <v>0</v>
      </c>
      <c r="M311">
        <f t="shared" si="52"/>
        <v>1</v>
      </c>
      <c r="N311" t="b">
        <f t="shared" si="53"/>
        <v>1</v>
      </c>
    </row>
    <row r="312" spans="1:14" hidden="1" x14ac:dyDescent="0.25">
      <c r="A312" t="s">
        <v>1403</v>
      </c>
      <c r="B312" t="s">
        <v>1716</v>
      </c>
      <c r="C312" s="1">
        <v>4.0920000000000003E-4</v>
      </c>
      <c r="D312" s="1">
        <v>4.0920000000000003E-4</v>
      </c>
      <c r="E312" s="1">
        <v>6.1100099999999999E-3</v>
      </c>
      <c r="F312" s="1">
        <v>1.1001999999999999E-4</v>
      </c>
      <c r="G312">
        <f t="shared" si="47"/>
        <v>7</v>
      </c>
      <c r="H312" t="str">
        <f>RIGHT(B312,3)</f>
        <v>LTC</v>
      </c>
      <c r="I312" t="str">
        <f>LEFT(B312,4)</f>
        <v>ADCN</v>
      </c>
      <c r="J312" t="str">
        <f t="shared" si="49"/>
        <v>LTCADCN</v>
      </c>
      <c r="K312" t="str">
        <f t="shared" si="50"/>
        <v>ADCNLTC</v>
      </c>
      <c r="L312">
        <f t="shared" si="51"/>
        <v>0</v>
      </c>
      <c r="M312">
        <f t="shared" si="52"/>
        <v>1</v>
      </c>
      <c r="N312" t="b">
        <f t="shared" si="53"/>
        <v>1</v>
      </c>
    </row>
    <row r="313" spans="1:14" hidden="1" x14ac:dyDescent="0.25">
      <c r="A313" t="s">
        <v>1403</v>
      </c>
      <c r="B313" t="s">
        <v>1537</v>
      </c>
      <c r="C313" s="1">
        <v>8.9990000000000001E-3</v>
      </c>
      <c r="D313" s="1">
        <v>8.9990000000000001E-3</v>
      </c>
      <c r="E313" s="1">
        <v>2.9999990000000001E-2</v>
      </c>
      <c r="F313" s="1">
        <v>6.0000100000000001E-3</v>
      </c>
      <c r="G313">
        <f t="shared" si="47"/>
        <v>7</v>
      </c>
      <c r="H313" t="str">
        <f>RIGHT(B313,3)</f>
        <v>USD</v>
      </c>
      <c r="I313" t="str">
        <f>LEFT(B313,4)</f>
        <v>ADCN</v>
      </c>
      <c r="J313" t="str">
        <f t="shared" si="49"/>
        <v>USDADCN</v>
      </c>
      <c r="K313" t="str">
        <f t="shared" si="50"/>
        <v>ADCNUSD</v>
      </c>
      <c r="L313">
        <f t="shared" si="51"/>
        <v>0</v>
      </c>
      <c r="M313">
        <f t="shared" si="52"/>
        <v>1</v>
      </c>
      <c r="N313" t="b">
        <f t="shared" si="53"/>
        <v>1</v>
      </c>
    </row>
    <row r="314" spans="1:14" hidden="1" x14ac:dyDescent="0.25">
      <c r="A314" t="s">
        <v>1239</v>
      </c>
      <c r="B314" t="s">
        <v>1249</v>
      </c>
      <c r="C314" s="1">
        <v>3.9399999999999998E-2</v>
      </c>
      <c r="D314" s="1">
        <v>2.8129999999999999E-2</v>
      </c>
      <c r="E314" s="1">
        <v>3.9399999999999998E-2</v>
      </c>
      <c r="F314" s="1">
        <v>2.8129999999999999E-2</v>
      </c>
      <c r="G314">
        <f t="shared" si="47"/>
        <v>6</v>
      </c>
      <c r="H314" t="str">
        <f>RIGHT(B314,3)</f>
        <v>USD</v>
      </c>
      <c r="I314" t="str">
        <f>LEFT(B314,3)</f>
        <v>ADZ</v>
      </c>
      <c r="J314" t="str">
        <f t="shared" si="49"/>
        <v>USDADZ</v>
      </c>
      <c r="K314" t="str">
        <f t="shared" si="50"/>
        <v>ADZUSD</v>
      </c>
      <c r="L314">
        <f t="shared" si="51"/>
        <v>0</v>
      </c>
      <c r="M314">
        <f t="shared" si="52"/>
        <v>1</v>
      </c>
      <c r="N314" t="b">
        <f t="shared" si="53"/>
        <v>1</v>
      </c>
    </row>
    <row r="315" spans="1:14" hidden="1" x14ac:dyDescent="0.25">
      <c r="A315" t="s">
        <v>4</v>
      </c>
      <c r="B315" t="s">
        <v>345</v>
      </c>
      <c r="C315" s="1">
        <v>1.1999999999999999E-3</v>
      </c>
      <c r="D315" s="1">
        <v>1.199E-3</v>
      </c>
      <c r="E315" s="1">
        <v>1.1999999999999999E-3</v>
      </c>
      <c r="F315" s="1">
        <v>1.199E-3</v>
      </c>
      <c r="G315">
        <f t="shared" si="47"/>
        <v>5</v>
      </c>
      <c r="H315" t="str">
        <f>RIGHT(B315,3)</f>
        <v>BTC</v>
      </c>
      <c r="I315" t="str">
        <f>LEFT(B315,2)</f>
        <v>AE</v>
      </c>
      <c r="J315" t="str">
        <f t="shared" si="49"/>
        <v>BTCAE</v>
      </c>
      <c r="K315" t="str">
        <f t="shared" si="50"/>
        <v>AEBTC</v>
      </c>
      <c r="L315">
        <f t="shared" si="51"/>
        <v>0</v>
      </c>
      <c r="M315">
        <f t="shared" si="52"/>
        <v>1</v>
      </c>
      <c r="N315" t="b">
        <f t="shared" si="53"/>
        <v>1</v>
      </c>
    </row>
    <row r="316" spans="1:14" hidden="1" x14ac:dyDescent="0.25">
      <c r="A316" t="s">
        <v>5</v>
      </c>
      <c r="B316" t="s">
        <v>388</v>
      </c>
      <c r="C316" s="1">
        <v>7.2769999999999996E-5</v>
      </c>
      <c r="D316" s="1">
        <v>7.2009999999999997E-5</v>
      </c>
      <c r="E316" s="1">
        <v>7.2769999999999996E-5</v>
      </c>
      <c r="F316" s="1">
        <v>7.2009999999999997E-5</v>
      </c>
      <c r="G316">
        <f t="shared" si="47"/>
        <v>7</v>
      </c>
      <c r="H316" t="str">
        <f>RIGHT(B316,3)</f>
        <v>BTC</v>
      </c>
      <c r="I316" t="str">
        <f>LEFT(B316,4)</f>
        <v>AECC</v>
      </c>
      <c r="J316" t="str">
        <f t="shared" si="49"/>
        <v>BTCAECC</v>
      </c>
      <c r="K316" t="str">
        <f t="shared" si="50"/>
        <v>AECCBTC</v>
      </c>
      <c r="L316">
        <f t="shared" si="51"/>
        <v>0</v>
      </c>
      <c r="M316">
        <f t="shared" si="52"/>
        <v>1</v>
      </c>
      <c r="N316" t="b">
        <f t="shared" si="53"/>
        <v>1</v>
      </c>
    </row>
    <row r="317" spans="1:14" hidden="1" x14ac:dyDescent="0.25">
      <c r="A317" t="s">
        <v>1403</v>
      </c>
      <c r="B317" t="s">
        <v>1909</v>
      </c>
      <c r="C317" s="1">
        <v>1.00000025</v>
      </c>
      <c r="D317" s="1">
        <v>1</v>
      </c>
      <c r="E317" s="1">
        <v>85</v>
      </c>
      <c r="F317" s="1">
        <v>3.1702000000000002E-3</v>
      </c>
      <c r="G317">
        <f t="shared" si="47"/>
        <v>7</v>
      </c>
      <c r="H317" t="str">
        <f>RIGHT(B317,4)</f>
        <v>DOGE</v>
      </c>
      <c r="I317" t="str">
        <f>LEFT(B317,3)</f>
        <v>AIB</v>
      </c>
      <c r="J317" t="str">
        <f t="shared" si="49"/>
        <v>DOGEAIB</v>
      </c>
      <c r="K317" t="str">
        <f t="shared" si="50"/>
        <v>AIBDOGE</v>
      </c>
      <c r="L317">
        <f t="shared" si="51"/>
        <v>0</v>
      </c>
      <c r="M317">
        <f t="shared" si="52"/>
        <v>1</v>
      </c>
      <c r="N317" t="b">
        <f t="shared" si="53"/>
        <v>1</v>
      </c>
    </row>
    <row r="318" spans="1:14" hidden="1" x14ac:dyDescent="0.25">
      <c r="A318" t="s">
        <v>1403</v>
      </c>
      <c r="B318" t="s">
        <v>1717</v>
      </c>
      <c r="C318" s="1">
        <v>2.2220000000000001E-5</v>
      </c>
      <c r="D318" s="1">
        <v>2.2220000000000001E-5</v>
      </c>
      <c r="E318" s="1">
        <v>8.5410499999999997E-3</v>
      </c>
      <c r="F318" s="1">
        <v>1.4999999999999999E-7</v>
      </c>
      <c r="G318">
        <f t="shared" si="47"/>
        <v>6</v>
      </c>
      <c r="H318" t="str">
        <f t="shared" ref="H318:H327" si="58">RIGHT(B318,3)</f>
        <v>LTC</v>
      </c>
      <c r="I318" t="str">
        <f>LEFT(B318,3)</f>
        <v>AIB</v>
      </c>
      <c r="J318" t="str">
        <f t="shared" si="49"/>
        <v>LTCAIB</v>
      </c>
      <c r="K318" t="str">
        <f t="shared" si="50"/>
        <v>AIBLTC</v>
      </c>
      <c r="L318">
        <f t="shared" si="51"/>
        <v>0</v>
      </c>
      <c r="M318">
        <f t="shared" si="52"/>
        <v>1</v>
      </c>
      <c r="N318" t="b">
        <f t="shared" si="53"/>
        <v>1</v>
      </c>
    </row>
    <row r="319" spans="1:14" hidden="1" x14ac:dyDescent="0.25">
      <c r="A319" t="s">
        <v>1403</v>
      </c>
      <c r="B319" t="s">
        <v>1538</v>
      </c>
      <c r="C319" s="1">
        <v>1.5000899999999999E-3</v>
      </c>
      <c r="D319" s="1">
        <v>1.228691E-2</v>
      </c>
      <c r="E319" s="1">
        <v>1.2279979999999999E-2</v>
      </c>
      <c r="F319" s="1">
        <v>5.0000999999999995E-4</v>
      </c>
      <c r="G319">
        <f t="shared" si="47"/>
        <v>6</v>
      </c>
      <c r="H319" t="str">
        <f t="shared" si="58"/>
        <v>USD</v>
      </c>
      <c r="I319" t="str">
        <f>LEFT(B319,3)</f>
        <v>AIB</v>
      </c>
      <c r="J319" t="str">
        <f t="shared" si="49"/>
        <v>USDAIB</v>
      </c>
      <c r="K319" t="str">
        <f t="shared" si="50"/>
        <v>AIBUSD</v>
      </c>
      <c r="L319">
        <f t="shared" si="51"/>
        <v>0</v>
      </c>
      <c r="M319">
        <f t="shared" si="52"/>
        <v>1</v>
      </c>
      <c r="N319" t="b">
        <f t="shared" si="53"/>
        <v>1</v>
      </c>
    </row>
    <row r="320" spans="1:14" hidden="1" x14ac:dyDescent="0.25">
      <c r="A320" t="s">
        <v>5</v>
      </c>
      <c r="B320" t="s">
        <v>945</v>
      </c>
      <c r="C320" s="1" t="s">
        <v>361</v>
      </c>
      <c r="D320" s="1" t="s">
        <v>362</v>
      </c>
      <c r="E320" s="1" t="s">
        <v>361</v>
      </c>
      <c r="F320" s="1" t="s">
        <v>362</v>
      </c>
      <c r="G320">
        <f t="shared" si="47"/>
        <v>6</v>
      </c>
      <c r="H320" t="str">
        <f t="shared" si="58"/>
        <v>BTC</v>
      </c>
      <c r="I320" t="str">
        <f>LEFT(B320,3)</f>
        <v>AIR</v>
      </c>
      <c r="J320" t="str">
        <f t="shared" si="49"/>
        <v>BTCAIR</v>
      </c>
      <c r="K320" t="str">
        <f t="shared" si="50"/>
        <v>AIRBTC</v>
      </c>
      <c r="L320">
        <f t="shared" si="51"/>
        <v>0</v>
      </c>
      <c r="M320">
        <f t="shared" si="52"/>
        <v>1</v>
      </c>
      <c r="N320" t="b">
        <f t="shared" si="53"/>
        <v>1</v>
      </c>
    </row>
    <row r="321" spans="1:14" hidden="1" x14ac:dyDescent="0.25">
      <c r="A321" t="s">
        <v>5</v>
      </c>
      <c r="B321" t="s">
        <v>915</v>
      </c>
      <c r="C321" s="1" t="s">
        <v>381</v>
      </c>
      <c r="D321" s="1" t="s">
        <v>384</v>
      </c>
      <c r="E321" s="1" t="s">
        <v>381</v>
      </c>
      <c r="F321" s="1" t="s">
        <v>384</v>
      </c>
      <c r="G321">
        <f t="shared" ref="G321:G384" si="59">LEN(B321)</f>
        <v>5</v>
      </c>
      <c r="H321" t="str">
        <f t="shared" si="58"/>
        <v>BTC</v>
      </c>
      <c r="I321" t="str">
        <f>LEFT(B321,2)</f>
        <v>AL</v>
      </c>
      <c r="J321" t="str">
        <f t="shared" ref="J321:J384" si="60">CONCATENATE(H321,I321)</f>
        <v>BTCAL</v>
      </c>
      <c r="K321" t="str">
        <f t="shared" ref="K321:K384" si="61">CONCATENATE(I321,H321)</f>
        <v>ALBTC</v>
      </c>
      <c r="L321">
        <f t="shared" ref="L321:L384" si="62">COUNTIF(B:B,J321)</f>
        <v>0</v>
      </c>
      <c r="M321">
        <f t="shared" ref="M321:M384" si="63">COUNTIF(B:B,K321)</f>
        <v>1</v>
      </c>
      <c r="N321" t="b">
        <f t="shared" ref="N321:N384" si="64">L321=0</f>
        <v>1</v>
      </c>
    </row>
    <row r="322" spans="1:14" hidden="1" x14ac:dyDescent="0.25">
      <c r="A322" t="s">
        <v>5</v>
      </c>
      <c r="B322" t="s">
        <v>1074</v>
      </c>
      <c r="C322" s="1" t="s">
        <v>381</v>
      </c>
      <c r="D322" s="1" t="s">
        <v>384</v>
      </c>
      <c r="E322" s="1" t="s">
        <v>381</v>
      </c>
      <c r="F322" s="1" t="s">
        <v>384</v>
      </c>
      <c r="G322">
        <f t="shared" si="59"/>
        <v>6</v>
      </c>
      <c r="H322" t="str">
        <f t="shared" si="58"/>
        <v>BTC</v>
      </c>
      <c r="I322" t="str">
        <f>LEFT(B322,3)</f>
        <v>ALC</v>
      </c>
      <c r="J322" t="str">
        <f t="shared" si="60"/>
        <v>BTCALC</v>
      </c>
      <c r="K322" t="str">
        <f t="shared" si="61"/>
        <v>ALCBTC</v>
      </c>
      <c r="L322">
        <f t="shared" si="62"/>
        <v>0</v>
      </c>
      <c r="M322">
        <f t="shared" si="63"/>
        <v>1</v>
      </c>
      <c r="N322" t="b">
        <f t="shared" si="64"/>
        <v>1</v>
      </c>
    </row>
    <row r="323" spans="1:14" hidden="1" x14ac:dyDescent="0.25">
      <c r="A323" t="s">
        <v>5</v>
      </c>
      <c r="B323" t="s">
        <v>495</v>
      </c>
      <c r="C323" s="1">
        <v>1.8850000000000001E-5</v>
      </c>
      <c r="D323" s="1">
        <v>1.202E-5</v>
      </c>
      <c r="E323" s="1">
        <v>1.8850000000000001E-5</v>
      </c>
      <c r="F323" s="1">
        <v>1.202E-5</v>
      </c>
      <c r="G323">
        <f t="shared" si="59"/>
        <v>7</v>
      </c>
      <c r="H323" t="str">
        <f t="shared" si="58"/>
        <v>BTC</v>
      </c>
      <c r="I323" t="str">
        <f>LEFT(B323,4)</f>
        <v>ALEX</v>
      </c>
      <c r="J323" t="str">
        <f t="shared" si="60"/>
        <v>BTCALEX</v>
      </c>
      <c r="K323" t="str">
        <f t="shared" si="61"/>
        <v>ALEXBTC</v>
      </c>
      <c r="L323">
        <f t="shared" si="62"/>
        <v>0</v>
      </c>
      <c r="M323">
        <f t="shared" si="63"/>
        <v>1</v>
      </c>
      <c r="N323" t="b">
        <f t="shared" si="64"/>
        <v>1</v>
      </c>
    </row>
    <row r="324" spans="1:14" hidden="1" x14ac:dyDescent="0.25">
      <c r="A324" t="s">
        <v>5</v>
      </c>
      <c r="B324" t="s">
        <v>805</v>
      </c>
      <c r="C324" s="1" t="s">
        <v>362</v>
      </c>
      <c r="D324" s="1" t="s">
        <v>364</v>
      </c>
      <c r="E324" s="1" t="s">
        <v>362</v>
      </c>
      <c r="F324" s="1">
        <v>8.4E-7</v>
      </c>
      <c r="G324">
        <f t="shared" si="59"/>
        <v>8</v>
      </c>
      <c r="H324" t="str">
        <f t="shared" si="58"/>
        <v>BTC</v>
      </c>
      <c r="I324" t="str">
        <f>LEFT(B324,5)</f>
        <v>ALIEN</v>
      </c>
      <c r="J324" t="str">
        <f t="shared" si="60"/>
        <v>BTCALIEN</v>
      </c>
      <c r="K324" t="str">
        <f t="shared" si="61"/>
        <v>ALIENBTC</v>
      </c>
      <c r="L324">
        <f t="shared" si="62"/>
        <v>0</v>
      </c>
      <c r="M324">
        <f t="shared" si="63"/>
        <v>1</v>
      </c>
      <c r="N324" t="b">
        <f t="shared" si="64"/>
        <v>1</v>
      </c>
    </row>
    <row r="325" spans="1:14" hidden="1" x14ac:dyDescent="0.25">
      <c r="A325" t="s">
        <v>5</v>
      </c>
      <c r="B325" t="s">
        <v>1009</v>
      </c>
      <c r="C325" s="1">
        <v>4.2599999999999999E-6</v>
      </c>
      <c r="D325" s="1">
        <v>2.3800000000000001E-6</v>
      </c>
      <c r="E325" s="1">
        <v>4.2599999999999999E-6</v>
      </c>
      <c r="F325" s="1">
        <v>2.3800000000000001E-6</v>
      </c>
      <c r="G325">
        <f t="shared" si="59"/>
        <v>6</v>
      </c>
      <c r="H325" t="str">
        <f t="shared" si="58"/>
        <v>BTC</v>
      </c>
      <c r="I325" t="str">
        <f>LEFT(B325,3)</f>
        <v>ALL</v>
      </c>
      <c r="J325" t="str">
        <f t="shared" si="60"/>
        <v>BTCALL</v>
      </c>
      <c r="K325" t="str">
        <f t="shared" si="61"/>
        <v>ALLBTC</v>
      </c>
      <c r="L325">
        <f t="shared" si="62"/>
        <v>0</v>
      </c>
      <c r="M325">
        <f t="shared" si="63"/>
        <v>1</v>
      </c>
      <c r="N325" t="b">
        <f t="shared" si="64"/>
        <v>1</v>
      </c>
    </row>
    <row r="326" spans="1:14" hidden="1" x14ac:dyDescent="0.25">
      <c r="A326" t="s">
        <v>1403</v>
      </c>
      <c r="B326" t="s">
        <v>1408</v>
      </c>
      <c r="C326" s="1">
        <v>3.9921000000000002E-3</v>
      </c>
      <c r="D326" s="1">
        <v>3.9921999999999996E-3</v>
      </c>
      <c r="E326" s="1">
        <v>3.9921999999999996E-3</v>
      </c>
      <c r="F326" s="1">
        <v>3.3000099999999999E-3</v>
      </c>
      <c r="G326">
        <f t="shared" si="59"/>
        <v>6</v>
      </c>
      <c r="H326" t="str">
        <f t="shared" si="58"/>
        <v>BTC</v>
      </c>
      <c r="I326" t="str">
        <f>LEFT(B326,3)</f>
        <v>ALT</v>
      </c>
      <c r="J326" t="str">
        <f t="shared" si="60"/>
        <v>BTCALT</v>
      </c>
      <c r="K326" t="str">
        <f t="shared" si="61"/>
        <v>ALTBTC</v>
      </c>
      <c r="L326">
        <f t="shared" si="62"/>
        <v>0</v>
      </c>
      <c r="M326">
        <f t="shared" si="63"/>
        <v>1</v>
      </c>
      <c r="N326" t="b">
        <f t="shared" si="64"/>
        <v>1</v>
      </c>
    </row>
    <row r="327" spans="1:14" hidden="1" x14ac:dyDescent="0.25">
      <c r="A327" t="s">
        <v>5</v>
      </c>
      <c r="B327" t="s">
        <v>573</v>
      </c>
      <c r="C327" s="1">
        <v>1.1999999999999999E-7</v>
      </c>
      <c r="D327" s="1" t="s">
        <v>540</v>
      </c>
      <c r="E327" s="1">
        <v>1.1999999999999999E-7</v>
      </c>
      <c r="F327" s="1" t="s">
        <v>540</v>
      </c>
      <c r="G327">
        <f t="shared" si="59"/>
        <v>7</v>
      </c>
      <c r="H327" t="str">
        <f t="shared" si="58"/>
        <v>BTC</v>
      </c>
      <c r="I327" t="str">
        <f>LEFT(B327,4)</f>
        <v>ALTC</v>
      </c>
      <c r="J327" t="str">
        <f t="shared" si="60"/>
        <v>BTCALTC</v>
      </c>
      <c r="K327" t="str">
        <f t="shared" si="61"/>
        <v>ALTCBTC</v>
      </c>
      <c r="L327">
        <f t="shared" si="62"/>
        <v>0</v>
      </c>
      <c r="M327">
        <f t="shared" si="63"/>
        <v>1</v>
      </c>
      <c r="N327" t="b">
        <f t="shared" si="64"/>
        <v>1</v>
      </c>
    </row>
    <row r="328" spans="1:14" hidden="1" x14ac:dyDescent="0.25">
      <c r="A328" t="s">
        <v>1403</v>
      </c>
      <c r="B328" t="s">
        <v>1910</v>
      </c>
      <c r="C328" s="1">
        <v>3524.5306122400002</v>
      </c>
      <c r="D328" s="1">
        <v>3524.5306122400002</v>
      </c>
      <c r="E328" s="1">
        <v>9995.1921920000004</v>
      </c>
      <c r="F328" s="1">
        <v>1111.0000003736</v>
      </c>
      <c r="G328">
        <f t="shared" si="59"/>
        <v>7</v>
      </c>
      <c r="H328" t="str">
        <f>RIGHT(B328,4)</f>
        <v>DOGE</v>
      </c>
      <c r="I328" t="str">
        <f>LEFT(B328,3)</f>
        <v>ALT</v>
      </c>
      <c r="J328" t="str">
        <f t="shared" si="60"/>
        <v>DOGEALT</v>
      </c>
      <c r="K328" t="str">
        <f t="shared" si="61"/>
        <v>ALTDOGE</v>
      </c>
      <c r="L328">
        <f t="shared" si="62"/>
        <v>0</v>
      </c>
      <c r="M328">
        <f t="shared" si="63"/>
        <v>1</v>
      </c>
      <c r="N328" t="b">
        <f t="shared" si="64"/>
        <v>1</v>
      </c>
    </row>
    <row r="329" spans="1:14" hidden="1" x14ac:dyDescent="0.25">
      <c r="A329" t="s">
        <v>1403</v>
      </c>
      <c r="B329" t="s">
        <v>1718</v>
      </c>
      <c r="C329" s="1">
        <v>0.14899999999999999</v>
      </c>
      <c r="D329" s="1">
        <v>0.14899999999999999</v>
      </c>
      <c r="E329" s="1">
        <v>0.499</v>
      </c>
      <c r="F329" s="1">
        <v>0.10000001</v>
      </c>
      <c r="G329">
        <f t="shared" si="59"/>
        <v>6</v>
      </c>
      <c r="H329" t="str">
        <f t="shared" ref="H329:H336" si="65">RIGHT(B329,3)</f>
        <v>LTC</v>
      </c>
      <c r="I329" t="str">
        <f>LEFT(B329,3)</f>
        <v>ALT</v>
      </c>
      <c r="J329" t="str">
        <f t="shared" si="60"/>
        <v>LTCALT</v>
      </c>
      <c r="K329" t="str">
        <f t="shared" si="61"/>
        <v>ALTLTC</v>
      </c>
      <c r="L329">
        <f t="shared" si="62"/>
        <v>0</v>
      </c>
      <c r="M329">
        <f t="shared" si="63"/>
        <v>1</v>
      </c>
      <c r="N329" t="b">
        <f t="shared" si="64"/>
        <v>1</v>
      </c>
    </row>
    <row r="330" spans="1:14" hidden="1" x14ac:dyDescent="0.25">
      <c r="A330" t="s">
        <v>1403</v>
      </c>
      <c r="B330" t="s">
        <v>1539</v>
      </c>
      <c r="C330" s="1">
        <v>11.65</v>
      </c>
      <c r="D330" s="1">
        <v>11.65</v>
      </c>
      <c r="E330" s="1">
        <v>9.99</v>
      </c>
      <c r="F330" s="1">
        <v>7.6100000161969303</v>
      </c>
      <c r="G330">
        <f t="shared" si="59"/>
        <v>6</v>
      </c>
      <c r="H330" t="str">
        <f t="shared" si="65"/>
        <v>USD</v>
      </c>
      <c r="I330" t="str">
        <f>LEFT(B330,3)</f>
        <v>ALT</v>
      </c>
      <c r="J330" t="str">
        <f t="shared" si="60"/>
        <v>USDALT</v>
      </c>
      <c r="K330" t="str">
        <f t="shared" si="61"/>
        <v>ALTUSD</v>
      </c>
      <c r="L330">
        <f t="shared" si="62"/>
        <v>0</v>
      </c>
      <c r="M330">
        <f t="shared" si="63"/>
        <v>1</v>
      </c>
      <c r="N330" t="b">
        <f t="shared" si="64"/>
        <v>1</v>
      </c>
    </row>
    <row r="331" spans="1:14" hidden="1" x14ac:dyDescent="0.25">
      <c r="A331" t="s">
        <v>5</v>
      </c>
      <c r="B331" t="s">
        <v>527</v>
      </c>
      <c r="C331" s="1" t="s">
        <v>528</v>
      </c>
      <c r="D331" s="1">
        <v>7.1999999999999999E-7</v>
      </c>
      <c r="E331" s="1" t="s">
        <v>528</v>
      </c>
      <c r="F331" s="1">
        <v>7.1999999999999999E-7</v>
      </c>
      <c r="G331">
        <f t="shared" si="59"/>
        <v>8</v>
      </c>
      <c r="H331" t="str">
        <f t="shared" si="65"/>
        <v>BTC</v>
      </c>
      <c r="I331" t="str">
        <f>LEFT(B331,5)</f>
        <v>AMBER</v>
      </c>
      <c r="J331" t="str">
        <f t="shared" si="60"/>
        <v>BTCAMBER</v>
      </c>
      <c r="K331" t="str">
        <f t="shared" si="61"/>
        <v>AMBERBTC</v>
      </c>
      <c r="L331">
        <f t="shared" si="62"/>
        <v>0</v>
      </c>
      <c r="M331">
        <f t="shared" si="63"/>
        <v>1</v>
      </c>
      <c r="N331" t="b">
        <f t="shared" si="64"/>
        <v>1</v>
      </c>
    </row>
    <row r="332" spans="1:14" hidden="1" x14ac:dyDescent="0.25">
      <c r="A332" t="s">
        <v>5</v>
      </c>
      <c r="B332" t="s">
        <v>1012</v>
      </c>
      <c r="C332" s="1" t="s">
        <v>1013</v>
      </c>
      <c r="D332" s="1">
        <v>5.8E-5</v>
      </c>
      <c r="E332" s="1" t="s">
        <v>1013</v>
      </c>
      <c r="F332" s="1">
        <v>5.8E-5</v>
      </c>
      <c r="G332">
        <f t="shared" si="59"/>
        <v>5</v>
      </c>
      <c r="H332" t="str">
        <f t="shared" si="65"/>
        <v>BTC</v>
      </c>
      <c r="I332" t="str">
        <f>LEFT(B332,2)</f>
        <v>AM</v>
      </c>
      <c r="J332" t="str">
        <f t="shared" si="60"/>
        <v>BTCAM</v>
      </c>
      <c r="K332" t="str">
        <f t="shared" si="61"/>
        <v>AMBTC</v>
      </c>
      <c r="L332">
        <f t="shared" si="62"/>
        <v>0</v>
      </c>
      <c r="M332">
        <f t="shared" si="63"/>
        <v>1</v>
      </c>
      <c r="N332" t="b">
        <f t="shared" si="64"/>
        <v>1</v>
      </c>
    </row>
    <row r="333" spans="1:14" hidden="1" x14ac:dyDescent="0.25">
      <c r="A333" t="s">
        <v>5</v>
      </c>
      <c r="B333" t="s">
        <v>517</v>
      </c>
      <c r="C333" s="1">
        <v>2.3E-6</v>
      </c>
      <c r="D333" s="1">
        <v>1.8899999999999999E-6</v>
      </c>
      <c r="E333" s="1">
        <v>2.3E-6</v>
      </c>
      <c r="F333" s="1">
        <v>1.8899999999999999E-6</v>
      </c>
      <c r="G333">
        <f t="shared" si="59"/>
        <v>6</v>
      </c>
      <c r="H333" t="str">
        <f t="shared" si="65"/>
        <v>BTC</v>
      </c>
      <c r="I333" t="str">
        <f>LEFT(B333,3)</f>
        <v>AMS</v>
      </c>
      <c r="J333" t="str">
        <f t="shared" si="60"/>
        <v>BTCAMS</v>
      </c>
      <c r="K333" t="str">
        <f t="shared" si="61"/>
        <v>AMSBTC</v>
      </c>
      <c r="L333">
        <f t="shared" si="62"/>
        <v>0</v>
      </c>
      <c r="M333">
        <f t="shared" si="63"/>
        <v>1</v>
      </c>
      <c r="N333" t="b">
        <f t="shared" si="64"/>
        <v>1</v>
      </c>
    </row>
    <row r="334" spans="1:14" hidden="1" x14ac:dyDescent="0.25">
      <c r="A334" t="s">
        <v>5</v>
      </c>
      <c r="B334" t="s">
        <v>457</v>
      </c>
      <c r="C334" s="1">
        <v>4.2729999999999999E-5</v>
      </c>
      <c r="D334" s="1">
        <v>3.6100000000000003E-5</v>
      </c>
      <c r="E334" s="1">
        <v>4.2729999999999999E-5</v>
      </c>
      <c r="F334" s="1">
        <v>3.6100000000000003E-5</v>
      </c>
      <c r="G334">
        <f t="shared" si="59"/>
        <v>7</v>
      </c>
      <c r="H334" t="str">
        <f t="shared" si="65"/>
        <v>BTC</v>
      </c>
      <c r="I334" t="str">
        <f>LEFT(B334,4)</f>
        <v>ANAL</v>
      </c>
      <c r="J334" t="str">
        <f t="shared" si="60"/>
        <v>BTCANAL</v>
      </c>
      <c r="K334" t="str">
        <f t="shared" si="61"/>
        <v>ANALBTC</v>
      </c>
      <c r="L334">
        <f t="shared" si="62"/>
        <v>0</v>
      </c>
      <c r="M334">
        <f t="shared" si="63"/>
        <v>1</v>
      </c>
      <c r="N334" t="b">
        <f t="shared" si="64"/>
        <v>1</v>
      </c>
    </row>
    <row r="335" spans="1:14" hidden="1" x14ac:dyDescent="0.25">
      <c r="A335" t="s">
        <v>5</v>
      </c>
      <c r="B335" t="s">
        <v>1106</v>
      </c>
      <c r="C335" s="1">
        <v>5.6000000000000004E-7</v>
      </c>
      <c r="D335" s="1">
        <v>4.7999999999999996E-7</v>
      </c>
      <c r="E335" s="1">
        <v>5.6000000000000004E-7</v>
      </c>
      <c r="F335" s="1">
        <v>4.7999999999999996E-7</v>
      </c>
      <c r="G335">
        <f t="shared" si="59"/>
        <v>7</v>
      </c>
      <c r="H335" t="str">
        <f t="shared" si="65"/>
        <v>BTC</v>
      </c>
      <c r="I335" t="str">
        <f>LEFT(B335,4)</f>
        <v>ANTI</v>
      </c>
      <c r="J335" t="str">
        <f t="shared" si="60"/>
        <v>BTCANTI</v>
      </c>
      <c r="K335" t="str">
        <f t="shared" si="61"/>
        <v>ANTIBTC</v>
      </c>
      <c r="L335">
        <f t="shared" si="62"/>
        <v>0</v>
      </c>
      <c r="M335">
        <f t="shared" si="63"/>
        <v>1</v>
      </c>
      <c r="N335" t="b">
        <f t="shared" si="64"/>
        <v>1</v>
      </c>
    </row>
    <row r="336" spans="1:14" hidden="1" x14ac:dyDescent="0.25">
      <c r="A336" t="s">
        <v>1403</v>
      </c>
      <c r="B336" t="s">
        <v>1409</v>
      </c>
      <c r="C336" s="1">
        <v>6.5270000000000004E-5</v>
      </c>
      <c r="D336" s="1">
        <v>6.9830000000000001E-5</v>
      </c>
      <c r="E336" s="1">
        <v>6.7490000000000006E-5</v>
      </c>
      <c r="F336" s="1">
        <v>6.5289999999999993E-5</v>
      </c>
      <c r="G336">
        <f t="shared" si="59"/>
        <v>6</v>
      </c>
      <c r="H336" t="str">
        <f t="shared" si="65"/>
        <v>BTC</v>
      </c>
      <c r="I336" t="str">
        <f t="shared" ref="I336:I344" si="66">LEFT(B336,3)</f>
        <v>APC</v>
      </c>
      <c r="J336" t="str">
        <f t="shared" si="60"/>
        <v>BTCAPC</v>
      </c>
      <c r="K336" t="str">
        <f t="shared" si="61"/>
        <v>APCBTC</v>
      </c>
      <c r="L336">
        <f t="shared" si="62"/>
        <v>0</v>
      </c>
      <c r="M336">
        <f t="shared" si="63"/>
        <v>1</v>
      </c>
      <c r="N336" t="b">
        <f t="shared" si="64"/>
        <v>1</v>
      </c>
    </row>
    <row r="337" spans="1:14" hidden="1" x14ac:dyDescent="0.25">
      <c r="A337" t="s">
        <v>1403</v>
      </c>
      <c r="B337" t="s">
        <v>1911</v>
      </c>
      <c r="C337" s="1">
        <v>2450.4225351999999</v>
      </c>
      <c r="D337" s="1">
        <v>2450.4225351999999</v>
      </c>
      <c r="E337" s="1">
        <v>29994.99999995</v>
      </c>
      <c r="F337" s="1">
        <v>0.40000080999999998</v>
      </c>
      <c r="G337">
        <f t="shared" si="59"/>
        <v>7</v>
      </c>
      <c r="H337" t="str">
        <f>RIGHT(B337,4)</f>
        <v>DOGE</v>
      </c>
      <c r="I337" t="str">
        <f t="shared" si="66"/>
        <v>APC</v>
      </c>
      <c r="J337" t="str">
        <f t="shared" si="60"/>
        <v>DOGEAPC</v>
      </c>
      <c r="K337" t="str">
        <f t="shared" si="61"/>
        <v>APCDOGE</v>
      </c>
      <c r="L337">
        <f t="shared" si="62"/>
        <v>0</v>
      </c>
      <c r="M337">
        <f t="shared" si="63"/>
        <v>1</v>
      </c>
      <c r="N337" t="b">
        <f t="shared" si="64"/>
        <v>1</v>
      </c>
    </row>
    <row r="338" spans="1:14" hidden="1" x14ac:dyDescent="0.25">
      <c r="A338" t="s">
        <v>1403</v>
      </c>
      <c r="B338" t="s">
        <v>1719</v>
      </c>
      <c r="C338" s="1">
        <v>1.9997999099999999</v>
      </c>
      <c r="D338" s="1">
        <v>1.9997999099999999</v>
      </c>
      <c r="E338" s="1">
        <v>0.56000000000000005</v>
      </c>
      <c r="F338" s="1">
        <v>2.2013999999999999E-4</v>
      </c>
      <c r="G338">
        <f t="shared" si="59"/>
        <v>6</v>
      </c>
      <c r="H338" t="str">
        <f>RIGHT(B338,3)</f>
        <v>LTC</v>
      </c>
      <c r="I338" t="str">
        <f t="shared" si="66"/>
        <v>APC</v>
      </c>
      <c r="J338" t="str">
        <f t="shared" si="60"/>
        <v>LTCAPC</v>
      </c>
      <c r="K338" t="str">
        <f t="shared" si="61"/>
        <v>APCLTC</v>
      </c>
      <c r="L338">
        <f t="shared" si="62"/>
        <v>0</v>
      </c>
      <c r="M338">
        <f t="shared" si="63"/>
        <v>1</v>
      </c>
      <c r="N338" t="b">
        <f t="shared" si="64"/>
        <v>1</v>
      </c>
    </row>
    <row r="339" spans="1:14" hidden="1" x14ac:dyDescent="0.25">
      <c r="A339" t="s">
        <v>1403</v>
      </c>
      <c r="B339" t="s">
        <v>1540</v>
      </c>
      <c r="C339" s="1">
        <v>0.84999996</v>
      </c>
      <c r="D339" s="1">
        <v>0.84999996</v>
      </c>
      <c r="E339" s="1">
        <v>0.84999997000000005</v>
      </c>
      <c r="F339" s="1">
        <v>7.0001600000000001E-3</v>
      </c>
      <c r="G339">
        <f t="shared" si="59"/>
        <v>6</v>
      </c>
      <c r="H339" t="str">
        <f>RIGHT(B339,3)</f>
        <v>USD</v>
      </c>
      <c r="I339" t="str">
        <f t="shared" si="66"/>
        <v>APC</v>
      </c>
      <c r="J339" t="str">
        <f t="shared" si="60"/>
        <v>USDAPC</v>
      </c>
      <c r="K339" t="str">
        <f t="shared" si="61"/>
        <v>APCUSD</v>
      </c>
      <c r="L339">
        <f t="shared" si="62"/>
        <v>0</v>
      </c>
      <c r="M339">
        <f t="shared" si="63"/>
        <v>1</v>
      </c>
      <c r="N339" t="b">
        <f t="shared" si="64"/>
        <v>1</v>
      </c>
    </row>
    <row r="340" spans="1:14" hidden="1" x14ac:dyDescent="0.25">
      <c r="A340" t="s">
        <v>5</v>
      </c>
      <c r="B340" t="s">
        <v>858</v>
      </c>
      <c r="C340" s="1">
        <v>6.3E-7</v>
      </c>
      <c r="D340" s="1">
        <v>6.0999999999999998E-7</v>
      </c>
      <c r="E340" s="1">
        <v>6.3E-7</v>
      </c>
      <c r="F340" s="1">
        <v>6.0999999999999998E-7</v>
      </c>
      <c r="G340">
        <f t="shared" si="59"/>
        <v>6</v>
      </c>
      <c r="H340" t="str">
        <f>RIGHT(B340,3)</f>
        <v>BTC</v>
      </c>
      <c r="I340" t="str">
        <f t="shared" si="66"/>
        <v>APT</v>
      </c>
      <c r="J340" t="str">
        <f t="shared" si="60"/>
        <v>BTCAPT</v>
      </c>
      <c r="K340" t="str">
        <f t="shared" si="61"/>
        <v>APTBTC</v>
      </c>
      <c r="L340">
        <f t="shared" si="62"/>
        <v>0</v>
      </c>
      <c r="M340">
        <f t="shared" si="63"/>
        <v>1</v>
      </c>
      <c r="N340" t="b">
        <f t="shared" si="64"/>
        <v>1</v>
      </c>
    </row>
    <row r="341" spans="1:14" hidden="1" x14ac:dyDescent="0.25">
      <c r="A341" t="s">
        <v>5</v>
      </c>
      <c r="B341" t="s">
        <v>1206</v>
      </c>
      <c r="C341" s="1">
        <v>1.6500000000000001E-6</v>
      </c>
      <c r="D341" s="1">
        <v>1.48E-6</v>
      </c>
      <c r="E341" s="1">
        <v>1.6500000000000001E-6</v>
      </c>
      <c r="F341" s="1">
        <v>1.48E-6</v>
      </c>
      <c r="G341">
        <f t="shared" si="59"/>
        <v>6</v>
      </c>
      <c r="H341" t="str">
        <f>RIGHT(B341,3)</f>
        <v>BTC</v>
      </c>
      <c r="I341" t="str">
        <f t="shared" si="66"/>
        <v>ARB</v>
      </c>
      <c r="J341" t="str">
        <f t="shared" si="60"/>
        <v>BTCARB</v>
      </c>
      <c r="K341" t="str">
        <f t="shared" si="61"/>
        <v>ARBBTC</v>
      </c>
      <c r="L341">
        <f t="shared" si="62"/>
        <v>0</v>
      </c>
      <c r="M341">
        <f t="shared" si="63"/>
        <v>1</v>
      </c>
      <c r="N341" t="b">
        <f t="shared" si="64"/>
        <v>1</v>
      </c>
    </row>
    <row r="342" spans="1:14" hidden="1" x14ac:dyDescent="0.25">
      <c r="A342" t="s">
        <v>1403</v>
      </c>
      <c r="B342" t="s">
        <v>1912</v>
      </c>
      <c r="C342" s="1">
        <v>4116.6644021800003</v>
      </c>
      <c r="D342" s="1">
        <v>4116.6644021800003</v>
      </c>
      <c r="E342" s="1">
        <v>24.99999</v>
      </c>
      <c r="F342" s="1">
        <v>9.0027200100000009</v>
      </c>
      <c r="G342">
        <f t="shared" si="59"/>
        <v>7</v>
      </c>
      <c r="H342" t="str">
        <f>RIGHT(B342,4)</f>
        <v>DOGE</v>
      </c>
      <c r="I342" t="str">
        <f t="shared" si="66"/>
        <v>ARC</v>
      </c>
      <c r="J342" t="str">
        <f t="shared" si="60"/>
        <v>DOGEARC</v>
      </c>
      <c r="K342" t="str">
        <f t="shared" si="61"/>
        <v>ARCDOGE</v>
      </c>
      <c r="L342">
        <f t="shared" si="62"/>
        <v>0</v>
      </c>
      <c r="M342">
        <f t="shared" si="63"/>
        <v>1</v>
      </c>
      <c r="N342" t="b">
        <f t="shared" si="64"/>
        <v>1</v>
      </c>
    </row>
    <row r="343" spans="1:14" hidden="1" x14ac:dyDescent="0.25">
      <c r="A343" t="s">
        <v>1239</v>
      </c>
      <c r="B343" t="s">
        <v>1285</v>
      </c>
      <c r="C343" s="1">
        <v>1.8998999999999999E-4</v>
      </c>
      <c r="D343" s="1">
        <v>6.368E-5</v>
      </c>
      <c r="E343" s="1">
        <v>1.8998999999999999E-4</v>
      </c>
      <c r="F343" s="1">
        <v>6.368E-5</v>
      </c>
      <c r="G343">
        <f t="shared" si="59"/>
        <v>6</v>
      </c>
      <c r="H343" t="str">
        <f t="shared" ref="H343:H363" si="67">RIGHT(B343,3)</f>
        <v>ETH</v>
      </c>
      <c r="I343" t="str">
        <f t="shared" si="66"/>
        <v>ARC</v>
      </c>
      <c r="J343" t="str">
        <f t="shared" si="60"/>
        <v>ETHARC</v>
      </c>
      <c r="K343" t="str">
        <f t="shared" si="61"/>
        <v>ARCETH</v>
      </c>
      <c r="L343">
        <f t="shared" si="62"/>
        <v>0</v>
      </c>
      <c r="M343">
        <f t="shared" si="63"/>
        <v>1</v>
      </c>
      <c r="N343" t="b">
        <f t="shared" si="64"/>
        <v>1</v>
      </c>
    </row>
    <row r="344" spans="1:14" hidden="1" x14ac:dyDescent="0.25">
      <c r="A344" t="s">
        <v>1403</v>
      </c>
      <c r="B344" t="s">
        <v>1720</v>
      </c>
      <c r="C344" s="1">
        <v>9.9904000000000008E-4</v>
      </c>
      <c r="D344" s="1">
        <v>9.9904000000000008E-4</v>
      </c>
      <c r="E344" s="1">
        <v>1.9999000000000002E-3</v>
      </c>
      <c r="F344" s="1">
        <v>1.2323E-4</v>
      </c>
      <c r="G344">
        <f t="shared" si="59"/>
        <v>6</v>
      </c>
      <c r="H344" t="str">
        <f t="shared" si="67"/>
        <v>LTC</v>
      </c>
      <c r="I344" t="str">
        <f t="shared" si="66"/>
        <v>ARC</v>
      </c>
      <c r="J344" t="str">
        <f t="shared" si="60"/>
        <v>LTCARC</v>
      </c>
      <c r="K344" t="str">
        <f t="shared" si="61"/>
        <v>ARCLTC</v>
      </c>
      <c r="L344">
        <f t="shared" si="62"/>
        <v>0</v>
      </c>
      <c r="M344">
        <f t="shared" si="63"/>
        <v>1</v>
      </c>
      <c r="N344" t="b">
        <f t="shared" si="64"/>
        <v>1</v>
      </c>
    </row>
    <row r="345" spans="1:14" hidden="1" x14ac:dyDescent="0.25">
      <c r="A345" t="s">
        <v>5</v>
      </c>
      <c r="B345" t="s">
        <v>1117</v>
      </c>
      <c r="C345" s="1">
        <v>1.7750000000000001E-5</v>
      </c>
      <c r="D345" s="1">
        <v>1.096E-5</v>
      </c>
      <c r="E345" s="1">
        <v>1.7750000000000001E-5</v>
      </c>
      <c r="F345" s="1">
        <v>1.096E-5</v>
      </c>
      <c r="G345">
        <f t="shared" si="59"/>
        <v>7</v>
      </c>
      <c r="H345" t="str">
        <f t="shared" si="67"/>
        <v>BTC</v>
      </c>
      <c r="I345" t="str">
        <f>LEFT(B345,4)</f>
        <v>ARCO</v>
      </c>
      <c r="J345" t="str">
        <f t="shared" si="60"/>
        <v>BTCARCO</v>
      </c>
      <c r="K345" t="str">
        <f t="shared" si="61"/>
        <v>ARCOBTC</v>
      </c>
      <c r="L345">
        <f t="shared" si="62"/>
        <v>0</v>
      </c>
      <c r="M345">
        <f t="shared" si="63"/>
        <v>1</v>
      </c>
      <c r="N345" t="b">
        <f t="shared" si="64"/>
        <v>1</v>
      </c>
    </row>
    <row r="346" spans="1:14" hidden="1" x14ac:dyDescent="0.25">
      <c r="A346" t="s">
        <v>1239</v>
      </c>
      <c r="B346" t="s">
        <v>1284</v>
      </c>
      <c r="C346" s="1">
        <v>5.9696899999999999</v>
      </c>
      <c r="D346" s="1">
        <v>0.40560000000000002</v>
      </c>
      <c r="E346" s="1">
        <v>5.9696899999999999</v>
      </c>
      <c r="F346" s="1">
        <v>0.40560000000000002</v>
      </c>
      <c r="G346">
        <f t="shared" si="59"/>
        <v>6</v>
      </c>
      <c r="H346" t="str">
        <f t="shared" si="67"/>
        <v>RUR</v>
      </c>
      <c r="I346" t="str">
        <f>LEFT(B346,3)</f>
        <v>ARC</v>
      </c>
      <c r="J346" t="str">
        <f t="shared" si="60"/>
        <v>RURARC</v>
      </c>
      <c r="K346" t="str">
        <f t="shared" si="61"/>
        <v>ARCRUR</v>
      </c>
      <c r="L346">
        <f t="shared" si="62"/>
        <v>0</v>
      </c>
      <c r="M346">
        <f t="shared" si="63"/>
        <v>1</v>
      </c>
      <c r="N346" t="b">
        <f t="shared" si="64"/>
        <v>1</v>
      </c>
    </row>
    <row r="347" spans="1:14" hidden="1" x14ac:dyDescent="0.25">
      <c r="A347" t="s">
        <v>5</v>
      </c>
      <c r="B347" t="s">
        <v>638</v>
      </c>
      <c r="C347" s="1">
        <v>1.7499999999999998E-5</v>
      </c>
      <c r="D347" s="1">
        <v>1.0509999999999999E-5</v>
      </c>
      <c r="E347" s="1">
        <v>1.7499999999999998E-5</v>
      </c>
      <c r="F347" s="1">
        <v>1.0509999999999999E-5</v>
      </c>
      <c r="G347">
        <f t="shared" si="59"/>
        <v>7</v>
      </c>
      <c r="H347" t="str">
        <f t="shared" si="67"/>
        <v>BTC</v>
      </c>
      <c r="I347" t="str">
        <f>LEFT(B347,4)</f>
        <v>ARCX</v>
      </c>
      <c r="J347" t="str">
        <f t="shared" si="60"/>
        <v>BTCARCX</v>
      </c>
      <c r="K347" t="str">
        <f t="shared" si="61"/>
        <v>ARCXBTC</v>
      </c>
      <c r="L347">
        <f t="shared" si="62"/>
        <v>0</v>
      </c>
      <c r="M347">
        <f t="shared" si="63"/>
        <v>1</v>
      </c>
      <c r="N347" t="b">
        <f t="shared" si="64"/>
        <v>1</v>
      </c>
    </row>
    <row r="348" spans="1:14" hidden="1" x14ac:dyDescent="0.25">
      <c r="A348" t="s">
        <v>5</v>
      </c>
      <c r="B348" t="s">
        <v>1070</v>
      </c>
      <c r="C348" s="1" t="s">
        <v>380</v>
      </c>
      <c r="D348" s="1" t="s">
        <v>381</v>
      </c>
      <c r="E348" s="1" t="s">
        <v>380</v>
      </c>
      <c r="F348" s="1" t="s">
        <v>381</v>
      </c>
      <c r="G348">
        <f t="shared" si="59"/>
        <v>6</v>
      </c>
      <c r="H348" t="str">
        <f t="shared" si="67"/>
        <v>BTC</v>
      </c>
      <c r="I348" t="str">
        <f>LEFT(B348,3)</f>
        <v>ARE</v>
      </c>
      <c r="J348" t="str">
        <f t="shared" si="60"/>
        <v>BTCARE</v>
      </c>
      <c r="K348" t="str">
        <f t="shared" si="61"/>
        <v>AREBTC</v>
      </c>
      <c r="L348">
        <f t="shared" si="62"/>
        <v>0</v>
      </c>
      <c r="M348">
        <f t="shared" si="63"/>
        <v>1</v>
      </c>
      <c r="N348" t="b">
        <f t="shared" si="64"/>
        <v>1</v>
      </c>
    </row>
    <row r="349" spans="1:14" hidden="1" x14ac:dyDescent="0.25">
      <c r="A349" t="s">
        <v>5</v>
      </c>
      <c r="B349" t="s">
        <v>482</v>
      </c>
      <c r="C349" s="1">
        <v>6.4899999999999997E-6</v>
      </c>
      <c r="D349" s="1">
        <v>3.45E-6</v>
      </c>
      <c r="E349" s="1">
        <v>6.4899999999999997E-6</v>
      </c>
      <c r="F349" s="1">
        <v>3.45E-6</v>
      </c>
      <c r="G349">
        <f t="shared" si="59"/>
        <v>8</v>
      </c>
      <c r="H349" t="str">
        <f t="shared" si="67"/>
        <v>BTC</v>
      </c>
      <c r="I349" t="str">
        <f>LEFT(B349,5)</f>
        <v>ARGUS</v>
      </c>
      <c r="J349" t="str">
        <f t="shared" si="60"/>
        <v>BTCARGUS</v>
      </c>
      <c r="K349" t="str">
        <f t="shared" si="61"/>
        <v>ARGUSBTC</v>
      </c>
      <c r="L349">
        <f t="shared" si="62"/>
        <v>0</v>
      </c>
      <c r="M349">
        <f t="shared" si="63"/>
        <v>1</v>
      </c>
      <c r="N349" t="b">
        <f t="shared" si="64"/>
        <v>1</v>
      </c>
    </row>
    <row r="350" spans="1:14" hidden="1" x14ac:dyDescent="0.25">
      <c r="A350" t="s">
        <v>5</v>
      </c>
      <c r="B350" t="s">
        <v>982</v>
      </c>
      <c r="C350" s="1" t="s">
        <v>539</v>
      </c>
      <c r="D350" s="1" t="s">
        <v>435</v>
      </c>
      <c r="E350" s="1" t="s">
        <v>539</v>
      </c>
      <c r="F350" s="1" t="s">
        <v>435</v>
      </c>
      <c r="G350">
        <f t="shared" si="59"/>
        <v>6</v>
      </c>
      <c r="H350" t="str">
        <f t="shared" si="67"/>
        <v>BTC</v>
      </c>
      <c r="I350" t="str">
        <f>LEFT(B350,3)</f>
        <v>ARH</v>
      </c>
      <c r="J350" t="str">
        <f t="shared" si="60"/>
        <v>BTCARH</v>
      </c>
      <c r="K350" t="str">
        <f t="shared" si="61"/>
        <v>ARHBTC</v>
      </c>
      <c r="L350">
        <f t="shared" si="62"/>
        <v>0</v>
      </c>
      <c r="M350">
        <f t="shared" si="63"/>
        <v>1</v>
      </c>
      <c r="N350" t="b">
        <f t="shared" si="64"/>
        <v>1</v>
      </c>
    </row>
    <row r="351" spans="1:14" hidden="1" x14ac:dyDescent="0.25">
      <c r="A351" t="s">
        <v>5</v>
      </c>
      <c r="B351" t="s">
        <v>621</v>
      </c>
      <c r="C351" s="1" t="s">
        <v>361</v>
      </c>
      <c r="D351" s="1" t="s">
        <v>362</v>
      </c>
      <c r="E351" s="1" t="s">
        <v>361</v>
      </c>
      <c r="F351" s="1" t="s">
        <v>362</v>
      </c>
      <c r="G351">
        <f t="shared" si="59"/>
        <v>6</v>
      </c>
      <c r="H351" t="str">
        <f t="shared" si="67"/>
        <v>BTC</v>
      </c>
      <c r="I351" t="str">
        <f>LEFT(B351,3)</f>
        <v>ARM</v>
      </c>
      <c r="J351" t="str">
        <f t="shared" si="60"/>
        <v>BTCARM</v>
      </c>
      <c r="K351" t="str">
        <f t="shared" si="61"/>
        <v>ARMBTC</v>
      </c>
      <c r="L351">
        <f t="shared" si="62"/>
        <v>0</v>
      </c>
      <c r="M351">
        <f t="shared" si="63"/>
        <v>1</v>
      </c>
      <c r="N351" t="b">
        <f t="shared" si="64"/>
        <v>1</v>
      </c>
    </row>
    <row r="352" spans="1:14" hidden="1" x14ac:dyDescent="0.25">
      <c r="A352" t="s">
        <v>5</v>
      </c>
      <c r="B352" t="s">
        <v>811</v>
      </c>
      <c r="C352" s="1">
        <v>3.0699999999999998E-6</v>
      </c>
      <c r="D352" s="1">
        <v>2.0700000000000001E-6</v>
      </c>
      <c r="E352" s="1">
        <v>3.0699999999999998E-6</v>
      </c>
      <c r="F352" s="1">
        <v>2.0700000000000001E-6</v>
      </c>
      <c r="G352">
        <f t="shared" si="59"/>
        <v>7</v>
      </c>
      <c r="H352" t="str">
        <f t="shared" si="67"/>
        <v>BTC</v>
      </c>
      <c r="I352" t="str">
        <f>LEFT(B352,4)</f>
        <v>ARPA</v>
      </c>
      <c r="J352" t="str">
        <f t="shared" si="60"/>
        <v>BTCARPA</v>
      </c>
      <c r="K352" t="str">
        <f t="shared" si="61"/>
        <v>ARPABTC</v>
      </c>
      <c r="L352">
        <f t="shared" si="62"/>
        <v>0</v>
      </c>
      <c r="M352">
        <f t="shared" si="63"/>
        <v>1</v>
      </c>
      <c r="N352" t="b">
        <f t="shared" si="64"/>
        <v>1</v>
      </c>
    </row>
    <row r="353" spans="1:14" hidden="1" x14ac:dyDescent="0.25">
      <c r="A353" t="s">
        <v>5</v>
      </c>
      <c r="B353" t="s">
        <v>776</v>
      </c>
      <c r="C353" s="1" t="s">
        <v>380</v>
      </c>
      <c r="D353" s="1" t="s">
        <v>384</v>
      </c>
      <c r="E353" s="1" t="s">
        <v>380</v>
      </c>
      <c r="F353" s="1" t="s">
        <v>384</v>
      </c>
      <c r="G353">
        <f t="shared" si="59"/>
        <v>7</v>
      </c>
      <c r="H353" t="str">
        <f t="shared" si="67"/>
        <v>BTC</v>
      </c>
      <c r="I353" t="str">
        <f>LEFT(B353,4)</f>
        <v>ARTA</v>
      </c>
      <c r="J353" t="str">
        <f t="shared" si="60"/>
        <v>BTCARTA</v>
      </c>
      <c r="K353" t="str">
        <f t="shared" si="61"/>
        <v>ARTABTC</v>
      </c>
      <c r="L353">
        <f t="shared" si="62"/>
        <v>0</v>
      </c>
      <c r="M353">
        <f t="shared" si="63"/>
        <v>1</v>
      </c>
      <c r="N353" t="b">
        <f t="shared" si="64"/>
        <v>1</v>
      </c>
    </row>
    <row r="354" spans="1:14" hidden="1" x14ac:dyDescent="0.25">
      <c r="A354" t="s">
        <v>5</v>
      </c>
      <c r="B354" t="s">
        <v>708</v>
      </c>
      <c r="C354" s="1">
        <v>5.5000000000000003E-7</v>
      </c>
      <c r="D354" s="1">
        <v>4.4999999999999998E-7</v>
      </c>
      <c r="E354" s="1">
        <v>5.5000000000000003E-7</v>
      </c>
      <c r="F354" s="1">
        <v>4.4999999999999998E-7</v>
      </c>
      <c r="G354">
        <f t="shared" si="59"/>
        <v>7</v>
      </c>
      <c r="H354" t="str">
        <f t="shared" si="67"/>
        <v>BTC</v>
      </c>
      <c r="I354" t="str">
        <f>LEFT(B354,4)</f>
        <v>ARTC</v>
      </c>
      <c r="J354" t="str">
        <f t="shared" si="60"/>
        <v>BTCARTC</v>
      </c>
      <c r="K354" t="str">
        <f t="shared" si="61"/>
        <v>ARTCBTC</v>
      </c>
      <c r="L354">
        <f t="shared" si="62"/>
        <v>0</v>
      </c>
      <c r="M354">
        <f t="shared" si="63"/>
        <v>1</v>
      </c>
      <c r="N354" t="b">
        <f t="shared" si="64"/>
        <v>1</v>
      </c>
    </row>
    <row r="355" spans="1:14" hidden="1" x14ac:dyDescent="0.25">
      <c r="A355" t="s">
        <v>5</v>
      </c>
      <c r="B355" t="s">
        <v>1130</v>
      </c>
      <c r="C355" s="1" t="s">
        <v>362</v>
      </c>
      <c r="D355" s="1" t="s">
        <v>364</v>
      </c>
      <c r="E355" s="1" t="s">
        <v>362</v>
      </c>
      <c r="F355" s="1">
        <v>1.5E-6</v>
      </c>
      <c r="G355">
        <f t="shared" si="59"/>
        <v>8</v>
      </c>
      <c r="H355" t="str">
        <f t="shared" si="67"/>
        <v>BTC</v>
      </c>
      <c r="I355" t="str">
        <f>LEFT(B355,5)</f>
        <v>ASAFE</v>
      </c>
      <c r="J355" t="str">
        <f t="shared" si="60"/>
        <v>BTCASAFE</v>
      </c>
      <c r="K355" t="str">
        <f t="shared" si="61"/>
        <v>ASAFEBTC</v>
      </c>
      <c r="L355">
        <f t="shared" si="62"/>
        <v>0</v>
      </c>
      <c r="M355">
        <f t="shared" si="63"/>
        <v>1</v>
      </c>
      <c r="N355" t="b">
        <f t="shared" si="64"/>
        <v>1</v>
      </c>
    </row>
    <row r="356" spans="1:14" hidden="1" x14ac:dyDescent="0.25">
      <c r="A356" t="s">
        <v>5</v>
      </c>
      <c r="B356" t="s">
        <v>1230</v>
      </c>
      <c r="C356" s="1">
        <v>2.1E-7</v>
      </c>
      <c r="D356" s="1">
        <v>1.9000000000000001E-7</v>
      </c>
      <c r="E356" s="1">
        <v>2.1E-7</v>
      </c>
      <c r="F356" s="1">
        <v>1.9000000000000001E-7</v>
      </c>
      <c r="G356">
        <f t="shared" si="59"/>
        <v>6</v>
      </c>
      <c r="H356" t="str">
        <f t="shared" si="67"/>
        <v>BTC</v>
      </c>
      <c r="I356" t="str">
        <f>LEFT(B356,3)</f>
        <v>ASN</v>
      </c>
      <c r="J356" t="str">
        <f t="shared" si="60"/>
        <v>BTCASN</v>
      </c>
      <c r="K356" t="str">
        <f t="shared" si="61"/>
        <v>ASNBTC</v>
      </c>
      <c r="L356">
        <f t="shared" si="62"/>
        <v>0</v>
      </c>
      <c r="M356">
        <f t="shared" si="63"/>
        <v>1</v>
      </c>
      <c r="N356" t="b">
        <f t="shared" si="64"/>
        <v>1</v>
      </c>
    </row>
    <row r="357" spans="1:14" hidden="1" x14ac:dyDescent="0.25">
      <c r="A357" t="s">
        <v>5</v>
      </c>
      <c r="B357" t="s">
        <v>848</v>
      </c>
      <c r="C357" s="1">
        <v>2.3999999999999998E-7</v>
      </c>
      <c r="D357" s="1">
        <v>1.6999999999999999E-7</v>
      </c>
      <c r="E357" s="1">
        <v>2.3999999999999998E-7</v>
      </c>
      <c r="F357" s="1">
        <v>1.6999999999999999E-7</v>
      </c>
      <c r="G357">
        <f t="shared" si="59"/>
        <v>6</v>
      </c>
      <c r="H357" t="str">
        <f t="shared" si="67"/>
        <v>BTC</v>
      </c>
      <c r="I357" t="str">
        <f>LEFT(B357,3)</f>
        <v>AST</v>
      </c>
      <c r="J357" t="str">
        <f t="shared" si="60"/>
        <v>BTCAST</v>
      </c>
      <c r="K357" t="str">
        <f t="shared" si="61"/>
        <v>ASTBTC</v>
      </c>
      <c r="L357">
        <f t="shared" si="62"/>
        <v>0</v>
      </c>
      <c r="M357">
        <f t="shared" si="63"/>
        <v>1</v>
      </c>
      <c r="N357" t="b">
        <f t="shared" si="64"/>
        <v>1</v>
      </c>
    </row>
    <row r="358" spans="1:14" hidden="1" x14ac:dyDescent="0.25">
      <c r="A358" t="s">
        <v>5</v>
      </c>
      <c r="B358" t="s">
        <v>777</v>
      </c>
      <c r="C358" s="1">
        <v>3.3999999999999997E-7</v>
      </c>
      <c r="D358" s="1">
        <v>3.3000000000000002E-7</v>
      </c>
      <c r="E358" s="1">
        <v>3.3999999999999997E-7</v>
      </c>
      <c r="F358" s="1">
        <v>3.3000000000000002E-7</v>
      </c>
      <c r="G358">
        <f t="shared" si="59"/>
        <v>6</v>
      </c>
      <c r="H358" t="str">
        <f t="shared" si="67"/>
        <v>BTC</v>
      </c>
      <c r="I358" t="str">
        <f>LEFT(B358,3)</f>
        <v>ATM</v>
      </c>
      <c r="J358" t="str">
        <f t="shared" si="60"/>
        <v>BTCATM</v>
      </c>
      <c r="K358" t="str">
        <f t="shared" si="61"/>
        <v>ATMBTC</v>
      </c>
      <c r="L358">
        <f t="shared" si="62"/>
        <v>0</v>
      </c>
      <c r="M358">
        <f t="shared" si="63"/>
        <v>1</v>
      </c>
      <c r="N358" t="b">
        <f t="shared" si="64"/>
        <v>1</v>
      </c>
    </row>
    <row r="359" spans="1:14" hidden="1" x14ac:dyDescent="0.25">
      <c r="A359" t="s">
        <v>5</v>
      </c>
      <c r="B359" t="s">
        <v>1120</v>
      </c>
      <c r="C359" s="1">
        <v>1.694E-5</v>
      </c>
      <c r="D359" s="1">
        <v>1.509E-5</v>
      </c>
      <c r="E359" s="1">
        <v>1.694E-5</v>
      </c>
      <c r="F359" s="1">
        <v>1.509E-5</v>
      </c>
      <c r="G359">
        <f t="shared" si="59"/>
        <v>7</v>
      </c>
      <c r="H359" t="str">
        <f t="shared" si="67"/>
        <v>BTC</v>
      </c>
      <c r="I359" t="str">
        <f>LEFT(B359,4)</f>
        <v>ATOM</v>
      </c>
      <c r="J359" t="str">
        <f t="shared" si="60"/>
        <v>BTCATOM</v>
      </c>
      <c r="K359" t="str">
        <f t="shared" si="61"/>
        <v>ATOMBTC</v>
      </c>
      <c r="L359">
        <f t="shared" si="62"/>
        <v>0</v>
      </c>
      <c r="M359">
        <f t="shared" si="63"/>
        <v>1</v>
      </c>
      <c r="N359" t="b">
        <f t="shared" si="64"/>
        <v>1</v>
      </c>
    </row>
    <row r="360" spans="1:14" hidden="1" x14ac:dyDescent="0.25">
      <c r="A360" t="s">
        <v>1239</v>
      </c>
      <c r="B360" t="s">
        <v>1286</v>
      </c>
      <c r="C360" s="1">
        <v>1.1999999999999999E-6</v>
      </c>
      <c r="D360" s="1">
        <v>1.1400000000000001E-6</v>
      </c>
      <c r="E360" s="1">
        <v>1.1999999999999999E-6</v>
      </c>
      <c r="F360" s="1">
        <v>1.1400000000000001E-6</v>
      </c>
      <c r="G360">
        <f t="shared" si="59"/>
        <v>6</v>
      </c>
      <c r="H360" t="str">
        <f t="shared" si="67"/>
        <v>BTC</v>
      </c>
      <c r="I360" t="str">
        <f>LEFT(B360,3)</f>
        <v>ATX</v>
      </c>
      <c r="J360" t="str">
        <f t="shared" si="60"/>
        <v>BTCATX</v>
      </c>
      <c r="K360" t="str">
        <f t="shared" si="61"/>
        <v>ATXBTC</v>
      </c>
      <c r="L360">
        <f t="shared" si="62"/>
        <v>0</v>
      </c>
      <c r="M360">
        <f t="shared" si="63"/>
        <v>1</v>
      </c>
      <c r="N360" t="b">
        <f t="shared" si="64"/>
        <v>1</v>
      </c>
    </row>
    <row r="361" spans="1:14" hidden="1" x14ac:dyDescent="0.25">
      <c r="A361" t="s">
        <v>5</v>
      </c>
      <c r="B361" t="s">
        <v>964</v>
      </c>
      <c r="C361" s="1">
        <v>3.8000000000000001E-7</v>
      </c>
      <c r="D361" s="1">
        <v>3.7E-7</v>
      </c>
      <c r="E361" s="1">
        <v>3.8000000000000001E-7</v>
      </c>
      <c r="F361" s="1">
        <v>3.7E-7</v>
      </c>
      <c r="G361">
        <f t="shared" si="59"/>
        <v>6</v>
      </c>
      <c r="H361" t="str">
        <f t="shared" si="67"/>
        <v>BTC</v>
      </c>
      <c r="I361" t="str">
        <f>LEFT(B361,3)</f>
        <v>AUM</v>
      </c>
      <c r="J361" t="str">
        <f t="shared" si="60"/>
        <v>BTCAUM</v>
      </c>
      <c r="K361" t="str">
        <f t="shared" si="61"/>
        <v>AUMBTC</v>
      </c>
      <c r="L361">
        <f t="shared" si="62"/>
        <v>0</v>
      </c>
      <c r="M361">
        <f t="shared" si="63"/>
        <v>1</v>
      </c>
      <c r="N361" t="b">
        <f t="shared" si="64"/>
        <v>1</v>
      </c>
    </row>
    <row r="362" spans="1:14" hidden="1" x14ac:dyDescent="0.25">
      <c r="A362" t="s">
        <v>5</v>
      </c>
      <c r="B362" t="s">
        <v>739</v>
      </c>
      <c r="C362" s="1">
        <v>1.28E-6</v>
      </c>
      <c r="D362" s="1">
        <v>1.19E-6</v>
      </c>
      <c r="E362" s="1">
        <v>1.28E-6</v>
      </c>
      <c r="F362" s="1">
        <v>1.19E-6</v>
      </c>
      <c r="G362">
        <f t="shared" si="59"/>
        <v>5</v>
      </c>
      <c r="H362" t="str">
        <f t="shared" si="67"/>
        <v>BTC</v>
      </c>
      <c r="I362" t="str">
        <f>LEFT(B362,2)</f>
        <v>AV</v>
      </c>
      <c r="J362" t="str">
        <f t="shared" si="60"/>
        <v>BTCAV</v>
      </c>
      <c r="K362" t="str">
        <f t="shared" si="61"/>
        <v>AVBTC</v>
      </c>
      <c r="L362">
        <f t="shared" si="62"/>
        <v>0</v>
      </c>
      <c r="M362">
        <f t="shared" si="63"/>
        <v>1</v>
      </c>
      <c r="N362" t="b">
        <f t="shared" si="64"/>
        <v>1</v>
      </c>
    </row>
    <row r="363" spans="1:14" hidden="1" x14ac:dyDescent="0.25">
      <c r="A363" t="s">
        <v>1403</v>
      </c>
      <c r="B363" t="s">
        <v>1410</v>
      </c>
      <c r="C363" s="1">
        <v>1.5000599999999999E-3</v>
      </c>
      <c r="D363" s="1">
        <v>4.1220800000000002E-3</v>
      </c>
      <c r="E363" s="1">
        <v>4.1220800000000002E-3</v>
      </c>
      <c r="F363" s="1">
        <v>9.0092999999999998E-4</v>
      </c>
      <c r="G363">
        <f t="shared" si="59"/>
        <v>6</v>
      </c>
      <c r="H363" t="str">
        <f t="shared" si="67"/>
        <v>BTC</v>
      </c>
      <c r="I363" t="str">
        <f>LEFT(B363,3)</f>
        <v>AVC</v>
      </c>
      <c r="J363" t="str">
        <f t="shared" si="60"/>
        <v>BTCAVC</v>
      </c>
      <c r="K363" t="str">
        <f t="shared" si="61"/>
        <v>AVCBTC</v>
      </c>
      <c r="L363">
        <f t="shared" si="62"/>
        <v>0</v>
      </c>
      <c r="M363">
        <f t="shared" si="63"/>
        <v>1</v>
      </c>
      <c r="N363" t="b">
        <f t="shared" si="64"/>
        <v>1</v>
      </c>
    </row>
    <row r="364" spans="1:14" hidden="1" x14ac:dyDescent="0.25">
      <c r="A364" t="s">
        <v>1403</v>
      </c>
      <c r="B364" t="s">
        <v>1913</v>
      </c>
      <c r="C364" s="1">
        <v>0</v>
      </c>
      <c r="D364" s="1">
        <v>0</v>
      </c>
      <c r="E364" s="1">
        <v>0</v>
      </c>
      <c r="F364" s="1">
        <v>0.11100127</v>
      </c>
      <c r="G364">
        <f t="shared" si="59"/>
        <v>7</v>
      </c>
      <c r="H364" t="str">
        <f>RIGHT(B364,4)</f>
        <v>DOGE</v>
      </c>
      <c r="I364" t="str">
        <f>LEFT(B364,3)</f>
        <v>AVC</v>
      </c>
      <c r="J364" t="str">
        <f t="shared" si="60"/>
        <v>DOGEAVC</v>
      </c>
      <c r="K364" t="str">
        <f t="shared" si="61"/>
        <v>AVCDOGE</v>
      </c>
      <c r="L364">
        <f t="shared" si="62"/>
        <v>0</v>
      </c>
      <c r="M364">
        <f t="shared" si="63"/>
        <v>1</v>
      </c>
      <c r="N364" t="b">
        <f t="shared" si="64"/>
        <v>1</v>
      </c>
    </row>
    <row r="365" spans="1:14" hidden="1" x14ac:dyDescent="0.25">
      <c r="A365" t="s">
        <v>1403</v>
      </c>
      <c r="B365" t="s">
        <v>1721</v>
      </c>
      <c r="C365" s="1">
        <v>0</v>
      </c>
      <c r="D365" s="1">
        <v>0</v>
      </c>
      <c r="E365" s="1">
        <v>0</v>
      </c>
      <c r="F365" s="1">
        <v>3.5999999999999999E-7</v>
      </c>
      <c r="G365">
        <f t="shared" si="59"/>
        <v>6</v>
      </c>
      <c r="H365" t="str">
        <f t="shared" ref="H365:H374" si="68">RIGHT(B365,3)</f>
        <v>LTC</v>
      </c>
      <c r="I365" t="str">
        <f>LEFT(B365,3)</f>
        <v>AVC</v>
      </c>
      <c r="J365" t="str">
        <f t="shared" si="60"/>
        <v>LTCAVC</v>
      </c>
      <c r="K365" t="str">
        <f t="shared" si="61"/>
        <v>AVCLTC</v>
      </c>
      <c r="L365">
        <f t="shared" si="62"/>
        <v>0</v>
      </c>
      <c r="M365">
        <f t="shared" si="63"/>
        <v>1</v>
      </c>
      <c r="N365" t="b">
        <f t="shared" si="64"/>
        <v>1</v>
      </c>
    </row>
    <row r="366" spans="1:14" hidden="1" x14ac:dyDescent="0.25">
      <c r="A366" t="s">
        <v>1403</v>
      </c>
      <c r="B366" t="s">
        <v>1541</v>
      </c>
      <c r="C366" s="1">
        <v>0</v>
      </c>
      <c r="D366" s="1">
        <v>0</v>
      </c>
      <c r="E366" s="1">
        <v>0</v>
      </c>
      <c r="F366" s="1">
        <v>1.10009E-3</v>
      </c>
      <c r="G366">
        <f t="shared" si="59"/>
        <v>6</v>
      </c>
      <c r="H366" t="str">
        <f t="shared" si="68"/>
        <v>USD</v>
      </c>
      <c r="I366" t="str">
        <f>LEFT(B366,3)</f>
        <v>AVC</v>
      </c>
      <c r="J366" t="str">
        <f t="shared" si="60"/>
        <v>USDAVC</v>
      </c>
      <c r="K366" t="str">
        <f t="shared" si="61"/>
        <v>AVCUSD</v>
      </c>
      <c r="L366">
        <f t="shared" si="62"/>
        <v>0</v>
      </c>
      <c r="M366">
        <f t="shared" si="63"/>
        <v>1</v>
      </c>
      <c r="N366" t="b">
        <f t="shared" si="64"/>
        <v>1</v>
      </c>
    </row>
    <row r="367" spans="1:14" hidden="1" x14ac:dyDescent="0.25">
      <c r="A367" t="s">
        <v>5</v>
      </c>
      <c r="B367" t="s">
        <v>1048</v>
      </c>
      <c r="C367" s="1">
        <v>2.0200000000000001E-6</v>
      </c>
      <c r="D367" s="1">
        <v>1.9800000000000001E-6</v>
      </c>
      <c r="E367" s="1">
        <v>2.0200000000000001E-6</v>
      </c>
      <c r="F367" s="1">
        <v>1.9800000000000001E-6</v>
      </c>
      <c r="G367">
        <f t="shared" si="59"/>
        <v>8</v>
      </c>
      <c r="H367" t="str">
        <f t="shared" si="68"/>
        <v>BTC</v>
      </c>
      <c r="I367" t="str">
        <f>LEFT(B367,5)</f>
        <v>AXIOM</v>
      </c>
      <c r="J367" t="str">
        <f t="shared" si="60"/>
        <v>BTCAXIOM</v>
      </c>
      <c r="K367" t="str">
        <f t="shared" si="61"/>
        <v>AXIOMBTC</v>
      </c>
      <c r="L367">
        <f t="shared" si="62"/>
        <v>0</v>
      </c>
      <c r="M367">
        <f t="shared" si="63"/>
        <v>1</v>
      </c>
      <c r="N367" t="b">
        <f t="shared" si="64"/>
        <v>1</v>
      </c>
    </row>
    <row r="368" spans="1:14" hidden="1" x14ac:dyDescent="0.25">
      <c r="A368" t="s">
        <v>5</v>
      </c>
      <c r="B368" t="s">
        <v>536</v>
      </c>
      <c r="C368" s="1" t="s">
        <v>362</v>
      </c>
      <c r="D368" s="1" t="s">
        <v>364</v>
      </c>
      <c r="E368" s="1" t="s">
        <v>362</v>
      </c>
      <c r="F368" s="1">
        <v>9.0999999999999997E-7</v>
      </c>
      <c r="G368">
        <f t="shared" si="59"/>
        <v>5</v>
      </c>
      <c r="H368" t="str">
        <f t="shared" si="68"/>
        <v>BTC</v>
      </c>
      <c r="I368" t="str">
        <f>LEFT(B368,2)</f>
        <v>B2</v>
      </c>
      <c r="J368" t="str">
        <f t="shared" si="60"/>
        <v>BTCB2</v>
      </c>
      <c r="K368" t="str">
        <f t="shared" si="61"/>
        <v>B2BTC</v>
      </c>
      <c r="L368">
        <f t="shared" si="62"/>
        <v>0</v>
      </c>
      <c r="M368">
        <f t="shared" si="63"/>
        <v>1</v>
      </c>
      <c r="N368" t="b">
        <f t="shared" si="64"/>
        <v>1</v>
      </c>
    </row>
    <row r="369" spans="1:14" hidden="1" x14ac:dyDescent="0.25">
      <c r="A369" t="s">
        <v>5</v>
      </c>
      <c r="B369" t="s">
        <v>647</v>
      </c>
      <c r="C369" s="1">
        <v>2.8209999999999999E-5</v>
      </c>
      <c r="D369" s="1">
        <v>2.762E-5</v>
      </c>
      <c r="E369" s="1">
        <v>2.8209999999999999E-5</v>
      </c>
      <c r="F369" s="1">
        <v>2.762E-5</v>
      </c>
      <c r="G369">
        <f t="shared" si="59"/>
        <v>5</v>
      </c>
      <c r="H369" t="str">
        <f t="shared" si="68"/>
        <v>BTC</v>
      </c>
      <c r="I369" t="str">
        <f>LEFT(B369,2)</f>
        <v>B3</v>
      </c>
      <c r="J369" t="str">
        <f t="shared" si="60"/>
        <v>BTCB3</v>
      </c>
      <c r="K369" t="str">
        <f t="shared" si="61"/>
        <v>B3BTC</v>
      </c>
      <c r="L369">
        <f t="shared" si="62"/>
        <v>0</v>
      </c>
      <c r="M369">
        <f t="shared" si="63"/>
        <v>1</v>
      </c>
      <c r="N369" t="b">
        <f t="shared" si="64"/>
        <v>1</v>
      </c>
    </row>
    <row r="370" spans="1:14" hidden="1" x14ac:dyDescent="0.25">
      <c r="A370" t="s">
        <v>5</v>
      </c>
      <c r="B370" t="s">
        <v>412</v>
      </c>
      <c r="C370" s="1" t="s">
        <v>362</v>
      </c>
      <c r="D370" s="1" t="s">
        <v>364</v>
      </c>
      <c r="E370" s="1" t="s">
        <v>362</v>
      </c>
      <c r="F370" s="1">
        <v>6.7999999999999995E-7</v>
      </c>
      <c r="G370">
        <f t="shared" si="59"/>
        <v>6</v>
      </c>
      <c r="H370" t="str">
        <f t="shared" si="68"/>
        <v>BTC</v>
      </c>
      <c r="I370" t="str">
        <f>LEFT(B370,3)</f>
        <v>BAB</v>
      </c>
      <c r="J370" t="str">
        <f t="shared" si="60"/>
        <v>BTCBAB</v>
      </c>
      <c r="K370" t="str">
        <f t="shared" si="61"/>
        <v>BABBTC</v>
      </c>
      <c r="L370">
        <f t="shared" si="62"/>
        <v>0</v>
      </c>
      <c r="M370">
        <f t="shared" si="63"/>
        <v>1</v>
      </c>
      <c r="N370" t="b">
        <f t="shared" si="64"/>
        <v>1</v>
      </c>
    </row>
    <row r="371" spans="1:14" hidden="1" x14ac:dyDescent="0.25">
      <c r="A371" t="s">
        <v>5</v>
      </c>
      <c r="B371" t="s">
        <v>882</v>
      </c>
      <c r="C371" s="1" t="s">
        <v>368</v>
      </c>
      <c r="D371" s="1">
        <v>1.4999999999999999E-7</v>
      </c>
      <c r="E371" s="1" t="s">
        <v>368</v>
      </c>
      <c r="F371" s="1">
        <v>1.4999999999999999E-7</v>
      </c>
      <c r="G371">
        <f t="shared" si="59"/>
        <v>5</v>
      </c>
      <c r="H371" t="str">
        <f t="shared" si="68"/>
        <v>BTC</v>
      </c>
      <c r="I371" t="str">
        <f>LEFT(B371,2)</f>
        <v>BA</v>
      </c>
      <c r="J371" t="str">
        <f t="shared" si="60"/>
        <v>BTCBA</v>
      </c>
      <c r="K371" t="str">
        <f t="shared" si="61"/>
        <v>BABTC</v>
      </c>
      <c r="L371">
        <f t="shared" si="62"/>
        <v>0</v>
      </c>
      <c r="M371">
        <f t="shared" si="63"/>
        <v>1</v>
      </c>
      <c r="N371" t="b">
        <f t="shared" si="64"/>
        <v>1</v>
      </c>
    </row>
    <row r="372" spans="1:14" hidden="1" x14ac:dyDescent="0.25">
      <c r="A372" t="s">
        <v>5</v>
      </c>
      <c r="B372" t="s">
        <v>632</v>
      </c>
      <c r="C372" s="1">
        <v>3.2000000000000001E-7</v>
      </c>
      <c r="D372" s="1" t="s">
        <v>374</v>
      </c>
      <c r="E372" s="1">
        <v>3.2000000000000001E-7</v>
      </c>
      <c r="F372" s="1" t="s">
        <v>374</v>
      </c>
      <c r="G372">
        <f t="shared" si="59"/>
        <v>6</v>
      </c>
      <c r="H372" t="str">
        <f t="shared" si="68"/>
        <v>BTC</v>
      </c>
      <c r="I372" t="str">
        <f>LEFT(B372,3)</f>
        <v>BAC</v>
      </c>
      <c r="J372" t="str">
        <f t="shared" si="60"/>
        <v>BTCBAC</v>
      </c>
      <c r="K372" t="str">
        <f t="shared" si="61"/>
        <v>BACBTC</v>
      </c>
      <c r="L372">
        <f t="shared" si="62"/>
        <v>0</v>
      </c>
      <c r="M372">
        <f t="shared" si="63"/>
        <v>1</v>
      </c>
      <c r="N372" t="b">
        <f t="shared" si="64"/>
        <v>1</v>
      </c>
    </row>
    <row r="373" spans="1:14" hidden="1" x14ac:dyDescent="0.25">
      <c r="A373" t="s">
        <v>5</v>
      </c>
      <c r="B373" t="s">
        <v>1057</v>
      </c>
      <c r="C373" s="1">
        <v>3.8099999999999999E-6</v>
      </c>
      <c r="D373" s="1">
        <v>2.52E-6</v>
      </c>
      <c r="E373" s="1">
        <v>3.8099999999999999E-6</v>
      </c>
      <c r="F373" s="1">
        <v>2.52E-6</v>
      </c>
      <c r="G373">
        <f t="shared" si="59"/>
        <v>6</v>
      </c>
      <c r="H373" t="str">
        <f t="shared" si="68"/>
        <v>BTC</v>
      </c>
      <c r="I373" t="str">
        <f>LEFT(B373,3)</f>
        <v>BAM</v>
      </c>
      <c r="J373" t="str">
        <f t="shared" si="60"/>
        <v>BTCBAM</v>
      </c>
      <c r="K373" t="str">
        <f t="shared" si="61"/>
        <v>BAMBTC</v>
      </c>
      <c r="L373">
        <f t="shared" si="62"/>
        <v>0</v>
      </c>
      <c r="M373">
        <f t="shared" si="63"/>
        <v>1</v>
      </c>
      <c r="N373" t="b">
        <f t="shared" si="64"/>
        <v>1</v>
      </c>
    </row>
    <row r="374" spans="1:14" hidden="1" x14ac:dyDescent="0.25">
      <c r="A374" t="s">
        <v>5</v>
      </c>
      <c r="B374" t="s">
        <v>1069</v>
      </c>
      <c r="C374" s="1" t="s">
        <v>380</v>
      </c>
      <c r="D374" s="1" t="s">
        <v>381</v>
      </c>
      <c r="E374" s="1" t="s">
        <v>380</v>
      </c>
      <c r="F374" s="1" t="s">
        <v>381</v>
      </c>
      <c r="G374">
        <f t="shared" si="59"/>
        <v>6</v>
      </c>
      <c r="H374" t="str">
        <f t="shared" si="68"/>
        <v>BTC</v>
      </c>
      <c r="I374" t="str">
        <f>LEFT(B374,3)</f>
        <v>BAN</v>
      </c>
      <c r="J374" t="str">
        <f t="shared" si="60"/>
        <v>BTCBAN</v>
      </c>
      <c r="K374" t="str">
        <f t="shared" si="61"/>
        <v>BANBTC</v>
      </c>
      <c r="L374">
        <f t="shared" si="62"/>
        <v>0</v>
      </c>
      <c r="M374">
        <f t="shared" si="63"/>
        <v>1</v>
      </c>
      <c r="N374" t="b">
        <f t="shared" si="64"/>
        <v>1</v>
      </c>
    </row>
    <row r="375" spans="1:14" hidden="1" x14ac:dyDescent="0.25">
      <c r="A375" t="s">
        <v>1403</v>
      </c>
      <c r="B375" t="s">
        <v>1914</v>
      </c>
      <c r="C375" s="1">
        <v>5.8</v>
      </c>
      <c r="D375" s="1">
        <v>5.8</v>
      </c>
      <c r="E375" s="1">
        <v>18.908619999999999</v>
      </c>
      <c r="F375" s="1">
        <v>0.14016492</v>
      </c>
      <c r="G375">
        <f t="shared" si="59"/>
        <v>8</v>
      </c>
      <c r="H375" t="str">
        <f>RIGHT(B375,4)</f>
        <v>DOGE</v>
      </c>
      <c r="I375" t="str">
        <f>LEFT(B375,4)</f>
        <v>BASH</v>
      </c>
      <c r="J375" t="str">
        <f t="shared" si="60"/>
        <v>DOGEBASH</v>
      </c>
      <c r="K375" t="str">
        <f t="shared" si="61"/>
        <v>BASHDOGE</v>
      </c>
      <c r="L375">
        <f t="shared" si="62"/>
        <v>0</v>
      </c>
      <c r="M375">
        <f t="shared" si="63"/>
        <v>1</v>
      </c>
      <c r="N375" t="b">
        <f t="shared" si="64"/>
        <v>1</v>
      </c>
    </row>
    <row r="376" spans="1:14" hidden="1" x14ac:dyDescent="0.25">
      <c r="A376" t="s">
        <v>1403</v>
      </c>
      <c r="B376" t="s">
        <v>1722</v>
      </c>
      <c r="C376" s="1">
        <v>1.41483E-3</v>
      </c>
      <c r="D376" s="1">
        <v>1.41483E-3</v>
      </c>
      <c r="E376" s="1">
        <v>9.8989543999999999E-3</v>
      </c>
      <c r="F376" s="1">
        <v>1.4149E-4</v>
      </c>
      <c r="G376">
        <f t="shared" si="59"/>
        <v>7</v>
      </c>
      <c r="H376" t="str">
        <f>RIGHT(B376,3)</f>
        <v>LTC</v>
      </c>
      <c r="I376" t="str">
        <f>LEFT(B376,4)</f>
        <v>BASH</v>
      </c>
      <c r="J376" t="str">
        <f t="shared" si="60"/>
        <v>LTCBASH</v>
      </c>
      <c r="K376" t="str">
        <f t="shared" si="61"/>
        <v>BASHLTC</v>
      </c>
      <c r="L376">
        <f t="shared" si="62"/>
        <v>0</v>
      </c>
      <c r="M376">
        <f t="shared" si="63"/>
        <v>1</v>
      </c>
      <c r="N376" t="b">
        <f t="shared" si="64"/>
        <v>1</v>
      </c>
    </row>
    <row r="377" spans="1:14" hidden="1" x14ac:dyDescent="0.25">
      <c r="A377" t="s">
        <v>1403</v>
      </c>
      <c r="B377" t="s">
        <v>1542</v>
      </c>
      <c r="C377" s="1">
        <v>0.13589000000000001</v>
      </c>
      <c r="D377" s="1">
        <v>0.13589000000000001</v>
      </c>
      <c r="E377" s="1">
        <v>0.12</v>
      </c>
      <c r="F377" s="1">
        <v>3.1000099999999998E-3</v>
      </c>
      <c r="G377">
        <f t="shared" si="59"/>
        <v>7</v>
      </c>
      <c r="H377" t="str">
        <f>RIGHT(B377,3)</f>
        <v>USD</v>
      </c>
      <c r="I377" t="str">
        <f>LEFT(B377,4)</f>
        <v>BASH</v>
      </c>
      <c r="J377" t="str">
        <f t="shared" si="60"/>
        <v>USDBASH</v>
      </c>
      <c r="K377" t="str">
        <f t="shared" si="61"/>
        <v>BASHUSD</v>
      </c>
      <c r="L377">
        <f t="shared" si="62"/>
        <v>0</v>
      </c>
      <c r="M377">
        <f t="shared" si="63"/>
        <v>1</v>
      </c>
      <c r="N377" t="b">
        <f t="shared" si="64"/>
        <v>1</v>
      </c>
    </row>
    <row r="378" spans="1:14" hidden="1" x14ac:dyDescent="0.25">
      <c r="A378" t="s">
        <v>5</v>
      </c>
      <c r="B378" t="s">
        <v>853</v>
      </c>
      <c r="C378" s="1">
        <v>1.8E-7</v>
      </c>
      <c r="D378" s="1">
        <v>1.4999999999999999E-7</v>
      </c>
      <c r="E378" s="1">
        <v>1.8E-7</v>
      </c>
      <c r="F378" s="1">
        <v>1.4999999999999999E-7</v>
      </c>
      <c r="G378">
        <f t="shared" si="59"/>
        <v>7</v>
      </c>
      <c r="H378" t="str">
        <f>RIGHT(B378,3)</f>
        <v>BTC</v>
      </c>
      <c r="I378" t="str">
        <f>LEFT(B378,4)</f>
        <v>BATL</v>
      </c>
      <c r="J378" t="str">
        <f t="shared" si="60"/>
        <v>BTCBATL</v>
      </c>
      <c r="K378" t="str">
        <f t="shared" si="61"/>
        <v>BATLBTC</v>
      </c>
      <c r="L378">
        <f t="shared" si="62"/>
        <v>0</v>
      </c>
      <c r="M378">
        <f t="shared" si="63"/>
        <v>1</v>
      </c>
      <c r="N378" t="b">
        <f t="shared" si="64"/>
        <v>1</v>
      </c>
    </row>
    <row r="379" spans="1:14" hidden="1" x14ac:dyDescent="0.25">
      <c r="A379" t="s">
        <v>1403</v>
      </c>
      <c r="B379" t="s">
        <v>1915</v>
      </c>
      <c r="C379" s="1">
        <v>2.5999999800000002</v>
      </c>
      <c r="D379" s="1">
        <v>199.99999990000001</v>
      </c>
      <c r="E379" s="1">
        <v>191.5</v>
      </c>
      <c r="F379" s="1">
        <v>2.0400000199999999</v>
      </c>
      <c r="G379">
        <f t="shared" si="59"/>
        <v>7</v>
      </c>
      <c r="H379" t="str">
        <f>RIGHT(B379,4)</f>
        <v>DOGE</v>
      </c>
      <c r="I379" t="str">
        <f>LEFT(B379,3)</f>
        <v>BAY</v>
      </c>
      <c r="J379" t="str">
        <f t="shared" si="60"/>
        <v>DOGEBAY</v>
      </c>
      <c r="K379" t="str">
        <f t="shared" si="61"/>
        <v>BAYDOGE</v>
      </c>
      <c r="L379">
        <f t="shared" si="62"/>
        <v>0</v>
      </c>
      <c r="M379">
        <f t="shared" si="63"/>
        <v>1</v>
      </c>
      <c r="N379" t="b">
        <f t="shared" si="64"/>
        <v>1</v>
      </c>
    </row>
    <row r="380" spans="1:14" hidden="1" x14ac:dyDescent="0.25">
      <c r="A380" t="s">
        <v>1403</v>
      </c>
      <c r="B380" t="s">
        <v>1723</v>
      </c>
      <c r="C380" s="1">
        <v>1.0149999999999999E-5</v>
      </c>
      <c r="D380" s="1">
        <v>2.14E-3</v>
      </c>
      <c r="E380" s="1">
        <v>0.05</v>
      </c>
      <c r="F380" s="1">
        <v>1.117E-5</v>
      </c>
      <c r="G380">
        <f t="shared" si="59"/>
        <v>6</v>
      </c>
      <c r="H380" t="str">
        <f t="shared" ref="H380:H388" si="69">RIGHT(B380,3)</f>
        <v>LTC</v>
      </c>
      <c r="I380" t="str">
        <f>LEFT(B380,3)</f>
        <v>BAY</v>
      </c>
      <c r="J380" t="str">
        <f t="shared" si="60"/>
        <v>LTCBAY</v>
      </c>
      <c r="K380" t="str">
        <f t="shared" si="61"/>
        <v>BAYLTC</v>
      </c>
      <c r="L380">
        <f t="shared" si="62"/>
        <v>0</v>
      </c>
      <c r="M380">
        <f t="shared" si="63"/>
        <v>1</v>
      </c>
      <c r="N380" t="b">
        <f t="shared" si="64"/>
        <v>1</v>
      </c>
    </row>
    <row r="381" spans="1:14" hidden="1" x14ac:dyDescent="0.25">
      <c r="A381" t="s">
        <v>1403</v>
      </c>
      <c r="B381" t="s">
        <v>1543</v>
      </c>
      <c r="C381" s="1">
        <v>1.20706E-3</v>
      </c>
      <c r="D381" s="1">
        <v>3.7999999999999999E-2</v>
      </c>
      <c r="E381" s="1">
        <v>8.0492419999999995E-2</v>
      </c>
      <c r="F381" s="1">
        <v>1.7000000000000001E-2</v>
      </c>
      <c r="G381">
        <f t="shared" si="59"/>
        <v>6</v>
      </c>
      <c r="H381" t="str">
        <f t="shared" si="69"/>
        <v>USD</v>
      </c>
      <c r="I381" t="str">
        <f>LEFT(B381,3)</f>
        <v>BAY</v>
      </c>
      <c r="J381" t="str">
        <f t="shared" si="60"/>
        <v>USDBAY</v>
      </c>
      <c r="K381" t="str">
        <f t="shared" si="61"/>
        <v>BAYUSD</v>
      </c>
      <c r="L381">
        <f t="shared" si="62"/>
        <v>0</v>
      </c>
      <c r="M381">
        <f t="shared" si="63"/>
        <v>1</v>
      </c>
      <c r="N381" t="b">
        <f t="shared" si="64"/>
        <v>1</v>
      </c>
    </row>
    <row r="382" spans="1:14" hidden="1" x14ac:dyDescent="0.25">
      <c r="A382" t="s">
        <v>5</v>
      </c>
      <c r="B382" t="s">
        <v>1053</v>
      </c>
      <c r="C382" s="1">
        <v>7.3E-7</v>
      </c>
      <c r="D382" s="1">
        <v>6.7999999999999995E-7</v>
      </c>
      <c r="E382" s="1">
        <v>7.3E-7</v>
      </c>
      <c r="F382" s="1">
        <v>6.7999999999999995E-7</v>
      </c>
      <c r="G382">
        <f t="shared" si="59"/>
        <v>7</v>
      </c>
      <c r="H382" t="str">
        <f t="shared" si="69"/>
        <v>BTC</v>
      </c>
      <c r="I382" t="str">
        <f>LEFT(B382,4)</f>
        <v>BBCC</v>
      </c>
      <c r="J382" t="str">
        <f t="shared" si="60"/>
        <v>BTCBBCC</v>
      </c>
      <c r="K382" t="str">
        <f t="shared" si="61"/>
        <v>BBCCBTC</v>
      </c>
      <c r="L382">
        <f t="shared" si="62"/>
        <v>0</v>
      </c>
      <c r="M382">
        <f t="shared" si="63"/>
        <v>1</v>
      </c>
      <c r="N382" t="b">
        <f t="shared" si="64"/>
        <v>1</v>
      </c>
    </row>
    <row r="383" spans="1:14" hidden="1" x14ac:dyDescent="0.25">
      <c r="A383" t="s">
        <v>27</v>
      </c>
      <c r="B383" t="s">
        <v>38</v>
      </c>
      <c r="C383" s="1">
        <v>2977</v>
      </c>
      <c r="D383" s="1">
        <v>1500.2</v>
      </c>
      <c r="E383" s="1">
        <v>2977</v>
      </c>
      <c r="F383" s="1">
        <v>1500.0842596560001</v>
      </c>
      <c r="G383">
        <f t="shared" si="59"/>
        <v>6</v>
      </c>
      <c r="H383" t="str">
        <f t="shared" si="69"/>
        <v>USD</v>
      </c>
      <c r="I383" t="str">
        <f t="shared" ref="I383:I390" si="70">LEFT(B383,3)</f>
        <v>BCC</v>
      </c>
      <c r="J383" t="str">
        <f t="shared" si="60"/>
        <v>USDBCC</v>
      </c>
      <c r="K383" t="str">
        <f t="shared" si="61"/>
        <v>BCCUSD</v>
      </c>
      <c r="L383">
        <f t="shared" si="62"/>
        <v>0</v>
      </c>
      <c r="M383">
        <f t="shared" si="63"/>
        <v>1</v>
      </c>
      <c r="N383" t="b">
        <f t="shared" si="64"/>
        <v>1</v>
      </c>
    </row>
    <row r="384" spans="1:14" hidden="1" x14ac:dyDescent="0.25">
      <c r="A384" t="s">
        <v>4</v>
      </c>
      <c r="B384" t="s">
        <v>315</v>
      </c>
      <c r="C384" s="1">
        <v>1.83E-3</v>
      </c>
      <c r="D384" s="1">
        <v>1.523E-3</v>
      </c>
      <c r="E384" s="1">
        <v>1.83E-3</v>
      </c>
      <c r="F384" s="1">
        <v>1.523E-3</v>
      </c>
      <c r="G384">
        <f t="shared" si="59"/>
        <v>6</v>
      </c>
      <c r="H384" t="str">
        <f t="shared" si="69"/>
        <v>USD</v>
      </c>
      <c r="I384" t="str">
        <f t="shared" si="70"/>
        <v>BCN</v>
      </c>
      <c r="J384" t="str">
        <f t="shared" si="60"/>
        <v>USDBCN</v>
      </c>
      <c r="K384" t="str">
        <f t="shared" si="61"/>
        <v>BCNUSD</v>
      </c>
      <c r="L384">
        <f t="shared" si="62"/>
        <v>0</v>
      </c>
      <c r="M384">
        <f t="shared" si="63"/>
        <v>1</v>
      </c>
      <c r="N384" t="b">
        <f t="shared" si="64"/>
        <v>1</v>
      </c>
    </row>
    <row r="385" spans="1:14" hidden="1" x14ac:dyDescent="0.25">
      <c r="A385" t="s">
        <v>27</v>
      </c>
      <c r="B385" t="s">
        <v>37</v>
      </c>
      <c r="C385" s="1">
        <v>0.11878</v>
      </c>
      <c r="D385" s="1">
        <v>8.8120000000000004E-2</v>
      </c>
      <c r="E385" s="1">
        <v>0.1210354481588</v>
      </c>
      <c r="F385" s="1">
        <v>8.8120000000000004E-2</v>
      </c>
      <c r="G385">
        <f t="shared" ref="G385:G448" si="71">LEN(B385)</f>
        <v>6</v>
      </c>
      <c r="H385" t="str">
        <f t="shared" si="69"/>
        <v>BTC</v>
      </c>
      <c r="I385" t="str">
        <f t="shared" si="70"/>
        <v>BCU</v>
      </c>
      <c r="J385" t="str">
        <f t="shared" ref="J385:J448" si="72">CONCATENATE(H385,I385)</f>
        <v>BTCBCU</v>
      </c>
      <c r="K385" t="str">
        <f t="shared" ref="K385:K448" si="73">CONCATENATE(I385,H385)</f>
        <v>BCUBTC</v>
      </c>
      <c r="L385">
        <f t="shared" ref="L385:L448" si="74">COUNTIF(B:B,J385)</f>
        <v>0</v>
      </c>
      <c r="M385">
        <f t="shared" ref="M385:M448" si="75">COUNTIF(B:B,K385)</f>
        <v>1</v>
      </c>
      <c r="N385" t="b">
        <f t="shared" ref="N385:N448" si="76">L385=0</f>
        <v>1</v>
      </c>
    </row>
    <row r="386" spans="1:14" hidden="1" x14ac:dyDescent="0.25">
      <c r="A386" t="s">
        <v>27</v>
      </c>
      <c r="B386" t="s">
        <v>39</v>
      </c>
      <c r="C386" s="1">
        <v>221.73</v>
      </c>
      <c r="D386" s="1">
        <v>203.62</v>
      </c>
      <c r="E386" s="1">
        <v>221.78262762439999</v>
      </c>
      <c r="F386" s="1">
        <v>202.9375505536</v>
      </c>
      <c r="G386">
        <f t="shared" si="71"/>
        <v>6</v>
      </c>
      <c r="H386" t="str">
        <f t="shared" si="69"/>
        <v>USD</v>
      </c>
      <c r="I386" t="str">
        <f t="shared" si="70"/>
        <v>BCU</v>
      </c>
      <c r="J386" t="str">
        <f t="shared" si="72"/>
        <v>USDBCU</v>
      </c>
      <c r="K386" t="str">
        <f t="shared" si="73"/>
        <v>BCUUSD</v>
      </c>
      <c r="L386">
        <f t="shared" si="74"/>
        <v>0</v>
      </c>
      <c r="M386">
        <f t="shared" si="75"/>
        <v>1</v>
      </c>
      <c r="N386" t="b">
        <f t="shared" si="76"/>
        <v>1</v>
      </c>
    </row>
    <row r="387" spans="1:14" hidden="1" x14ac:dyDescent="0.25">
      <c r="A387" t="s">
        <v>5</v>
      </c>
      <c r="B387" t="s">
        <v>869</v>
      </c>
      <c r="C387" s="1" t="s">
        <v>361</v>
      </c>
      <c r="D387" s="1" t="s">
        <v>362</v>
      </c>
      <c r="E387" s="1" t="s">
        <v>361</v>
      </c>
      <c r="F387" s="1" t="s">
        <v>362</v>
      </c>
      <c r="G387">
        <f t="shared" si="71"/>
        <v>6</v>
      </c>
      <c r="H387" t="str">
        <f t="shared" si="69"/>
        <v>BTC</v>
      </c>
      <c r="I387" t="str">
        <f t="shared" si="70"/>
        <v>BDC</v>
      </c>
      <c r="J387" t="str">
        <f t="shared" si="72"/>
        <v>BTCBDC</v>
      </c>
      <c r="K387" t="str">
        <f t="shared" si="73"/>
        <v>BDCBTC</v>
      </c>
      <c r="L387">
        <f t="shared" si="74"/>
        <v>0</v>
      </c>
      <c r="M387">
        <f t="shared" si="75"/>
        <v>1</v>
      </c>
      <c r="N387" t="b">
        <f t="shared" si="76"/>
        <v>1</v>
      </c>
    </row>
    <row r="388" spans="1:14" hidden="1" x14ac:dyDescent="0.25">
      <c r="A388" t="s">
        <v>1403</v>
      </c>
      <c r="B388" t="s">
        <v>1412</v>
      </c>
      <c r="C388" s="1" t="s">
        <v>528</v>
      </c>
      <c r="D388" s="1">
        <v>1.02E-6</v>
      </c>
      <c r="E388" s="1">
        <v>1.1400000000000001E-6</v>
      </c>
      <c r="F388" s="1" t="s">
        <v>528</v>
      </c>
      <c r="G388">
        <f t="shared" si="71"/>
        <v>6</v>
      </c>
      <c r="H388" t="str">
        <f t="shared" si="69"/>
        <v>BTC</v>
      </c>
      <c r="I388" t="str">
        <f t="shared" si="70"/>
        <v>BEE</v>
      </c>
      <c r="J388" t="str">
        <f t="shared" si="72"/>
        <v>BTCBEE</v>
      </c>
      <c r="K388" t="str">
        <f t="shared" si="73"/>
        <v>BEEBTC</v>
      </c>
      <c r="L388">
        <f t="shared" si="74"/>
        <v>0</v>
      </c>
      <c r="M388">
        <f t="shared" si="75"/>
        <v>1</v>
      </c>
      <c r="N388" t="b">
        <f t="shared" si="76"/>
        <v>1</v>
      </c>
    </row>
    <row r="389" spans="1:14" hidden="1" x14ac:dyDescent="0.25">
      <c r="A389" t="s">
        <v>1403</v>
      </c>
      <c r="B389" t="s">
        <v>1916</v>
      </c>
      <c r="C389" s="1">
        <v>10000</v>
      </c>
      <c r="D389" s="1">
        <v>10000</v>
      </c>
      <c r="E389" s="1">
        <v>14</v>
      </c>
      <c r="F389" s="1">
        <v>1.0000500000000001E-2</v>
      </c>
      <c r="G389">
        <f t="shared" si="71"/>
        <v>7</v>
      </c>
      <c r="H389" t="str">
        <f>RIGHT(B389,4)</f>
        <v>DOGE</v>
      </c>
      <c r="I389" t="str">
        <f t="shared" si="70"/>
        <v>BEE</v>
      </c>
      <c r="J389" t="str">
        <f t="shared" si="72"/>
        <v>DOGEBEE</v>
      </c>
      <c r="K389" t="str">
        <f t="shared" si="73"/>
        <v>BEEDOGE</v>
      </c>
      <c r="L389">
        <f t="shared" si="74"/>
        <v>0</v>
      </c>
      <c r="M389">
        <f t="shared" si="75"/>
        <v>1</v>
      </c>
      <c r="N389" t="b">
        <f t="shared" si="76"/>
        <v>1</v>
      </c>
    </row>
    <row r="390" spans="1:14" hidden="1" x14ac:dyDescent="0.25">
      <c r="A390" t="s">
        <v>1403</v>
      </c>
      <c r="B390" t="s">
        <v>1724</v>
      </c>
      <c r="C390" s="1">
        <v>0</v>
      </c>
      <c r="D390" s="1">
        <v>0</v>
      </c>
      <c r="E390" s="1">
        <v>4.4999999999999997E-3</v>
      </c>
      <c r="F390" s="1" t="s">
        <v>361</v>
      </c>
      <c r="G390">
        <f t="shared" si="71"/>
        <v>6</v>
      </c>
      <c r="H390" t="str">
        <f t="shared" ref="H390:H395" si="77">RIGHT(B390,3)</f>
        <v>LTC</v>
      </c>
      <c r="I390" t="str">
        <f t="shared" si="70"/>
        <v>BEE</v>
      </c>
      <c r="J390" t="str">
        <f t="shared" si="72"/>
        <v>LTCBEE</v>
      </c>
      <c r="K390" t="str">
        <f t="shared" si="73"/>
        <v>BEELTC</v>
      </c>
      <c r="L390">
        <f t="shared" si="74"/>
        <v>0</v>
      </c>
      <c r="M390">
        <f t="shared" si="75"/>
        <v>1</v>
      </c>
      <c r="N390" t="b">
        <f t="shared" si="76"/>
        <v>1</v>
      </c>
    </row>
    <row r="391" spans="1:14" hidden="1" x14ac:dyDescent="0.25">
      <c r="A391" t="s">
        <v>5</v>
      </c>
      <c r="B391" t="s">
        <v>1208</v>
      </c>
      <c r="C391" s="1" t="s">
        <v>361</v>
      </c>
      <c r="D391" s="1" t="s">
        <v>362</v>
      </c>
      <c r="E391" s="1" t="s">
        <v>361</v>
      </c>
      <c r="F391" s="1" t="s">
        <v>362</v>
      </c>
      <c r="G391">
        <f t="shared" si="71"/>
        <v>7</v>
      </c>
      <c r="H391" t="str">
        <f t="shared" si="77"/>
        <v>BTC</v>
      </c>
      <c r="I391" t="str">
        <f>LEFT(B391,4)</f>
        <v>BEEP</v>
      </c>
      <c r="J391" t="str">
        <f t="shared" si="72"/>
        <v>BTCBEEP</v>
      </c>
      <c r="K391" t="str">
        <f t="shared" si="73"/>
        <v>BEEPBTC</v>
      </c>
      <c r="L391">
        <f t="shared" si="74"/>
        <v>0</v>
      </c>
      <c r="M391">
        <f t="shared" si="75"/>
        <v>1</v>
      </c>
      <c r="N391" t="b">
        <f t="shared" si="76"/>
        <v>1</v>
      </c>
    </row>
    <row r="392" spans="1:14" hidden="1" x14ac:dyDescent="0.25">
      <c r="A392" t="s">
        <v>1403</v>
      </c>
      <c r="B392" t="s">
        <v>1544</v>
      </c>
      <c r="C392" s="1">
        <v>3.3000000000000002E-2</v>
      </c>
      <c r="D392" s="1">
        <v>3.3000000000000002E-2</v>
      </c>
      <c r="E392" s="1">
        <v>3.3000000000000002E-2</v>
      </c>
      <c r="F392" s="1" t="s">
        <v>1158</v>
      </c>
      <c r="G392">
        <f t="shared" si="71"/>
        <v>6</v>
      </c>
      <c r="H392" t="str">
        <f t="shared" si="77"/>
        <v>USD</v>
      </c>
      <c r="I392" t="str">
        <f>LEFT(B392,3)</f>
        <v>BEE</v>
      </c>
      <c r="J392" t="str">
        <f t="shared" si="72"/>
        <v>USDBEE</v>
      </c>
      <c r="K392" t="str">
        <f t="shared" si="73"/>
        <v>BEEUSD</v>
      </c>
      <c r="L392">
        <f t="shared" si="74"/>
        <v>0</v>
      </c>
      <c r="M392">
        <f t="shared" si="75"/>
        <v>1</v>
      </c>
      <c r="N392" t="b">
        <f t="shared" si="76"/>
        <v>1</v>
      </c>
    </row>
    <row r="393" spans="1:14" hidden="1" x14ac:dyDescent="0.25">
      <c r="A393" t="s">
        <v>5</v>
      </c>
      <c r="B393" t="s">
        <v>1090</v>
      </c>
      <c r="C393" s="1">
        <v>5.5000000000000003E-7</v>
      </c>
      <c r="D393" s="1">
        <v>4.7999999999999996E-7</v>
      </c>
      <c r="E393" s="1">
        <v>5.5000000000000003E-7</v>
      </c>
      <c r="F393" s="1">
        <v>4.7999999999999996E-7</v>
      </c>
      <c r="G393">
        <f t="shared" si="71"/>
        <v>7</v>
      </c>
      <c r="H393" t="str">
        <f t="shared" si="77"/>
        <v>BTC</v>
      </c>
      <c r="I393" t="str">
        <f>LEFT(B393,4)</f>
        <v>BEEZ</v>
      </c>
      <c r="J393" t="str">
        <f t="shared" si="72"/>
        <v>BTCBEEZ</v>
      </c>
      <c r="K393" t="str">
        <f t="shared" si="73"/>
        <v>BEEZBTC</v>
      </c>
      <c r="L393">
        <f t="shared" si="74"/>
        <v>0</v>
      </c>
      <c r="M393">
        <f t="shared" si="75"/>
        <v>1</v>
      </c>
      <c r="N393" t="b">
        <f t="shared" si="76"/>
        <v>1</v>
      </c>
    </row>
    <row r="394" spans="1:14" hidden="1" x14ac:dyDescent="0.25">
      <c r="A394" t="s">
        <v>5</v>
      </c>
      <c r="B394" t="s">
        <v>826</v>
      </c>
      <c r="C394" s="1">
        <v>7.4000000000000001E-7</v>
      </c>
      <c r="D394" s="1">
        <v>6.8999999999999996E-7</v>
      </c>
      <c r="E394" s="1">
        <v>7.4000000000000001E-7</v>
      </c>
      <c r="F394" s="1">
        <v>6.8999999999999996E-7</v>
      </c>
      <c r="G394">
        <f t="shared" si="71"/>
        <v>7</v>
      </c>
      <c r="H394" t="str">
        <f t="shared" si="77"/>
        <v>BTC</v>
      </c>
      <c r="I394" t="str">
        <f>LEFT(B394,4)</f>
        <v>BERN</v>
      </c>
      <c r="J394" t="str">
        <f t="shared" si="72"/>
        <v>BTCBERN</v>
      </c>
      <c r="K394" t="str">
        <f t="shared" si="73"/>
        <v>BERNBTC</v>
      </c>
      <c r="L394">
        <f t="shared" si="74"/>
        <v>0</v>
      </c>
      <c r="M394">
        <f t="shared" si="75"/>
        <v>1</v>
      </c>
      <c r="N394" t="b">
        <f t="shared" si="76"/>
        <v>1</v>
      </c>
    </row>
    <row r="395" spans="1:14" hidden="1" x14ac:dyDescent="0.25">
      <c r="A395" t="s">
        <v>5</v>
      </c>
      <c r="B395" t="s">
        <v>1209</v>
      </c>
      <c r="C395" s="1" t="s">
        <v>409</v>
      </c>
      <c r="D395" s="1">
        <v>4.0999999999999999E-7</v>
      </c>
      <c r="E395" s="1" t="s">
        <v>409</v>
      </c>
      <c r="F395" s="1">
        <v>4.0999999999999999E-7</v>
      </c>
      <c r="G395">
        <f t="shared" si="71"/>
        <v>7</v>
      </c>
      <c r="H395" t="str">
        <f t="shared" si="77"/>
        <v>BTC</v>
      </c>
      <c r="I395" t="str">
        <f>LEFT(B395,4)</f>
        <v>BEST</v>
      </c>
      <c r="J395" t="str">
        <f t="shared" si="72"/>
        <v>BTCBEST</v>
      </c>
      <c r="K395" t="str">
        <f t="shared" si="73"/>
        <v>BESTBTC</v>
      </c>
      <c r="L395">
        <f t="shared" si="74"/>
        <v>0</v>
      </c>
      <c r="M395">
        <f t="shared" si="75"/>
        <v>1</v>
      </c>
      <c r="N395" t="b">
        <f t="shared" si="76"/>
        <v>1</v>
      </c>
    </row>
    <row r="396" spans="1:14" hidden="1" x14ac:dyDescent="0.25">
      <c r="A396" t="s">
        <v>1403</v>
      </c>
      <c r="B396" t="s">
        <v>1917</v>
      </c>
      <c r="C396" s="1">
        <v>0</v>
      </c>
      <c r="D396" s="1">
        <v>0</v>
      </c>
      <c r="E396" s="1">
        <v>5379.7493881600003</v>
      </c>
      <c r="F396" s="1">
        <v>8.9000000099999994</v>
      </c>
      <c r="G396">
        <f t="shared" si="71"/>
        <v>7</v>
      </c>
      <c r="H396" t="str">
        <f>RIGHT(B396,4)</f>
        <v>DOGE</v>
      </c>
      <c r="I396" t="str">
        <f>LEFT(B396,3)</f>
        <v>BHC</v>
      </c>
      <c r="J396" t="str">
        <f t="shared" si="72"/>
        <v>DOGEBHC</v>
      </c>
      <c r="K396" t="str">
        <f t="shared" si="73"/>
        <v>BHCDOGE</v>
      </c>
      <c r="L396">
        <f t="shared" si="74"/>
        <v>0</v>
      </c>
      <c r="M396">
        <f t="shared" si="75"/>
        <v>1</v>
      </c>
      <c r="N396" t="b">
        <f t="shared" si="76"/>
        <v>1</v>
      </c>
    </row>
    <row r="397" spans="1:14" hidden="1" x14ac:dyDescent="0.25">
      <c r="A397" t="s">
        <v>1403</v>
      </c>
      <c r="B397" t="s">
        <v>1725</v>
      </c>
      <c r="C397" s="1">
        <v>0</v>
      </c>
      <c r="D397" s="1">
        <v>0</v>
      </c>
      <c r="E397" s="1">
        <v>8.7499999999999994E-2</v>
      </c>
      <c r="F397" s="1" t="s">
        <v>384</v>
      </c>
      <c r="G397">
        <f t="shared" si="71"/>
        <v>6</v>
      </c>
      <c r="H397" t="str">
        <f>RIGHT(B397,3)</f>
        <v>LTC</v>
      </c>
      <c r="I397" t="str">
        <f>LEFT(B397,3)</f>
        <v>BHC</v>
      </c>
      <c r="J397" t="str">
        <f t="shared" si="72"/>
        <v>LTCBHC</v>
      </c>
      <c r="K397" t="str">
        <f t="shared" si="73"/>
        <v>BHCLTC</v>
      </c>
      <c r="L397">
        <f t="shared" si="74"/>
        <v>0</v>
      </c>
      <c r="M397">
        <f t="shared" si="75"/>
        <v>1</v>
      </c>
      <c r="N397" t="b">
        <f t="shared" si="76"/>
        <v>1</v>
      </c>
    </row>
    <row r="398" spans="1:14" hidden="1" x14ac:dyDescent="0.25">
      <c r="A398" t="s">
        <v>1403</v>
      </c>
      <c r="B398" t="s">
        <v>1545</v>
      </c>
      <c r="C398" s="1">
        <v>0</v>
      </c>
      <c r="D398" s="1">
        <v>0</v>
      </c>
      <c r="E398" s="1">
        <v>5.3321259999999899</v>
      </c>
      <c r="F398" s="1">
        <v>5.1062000000000004E-4</v>
      </c>
      <c r="G398">
        <f t="shared" si="71"/>
        <v>6</v>
      </c>
      <c r="H398" t="str">
        <f>RIGHT(B398,3)</f>
        <v>USD</v>
      </c>
      <c r="I398" t="str">
        <f>LEFT(B398,3)</f>
        <v>BHC</v>
      </c>
      <c r="J398" t="str">
        <f t="shared" si="72"/>
        <v>USDBHC</v>
      </c>
      <c r="K398" t="str">
        <f t="shared" si="73"/>
        <v>BHCUSD</v>
      </c>
      <c r="L398">
        <f t="shared" si="74"/>
        <v>0</v>
      </c>
      <c r="M398">
        <f t="shared" si="75"/>
        <v>1</v>
      </c>
      <c r="N398" t="b">
        <f t="shared" si="76"/>
        <v>1</v>
      </c>
    </row>
    <row r="399" spans="1:14" hidden="1" x14ac:dyDescent="0.25">
      <c r="A399" t="s">
        <v>1403</v>
      </c>
      <c r="B399" t="s">
        <v>1414</v>
      </c>
      <c r="C399" s="1">
        <v>2.2299999999999998E-6</v>
      </c>
      <c r="D399" s="1">
        <v>5.7100000000000004E-6</v>
      </c>
      <c r="E399" s="1">
        <v>5.4399999999999996E-6</v>
      </c>
      <c r="F399" s="1">
        <v>3.0400000000000001E-6</v>
      </c>
      <c r="G399">
        <f t="shared" si="71"/>
        <v>7</v>
      </c>
      <c r="H399" t="str">
        <f>RIGHT(B399,3)</f>
        <v>BTC</v>
      </c>
      <c r="I399" t="str">
        <f>LEFT(B399,4)</f>
        <v>BIGC</v>
      </c>
      <c r="J399" t="str">
        <f t="shared" si="72"/>
        <v>BTCBIGC</v>
      </c>
      <c r="K399" t="str">
        <f t="shared" si="73"/>
        <v>BIGCBTC</v>
      </c>
      <c r="L399">
        <f t="shared" si="74"/>
        <v>0</v>
      </c>
      <c r="M399">
        <f t="shared" si="75"/>
        <v>1</v>
      </c>
      <c r="N399" t="b">
        <f t="shared" si="76"/>
        <v>1</v>
      </c>
    </row>
    <row r="400" spans="1:14" hidden="1" x14ac:dyDescent="0.25">
      <c r="A400" t="s">
        <v>1403</v>
      </c>
      <c r="B400" t="s">
        <v>1918</v>
      </c>
      <c r="C400" s="1">
        <v>64.886000060000001</v>
      </c>
      <c r="D400" s="1">
        <v>64.886000060000001</v>
      </c>
      <c r="E400" s="1">
        <v>50</v>
      </c>
      <c r="F400" s="1">
        <v>1.8860000699999999</v>
      </c>
      <c r="G400">
        <f t="shared" si="71"/>
        <v>8</v>
      </c>
      <c r="H400" t="str">
        <f>RIGHT(B400,4)</f>
        <v>DOGE</v>
      </c>
      <c r="I400" t="str">
        <f>LEFT(B400,4)</f>
        <v>BIGC</v>
      </c>
      <c r="J400" t="str">
        <f t="shared" si="72"/>
        <v>DOGEBIGC</v>
      </c>
      <c r="K400" t="str">
        <f t="shared" si="73"/>
        <v>BIGCDOGE</v>
      </c>
      <c r="L400">
        <f t="shared" si="74"/>
        <v>0</v>
      </c>
      <c r="M400">
        <f t="shared" si="75"/>
        <v>1</v>
      </c>
      <c r="N400" t="b">
        <f t="shared" si="76"/>
        <v>1</v>
      </c>
    </row>
    <row r="401" spans="1:14" hidden="1" x14ac:dyDescent="0.25">
      <c r="A401" t="s">
        <v>1403</v>
      </c>
      <c r="B401" t="s">
        <v>1726</v>
      </c>
      <c r="C401" s="1">
        <v>0</v>
      </c>
      <c r="D401" s="1">
        <v>0</v>
      </c>
      <c r="E401" s="1">
        <v>2.9999970000000001E-2</v>
      </c>
      <c r="F401" s="1">
        <v>2.04E-6</v>
      </c>
      <c r="G401">
        <f t="shared" si="71"/>
        <v>7</v>
      </c>
      <c r="H401" t="str">
        <f>RIGHT(B401,3)</f>
        <v>LTC</v>
      </c>
      <c r="I401" t="str">
        <f>LEFT(B401,4)</f>
        <v>BIGC</v>
      </c>
      <c r="J401" t="str">
        <f t="shared" si="72"/>
        <v>LTCBIGC</v>
      </c>
      <c r="K401" t="str">
        <f t="shared" si="73"/>
        <v>BIGCLTC</v>
      </c>
      <c r="L401">
        <f t="shared" si="74"/>
        <v>0</v>
      </c>
      <c r="M401">
        <f t="shared" si="75"/>
        <v>1</v>
      </c>
      <c r="N401" t="b">
        <f t="shared" si="76"/>
        <v>1</v>
      </c>
    </row>
    <row r="402" spans="1:14" hidden="1" x14ac:dyDescent="0.25">
      <c r="A402" t="s">
        <v>1403</v>
      </c>
      <c r="B402" t="s">
        <v>1546</v>
      </c>
      <c r="C402" s="1">
        <v>1.8499700000000001E-2</v>
      </c>
      <c r="D402" s="1">
        <v>1.8499700000000001E-2</v>
      </c>
      <c r="E402" s="1">
        <v>6.9999900000000004E-2</v>
      </c>
      <c r="F402" s="1">
        <v>7.9999100000000007E-3</v>
      </c>
      <c r="G402">
        <f t="shared" si="71"/>
        <v>7</v>
      </c>
      <c r="H402" t="str">
        <f>RIGHT(B402,3)</f>
        <v>USD</v>
      </c>
      <c r="I402" t="str">
        <f>LEFT(B402,4)</f>
        <v>BIGC</v>
      </c>
      <c r="J402" t="str">
        <f t="shared" si="72"/>
        <v>USDBIGC</v>
      </c>
      <c r="K402" t="str">
        <f t="shared" si="73"/>
        <v>BIGCUSD</v>
      </c>
      <c r="L402">
        <f t="shared" si="74"/>
        <v>0</v>
      </c>
      <c r="M402">
        <f t="shared" si="75"/>
        <v>1</v>
      </c>
      <c r="N402" t="b">
        <f t="shared" si="76"/>
        <v>1</v>
      </c>
    </row>
    <row r="403" spans="1:14" hidden="1" x14ac:dyDescent="0.25">
      <c r="A403" t="s">
        <v>5</v>
      </c>
      <c r="B403" t="s">
        <v>1034</v>
      </c>
      <c r="C403" s="1" t="s">
        <v>361</v>
      </c>
      <c r="D403" s="1" t="s">
        <v>362</v>
      </c>
      <c r="E403" s="1" t="s">
        <v>361</v>
      </c>
      <c r="F403" s="1" t="s">
        <v>362</v>
      </c>
      <c r="G403">
        <f t="shared" si="71"/>
        <v>8</v>
      </c>
      <c r="H403" t="str">
        <f>RIGHT(B403,3)</f>
        <v>BTC</v>
      </c>
      <c r="I403" t="str">
        <f>LEFT(B403,5)</f>
        <v>BIGUP</v>
      </c>
      <c r="J403" t="str">
        <f t="shared" si="72"/>
        <v>BTCBIGUP</v>
      </c>
      <c r="K403" t="str">
        <f t="shared" si="73"/>
        <v>BIGUPBTC</v>
      </c>
      <c r="L403">
        <f t="shared" si="74"/>
        <v>0</v>
      </c>
      <c r="M403">
        <f t="shared" si="75"/>
        <v>1</v>
      </c>
      <c r="N403" t="b">
        <f t="shared" si="76"/>
        <v>1</v>
      </c>
    </row>
    <row r="404" spans="1:14" hidden="1" x14ac:dyDescent="0.25">
      <c r="A404" t="s">
        <v>5</v>
      </c>
      <c r="B404" t="s">
        <v>434</v>
      </c>
      <c r="C404" s="1" t="s">
        <v>435</v>
      </c>
      <c r="D404" s="1" t="s">
        <v>380</v>
      </c>
      <c r="E404" s="1" t="s">
        <v>435</v>
      </c>
      <c r="F404" s="1" t="s">
        <v>380</v>
      </c>
      <c r="G404">
        <f t="shared" si="71"/>
        <v>7</v>
      </c>
      <c r="H404" t="str">
        <f>RIGHT(B404,3)</f>
        <v>BTC</v>
      </c>
      <c r="I404" t="str">
        <f>LEFT(B404,4)</f>
        <v>BILL</v>
      </c>
      <c r="J404" t="str">
        <f t="shared" si="72"/>
        <v>BTCBILL</v>
      </c>
      <c r="K404" t="str">
        <f t="shared" si="73"/>
        <v>BILLBTC</v>
      </c>
      <c r="L404">
        <f t="shared" si="74"/>
        <v>0</v>
      </c>
      <c r="M404">
        <f t="shared" si="75"/>
        <v>1</v>
      </c>
      <c r="N404" t="b">
        <f t="shared" si="76"/>
        <v>1</v>
      </c>
    </row>
    <row r="405" spans="1:14" hidden="1" x14ac:dyDescent="0.25">
      <c r="A405" t="s">
        <v>5</v>
      </c>
      <c r="B405" t="s">
        <v>1146</v>
      </c>
      <c r="C405" s="1">
        <v>2.9699999999999999E-6</v>
      </c>
      <c r="D405" s="1">
        <v>1.9599999999999999E-6</v>
      </c>
      <c r="E405" s="1">
        <v>2.9699999999999999E-6</v>
      </c>
      <c r="F405" s="1">
        <v>1.9599999999999999E-6</v>
      </c>
      <c r="G405">
        <f t="shared" si="71"/>
        <v>7</v>
      </c>
      <c r="H405" t="str">
        <f>RIGHT(B405,3)</f>
        <v>BTC</v>
      </c>
      <c r="I405" t="str">
        <f>LEFT(B405,4)</f>
        <v>BIOB</v>
      </c>
      <c r="J405" t="str">
        <f t="shared" si="72"/>
        <v>BTCBIOB</v>
      </c>
      <c r="K405" t="str">
        <f t="shared" si="73"/>
        <v>BIOBBTC</v>
      </c>
      <c r="L405">
        <f t="shared" si="74"/>
        <v>0</v>
      </c>
      <c r="M405">
        <f t="shared" si="75"/>
        <v>1</v>
      </c>
      <c r="N405" t="b">
        <f t="shared" si="76"/>
        <v>1</v>
      </c>
    </row>
    <row r="406" spans="1:14" hidden="1" x14ac:dyDescent="0.25">
      <c r="A406" t="s">
        <v>1403</v>
      </c>
      <c r="B406" t="s">
        <v>1919</v>
      </c>
      <c r="C406" s="1">
        <v>179.999</v>
      </c>
      <c r="D406" s="1">
        <v>179.999</v>
      </c>
      <c r="E406" s="1">
        <v>60</v>
      </c>
      <c r="F406" s="1">
        <v>0.32660069000000003</v>
      </c>
      <c r="G406">
        <f t="shared" si="71"/>
        <v>8</v>
      </c>
      <c r="H406" t="str">
        <f>RIGHT(B406,4)</f>
        <v>DOGE</v>
      </c>
      <c r="I406" t="str">
        <f>LEFT(B406,4)</f>
        <v>BIOS</v>
      </c>
      <c r="J406" t="str">
        <f t="shared" si="72"/>
        <v>DOGEBIOS</v>
      </c>
      <c r="K406" t="str">
        <f t="shared" si="73"/>
        <v>BIOSDOGE</v>
      </c>
      <c r="L406">
        <f t="shared" si="74"/>
        <v>0</v>
      </c>
      <c r="M406">
        <f t="shared" si="75"/>
        <v>1</v>
      </c>
      <c r="N406" t="b">
        <f t="shared" si="76"/>
        <v>1</v>
      </c>
    </row>
    <row r="407" spans="1:14" hidden="1" x14ac:dyDescent="0.25">
      <c r="A407" t="s">
        <v>1403</v>
      </c>
      <c r="B407" t="s">
        <v>1727</v>
      </c>
      <c r="C407" s="1">
        <v>5.4878000000000001E-4</v>
      </c>
      <c r="D407" s="1">
        <v>5.4878000000000001E-4</v>
      </c>
      <c r="E407" s="1">
        <v>5.4878000000000001E-4</v>
      </c>
      <c r="F407" s="1">
        <v>2.031E-5</v>
      </c>
      <c r="G407">
        <f t="shared" si="71"/>
        <v>7</v>
      </c>
      <c r="H407" t="str">
        <f>RIGHT(B407,3)</f>
        <v>LTC</v>
      </c>
      <c r="I407" t="str">
        <f>LEFT(B407,4)</f>
        <v>BIOS</v>
      </c>
      <c r="J407" t="str">
        <f t="shared" si="72"/>
        <v>LTCBIOS</v>
      </c>
      <c r="K407" t="str">
        <f t="shared" si="73"/>
        <v>BIOSLTC</v>
      </c>
      <c r="L407">
        <f t="shared" si="74"/>
        <v>0</v>
      </c>
      <c r="M407">
        <f t="shared" si="75"/>
        <v>1</v>
      </c>
      <c r="N407" t="b">
        <f t="shared" si="76"/>
        <v>1</v>
      </c>
    </row>
    <row r="408" spans="1:14" hidden="1" x14ac:dyDescent="0.25">
      <c r="A408" t="s">
        <v>1403</v>
      </c>
      <c r="B408" t="s">
        <v>1547</v>
      </c>
      <c r="C408" s="1">
        <v>2.799989E-2</v>
      </c>
      <c r="D408" s="1">
        <v>2.799989E-2</v>
      </c>
      <c r="E408" s="1">
        <v>1.4999999999999999E-2</v>
      </c>
      <c r="F408" s="1">
        <v>4.4999999999999999E-4</v>
      </c>
      <c r="G408">
        <f t="shared" si="71"/>
        <v>7</v>
      </c>
      <c r="H408" t="str">
        <f>RIGHT(B408,3)</f>
        <v>USD</v>
      </c>
      <c r="I408" t="str">
        <f>LEFT(B408,4)</f>
        <v>BIOS</v>
      </c>
      <c r="J408" t="str">
        <f t="shared" si="72"/>
        <v>USDBIOS</v>
      </c>
      <c r="K408" t="str">
        <f t="shared" si="73"/>
        <v>BIOSUSD</v>
      </c>
      <c r="L408">
        <f t="shared" si="74"/>
        <v>0</v>
      </c>
      <c r="M408">
        <f t="shared" si="75"/>
        <v>1</v>
      </c>
      <c r="N408" t="b">
        <f t="shared" si="76"/>
        <v>1</v>
      </c>
    </row>
    <row r="409" spans="1:14" hidden="1" x14ac:dyDescent="0.25">
      <c r="A409" t="s">
        <v>5</v>
      </c>
      <c r="B409" t="s">
        <v>703</v>
      </c>
      <c r="C409" s="1">
        <v>1.17E-6</v>
      </c>
      <c r="D409" s="1">
        <v>7.0999999999999998E-7</v>
      </c>
      <c r="E409" s="1">
        <v>1.17E-6</v>
      </c>
      <c r="F409" s="1">
        <v>7.0999999999999998E-7</v>
      </c>
      <c r="G409">
        <f t="shared" si="71"/>
        <v>8</v>
      </c>
      <c r="H409" t="str">
        <f>RIGHT(B409,3)</f>
        <v>BTC</v>
      </c>
      <c r="I409" t="str">
        <f>LEFT(B409,5)</f>
        <v>BIT16</v>
      </c>
      <c r="J409" t="str">
        <f t="shared" si="72"/>
        <v>BTCBIT16</v>
      </c>
      <c r="K409" t="str">
        <f t="shared" si="73"/>
        <v>BIT16BTC</v>
      </c>
      <c r="L409">
        <f t="shared" si="74"/>
        <v>0</v>
      </c>
      <c r="M409">
        <f t="shared" si="75"/>
        <v>1</v>
      </c>
      <c r="N409" t="b">
        <f t="shared" si="76"/>
        <v>1</v>
      </c>
    </row>
    <row r="410" spans="1:14" hidden="1" x14ac:dyDescent="0.25">
      <c r="A410" t="s">
        <v>2</v>
      </c>
      <c r="B410" t="s">
        <v>166</v>
      </c>
      <c r="C410" s="1">
        <v>18598.53</v>
      </c>
      <c r="D410" s="1">
        <v>16803</v>
      </c>
      <c r="E410" s="1">
        <v>18837.5931550772</v>
      </c>
      <c r="F410" s="1">
        <v>16629.9887873308</v>
      </c>
      <c r="G410">
        <f t="shared" si="71"/>
        <v>9</v>
      </c>
      <c r="H410" t="str">
        <f>RIGHT(B410,3)</f>
        <v>BTC</v>
      </c>
      <c r="I410" t="str">
        <f>LEFT(B410,6)</f>
        <v>BITCNY</v>
      </c>
      <c r="J410" t="str">
        <f t="shared" si="72"/>
        <v>BTCBITCNY</v>
      </c>
      <c r="K410" t="str">
        <f t="shared" si="73"/>
        <v>BITCNYBTC</v>
      </c>
      <c r="L410">
        <f t="shared" si="74"/>
        <v>0</v>
      </c>
      <c r="M410">
        <f t="shared" si="75"/>
        <v>1</v>
      </c>
      <c r="N410" t="b">
        <f t="shared" si="76"/>
        <v>1</v>
      </c>
    </row>
    <row r="411" spans="1:14" hidden="1" x14ac:dyDescent="0.25">
      <c r="A411" t="s">
        <v>1403</v>
      </c>
      <c r="B411" t="s">
        <v>1920</v>
      </c>
      <c r="C411" s="1">
        <v>43</v>
      </c>
      <c r="D411" s="1">
        <v>43</v>
      </c>
      <c r="E411" s="1">
        <v>42.899999000000001</v>
      </c>
      <c r="F411" s="1">
        <v>1.01728014</v>
      </c>
      <c r="G411">
        <f t="shared" si="71"/>
        <v>7</v>
      </c>
      <c r="H411" t="str">
        <f>RIGHT(B411,4)</f>
        <v>DOGE</v>
      </c>
      <c r="I411" t="str">
        <f>LEFT(B411,3)</f>
        <v>BIT</v>
      </c>
      <c r="J411" t="str">
        <f t="shared" si="72"/>
        <v>DOGEBIT</v>
      </c>
      <c r="K411" t="str">
        <f t="shared" si="73"/>
        <v>BITDOGE</v>
      </c>
      <c r="L411">
        <f t="shared" si="74"/>
        <v>0</v>
      </c>
      <c r="M411">
        <f t="shared" si="75"/>
        <v>1</v>
      </c>
      <c r="N411" t="b">
        <f t="shared" si="76"/>
        <v>1</v>
      </c>
    </row>
    <row r="412" spans="1:14" hidden="1" x14ac:dyDescent="0.25">
      <c r="A412" t="s">
        <v>1403</v>
      </c>
      <c r="B412" t="s">
        <v>1728</v>
      </c>
      <c r="C412" s="1">
        <v>1.0289999999999999E-4</v>
      </c>
      <c r="D412" s="1">
        <v>1.0289999999999999E-4</v>
      </c>
      <c r="E412" s="1">
        <v>2.9788000000000002E-3</v>
      </c>
      <c r="F412" s="1">
        <v>1.0139999999999999E-5</v>
      </c>
      <c r="G412">
        <f t="shared" si="71"/>
        <v>6</v>
      </c>
      <c r="H412" t="str">
        <f t="shared" ref="H412:H418" si="78">RIGHT(B412,3)</f>
        <v>LTC</v>
      </c>
      <c r="I412" t="str">
        <f>LEFT(B412,3)</f>
        <v>BIT</v>
      </c>
      <c r="J412" t="str">
        <f t="shared" si="72"/>
        <v>LTCBIT</v>
      </c>
      <c r="K412" t="str">
        <f t="shared" si="73"/>
        <v>BITLTC</v>
      </c>
      <c r="L412">
        <f t="shared" si="74"/>
        <v>0</v>
      </c>
      <c r="M412">
        <f t="shared" si="75"/>
        <v>1</v>
      </c>
      <c r="N412" t="b">
        <f t="shared" si="76"/>
        <v>1</v>
      </c>
    </row>
    <row r="413" spans="1:14" hidden="1" x14ac:dyDescent="0.25">
      <c r="A413" t="s">
        <v>5</v>
      </c>
      <c r="B413" t="s">
        <v>1173</v>
      </c>
      <c r="C413" s="1">
        <v>0.4378667</v>
      </c>
      <c r="D413" s="1">
        <v>0.41000206</v>
      </c>
      <c r="E413" s="1">
        <v>0.43946498159667302</v>
      </c>
      <c r="F413" s="1">
        <v>0.40352709987021501</v>
      </c>
      <c r="G413">
        <f t="shared" si="71"/>
        <v>8</v>
      </c>
      <c r="H413" t="str">
        <f t="shared" si="78"/>
        <v>BTC</v>
      </c>
      <c r="I413" t="str">
        <f>LEFT(B413,5)</f>
        <v>BITOK</v>
      </c>
      <c r="J413" t="str">
        <f t="shared" si="72"/>
        <v>BTCBITOK</v>
      </c>
      <c r="K413" t="str">
        <f t="shared" si="73"/>
        <v>BITOKBTC</v>
      </c>
      <c r="L413">
        <f t="shared" si="74"/>
        <v>0</v>
      </c>
      <c r="M413">
        <f t="shared" si="75"/>
        <v>1</v>
      </c>
      <c r="N413" t="b">
        <f t="shared" si="76"/>
        <v>1</v>
      </c>
    </row>
    <row r="414" spans="1:14" hidden="1" x14ac:dyDescent="0.25">
      <c r="A414" t="s">
        <v>5</v>
      </c>
      <c r="B414" t="s">
        <v>863</v>
      </c>
      <c r="C414" s="1" t="s">
        <v>381</v>
      </c>
      <c r="D414" s="1" t="s">
        <v>384</v>
      </c>
      <c r="E414" s="1" t="s">
        <v>381</v>
      </c>
      <c r="F414" s="1" t="s">
        <v>384</v>
      </c>
      <c r="G414">
        <f t="shared" si="71"/>
        <v>8</v>
      </c>
      <c r="H414" t="str">
        <f t="shared" si="78"/>
        <v>BTC</v>
      </c>
      <c r="I414" t="str">
        <f>LEFT(B414,5)</f>
        <v>BITON</v>
      </c>
      <c r="J414" t="str">
        <f t="shared" si="72"/>
        <v>BTCBITON</v>
      </c>
      <c r="K414" t="str">
        <f t="shared" si="73"/>
        <v>BITONBTC</v>
      </c>
      <c r="L414">
        <f t="shared" si="74"/>
        <v>0</v>
      </c>
      <c r="M414">
        <f t="shared" si="75"/>
        <v>1</v>
      </c>
      <c r="N414" t="b">
        <f t="shared" si="76"/>
        <v>1</v>
      </c>
    </row>
    <row r="415" spans="1:14" hidden="1" x14ac:dyDescent="0.25">
      <c r="A415" t="s">
        <v>5</v>
      </c>
      <c r="B415" t="s">
        <v>783</v>
      </c>
      <c r="C415" s="1">
        <v>4.6800000000000001E-6</v>
      </c>
      <c r="D415" s="1">
        <v>3.8199999999999998E-6</v>
      </c>
      <c r="E415" s="1">
        <v>4.6800000000000001E-6</v>
      </c>
      <c r="F415" s="1">
        <v>3.8199999999999998E-6</v>
      </c>
      <c r="G415">
        <f t="shared" si="71"/>
        <v>7</v>
      </c>
      <c r="H415" t="str">
        <f t="shared" si="78"/>
        <v>BTC</v>
      </c>
      <c r="I415" t="str">
        <f>LEFT(B415,4)</f>
        <v>BITS</v>
      </c>
      <c r="J415" t="str">
        <f t="shared" si="72"/>
        <v>BTCBITS</v>
      </c>
      <c r="K415" t="str">
        <f t="shared" si="73"/>
        <v>BITSBTC</v>
      </c>
      <c r="L415">
        <f t="shared" si="74"/>
        <v>0</v>
      </c>
      <c r="M415">
        <f t="shared" si="75"/>
        <v>1</v>
      </c>
      <c r="N415" t="b">
        <f t="shared" si="76"/>
        <v>1</v>
      </c>
    </row>
    <row r="416" spans="1:14" hidden="1" x14ac:dyDescent="0.25">
      <c r="A416" t="s">
        <v>1403</v>
      </c>
      <c r="B416" t="s">
        <v>1548</v>
      </c>
      <c r="C416" s="1">
        <v>4.9999969999999998E-2</v>
      </c>
      <c r="D416" s="1">
        <v>4.9999969999999998E-2</v>
      </c>
      <c r="E416" s="1">
        <v>6.8901909999999997E-2</v>
      </c>
      <c r="F416" s="1">
        <v>1.50007E-3</v>
      </c>
      <c r="G416">
        <f t="shared" si="71"/>
        <v>6</v>
      </c>
      <c r="H416" t="str">
        <f t="shared" si="78"/>
        <v>USD</v>
      </c>
      <c r="I416" t="str">
        <f>LEFT(B416,3)</f>
        <v>BIT</v>
      </c>
      <c r="J416" t="str">
        <f t="shared" si="72"/>
        <v>USDBIT</v>
      </c>
      <c r="K416" t="str">
        <f t="shared" si="73"/>
        <v>BITUSD</v>
      </c>
      <c r="L416">
        <f t="shared" si="74"/>
        <v>0</v>
      </c>
      <c r="M416">
        <f t="shared" si="75"/>
        <v>1</v>
      </c>
      <c r="N416" t="b">
        <f t="shared" si="76"/>
        <v>1</v>
      </c>
    </row>
    <row r="417" spans="1:14" hidden="1" x14ac:dyDescent="0.25">
      <c r="A417" t="s">
        <v>5</v>
      </c>
      <c r="B417" t="s">
        <v>913</v>
      </c>
      <c r="C417" s="1">
        <v>4.8279999999999999E-5</v>
      </c>
      <c r="D417" s="1">
        <v>4.2339999999999998E-5</v>
      </c>
      <c r="E417" s="1">
        <v>4.8279999999999999E-5</v>
      </c>
      <c r="F417" s="1">
        <v>4.2339999999999998E-5</v>
      </c>
      <c r="G417">
        <f t="shared" si="71"/>
        <v>7</v>
      </c>
      <c r="H417" t="str">
        <f t="shared" si="78"/>
        <v>BTC</v>
      </c>
      <c r="I417" t="str">
        <f>LEFT(B417,4)</f>
        <v>BITZ</v>
      </c>
      <c r="J417" t="str">
        <f t="shared" si="72"/>
        <v>BTCBITZ</v>
      </c>
      <c r="K417" t="str">
        <f t="shared" si="73"/>
        <v>BITZBTC</v>
      </c>
      <c r="L417">
        <f t="shared" si="74"/>
        <v>0</v>
      </c>
      <c r="M417">
        <f t="shared" si="75"/>
        <v>1</v>
      </c>
      <c r="N417" t="b">
        <f t="shared" si="76"/>
        <v>1</v>
      </c>
    </row>
    <row r="418" spans="1:14" hidden="1" x14ac:dyDescent="0.25">
      <c r="A418" t="s">
        <v>1403</v>
      </c>
      <c r="B418" t="s">
        <v>1415</v>
      </c>
      <c r="C418" s="1" t="s">
        <v>381</v>
      </c>
      <c r="D418" s="1" t="s">
        <v>380</v>
      </c>
      <c r="E418" s="1" t="s">
        <v>380</v>
      </c>
      <c r="F418" s="1" t="s">
        <v>384</v>
      </c>
      <c r="G418">
        <f t="shared" si="71"/>
        <v>6</v>
      </c>
      <c r="H418" t="str">
        <f t="shared" si="78"/>
        <v>BTC</v>
      </c>
      <c r="I418" t="str">
        <f>LEFT(B418,3)</f>
        <v>BIZ</v>
      </c>
      <c r="J418" t="str">
        <f t="shared" si="72"/>
        <v>BTCBIZ</v>
      </c>
      <c r="K418" t="str">
        <f t="shared" si="73"/>
        <v>BIZBTC</v>
      </c>
      <c r="L418">
        <f t="shared" si="74"/>
        <v>0</v>
      </c>
      <c r="M418">
        <f t="shared" si="75"/>
        <v>1</v>
      </c>
      <c r="N418" t="b">
        <f t="shared" si="76"/>
        <v>1</v>
      </c>
    </row>
    <row r="419" spans="1:14" hidden="1" x14ac:dyDescent="0.25">
      <c r="A419" t="s">
        <v>1403</v>
      </c>
      <c r="B419" t="s">
        <v>1921</v>
      </c>
      <c r="C419" s="1">
        <v>0.9</v>
      </c>
      <c r="D419" s="1">
        <v>0.9</v>
      </c>
      <c r="E419" s="1">
        <v>0.77777775999999998</v>
      </c>
      <c r="F419" s="1">
        <v>1.0010900000000001E-3</v>
      </c>
      <c r="G419">
        <f t="shared" si="71"/>
        <v>7</v>
      </c>
      <c r="H419" t="str">
        <f>RIGHT(B419,4)</f>
        <v>DOGE</v>
      </c>
      <c r="I419" t="str">
        <f>LEFT(B419,3)</f>
        <v>BIZ</v>
      </c>
      <c r="J419" t="str">
        <f t="shared" si="72"/>
        <v>DOGEBIZ</v>
      </c>
      <c r="K419" t="str">
        <f t="shared" si="73"/>
        <v>BIZDOGE</v>
      </c>
      <c r="L419">
        <f t="shared" si="74"/>
        <v>0</v>
      </c>
      <c r="M419">
        <f t="shared" si="75"/>
        <v>1</v>
      </c>
      <c r="N419" t="b">
        <f t="shared" si="76"/>
        <v>1</v>
      </c>
    </row>
    <row r="420" spans="1:14" hidden="1" x14ac:dyDescent="0.25">
      <c r="A420" t="s">
        <v>1403</v>
      </c>
      <c r="B420" t="s">
        <v>1729</v>
      </c>
      <c r="C420" s="1">
        <v>6.4319999999999994E-5</v>
      </c>
      <c r="D420" s="1">
        <v>6.4319999999999994E-5</v>
      </c>
      <c r="E420" s="1" t="s">
        <v>1013</v>
      </c>
      <c r="F420" s="1">
        <v>1.0300000000000001E-6</v>
      </c>
      <c r="G420">
        <f t="shared" si="71"/>
        <v>6</v>
      </c>
      <c r="H420" t="str">
        <f t="shared" ref="H420:H436" si="79">RIGHT(B420,3)</f>
        <v>LTC</v>
      </c>
      <c r="I420" t="str">
        <f>LEFT(B420,3)</f>
        <v>BIZ</v>
      </c>
      <c r="J420" t="str">
        <f t="shared" si="72"/>
        <v>LTCBIZ</v>
      </c>
      <c r="K420" t="str">
        <f t="shared" si="73"/>
        <v>BIZLTC</v>
      </c>
      <c r="L420">
        <f t="shared" si="74"/>
        <v>0</v>
      </c>
      <c r="M420">
        <f t="shared" si="75"/>
        <v>1</v>
      </c>
      <c r="N420" t="b">
        <f t="shared" si="76"/>
        <v>1</v>
      </c>
    </row>
    <row r="421" spans="1:14" hidden="1" x14ac:dyDescent="0.25">
      <c r="A421" t="s">
        <v>1403</v>
      </c>
      <c r="B421" t="s">
        <v>1549</v>
      </c>
      <c r="C421" s="1">
        <v>6.9698000000000004E-4</v>
      </c>
      <c r="D421" s="1">
        <v>6.9698000000000004E-4</v>
      </c>
      <c r="E421" s="1">
        <v>6.9698000000000004E-4</v>
      </c>
      <c r="F421" s="1">
        <v>7.0019999999999997E-5</v>
      </c>
      <c r="G421">
        <f t="shared" si="71"/>
        <v>6</v>
      </c>
      <c r="H421" t="str">
        <f t="shared" si="79"/>
        <v>USD</v>
      </c>
      <c r="I421" t="str">
        <f>LEFT(B421,3)</f>
        <v>BIZ</v>
      </c>
      <c r="J421" t="str">
        <f t="shared" si="72"/>
        <v>USDBIZ</v>
      </c>
      <c r="K421" t="str">
        <f t="shared" si="73"/>
        <v>BIZUSD</v>
      </c>
      <c r="L421">
        <f t="shared" si="74"/>
        <v>0</v>
      </c>
      <c r="M421">
        <f t="shared" si="75"/>
        <v>1</v>
      </c>
      <c r="N421" t="b">
        <f t="shared" si="76"/>
        <v>1</v>
      </c>
    </row>
    <row r="422" spans="1:14" hidden="1" x14ac:dyDescent="0.25">
      <c r="A422" t="s">
        <v>5</v>
      </c>
      <c r="B422" t="s">
        <v>872</v>
      </c>
      <c r="C422" s="1">
        <v>2.1E-7</v>
      </c>
      <c r="D422" s="1">
        <v>1.8E-7</v>
      </c>
      <c r="E422" s="1">
        <v>2.1E-7</v>
      </c>
      <c r="F422" s="1">
        <v>1.8E-7</v>
      </c>
      <c r="G422">
        <f t="shared" si="71"/>
        <v>8</v>
      </c>
      <c r="H422" t="str">
        <f t="shared" si="79"/>
        <v>BTC</v>
      </c>
      <c r="I422" t="str">
        <f>LEFT(B422,5)</f>
        <v>BLAZR</v>
      </c>
      <c r="J422" t="str">
        <f t="shared" si="72"/>
        <v>BTCBLAZR</v>
      </c>
      <c r="K422" t="str">
        <f t="shared" si="73"/>
        <v>BLAZRBTC</v>
      </c>
      <c r="L422">
        <f t="shared" si="74"/>
        <v>0</v>
      </c>
      <c r="M422">
        <f t="shared" si="75"/>
        <v>1</v>
      </c>
      <c r="N422" t="b">
        <f t="shared" si="76"/>
        <v>1</v>
      </c>
    </row>
    <row r="423" spans="1:14" hidden="1" x14ac:dyDescent="0.25">
      <c r="A423" t="s">
        <v>5</v>
      </c>
      <c r="B423" t="s">
        <v>1188</v>
      </c>
      <c r="C423" s="1">
        <v>7.1799999999999999E-6</v>
      </c>
      <c r="D423" s="1">
        <v>6.7599999999999997E-6</v>
      </c>
      <c r="E423" s="1">
        <v>7.1799999999999999E-6</v>
      </c>
      <c r="F423" s="1">
        <v>6.7599999999999997E-6</v>
      </c>
      <c r="G423">
        <f t="shared" si="71"/>
        <v>7</v>
      </c>
      <c r="H423" t="str">
        <f t="shared" si="79"/>
        <v>BTC</v>
      </c>
      <c r="I423" t="str">
        <f>LEFT(B423,4)</f>
        <v>BLRY</v>
      </c>
      <c r="J423" t="str">
        <f t="shared" si="72"/>
        <v>BTCBLRY</v>
      </c>
      <c r="K423" t="str">
        <f t="shared" si="73"/>
        <v>BLRYBTC</v>
      </c>
      <c r="L423">
        <f t="shared" si="74"/>
        <v>0</v>
      </c>
      <c r="M423">
        <f t="shared" si="75"/>
        <v>1</v>
      </c>
      <c r="N423" t="b">
        <f t="shared" si="76"/>
        <v>1</v>
      </c>
    </row>
    <row r="424" spans="1:14" hidden="1" x14ac:dyDescent="0.25">
      <c r="A424" t="s">
        <v>5</v>
      </c>
      <c r="B424" t="s">
        <v>1056</v>
      </c>
      <c r="C424" s="1">
        <v>4.2E-7</v>
      </c>
      <c r="D424" s="1">
        <v>4.0999999999999999E-7</v>
      </c>
      <c r="E424" s="1">
        <v>4.2E-7</v>
      </c>
      <c r="F424" s="1">
        <v>4.0999999999999999E-7</v>
      </c>
      <c r="G424">
        <f t="shared" si="71"/>
        <v>7</v>
      </c>
      <c r="H424" t="str">
        <f t="shared" si="79"/>
        <v>BTC</v>
      </c>
      <c r="I424" t="str">
        <f>LEFT(B424,4)</f>
        <v>BLUS</v>
      </c>
      <c r="J424" t="str">
        <f t="shared" si="72"/>
        <v>BTCBLUS</v>
      </c>
      <c r="K424" t="str">
        <f t="shared" si="73"/>
        <v>BLUSBTC</v>
      </c>
      <c r="L424">
        <f t="shared" si="74"/>
        <v>0</v>
      </c>
      <c r="M424">
        <f t="shared" si="75"/>
        <v>1</v>
      </c>
      <c r="N424" t="b">
        <f t="shared" si="76"/>
        <v>1</v>
      </c>
    </row>
    <row r="425" spans="1:14" hidden="1" x14ac:dyDescent="0.25">
      <c r="A425" t="s">
        <v>1239</v>
      </c>
      <c r="B425" t="s">
        <v>1266</v>
      </c>
      <c r="C425" s="1">
        <v>1.2999999999999999E-3</v>
      </c>
      <c r="D425" s="1">
        <v>9.3999999999999997E-4</v>
      </c>
      <c r="E425" s="1">
        <v>1.2999999999999999E-3</v>
      </c>
      <c r="F425" s="1">
        <v>9.3999999999999997E-4</v>
      </c>
      <c r="G425">
        <f t="shared" si="71"/>
        <v>6</v>
      </c>
      <c r="H425" t="str">
        <f t="shared" si="79"/>
        <v>USD</v>
      </c>
      <c r="I425" t="str">
        <f>LEFT(B425,3)</f>
        <v>BLU</v>
      </c>
      <c r="J425" t="str">
        <f t="shared" si="72"/>
        <v>USDBLU</v>
      </c>
      <c r="K425" t="str">
        <f t="shared" si="73"/>
        <v>BLUUSD</v>
      </c>
      <c r="L425">
        <f t="shared" si="74"/>
        <v>0</v>
      </c>
      <c r="M425">
        <f t="shared" si="75"/>
        <v>1</v>
      </c>
      <c r="N425" t="b">
        <f t="shared" si="76"/>
        <v>1</v>
      </c>
    </row>
    <row r="426" spans="1:14" hidden="1" x14ac:dyDescent="0.25">
      <c r="A426" t="s">
        <v>5</v>
      </c>
      <c r="B426" t="s">
        <v>530</v>
      </c>
      <c r="C426" s="1">
        <v>7.0999999999999998E-6</v>
      </c>
      <c r="D426" s="1">
        <v>3.8999999999999999E-6</v>
      </c>
      <c r="E426" s="1">
        <v>7.0999999999999998E-6</v>
      </c>
      <c r="F426" s="1">
        <v>3.8999999999999999E-6</v>
      </c>
      <c r="G426">
        <f t="shared" si="71"/>
        <v>6</v>
      </c>
      <c r="H426" t="str">
        <f t="shared" si="79"/>
        <v>BTC</v>
      </c>
      <c r="I426" t="str">
        <f>LEFT(B426,3)</f>
        <v>BNB</v>
      </c>
      <c r="J426" t="str">
        <f t="shared" si="72"/>
        <v>BTCBNB</v>
      </c>
      <c r="K426" t="str">
        <f t="shared" si="73"/>
        <v>BNBBTC</v>
      </c>
      <c r="L426">
        <f t="shared" si="74"/>
        <v>0</v>
      </c>
      <c r="M426">
        <f t="shared" si="75"/>
        <v>1</v>
      </c>
      <c r="N426" t="b">
        <f t="shared" si="76"/>
        <v>1</v>
      </c>
    </row>
    <row r="427" spans="1:14" hidden="1" x14ac:dyDescent="0.25">
      <c r="A427" t="s">
        <v>4</v>
      </c>
      <c r="B427" t="s">
        <v>322</v>
      </c>
      <c r="C427" s="1">
        <v>9.4500000000000001E-3</v>
      </c>
      <c r="D427" s="1">
        <v>7.3000000000000001E-3</v>
      </c>
      <c r="E427" s="1">
        <v>9.4887199999999904E-3</v>
      </c>
      <c r="F427" s="1">
        <v>7.3000000000000001E-3</v>
      </c>
      <c r="G427">
        <f t="shared" si="71"/>
        <v>6</v>
      </c>
      <c r="H427" t="str">
        <f t="shared" si="79"/>
        <v>BTC</v>
      </c>
      <c r="I427" t="str">
        <f>LEFT(B427,3)</f>
        <v>BNT</v>
      </c>
      <c r="J427" t="str">
        <f t="shared" si="72"/>
        <v>BTCBNT</v>
      </c>
      <c r="K427" t="str">
        <f t="shared" si="73"/>
        <v>BNTBTC</v>
      </c>
      <c r="L427">
        <f t="shared" si="74"/>
        <v>0</v>
      </c>
      <c r="M427">
        <f t="shared" si="75"/>
        <v>1</v>
      </c>
      <c r="N427" t="b">
        <f t="shared" si="76"/>
        <v>1</v>
      </c>
    </row>
    <row r="428" spans="1:14" hidden="1" x14ac:dyDescent="0.25">
      <c r="A428" t="s">
        <v>5</v>
      </c>
      <c r="B428" t="s">
        <v>609</v>
      </c>
      <c r="C428" s="1" t="s">
        <v>361</v>
      </c>
      <c r="D428" s="1" t="s">
        <v>362</v>
      </c>
      <c r="E428" s="1" t="s">
        <v>361</v>
      </c>
      <c r="F428" s="1" t="s">
        <v>362</v>
      </c>
      <c r="G428">
        <f t="shared" si="71"/>
        <v>6</v>
      </c>
      <c r="H428" t="str">
        <f t="shared" si="79"/>
        <v>BTC</v>
      </c>
      <c r="I428" t="str">
        <f>LEFT(B428,3)</f>
        <v>BOD</v>
      </c>
      <c r="J428" t="str">
        <f t="shared" si="72"/>
        <v>BTCBOD</v>
      </c>
      <c r="K428" t="str">
        <f t="shared" si="73"/>
        <v>BODBTC</v>
      </c>
      <c r="L428">
        <f t="shared" si="74"/>
        <v>0</v>
      </c>
      <c r="M428">
        <f t="shared" si="75"/>
        <v>1</v>
      </c>
      <c r="N428" t="b">
        <f t="shared" si="76"/>
        <v>1</v>
      </c>
    </row>
    <row r="429" spans="1:14" hidden="1" x14ac:dyDescent="0.25">
      <c r="A429" t="s">
        <v>5</v>
      </c>
      <c r="B429" t="s">
        <v>1088</v>
      </c>
      <c r="C429" s="1">
        <v>5.22E-6</v>
      </c>
      <c r="D429" s="1">
        <v>4.7600000000000002E-6</v>
      </c>
      <c r="E429" s="1">
        <v>5.22E-6</v>
      </c>
      <c r="F429" s="1">
        <v>4.7600000000000002E-6</v>
      </c>
      <c r="G429">
        <f t="shared" si="71"/>
        <v>7</v>
      </c>
      <c r="H429" t="str">
        <f t="shared" si="79"/>
        <v>BTC</v>
      </c>
      <c r="I429" t="str">
        <f>LEFT(B429,4)</f>
        <v>BOLI</v>
      </c>
      <c r="J429" t="str">
        <f t="shared" si="72"/>
        <v>BTCBOLI</v>
      </c>
      <c r="K429" t="str">
        <f t="shared" si="73"/>
        <v>BOLIBTC</v>
      </c>
      <c r="L429">
        <f t="shared" si="74"/>
        <v>0</v>
      </c>
      <c r="M429">
        <f t="shared" si="75"/>
        <v>1</v>
      </c>
      <c r="N429" t="b">
        <f t="shared" si="76"/>
        <v>1</v>
      </c>
    </row>
    <row r="430" spans="1:14" hidden="1" x14ac:dyDescent="0.25">
      <c r="A430" t="s">
        <v>5</v>
      </c>
      <c r="B430" t="s">
        <v>864</v>
      </c>
      <c r="C430" s="1" t="s">
        <v>361</v>
      </c>
      <c r="D430" s="1" t="s">
        <v>362</v>
      </c>
      <c r="E430" s="1" t="s">
        <v>361</v>
      </c>
      <c r="F430" s="1" t="s">
        <v>362</v>
      </c>
      <c r="G430">
        <f t="shared" si="71"/>
        <v>7</v>
      </c>
      <c r="H430" t="str">
        <f t="shared" si="79"/>
        <v>BTC</v>
      </c>
      <c r="I430" t="str">
        <f>LEFT(B430,4)</f>
        <v>BOMB</v>
      </c>
      <c r="J430" t="str">
        <f t="shared" si="72"/>
        <v>BTCBOMB</v>
      </c>
      <c r="K430" t="str">
        <f t="shared" si="73"/>
        <v>BOMBBTC</v>
      </c>
      <c r="L430">
        <f t="shared" si="74"/>
        <v>0</v>
      </c>
      <c r="M430">
        <f t="shared" si="75"/>
        <v>1</v>
      </c>
      <c r="N430" t="b">
        <f t="shared" si="76"/>
        <v>1</v>
      </c>
    </row>
    <row r="431" spans="1:14" hidden="1" x14ac:dyDescent="0.25">
      <c r="A431" t="s">
        <v>5</v>
      </c>
      <c r="B431" t="s">
        <v>445</v>
      </c>
      <c r="C431" s="1" t="s">
        <v>361</v>
      </c>
      <c r="D431" s="1" t="s">
        <v>362</v>
      </c>
      <c r="E431" s="1" t="s">
        <v>361</v>
      </c>
      <c r="F431" s="1" t="s">
        <v>362</v>
      </c>
      <c r="G431">
        <f t="shared" si="71"/>
        <v>6</v>
      </c>
      <c r="H431" t="str">
        <f t="shared" si="79"/>
        <v>BTC</v>
      </c>
      <c r="I431" t="str">
        <f>LEFT(B431,3)</f>
        <v>BON</v>
      </c>
      <c r="J431" t="str">
        <f t="shared" si="72"/>
        <v>BTCBON</v>
      </c>
      <c r="K431" t="str">
        <f t="shared" si="73"/>
        <v>BONBTC</v>
      </c>
      <c r="L431">
        <f t="shared" si="74"/>
        <v>0</v>
      </c>
      <c r="M431">
        <f t="shared" si="75"/>
        <v>1</v>
      </c>
      <c r="N431" t="b">
        <f t="shared" si="76"/>
        <v>1</v>
      </c>
    </row>
    <row r="432" spans="1:14" hidden="1" x14ac:dyDescent="0.25">
      <c r="A432" t="s">
        <v>5</v>
      </c>
      <c r="B432" t="s">
        <v>1023</v>
      </c>
      <c r="C432" s="1">
        <v>4.2637000000000003E-4</v>
      </c>
      <c r="D432" s="1">
        <v>3.5679E-4</v>
      </c>
      <c r="E432" s="1">
        <v>4.2637000000000003E-4</v>
      </c>
      <c r="F432" s="1">
        <v>3.5679E-4</v>
      </c>
      <c r="G432">
        <f t="shared" si="71"/>
        <v>7</v>
      </c>
      <c r="H432" t="str">
        <f t="shared" si="79"/>
        <v>BTC</v>
      </c>
      <c r="I432" t="str">
        <f>LEFT(B432,4)</f>
        <v>BOOM</v>
      </c>
      <c r="J432" t="str">
        <f t="shared" si="72"/>
        <v>BTCBOOM</v>
      </c>
      <c r="K432" t="str">
        <f t="shared" si="73"/>
        <v>BOOMBTC</v>
      </c>
      <c r="L432">
        <f t="shared" si="74"/>
        <v>0</v>
      </c>
      <c r="M432">
        <f t="shared" si="75"/>
        <v>1</v>
      </c>
      <c r="N432" t="b">
        <f t="shared" si="76"/>
        <v>1</v>
      </c>
    </row>
    <row r="433" spans="1:14" hidden="1" x14ac:dyDescent="0.25">
      <c r="A433" t="s">
        <v>4</v>
      </c>
      <c r="B433" t="s">
        <v>331</v>
      </c>
      <c r="C433" s="1">
        <v>1.815E-3</v>
      </c>
      <c r="D433" s="1">
        <v>1.622E-3</v>
      </c>
      <c r="E433" s="1">
        <v>1.815E-3</v>
      </c>
      <c r="F433" s="1">
        <v>1.622E-3</v>
      </c>
      <c r="G433">
        <f t="shared" si="71"/>
        <v>6</v>
      </c>
      <c r="H433" t="str">
        <f t="shared" si="79"/>
        <v>BTC</v>
      </c>
      <c r="I433" t="str">
        <f>LEFT(B433,3)</f>
        <v>BOS</v>
      </c>
      <c r="J433" t="str">
        <f t="shared" si="72"/>
        <v>BTCBOS</v>
      </c>
      <c r="K433" t="str">
        <f t="shared" si="73"/>
        <v>BOSBTC</v>
      </c>
      <c r="L433">
        <f t="shared" si="74"/>
        <v>0</v>
      </c>
      <c r="M433">
        <f t="shared" si="75"/>
        <v>1</v>
      </c>
      <c r="N433" t="b">
        <f t="shared" si="76"/>
        <v>1</v>
      </c>
    </row>
    <row r="434" spans="1:14" hidden="1" x14ac:dyDescent="0.25">
      <c r="A434" t="s">
        <v>5</v>
      </c>
      <c r="B434" t="s">
        <v>415</v>
      </c>
      <c r="C434" s="1" t="s">
        <v>361</v>
      </c>
      <c r="D434" s="1" t="s">
        <v>362</v>
      </c>
      <c r="E434" s="1" t="s">
        <v>361</v>
      </c>
      <c r="F434" s="1" t="s">
        <v>362</v>
      </c>
      <c r="G434">
        <f t="shared" si="71"/>
        <v>8</v>
      </c>
      <c r="H434" t="str">
        <f t="shared" si="79"/>
        <v>BTC</v>
      </c>
      <c r="I434" t="str">
        <f>LEFT(B434,5)</f>
        <v>BOSON</v>
      </c>
      <c r="J434" t="str">
        <f t="shared" si="72"/>
        <v>BTCBOSON</v>
      </c>
      <c r="K434" t="str">
        <f t="shared" si="73"/>
        <v>BOSONBTC</v>
      </c>
      <c r="L434">
        <f t="shared" si="74"/>
        <v>0</v>
      </c>
      <c r="M434">
        <f t="shared" si="75"/>
        <v>1</v>
      </c>
      <c r="N434" t="b">
        <f t="shared" si="76"/>
        <v>1</v>
      </c>
    </row>
    <row r="435" spans="1:14" hidden="1" x14ac:dyDescent="0.25">
      <c r="A435" t="s">
        <v>5</v>
      </c>
      <c r="B435" t="s">
        <v>1169</v>
      </c>
      <c r="C435" s="1">
        <v>3.5769999999999998E-5</v>
      </c>
      <c r="D435" s="1">
        <v>3.0549999999999997E-5</v>
      </c>
      <c r="E435" s="1">
        <v>3.5769999999999998E-5</v>
      </c>
      <c r="F435" s="1">
        <v>3.0549999999999997E-5</v>
      </c>
      <c r="G435">
        <f t="shared" si="71"/>
        <v>7</v>
      </c>
      <c r="H435" t="str">
        <f t="shared" si="79"/>
        <v>BTC</v>
      </c>
      <c r="I435" t="str">
        <f>LEFT(B435,4)</f>
        <v>BOSS</v>
      </c>
      <c r="J435" t="str">
        <f t="shared" si="72"/>
        <v>BTCBOSS</v>
      </c>
      <c r="K435" t="str">
        <f t="shared" si="73"/>
        <v>BOSSBTC</v>
      </c>
      <c r="L435">
        <f t="shared" si="74"/>
        <v>0</v>
      </c>
      <c r="M435">
        <f t="shared" si="75"/>
        <v>1</v>
      </c>
      <c r="N435" t="b">
        <f t="shared" si="76"/>
        <v>1</v>
      </c>
    </row>
    <row r="436" spans="1:14" hidden="1" x14ac:dyDescent="0.25">
      <c r="A436" t="s">
        <v>1403</v>
      </c>
      <c r="B436" t="s">
        <v>1416</v>
      </c>
      <c r="C436" s="1">
        <v>8.0160000000000005E-5</v>
      </c>
      <c r="D436" s="1">
        <v>2.2117999999999999E-4</v>
      </c>
      <c r="E436" s="1">
        <v>2.2122E-4</v>
      </c>
      <c r="F436" s="1">
        <v>1.3999999999999999E-4</v>
      </c>
      <c r="G436">
        <f t="shared" si="71"/>
        <v>7</v>
      </c>
      <c r="H436" t="str">
        <f t="shared" si="79"/>
        <v>BTC</v>
      </c>
      <c r="I436" t="str">
        <f>LEFT(B436,4)</f>
        <v>BOST</v>
      </c>
      <c r="J436" t="str">
        <f t="shared" si="72"/>
        <v>BTCBOST</v>
      </c>
      <c r="K436" t="str">
        <f t="shared" si="73"/>
        <v>BOSTBTC</v>
      </c>
      <c r="L436">
        <f t="shared" si="74"/>
        <v>0</v>
      </c>
      <c r="M436">
        <f t="shared" si="75"/>
        <v>1</v>
      </c>
      <c r="N436" t="b">
        <f t="shared" si="76"/>
        <v>1</v>
      </c>
    </row>
    <row r="437" spans="1:14" hidden="1" x14ac:dyDescent="0.25">
      <c r="A437" t="s">
        <v>1403</v>
      </c>
      <c r="B437" t="s">
        <v>1922</v>
      </c>
      <c r="C437" s="1">
        <v>2.84</v>
      </c>
      <c r="D437" s="1">
        <v>2.84</v>
      </c>
      <c r="E437" s="1">
        <v>9996.9999999899992</v>
      </c>
      <c r="F437" s="1">
        <v>5.7200000299999996</v>
      </c>
      <c r="G437">
        <f t="shared" si="71"/>
        <v>8</v>
      </c>
      <c r="H437" t="str">
        <f>RIGHT(B437,4)</f>
        <v>DOGE</v>
      </c>
      <c r="I437" t="str">
        <f>LEFT(B437,4)</f>
        <v>BOST</v>
      </c>
      <c r="J437" t="str">
        <f t="shared" si="72"/>
        <v>DOGEBOST</v>
      </c>
      <c r="K437" t="str">
        <f t="shared" si="73"/>
        <v>BOSTDOGE</v>
      </c>
      <c r="L437">
        <f t="shared" si="74"/>
        <v>0</v>
      </c>
      <c r="M437">
        <f t="shared" si="75"/>
        <v>1</v>
      </c>
      <c r="N437" t="b">
        <f t="shared" si="76"/>
        <v>1</v>
      </c>
    </row>
    <row r="438" spans="1:14" hidden="1" x14ac:dyDescent="0.25">
      <c r="A438" t="s">
        <v>1403</v>
      </c>
      <c r="B438" t="s">
        <v>1730</v>
      </c>
      <c r="C438" s="1">
        <v>0.15959999999999999</v>
      </c>
      <c r="D438" s="1">
        <v>0.15959999999999999</v>
      </c>
      <c r="E438" s="1">
        <v>0.156999</v>
      </c>
      <c r="F438" s="1">
        <v>1.5555000000000001E-4</v>
      </c>
      <c r="G438">
        <f t="shared" si="71"/>
        <v>7</v>
      </c>
      <c r="H438" t="str">
        <f t="shared" ref="H438:H445" si="80">RIGHT(B438,3)</f>
        <v>LTC</v>
      </c>
      <c r="I438" t="str">
        <f>LEFT(B438,4)</f>
        <v>BOST</v>
      </c>
      <c r="J438" t="str">
        <f t="shared" si="72"/>
        <v>LTCBOST</v>
      </c>
      <c r="K438" t="str">
        <f t="shared" si="73"/>
        <v>BOSTLTC</v>
      </c>
      <c r="L438">
        <f t="shared" si="74"/>
        <v>0</v>
      </c>
      <c r="M438">
        <f t="shared" si="75"/>
        <v>1</v>
      </c>
      <c r="N438" t="b">
        <f t="shared" si="76"/>
        <v>1</v>
      </c>
    </row>
    <row r="439" spans="1:14" hidden="1" x14ac:dyDescent="0.25">
      <c r="A439" t="s">
        <v>1403</v>
      </c>
      <c r="B439" t="s">
        <v>1550</v>
      </c>
      <c r="C439" s="1">
        <v>1.9990000000000001</v>
      </c>
      <c r="D439" s="1">
        <v>1.9990000000000001</v>
      </c>
      <c r="E439" s="1">
        <v>2.3999000000000001</v>
      </c>
      <c r="F439" s="1">
        <v>5.3138999999999997E-4</v>
      </c>
      <c r="G439">
        <f t="shared" si="71"/>
        <v>7</v>
      </c>
      <c r="H439" t="str">
        <f t="shared" si="80"/>
        <v>USD</v>
      </c>
      <c r="I439" t="str">
        <f>LEFT(B439,4)</f>
        <v>BOST</v>
      </c>
      <c r="J439" t="str">
        <f t="shared" si="72"/>
        <v>USDBOST</v>
      </c>
      <c r="K439" t="str">
        <f t="shared" si="73"/>
        <v>BOSTUSD</v>
      </c>
      <c r="L439">
        <f t="shared" si="74"/>
        <v>0</v>
      </c>
      <c r="M439">
        <f t="shared" si="75"/>
        <v>1</v>
      </c>
      <c r="N439" t="b">
        <f t="shared" si="76"/>
        <v>1</v>
      </c>
    </row>
    <row r="440" spans="1:14" hidden="1" x14ac:dyDescent="0.25">
      <c r="A440" t="s">
        <v>5</v>
      </c>
      <c r="B440" t="s">
        <v>511</v>
      </c>
      <c r="C440" s="1">
        <v>1.5684E-4</v>
      </c>
      <c r="D440" s="1">
        <v>7.4999999999999993E-5</v>
      </c>
      <c r="E440" s="1">
        <v>1.5684E-4</v>
      </c>
      <c r="F440" s="1">
        <v>7.4999999999999993E-5</v>
      </c>
      <c r="G440">
        <f t="shared" si="71"/>
        <v>6</v>
      </c>
      <c r="H440" t="str">
        <f t="shared" si="80"/>
        <v>BTC</v>
      </c>
      <c r="I440" t="str">
        <f>LEFT(B440,3)</f>
        <v>BOT</v>
      </c>
      <c r="J440" t="str">
        <f t="shared" si="72"/>
        <v>BTCBOT</v>
      </c>
      <c r="K440" t="str">
        <f t="shared" si="73"/>
        <v>BOTBTC</v>
      </c>
      <c r="L440">
        <f t="shared" si="74"/>
        <v>0</v>
      </c>
      <c r="M440">
        <f t="shared" si="75"/>
        <v>1</v>
      </c>
      <c r="N440" t="b">
        <f t="shared" si="76"/>
        <v>1</v>
      </c>
    </row>
    <row r="441" spans="1:14" hidden="1" x14ac:dyDescent="0.25">
      <c r="A441" t="s">
        <v>5</v>
      </c>
      <c r="B441" t="s">
        <v>830</v>
      </c>
      <c r="C441" s="1" t="s">
        <v>435</v>
      </c>
      <c r="D441" s="1" t="s">
        <v>380</v>
      </c>
      <c r="E441" s="1" t="s">
        <v>435</v>
      </c>
      <c r="F441" s="1" t="s">
        <v>380</v>
      </c>
      <c r="G441">
        <f t="shared" si="71"/>
        <v>7</v>
      </c>
      <c r="H441" t="str">
        <f t="shared" si="80"/>
        <v>BTC</v>
      </c>
      <c r="I441" t="str">
        <f>LEFT(B441,4)</f>
        <v>BPOK</v>
      </c>
      <c r="J441" t="str">
        <f t="shared" si="72"/>
        <v>BTCBPOK</v>
      </c>
      <c r="K441" t="str">
        <f t="shared" si="73"/>
        <v>BPOKBTC</v>
      </c>
      <c r="L441">
        <f t="shared" si="74"/>
        <v>0</v>
      </c>
      <c r="M441">
        <f t="shared" si="75"/>
        <v>1</v>
      </c>
      <c r="N441" t="b">
        <f t="shared" si="76"/>
        <v>1</v>
      </c>
    </row>
    <row r="442" spans="1:14" hidden="1" x14ac:dyDescent="0.25">
      <c r="A442" t="s">
        <v>5</v>
      </c>
      <c r="B442" t="s">
        <v>912</v>
      </c>
      <c r="C442" s="1">
        <v>3.3999999999999997E-7</v>
      </c>
      <c r="D442" s="1" t="s">
        <v>374</v>
      </c>
      <c r="E442" s="1">
        <v>3.3999999999999997E-7</v>
      </c>
      <c r="F442" s="1" t="s">
        <v>374</v>
      </c>
      <c r="G442">
        <f t="shared" si="71"/>
        <v>8</v>
      </c>
      <c r="H442" t="str">
        <f t="shared" si="80"/>
        <v>BTC</v>
      </c>
      <c r="I442" t="str">
        <f>LEFT(B442,5)</f>
        <v>BRAIN</v>
      </c>
      <c r="J442" t="str">
        <f t="shared" si="72"/>
        <v>BTCBRAIN</v>
      </c>
      <c r="K442" t="str">
        <f t="shared" si="73"/>
        <v>BRAINBTC</v>
      </c>
      <c r="L442">
        <f t="shared" si="74"/>
        <v>0</v>
      </c>
      <c r="M442">
        <f t="shared" si="75"/>
        <v>1</v>
      </c>
      <c r="N442" t="b">
        <f t="shared" si="76"/>
        <v>1</v>
      </c>
    </row>
    <row r="443" spans="1:14" hidden="1" x14ac:dyDescent="0.25">
      <c r="A443" t="s">
        <v>5</v>
      </c>
      <c r="B443" t="s">
        <v>1200</v>
      </c>
      <c r="C443" s="1">
        <v>5.4000000000000002E-7</v>
      </c>
      <c r="D443" s="1" t="s">
        <v>421</v>
      </c>
      <c r="E443" s="1">
        <v>5.4000000000000002E-7</v>
      </c>
      <c r="F443" s="1" t="s">
        <v>421</v>
      </c>
      <c r="G443">
        <f t="shared" si="71"/>
        <v>7</v>
      </c>
      <c r="H443" t="str">
        <f t="shared" si="80"/>
        <v>BTC</v>
      </c>
      <c r="I443" t="str">
        <f>LEFT(B443,4)</f>
        <v>BRDD</v>
      </c>
      <c r="J443" t="str">
        <f t="shared" si="72"/>
        <v>BTCBRDD</v>
      </c>
      <c r="K443" t="str">
        <f t="shared" si="73"/>
        <v>BRDDBTC</v>
      </c>
      <c r="L443">
        <f t="shared" si="74"/>
        <v>0</v>
      </c>
      <c r="M443">
        <f t="shared" si="75"/>
        <v>1</v>
      </c>
      <c r="N443" t="b">
        <f t="shared" si="76"/>
        <v>1</v>
      </c>
    </row>
    <row r="444" spans="1:14" hidden="1" x14ac:dyDescent="0.25">
      <c r="A444" t="s">
        <v>5</v>
      </c>
      <c r="B444" t="s">
        <v>670</v>
      </c>
      <c r="C444" s="1">
        <v>5.1000000000000003E-6</v>
      </c>
      <c r="D444" s="1">
        <v>4.6999999999999999E-6</v>
      </c>
      <c r="E444" s="1">
        <v>5.1000000000000003E-6</v>
      </c>
      <c r="F444" s="1">
        <v>4.6999999999999999E-6</v>
      </c>
      <c r="G444">
        <f t="shared" si="71"/>
        <v>6</v>
      </c>
      <c r="H444" t="str">
        <f t="shared" si="80"/>
        <v>BTC</v>
      </c>
      <c r="I444" t="str">
        <f>LEFT(B444,3)</f>
        <v>BRE</v>
      </c>
      <c r="J444" t="str">
        <f t="shared" si="72"/>
        <v>BTCBRE</v>
      </c>
      <c r="K444" t="str">
        <f t="shared" si="73"/>
        <v>BREBTC</v>
      </c>
      <c r="L444">
        <f t="shared" si="74"/>
        <v>0</v>
      </c>
      <c r="M444">
        <f t="shared" si="75"/>
        <v>1</v>
      </c>
      <c r="N444" t="b">
        <f t="shared" si="76"/>
        <v>1</v>
      </c>
    </row>
    <row r="445" spans="1:14" hidden="1" x14ac:dyDescent="0.25">
      <c r="A445" t="s">
        <v>1403</v>
      </c>
      <c r="B445" t="s">
        <v>1417</v>
      </c>
      <c r="C445" s="1">
        <v>7.1999999999999997E-6</v>
      </c>
      <c r="D445" s="1">
        <v>8.5699999999999993E-6</v>
      </c>
      <c r="E445" s="1">
        <v>8.4999999999999999E-6</v>
      </c>
      <c r="F445" s="1">
        <v>7.1999999999999997E-6</v>
      </c>
      <c r="G445">
        <f t="shared" si="71"/>
        <v>7</v>
      </c>
      <c r="H445" t="str">
        <f t="shared" si="80"/>
        <v>BTC</v>
      </c>
      <c r="I445" t="str">
        <f>LEFT(B445,4)</f>
        <v>BRIT</v>
      </c>
      <c r="J445" t="str">
        <f t="shared" si="72"/>
        <v>BTCBRIT</v>
      </c>
      <c r="K445" t="str">
        <f t="shared" si="73"/>
        <v>BRITBTC</v>
      </c>
      <c r="L445">
        <f t="shared" si="74"/>
        <v>0</v>
      </c>
      <c r="M445">
        <f t="shared" si="75"/>
        <v>1</v>
      </c>
      <c r="N445" t="b">
        <f t="shared" si="76"/>
        <v>1</v>
      </c>
    </row>
    <row r="446" spans="1:14" hidden="1" x14ac:dyDescent="0.25">
      <c r="A446" t="s">
        <v>1403</v>
      </c>
      <c r="B446" t="s">
        <v>1923</v>
      </c>
      <c r="C446" s="1">
        <v>80.400000050000003</v>
      </c>
      <c r="D446" s="1">
        <v>80.400000050000003</v>
      </c>
      <c r="E446" s="1">
        <v>100.9899899</v>
      </c>
      <c r="F446" s="1">
        <v>1.4000002199999999</v>
      </c>
      <c r="G446">
        <f t="shared" si="71"/>
        <v>8</v>
      </c>
      <c r="H446" t="str">
        <f>RIGHT(B446,4)</f>
        <v>DOGE</v>
      </c>
      <c r="I446" t="str">
        <f>LEFT(B446,4)</f>
        <v>BRIT</v>
      </c>
      <c r="J446" t="str">
        <f t="shared" si="72"/>
        <v>DOGEBRIT</v>
      </c>
      <c r="K446" t="str">
        <f t="shared" si="73"/>
        <v>BRITDOGE</v>
      </c>
      <c r="L446">
        <f t="shared" si="74"/>
        <v>0</v>
      </c>
      <c r="M446">
        <f t="shared" si="75"/>
        <v>1</v>
      </c>
      <c r="N446" t="b">
        <f t="shared" si="76"/>
        <v>1</v>
      </c>
    </row>
    <row r="447" spans="1:14" hidden="1" x14ac:dyDescent="0.25">
      <c r="A447" t="s">
        <v>1403</v>
      </c>
      <c r="B447" t="s">
        <v>1731</v>
      </c>
      <c r="C447" s="1">
        <v>0</v>
      </c>
      <c r="D447" s="1">
        <v>0</v>
      </c>
      <c r="E447" s="1">
        <v>1.9699879999999999E-2</v>
      </c>
      <c r="F447" s="1">
        <v>1.0009E-4</v>
      </c>
      <c r="G447">
        <f t="shared" si="71"/>
        <v>7</v>
      </c>
      <c r="H447" t="str">
        <f t="shared" ref="H447:H456" si="81">RIGHT(B447,3)</f>
        <v>LTC</v>
      </c>
      <c r="I447" t="str">
        <f>LEFT(B447,4)</f>
        <v>BRIT</v>
      </c>
      <c r="J447" t="str">
        <f t="shared" si="72"/>
        <v>LTCBRIT</v>
      </c>
      <c r="K447" t="str">
        <f t="shared" si="73"/>
        <v>BRITLTC</v>
      </c>
      <c r="L447">
        <f t="shared" si="74"/>
        <v>0</v>
      </c>
      <c r="M447">
        <f t="shared" si="75"/>
        <v>1</v>
      </c>
      <c r="N447" t="b">
        <f t="shared" si="76"/>
        <v>1</v>
      </c>
    </row>
    <row r="448" spans="1:14" hidden="1" x14ac:dyDescent="0.25">
      <c r="A448" t="s">
        <v>1403</v>
      </c>
      <c r="B448" t="s">
        <v>1551</v>
      </c>
      <c r="C448" s="1">
        <v>7.7997999999999998E-2</v>
      </c>
      <c r="D448" s="1">
        <v>7.7997999999999998E-2</v>
      </c>
      <c r="E448" s="1">
        <v>7.7999990000000005E-2</v>
      </c>
      <c r="F448" s="1">
        <v>9.0000199999999992E-3</v>
      </c>
      <c r="G448">
        <f t="shared" si="71"/>
        <v>7</v>
      </c>
      <c r="H448" t="str">
        <f t="shared" si="81"/>
        <v>USD</v>
      </c>
      <c r="I448" t="str">
        <f>LEFT(B448,4)</f>
        <v>BRIT</v>
      </c>
      <c r="J448" t="str">
        <f t="shared" si="72"/>
        <v>USDBRIT</v>
      </c>
      <c r="K448" t="str">
        <f t="shared" si="73"/>
        <v>BRITUSD</v>
      </c>
      <c r="L448">
        <f t="shared" si="74"/>
        <v>0</v>
      </c>
      <c r="M448">
        <f t="shared" si="75"/>
        <v>1</v>
      </c>
      <c r="N448" t="b">
        <f t="shared" si="76"/>
        <v>1</v>
      </c>
    </row>
    <row r="449" spans="1:14" hidden="1" x14ac:dyDescent="0.25">
      <c r="A449" t="s">
        <v>5</v>
      </c>
      <c r="B449" t="s">
        <v>971</v>
      </c>
      <c r="C449" s="1">
        <v>3.89E-6</v>
      </c>
      <c r="D449" s="1">
        <v>3.4999999999999999E-6</v>
      </c>
      <c r="E449" s="1">
        <v>3.89E-6</v>
      </c>
      <c r="F449" s="1">
        <v>3.4999999999999999E-6</v>
      </c>
      <c r="G449">
        <f t="shared" ref="G449:G512" si="82">LEN(B449)</f>
        <v>8</v>
      </c>
      <c r="H449" t="str">
        <f t="shared" si="81"/>
        <v>BTC</v>
      </c>
      <c r="I449" t="str">
        <f>LEFT(B449,5)</f>
        <v>BRONZ</v>
      </c>
      <c r="J449" t="str">
        <f t="shared" ref="J449:J512" si="83">CONCATENATE(H449,I449)</f>
        <v>BTCBRONZ</v>
      </c>
      <c r="K449" t="str">
        <f t="shared" ref="K449:K512" si="84">CONCATENATE(I449,H449)</f>
        <v>BRONZBTC</v>
      </c>
      <c r="L449">
        <f t="shared" ref="L449:L512" si="85">COUNTIF(B:B,J449)</f>
        <v>0</v>
      </c>
      <c r="M449">
        <f t="shared" ref="M449:M512" si="86">COUNTIF(B:B,K449)</f>
        <v>1</v>
      </c>
      <c r="N449" t="b">
        <f t="shared" ref="N449:N512" si="87">L449=0</f>
        <v>1</v>
      </c>
    </row>
    <row r="450" spans="1:14" hidden="1" x14ac:dyDescent="0.25">
      <c r="A450" t="s">
        <v>5</v>
      </c>
      <c r="B450" t="s">
        <v>1204</v>
      </c>
      <c r="C450" s="1" t="s">
        <v>361</v>
      </c>
      <c r="D450" s="1" t="s">
        <v>362</v>
      </c>
      <c r="E450" s="1" t="s">
        <v>361</v>
      </c>
      <c r="F450" s="1" t="s">
        <v>362</v>
      </c>
      <c r="G450">
        <f t="shared" si="82"/>
        <v>5</v>
      </c>
      <c r="H450" t="str">
        <f t="shared" si="81"/>
        <v>BTC</v>
      </c>
      <c r="I450" t="str">
        <f>LEFT(B450,2)</f>
        <v>BS</v>
      </c>
      <c r="J450" t="str">
        <f t="shared" si="83"/>
        <v>BTCBS</v>
      </c>
      <c r="K450" t="str">
        <f t="shared" si="84"/>
        <v>BSBTC</v>
      </c>
      <c r="L450">
        <f t="shared" si="85"/>
        <v>0</v>
      </c>
      <c r="M450">
        <f t="shared" si="86"/>
        <v>1</v>
      </c>
      <c r="N450" t="b">
        <f t="shared" si="87"/>
        <v>1</v>
      </c>
    </row>
    <row r="451" spans="1:14" hidden="1" x14ac:dyDescent="0.25">
      <c r="A451" t="s">
        <v>5</v>
      </c>
      <c r="B451" t="s">
        <v>611</v>
      </c>
      <c r="C451" s="1">
        <v>7.8999999999999995E-7</v>
      </c>
      <c r="D451" s="1">
        <v>7.5000000000000002E-7</v>
      </c>
      <c r="E451" s="1">
        <v>7.8999999999999995E-7</v>
      </c>
      <c r="F451" s="1">
        <v>7.5000000000000002E-7</v>
      </c>
      <c r="G451">
        <f t="shared" si="82"/>
        <v>6</v>
      </c>
      <c r="H451" t="str">
        <f t="shared" si="81"/>
        <v>BTC</v>
      </c>
      <c r="I451" t="str">
        <f>LEFT(B451,3)</f>
        <v>BSC</v>
      </c>
      <c r="J451" t="str">
        <f t="shared" si="83"/>
        <v>BTCBSC</v>
      </c>
      <c r="K451" t="str">
        <f t="shared" si="84"/>
        <v>BSCBTC</v>
      </c>
      <c r="L451">
        <f t="shared" si="85"/>
        <v>0</v>
      </c>
      <c r="M451">
        <f t="shared" si="86"/>
        <v>1</v>
      </c>
      <c r="N451" t="b">
        <f t="shared" si="87"/>
        <v>1</v>
      </c>
    </row>
    <row r="452" spans="1:14" hidden="1" x14ac:dyDescent="0.25">
      <c r="A452" t="s">
        <v>5</v>
      </c>
      <c r="B452" t="s">
        <v>699</v>
      </c>
      <c r="C452" s="1">
        <v>4.4299999999999999E-6</v>
      </c>
      <c r="D452" s="1">
        <v>3.4800000000000001E-6</v>
      </c>
      <c r="E452" s="1">
        <v>4.4299999999999999E-6</v>
      </c>
      <c r="F452" s="1">
        <v>3.4800000000000001E-6</v>
      </c>
      <c r="G452">
        <f t="shared" si="82"/>
        <v>6</v>
      </c>
      <c r="H452" t="str">
        <f t="shared" si="81"/>
        <v>BTC</v>
      </c>
      <c r="I452" t="str">
        <f>LEFT(B452,3)</f>
        <v>BSH</v>
      </c>
      <c r="J452" t="str">
        <f t="shared" si="83"/>
        <v>BTCBSH</v>
      </c>
      <c r="K452" t="str">
        <f t="shared" si="84"/>
        <v>BSHBTC</v>
      </c>
      <c r="L452">
        <f t="shared" si="85"/>
        <v>0</v>
      </c>
      <c r="M452">
        <f t="shared" si="86"/>
        <v>1</v>
      </c>
      <c r="N452" t="b">
        <f t="shared" si="87"/>
        <v>1</v>
      </c>
    </row>
    <row r="453" spans="1:14" hidden="1" x14ac:dyDescent="0.25">
      <c r="A453" t="s">
        <v>5</v>
      </c>
      <c r="B453" t="s">
        <v>1207</v>
      </c>
      <c r="C453" s="1" t="s">
        <v>362</v>
      </c>
      <c r="D453" s="1" t="s">
        <v>364</v>
      </c>
      <c r="E453" s="1" t="s">
        <v>362</v>
      </c>
      <c r="F453" s="1">
        <v>1.48E-6</v>
      </c>
      <c r="G453">
        <f t="shared" si="82"/>
        <v>8</v>
      </c>
      <c r="H453" t="str">
        <f t="shared" si="81"/>
        <v>BTC</v>
      </c>
      <c r="I453" t="str">
        <f>LEFT(B453,5)</f>
        <v>BSTAR</v>
      </c>
      <c r="J453" t="str">
        <f t="shared" si="83"/>
        <v>BTCBSTAR</v>
      </c>
      <c r="K453" t="str">
        <f t="shared" si="84"/>
        <v>BSTARBTC</v>
      </c>
      <c r="L453">
        <f t="shared" si="85"/>
        <v>0</v>
      </c>
      <c r="M453">
        <f t="shared" si="86"/>
        <v>1</v>
      </c>
      <c r="N453" t="b">
        <f t="shared" si="87"/>
        <v>1</v>
      </c>
    </row>
    <row r="454" spans="1:14" hidden="1" x14ac:dyDescent="0.25">
      <c r="A454" t="s">
        <v>5</v>
      </c>
      <c r="B454" t="s">
        <v>1063</v>
      </c>
      <c r="C454" s="1">
        <v>2.9304999999999999E-4</v>
      </c>
      <c r="D454" s="1">
        <v>2.3182000000000001E-4</v>
      </c>
      <c r="E454" s="1">
        <v>2.9304999999999999E-4</v>
      </c>
      <c r="F454" s="1">
        <v>2.3182000000000001E-4</v>
      </c>
      <c r="G454">
        <f t="shared" si="82"/>
        <v>6</v>
      </c>
      <c r="H454" t="str">
        <f t="shared" si="81"/>
        <v>BTC</v>
      </c>
      <c r="I454" t="str">
        <f>LEFT(B454,3)</f>
        <v>BST</v>
      </c>
      <c r="J454" t="str">
        <f t="shared" si="83"/>
        <v>BTCBST</v>
      </c>
      <c r="K454" t="str">
        <f t="shared" si="84"/>
        <v>BSTBTC</v>
      </c>
      <c r="L454">
        <f t="shared" si="85"/>
        <v>0</v>
      </c>
      <c r="M454">
        <f t="shared" si="86"/>
        <v>1</v>
      </c>
      <c r="N454" t="b">
        <f t="shared" si="87"/>
        <v>1</v>
      </c>
    </row>
    <row r="455" spans="1:14" hidden="1" x14ac:dyDescent="0.25">
      <c r="A455" t="s">
        <v>5</v>
      </c>
      <c r="B455" t="s">
        <v>1150</v>
      </c>
      <c r="C455" s="1">
        <v>1.35E-4</v>
      </c>
      <c r="D455" s="1">
        <v>6.2139999999999998E-5</v>
      </c>
      <c r="E455" s="1">
        <v>1.35E-4</v>
      </c>
      <c r="F455" s="1">
        <v>6.2139999999999998E-5</v>
      </c>
      <c r="G455">
        <f t="shared" si="82"/>
        <v>7</v>
      </c>
      <c r="H455" t="str">
        <f t="shared" si="81"/>
        <v>BTC</v>
      </c>
      <c r="I455" t="str">
        <f>LEFT(B455,4)</f>
        <v>BSTK</v>
      </c>
      <c r="J455" t="str">
        <f t="shared" si="83"/>
        <v>BTCBSTK</v>
      </c>
      <c r="K455" t="str">
        <f t="shared" si="84"/>
        <v>BSTKBTC</v>
      </c>
      <c r="L455">
        <f t="shared" si="85"/>
        <v>0</v>
      </c>
      <c r="M455">
        <f t="shared" si="86"/>
        <v>1</v>
      </c>
      <c r="N455" t="b">
        <f t="shared" si="87"/>
        <v>1</v>
      </c>
    </row>
    <row r="456" spans="1:14" hidden="1" x14ac:dyDescent="0.25">
      <c r="A456" t="s">
        <v>5</v>
      </c>
      <c r="B456" t="s">
        <v>888</v>
      </c>
      <c r="C456" s="1">
        <v>3.01E-6</v>
      </c>
      <c r="D456" s="1">
        <v>2.4600000000000002E-6</v>
      </c>
      <c r="E456" s="1">
        <v>3.01E-6</v>
      </c>
      <c r="F456" s="1">
        <v>2.4600000000000002E-6</v>
      </c>
      <c r="G456">
        <f t="shared" si="82"/>
        <v>7</v>
      </c>
      <c r="H456" t="str">
        <f t="shared" si="81"/>
        <v>BTC</v>
      </c>
      <c r="I456" t="str">
        <f>LEFT(B456,4)</f>
        <v>BSTY</v>
      </c>
      <c r="J456" t="str">
        <f t="shared" si="83"/>
        <v>BTCBSTY</v>
      </c>
      <c r="K456" t="str">
        <f t="shared" si="84"/>
        <v>BSTYBTC</v>
      </c>
      <c r="L456">
        <f t="shared" si="85"/>
        <v>0</v>
      </c>
      <c r="M456">
        <f t="shared" si="86"/>
        <v>1</v>
      </c>
      <c r="N456" t="b">
        <f t="shared" si="87"/>
        <v>1</v>
      </c>
    </row>
    <row r="457" spans="1:14" hidden="1" x14ac:dyDescent="0.25">
      <c r="A457" t="s">
        <v>2</v>
      </c>
      <c r="B457" t="s">
        <v>163</v>
      </c>
      <c r="C457" s="1">
        <v>1.0450000000000001E-4</v>
      </c>
      <c r="D457" s="1">
        <v>1.0398E-4</v>
      </c>
      <c r="E457" s="1">
        <v>1.0450000000000001E-4</v>
      </c>
      <c r="F457" s="1">
        <v>1.0398E-4</v>
      </c>
      <c r="G457">
        <f t="shared" si="82"/>
        <v>7</v>
      </c>
      <c r="H457" t="str">
        <f>RIGHT(B457,4)</f>
        <v>AGRS</v>
      </c>
      <c r="I457" t="str">
        <f t="shared" ref="I457:I491" si="88">LEFT(B457,3)</f>
        <v>BTC</v>
      </c>
      <c r="J457" t="str">
        <f t="shared" si="83"/>
        <v>AGRSBTC</v>
      </c>
      <c r="K457" t="str">
        <f t="shared" si="84"/>
        <v>BTCAGRS</v>
      </c>
      <c r="L457">
        <f t="shared" si="85"/>
        <v>0</v>
      </c>
      <c r="M457">
        <f t="shared" si="86"/>
        <v>1</v>
      </c>
      <c r="N457" t="b">
        <f t="shared" si="87"/>
        <v>1</v>
      </c>
    </row>
    <row r="458" spans="1:14" hidden="1" x14ac:dyDescent="0.25">
      <c r="A458" t="s">
        <v>2</v>
      </c>
      <c r="B458" t="s">
        <v>204</v>
      </c>
      <c r="C458" s="1">
        <v>6.4375999999999995E-4</v>
      </c>
      <c r="D458" s="1">
        <v>6.4026999999999997E-4</v>
      </c>
      <c r="E458" s="1">
        <v>6.4375999999999995E-4</v>
      </c>
      <c r="F458" s="1">
        <v>6.4026999999999997E-4</v>
      </c>
      <c r="G458">
        <f t="shared" si="82"/>
        <v>6</v>
      </c>
      <c r="H458" t="str">
        <f>RIGHT(B458,3)</f>
        <v>ANS</v>
      </c>
      <c r="I458" t="str">
        <f t="shared" si="88"/>
        <v>BTC</v>
      </c>
      <c r="J458" t="str">
        <f t="shared" si="83"/>
        <v>ANSBTC</v>
      </c>
      <c r="K458" t="str">
        <f t="shared" si="84"/>
        <v>BTCANS</v>
      </c>
      <c r="L458">
        <f t="shared" si="85"/>
        <v>0</v>
      </c>
      <c r="M458">
        <f t="shared" si="86"/>
        <v>1</v>
      </c>
      <c r="N458" t="b">
        <f t="shared" si="87"/>
        <v>1</v>
      </c>
    </row>
    <row r="459" spans="1:14" hidden="1" x14ac:dyDescent="0.25">
      <c r="A459" t="s">
        <v>2</v>
      </c>
      <c r="B459" t="s">
        <v>249</v>
      </c>
      <c r="C459" s="1">
        <v>1.2698399999999999E-3</v>
      </c>
      <c r="D459" s="1">
        <v>1.25001E-3</v>
      </c>
      <c r="E459" s="1">
        <v>1.2698399999999999E-3</v>
      </c>
      <c r="F459" s="1">
        <v>1.25001E-3</v>
      </c>
      <c r="G459">
        <f t="shared" si="82"/>
        <v>6</v>
      </c>
      <c r="H459" t="str">
        <f>RIGHT(B459,3)</f>
        <v>ANT</v>
      </c>
      <c r="I459" t="str">
        <f t="shared" si="88"/>
        <v>BTC</v>
      </c>
      <c r="J459" t="str">
        <f t="shared" si="83"/>
        <v>ANTBTC</v>
      </c>
      <c r="K459" t="str">
        <f t="shared" si="84"/>
        <v>BTCANT</v>
      </c>
      <c r="L459">
        <f t="shared" si="85"/>
        <v>0</v>
      </c>
      <c r="M459">
        <f t="shared" si="86"/>
        <v>1</v>
      </c>
      <c r="N459" t="b">
        <f t="shared" si="87"/>
        <v>1</v>
      </c>
    </row>
    <row r="460" spans="1:14" hidden="1" x14ac:dyDescent="0.25">
      <c r="A460" t="s">
        <v>2</v>
      </c>
      <c r="B460" t="s">
        <v>244</v>
      </c>
      <c r="C460" s="1">
        <v>2.3844299999999999E-3</v>
      </c>
      <c r="D460" s="1">
        <v>2.27867E-3</v>
      </c>
      <c r="E460" s="1">
        <v>2.3844299999999999E-3</v>
      </c>
      <c r="F460" s="1">
        <v>2.27867E-3</v>
      </c>
      <c r="G460">
        <f t="shared" si="82"/>
        <v>6</v>
      </c>
      <c r="H460" t="str">
        <f>RIGHT(B460,3)</f>
        <v>APX</v>
      </c>
      <c r="I460" t="str">
        <f t="shared" si="88"/>
        <v>BTC</v>
      </c>
      <c r="J460" t="str">
        <f t="shared" si="83"/>
        <v>APXBTC</v>
      </c>
      <c r="K460" t="str">
        <f t="shared" si="84"/>
        <v>BTCAPX</v>
      </c>
      <c r="L460">
        <f t="shared" si="85"/>
        <v>0</v>
      </c>
      <c r="M460">
        <f t="shared" si="86"/>
        <v>1</v>
      </c>
      <c r="N460" t="b">
        <f t="shared" si="87"/>
        <v>1</v>
      </c>
    </row>
    <row r="461" spans="1:14" hidden="1" x14ac:dyDescent="0.25">
      <c r="A461" t="s">
        <v>2</v>
      </c>
      <c r="B461" t="s">
        <v>222</v>
      </c>
      <c r="C461" s="1">
        <v>2.9764E-4</v>
      </c>
      <c r="D461" s="1">
        <v>2.9410999999999999E-4</v>
      </c>
      <c r="E461" s="1">
        <v>2.9764E-4</v>
      </c>
      <c r="F461" s="1">
        <v>2.9410999999999999E-4</v>
      </c>
      <c r="G461">
        <f t="shared" si="82"/>
        <v>6</v>
      </c>
      <c r="H461" t="str">
        <f>RIGHT(B461,3)</f>
        <v>ARK</v>
      </c>
      <c r="I461" t="str">
        <f t="shared" si="88"/>
        <v>BTC</v>
      </c>
      <c r="J461" t="str">
        <f t="shared" si="83"/>
        <v>ARKBTC</v>
      </c>
      <c r="K461" t="str">
        <f t="shared" si="84"/>
        <v>BTCARK</v>
      </c>
      <c r="L461">
        <f t="shared" si="85"/>
        <v>0</v>
      </c>
      <c r="M461">
        <f t="shared" si="86"/>
        <v>1</v>
      </c>
      <c r="N461" t="b">
        <f t="shared" si="87"/>
        <v>1</v>
      </c>
    </row>
    <row r="462" spans="1:14" hidden="1" x14ac:dyDescent="0.25">
      <c r="A462" t="s">
        <v>2</v>
      </c>
      <c r="B462" t="s">
        <v>253</v>
      </c>
      <c r="C462" s="1">
        <v>7.0010000000000002E-5</v>
      </c>
      <c r="D462" s="1">
        <v>6.9889999999999997E-5</v>
      </c>
      <c r="E462" s="1">
        <v>7.0010000000000002E-5</v>
      </c>
      <c r="F462" s="1">
        <v>6.9889999999999997E-5</v>
      </c>
      <c r="G462">
        <f t="shared" si="82"/>
        <v>6</v>
      </c>
      <c r="H462" t="str">
        <f>RIGHT(B462,3)</f>
        <v>BAT</v>
      </c>
      <c r="I462" t="str">
        <f t="shared" si="88"/>
        <v>BTC</v>
      </c>
      <c r="J462" t="str">
        <f t="shared" si="83"/>
        <v>BATBTC</v>
      </c>
      <c r="K462" t="str">
        <f t="shared" si="84"/>
        <v>BTCBAT</v>
      </c>
      <c r="L462">
        <f t="shared" si="85"/>
        <v>0</v>
      </c>
      <c r="M462">
        <f t="shared" si="86"/>
        <v>1</v>
      </c>
      <c r="N462" t="b">
        <f t="shared" si="87"/>
        <v>1</v>
      </c>
    </row>
    <row r="463" spans="1:14" hidden="1" x14ac:dyDescent="0.25">
      <c r="A463" t="s">
        <v>2</v>
      </c>
      <c r="B463" t="s">
        <v>128</v>
      </c>
      <c r="C463" s="1">
        <v>7.7220999999999995E-4</v>
      </c>
      <c r="D463" s="1">
        <v>7.6926999999999996E-4</v>
      </c>
      <c r="E463" s="1">
        <v>7.7220999999999995E-4</v>
      </c>
      <c r="F463" s="1">
        <v>7.6926999999999996E-4</v>
      </c>
      <c r="G463">
        <f t="shared" si="82"/>
        <v>8</v>
      </c>
      <c r="H463" t="str">
        <f>RIGHT(B463,5)</f>
        <v>BLITZ</v>
      </c>
      <c r="I463" t="str">
        <f t="shared" si="88"/>
        <v>BTC</v>
      </c>
      <c r="J463" t="str">
        <f t="shared" si="83"/>
        <v>BLITZBTC</v>
      </c>
      <c r="K463" t="str">
        <f t="shared" si="84"/>
        <v>BTCBLITZ</v>
      </c>
      <c r="L463">
        <f t="shared" si="85"/>
        <v>0</v>
      </c>
      <c r="M463">
        <f t="shared" si="86"/>
        <v>1</v>
      </c>
      <c r="N463" t="b">
        <f t="shared" si="87"/>
        <v>1</v>
      </c>
    </row>
    <row r="464" spans="1:14" hidden="1" x14ac:dyDescent="0.25">
      <c r="A464" t="s">
        <v>2</v>
      </c>
      <c r="B464" t="s">
        <v>124</v>
      </c>
      <c r="C464" s="1">
        <v>2.1999900000000002E-3</v>
      </c>
      <c r="D464" s="1">
        <v>2.1113799999999999E-3</v>
      </c>
      <c r="E464" s="1">
        <v>2.1999900000000002E-3</v>
      </c>
      <c r="F464" s="1">
        <v>2.11137E-3</v>
      </c>
      <c r="G464">
        <f t="shared" si="82"/>
        <v>8</v>
      </c>
      <c r="H464" t="str">
        <f>RIGHT(B464,5)</f>
        <v>BLOCK</v>
      </c>
      <c r="I464" t="str">
        <f t="shared" si="88"/>
        <v>BTC</v>
      </c>
      <c r="J464" t="str">
        <f t="shared" si="83"/>
        <v>BLOCKBTC</v>
      </c>
      <c r="K464" t="str">
        <f t="shared" si="84"/>
        <v>BTCBLOCK</v>
      </c>
      <c r="L464">
        <f t="shared" si="85"/>
        <v>0</v>
      </c>
      <c r="M464">
        <f t="shared" si="86"/>
        <v>1</v>
      </c>
      <c r="N464" t="b">
        <f t="shared" si="87"/>
        <v>1</v>
      </c>
    </row>
    <row r="465" spans="1:14" hidden="1" x14ac:dyDescent="0.25">
      <c r="A465" t="s">
        <v>2</v>
      </c>
      <c r="B465" t="s">
        <v>181</v>
      </c>
      <c r="C465" s="1">
        <v>6.3780000000000003E-5</v>
      </c>
      <c r="D465" s="1">
        <v>6.2020000000000006E-5</v>
      </c>
      <c r="E465" s="1">
        <v>6.3780000000000003E-5</v>
      </c>
      <c r="F465" s="1">
        <v>6.2020000000000006E-5</v>
      </c>
      <c r="G465">
        <f t="shared" si="82"/>
        <v>6</v>
      </c>
      <c r="H465" t="str">
        <f>RIGHT(B465,3)</f>
        <v>BRK</v>
      </c>
      <c r="I465" t="str">
        <f t="shared" si="88"/>
        <v>BTC</v>
      </c>
      <c r="J465" t="str">
        <f t="shared" si="83"/>
        <v>BRKBTC</v>
      </c>
      <c r="K465" t="str">
        <f t="shared" si="84"/>
        <v>BTCBRK</v>
      </c>
      <c r="L465">
        <f t="shared" si="85"/>
        <v>0</v>
      </c>
      <c r="M465">
        <f t="shared" si="86"/>
        <v>1</v>
      </c>
      <c r="N465" t="b">
        <f t="shared" si="87"/>
        <v>1</v>
      </c>
    </row>
    <row r="466" spans="1:14" hidden="1" x14ac:dyDescent="0.25">
      <c r="A466" t="s">
        <v>2</v>
      </c>
      <c r="B466" t="s">
        <v>187</v>
      </c>
      <c r="C466" s="1">
        <v>1.7032000000000001E-4</v>
      </c>
      <c r="D466" s="1">
        <v>1.6731999999999999E-4</v>
      </c>
      <c r="E466" s="1">
        <v>1.7032000000000001E-4</v>
      </c>
      <c r="F466" s="1">
        <v>1.6731999999999999E-4</v>
      </c>
      <c r="G466">
        <f t="shared" si="82"/>
        <v>6</v>
      </c>
      <c r="H466" t="str">
        <f>RIGHT(B466,3)</f>
        <v>BRX</v>
      </c>
      <c r="I466" t="str">
        <f t="shared" si="88"/>
        <v>BTC</v>
      </c>
      <c r="J466" t="str">
        <f t="shared" si="83"/>
        <v>BRXBTC</v>
      </c>
      <c r="K466" t="str">
        <f t="shared" si="84"/>
        <v>BTCBRX</v>
      </c>
      <c r="L466">
        <f t="shared" si="85"/>
        <v>0</v>
      </c>
      <c r="M466">
        <f t="shared" si="86"/>
        <v>1</v>
      </c>
      <c r="N466" t="b">
        <f t="shared" si="87"/>
        <v>1</v>
      </c>
    </row>
    <row r="467" spans="1:14" hidden="1" x14ac:dyDescent="0.25">
      <c r="A467" t="s">
        <v>2</v>
      </c>
      <c r="B467" t="s">
        <v>126</v>
      </c>
      <c r="C467" s="1">
        <v>1.0851E-4</v>
      </c>
      <c r="D467" s="1">
        <v>1.0346E-4</v>
      </c>
      <c r="E467" s="1">
        <v>1.0851E-4</v>
      </c>
      <c r="F467" s="1">
        <v>1.0346E-4</v>
      </c>
      <c r="G467">
        <f t="shared" si="82"/>
        <v>6</v>
      </c>
      <c r="H467" t="str">
        <f>RIGHT(B467,3)</f>
        <v>BYC</v>
      </c>
      <c r="I467" t="str">
        <f t="shared" si="88"/>
        <v>BTC</v>
      </c>
      <c r="J467" t="str">
        <f t="shared" si="83"/>
        <v>BYCBTC</v>
      </c>
      <c r="K467" t="str">
        <f t="shared" si="84"/>
        <v>BTCBYC</v>
      </c>
      <c r="L467">
        <f t="shared" si="85"/>
        <v>0</v>
      </c>
      <c r="M467">
        <f t="shared" si="86"/>
        <v>1</v>
      </c>
      <c r="N467" t="b">
        <f t="shared" si="87"/>
        <v>1</v>
      </c>
    </row>
    <row r="468" spans="1:14" hidden="1" x14ac:dyDescent="0.25">
      <c r="A468" t="s">
        <v>3</v>
      </c>
      <c r="B468" t="s">
        <v>263</v>
      </c>
      <c r="C468" s="1">
        <v>3048.509</v>
      </c>
      <c r="D468" s="1">
        <v>2961.6410000000001</v>
      </c>
      <c r="E468" s="1">
        <v>3009.7539999999999</v>
      </c>
      <c r="F468" s="1">
        <v>2923.1930000000002</v>
      </c>
      <c r="G468">
        <f t="shared" si="82"/>
        <v>6</v>
      </c>
      <c r="H468" t="str">
        <f>RIGHT(B468,3)</f>
        <v>CAD</v>
      </c>
      <c r="I468" t="str">
        <f t="shared" si="88"/>
        <v>BTC</v>
      </c>
      <c r="J468" t="str">
        <f t="shared" si="83"/>
        <v>CADBTC</v>
      </c>
      <c r="K468" t="str">
        <f t="shared" si="84"/>
        <v>BTCCAD</v>
      </c>
      <c r="L468">
        <f t="shared" si="85"/>
        <v>0</v>
      </c>
      <c r="M468">
        <f t="shared" si="86"/>
        <v>1</v>
      </c>
      <c r="N468" t="b">
        <f t="shared" si="87"/>
        <v>1</v>
      </c>
    </row>
    <row r="469" spans="1:14" hidden="1" x14ac:dyDescent="0.25">
      <c r="A469" t="s">
        <v>2</v>
      </c>
      <c r="B469" t="s">
        <v>136</v>
      </c>
      <c r="C469" s="1">
        <v>4.1899999999999997E-6</v>
      </c>
      <c r="D469" s="1">
        <v>4.1500000000000001E-6</v>
      </c>
      <c r="E469" s="1">
        <v>4.1899999999999997E-6</v>
      </c>
      <c r="F469" s="1">
        <v>4.1500000000000001E-6</v>
      </c>
      <c r="G469">
        <f t="shared" si="82"/>
        <v>8</v>
      </c>
      <c r="H469" t="str">
        <f>RIGHT(B469,5)</f>
        <v>COVAL</v>
      </c>
      <c r="I469" t="str">
        <f t="shared" si="88"/>
        <v>BTC</v>
      </c>
      <c r="J469" t="str">
        <f t="shared" si="83"/>
        <v>COVALBTC</v>
      </c>
      <c r="K469" t="str">
        <f t="shared" si="84"/>
        <v>BTCCOVAL</v>
      </c>
      <c r="L469">
        <f t="shared" si="85"/>
        <v>0</v>
      </c>
      <c r="M469">
        <f t="shared" si="86"/>
        <v>1</v>
      </c>
      <c r="N469" t="b">
        <f t="shared" si="87"/>
        <v>1</v>
      </c>
    </row>
    <row r="470" spans="1:14" hidden="1" x14ac:dyDescent="0.25">
      <c r="A470" t="s">
        <v>2</v>
      </c>
      <c r="B470" t="s">
        <v>261</v>
      </c>
      <c r="C470" s="1">
        <v>5.6090999999999997E-4</v>
      </c>
      <c r="D470" s="1">
        <v>5.4960000000000002E-4</v>
      </c>
      <c r="E470" s="1">
        <v>5.6090999999999997E-4</v>
      </c>
      <c r="F470" s="1">
        <v>5.4960000000000002E-4</v>
      </c>
      <c r="G470">
        <f t="shared" si="82"/>
        <v>6</v>
      </c>
      <c r="H470" t="str">
        <f>RIGHT(B470,3)</f>
        <v>CRB</v>
      </c>
      <c r="I470" t="str">
        <f t="shared" si="88"/>
        <v>BTC</v>
      </c>
      <c r="J470" t="str">
        <f t="shared" si="83"/>
        <v>CRBBTC</v>
      </c>
      <c r="K470" t="str">
        <f t="shared" si="84"/>
        <v>BTCCRB</v>
      </c>
      <c r="L470">
        <f t="shared" si="85"/>
        <v>0</v>
      </c>
      <c r="M470">
        <f t="shared" si="86"/>
        <v>1</v>
      </c>
      <c r="N470" t="b">
        <f t="shared" si="87"/>
        <v>1</v>
      </c>
    </row>
    <row r="471" spans="1:14" hidden="1" x14ac:dyDescent="0.25">
      <c r="A471" t="s">
        <v>2</v>
      </c>
      <c r="B471" t="s">
        <v>208</v>
      </c>
      <c r="C471" s="1">
        <v>1.6988999999999999E-4</v>
      </c>
      <c r="D471" s="1">
        <v>1.6551000000000001E-4</v>
      </c>
      <c r="E471" s="1">
        <v>1.6988999999999999E-4</v>
      </c>
      <c r="F471" s="1">
        <v>1.6551000000000001E-4</v>
      </c>
      <c r="G471">
        <f t="shared" si="82"/>
        <v>6</v>
      </c>
      <c r="H471" t="str">
        <f>RIGHT(B471,3)</f>
        <v>DAR</v>
      </c>
      <c r="I471" t="str">
        <f t="shared" si="88"/>
        <v>BTC</v>
      </c>
      <c r="J471" t="str">
        <f t="shared" si="83"/>
        <v>DARBTC</v>
      </c>
      <c r="K471" t="str">
        <f t="shared" si="84"/>
        <v>BTCDAR</v>
      </c>
      <c r="L471">
        <f t="shared" si="85"/>
        <v>0</v>
      </c>
      <c r="M471">
        <f t="shared" si="86"/>
        <v>1</v>
      </c>
      <c r="N471" t="b">
        <f t="shared" si="87"/>
        <v>1</v>
      </c>
    </row>
    <row r="472" spans="1:14" hidden="1" x14ac:dyDescent="0.25">
      <c r="A472" t="s">
        <v>2</v>
      </c>
      <c r="B472" t="s">
        <v>149</v>
      </c>
      <c r="C472" s="1">
        <v>8.0000000000000004E-4</v>
      </c>
      <c r="D472" s="1">
        <v>7.8370000000000002E-4</v>
      </c>
      <c r="E472" s="1">
        <v>8.0000000000000004E-4</v>
      </c>
      <c r="F472" s="1">
        <v>7.8370000000000002E-4</v>
      </c>
      <c r="G472">
        <f t="shared" si="82"/>
        <v>6</v>
      </c>
      <c r="H472" t="str">
        <f>RIGHT(B472,3)</f>
        <v>DMD</v>
      </c>
      <c r="I472" t="str">
        <f t="shared" si="88"/>
        <v>BTC</v>
      </c>
      <c r="J472" t="str">
        <f t="shared" si="83"/>
        <v>DMDBTC</v>
      </c>
      <c r="K472" t="str">
        <f t="shared" si="84"/>
        <v>BTCDMD</v>
      </c>
      <c r="L472">
        <f t="shared" si="85"/>
        <v>0</v>
      </c>
      <c r="M472">
        <f t="shared" si="86"/>
        <v>1</v>
      </c>
      <c r="N472" t="b">
        <f t="shared" si="87"/>
        <v>1</v>
      </c>
    </row>
    <row r="473" spans="1:14" hidden="1" x14ac:dyDescent="0.25">
      <c r="A473" t="s">
        <v>2</v>
      </c>
      <c r="B473" t="s">
        <v>123</v>
      </c>
      <c r="C473" s="1">
        <v>4.25E-6</v>
      </c>
      <c r="D473" s="1">
        <v>4.2100000000000003E-6</v>
      </c>
      <c r="E473" s="1">
        <v>4.25E-6</v>
      </c>
      <c r="F473" s="1">
        <v>4.2100000000000003E-6</v>
      </c>
      <c r="G473">
        <f t="shared" si="82"/>
        <v>7</v>
      </c>
      <c r="H473" t="str">
        <f>RIGHT(B473,4)</f>
        <v>DOPE</v>
      </c>
      <c r="I473" t="str">
        <f t="shared" si="88"/>
        <v>BTC</v>
      </c>
      <c r="J473" t="str">
        <f t="shared" si="83"/>
        <v>DOPEBTC</v>
      </c>
      <c r="K473" t="str">
        <f t="shared" si="84"/>
        <v>BTCDOPE</v>
      </c>
      <c r="L473">
        <f t="shared" si="85"/>
        <v>0</v>
      </c>
      <c r="M473">
        <f t="shared" si="86"/>
        <v>1</v>
      </c>
      <c r="N473" t="b">
        <f t="shared" si="87"/>
        <v>1</v>
      </c>
    </row>
    <row r="474" spans="1:14" hidden="1" x14ac:dyDescent="0.25">
      <c r="A474" t="s">
        <v>2</v>
      </c>
      <c r="B474" t="s">
        <v>226</v>
      </c>
      <c r="C474" s="1">
        <v>4.0671000000000001E-4</v>
      </c>
      <c r="D474" s="1">
        <v>4.0499999999999998E-4</v>
      </c>
      <c r="E474" s="1">
        <v>4.0671000000000001E-4</v>
      </c>
      <c r="F474" s="1">
        <v>4.0499999999999998E-4</v>
      </c>
      <c r="G474">
        <f t="shared" si="82"/>
        <v>6</v>
      </c>
      <c r="H474" t="str">
        <f>RIGHT(B474,3)</f>
        <v>DTB</v>
      </c>
      <c r="I474" t="str">
        <f t="shared" si="88"/>
        <v>BTC</v>
      </c>
      <c r="J474" t="str">
        <f t="shared" si="83"/>
        <v>DTBBTC</v>
      </c>
      <c r="K474" t="str">
        <f t="shared" si="84"/>
        <v>BTCDTB</v>
      </c>
      <c r="L474">
        <f t="shared" si="85"/>
        <v>0</v>
      </c>
      <c r="M474">
        <f t="shared" si="86"/>
        <v>1</v>
      </c>
      <c r="N474" t="b">
        <f t="shared" si="87"/>
        <v>1</v>
      </c>
    </row>
    <row r="475" spans="1:14" hidden="1" x14ac:dyDescent="0.25">
      <c r="A475" t="s">
        <v>2</v>
      </c>
      <c r="B475" t="s">
        <v>223</v>
      </c>
      <c r="C475" s="1">
        <v>3.213E-4</v>
      </c>
      <c r="D475" s="1">
        <v>3.1297999999999997E-4</v>
      </c>
      <c r="E475" s="1">
        <v>3.213E-4</v>
      </c>
      <c r="F475" s="1">
        <v>3.1297999999999997E-4</v>
      </c>
      <c r="G475">
        <f t="shared" si="82"/>
        <v>6</v>
      </c>
      <c r="H475" t="str">
        <f>RIGHT(B475,3)</f>
        <v>DYN</v>
      </c>
      <c r="I475" t="str">
        <f t="shared" si="88"/>
        <v>BTC</v>
      </c>
      <c r="J475" t="str">
        <f t="shared" si="83"/>
        <v>DYNBTC</v>
      </c>
      <c r="K475" t="str">
        <f t="shared" si="84"/>
        <v>BTCDYN</v>
      </c>
      <c r="L475">
        <f t="shared" si="85"/>
        <v>0</v>
      </c>
      <c r="M475">
        <f t="shared" si="86"/>
        <v>1</v>
      </c>
      <c r="N475" t="b">
        <f t="shared" si="87"/>
        <v>1</v>
      </c>
    </row>
    <row r="476" spans="1:14" hidden="1" x14ac:dyDescent="0.25">
      <c r="A476" t="s">
        <v>2</v>
      </c>
      <c r="B476" t="s">
        <v>195</v>
      </c>
      <c r="C476" s="1">
        <v>2.7650000000000001E-5</v>
      </c>
      <c r="D476" s="1">
        <v>2.6849999999999999E-5</v>
      </c>
      <c r="E476" s="1">
        <v>2.7650000000000001E-5</v>
      </c>
      <c r="F476" s="1">
        <v>2.6849999999999999E-5</v>
      </c>
      <c r="G476">
        <f t="shared" si="82"/>
        <v>7</v>
      </c>
      <c r="H476" t="str">
        <f>RIGHT(B476,4)</f>
        <v>EBST</v>
      </c>
      <c r="I476" t="str">
        <f t="shared" si="88"/>
        <v>BTC</v>
      </c>
      <c r="J476" t="str">
        <f t="shared" si="83"/>
        <v>EBSTBTC</v>
      </c>
      <c r="K476" t="str">
        <f t="shared" si="84"/>
        <v>BTCEBST</v>
      </c>
      <c r="L476">
        <f t="shared" si="85"/>
        <v>0</v>
      </c>
      <c r="M476">
        <f t="shared" si="86"/>
        <v>1</v>
      </c>
      <c r="N476" t="b">
        <f t="shared" si="87"/>
        <v>1</v>
      </c>
    </row>
    <row r="477" spans="1:14" hidden="1" x14ac:dyDescent="0.25">
      <c r="A477" t="s">
        <v>2</v>
      </c>
      <c r="B477" t="s">
        <v>229</v>
      </c>
      <c r="C477" s="1">
        <v>1.1597E-4</v>
      </c>
      <c r="D477" s="1">
        <v>1.1511E-4</v>
      </c>
      <c r="E477" s="1">
        <v>1.1597E-4</v>
      </c>
      <c r="F477" s="1">
        <v>1.1511E-4</v>
      </c>
      <c r="G477">
        <f t="shared" si="82"/>
        <v>6</v>
      </c>
      <c r="H477" t="str">
        <f>RIGHT(B477,3)</f>
        <v>EDG</v>
      </c>
      <c r="I477" t="str">
        <f t="shared" si="88"/>
        <v>BTC</v>
      </c>
      <c r="J477" t="str">
        <f t="shared" si="83"/>
        <v>EDGBTC</v>
      </c>
      <c r="K477" t="str">
        <f t="shared" si="84"/>
        <v>BTCEDG</v>
      </c>
      <c r="L477">
        <f t="shared" si="85"/>
        <v>0</v>
      </c>
      <c r="M477">
        <f t="shared" si="86"/>
        <v>1</v>
      </c>
      <c r="N477" t="b">
        <f t="shared" si="87"/>
        <v>1</v>
      </c>
    </row>
    <row r="478" spans="1:14" hidden="1" x14ac:dyDescent="0.25">
      <c r="A478" t="s">
        <v>2</v>
      </c>
      <c r="B478" t="s">
        <v>88</v>
      </c>
      <c r="C478" s="1">
        <v>1.999E-5</v>
      </c>
      <c r="D478" s="1">
        <v>1.9510000000000001E-5</v>
      </c>
      <c r="E478" s="1">
        <v>1.999E-5</v>
      </c>
      <c r="F478" s="1">
        <v>1.9510000000000001E-5</v>
      </c>
      <c r="G478">
        <f t="shared" si="82"/>
        <v>6</v>
      </c>
      <c r="H478" t="str">
        <f>RIGHT(B478,3)</f>
        <v>EFL</v>
      </c>
      <c r="I478" t="str">
        <f t="shared" si="88"/>
        <v>BTC</v>
      </c>
      <c r="J478" t="str">
        <f t="shared" si="83"/>
        <v>EFLBTC</v>
      </c>
      <c r="K478" t="str">
        <f t="shared" si="84"/>
        <v>BTCEFL</v>
      </c>
      <c r="L478">
        <f t="shared" si="85"/>
        <v>0</v>
      </c>
      <c r="M478">
        <f t="shared" si="86"/>
        <v>1</v>
      </c>
      <c r="N478" t="b">
        <f t="shared" si="87"/>
        <v>1</v>
      </c>
    </row>
    <row r="479" spans="1:14" hidden="1" x14ac:dyDescent="0.25">
      <c r="A479" t="s">
        <v>2</v>
      </c>
      <c r="B479" t="s">
        <v>99</v>
      </c>
      <c r="C479" s="1">
        <v>2.6129999999999999E-5</v>
      </c>
      <c r="D479" s="1">
        <v>2.5749999999999999E-5</v>
      </c>
      <c r="E479" s="1">
        <v>2.6129999999999999E-5</v>
      </c>
      <c r="F479" s="1">
        <v>2.5749999999999999E-5</v>
      </c>
      <c r="G479">
        <f t="shared" si="82"/>
        <v>7</v>
      </c>
      <c r="H479" t="str">
        <f>RIGHT(B479,4)</f>
        <v>ENRG</v>
      </c>
      <c r="I479" t="str">
        <f t="shared" si="88"/>
        <v>BTC</v>
      </c>
      <c r="J479" t="str">
        <f t="shared" si="83"/>
        <v>ENRGBTC</v>
      </c>
      <c r="K479" t="str">
        <f t="shared" si="84"/>
        <v>BTCENRG</v>
      </c>
      <c r="L479">
        <f t="shared" si="85"/>
        <v>0</v>
      </c>
      <c r="M479">
        <f t="shared" si="86"/>
        <v>1</v>
      </c>
      <c r="N479" t="b">
        <f t="shared" si="87"/>
        <v>1</v>
      </c>
    </row>
    <row r="480" spans="1:14" hidden="1" x14ac:dyDescent="0.25">
      <c r="A480" t="s">
        <v>2</v>
      </c>
      <c r="B480" t="s">
        <v>100</v>
      </c>
      <c r="C480" s="1">
        <v>4.6810000000000001E-5</v>
      </c>
      <c r="D480" s="1">
        <v>4.5099999999999998E-5</v>
      </c>
      <c r="E480" s="1">
        <v>4.6810000000000001E-5</v>
      </c>
      <c r="F480" s="1">
        <v>4.5099999999999998E-5</v>
      </c>
      <c r="G480">
        <f t="shared" si="82"/>
        <v>6</v>
      </c>
      <c r="H480" t="str">
        <f>RIGHT(B480,3)</f>
        <v>ERC</v>
      </c>
      <c r="I480" t="str">
        <f t="shared" si="88"/>
        <v>BTC</v>
      </c>
      <c r="J480" t="str">
        <f t="shared" si="83"/>
        <v>ERCBTC</v>
      </c>
      <c r="K480" t="str">
        <f t="shared" si="84"/>
        <v>BTCERC</v>
      </c>
      <c r="L480">
        <f t="shared" si="85"/>
        <v>0</v>
      </c>
      <c r="M480">
        <f t="shared" si="86"/>
        <v>1</v>
      </c>
      <c r="N480" t="b">
        <f t="shared" si="87"/>
        <v>1</v>
      </c>
    </row>
    <row r="481" spans="1:14" hidden="1" x14ac:dyDescent="0.25">
      <c r="A481" t="s">
        <v>2</v>
      </c>
      <c r="B481" t="s">
        <v>120</v>
      </c>
      <c r="C481" s="1">
        <v>9.4380000000000001E-5</v>
      </c>
      <c r="D481" s="1" t="s">
        <v>121</v>
      </c>
      <c r="E481" s="1">
        <v>9.4380000000000001E-5</v>
      </c>
      <c r="F481" s="1" t="s">
        <v>121</v>
      </c>
      <c r="G481">
        <f t="shared" si="82"/>
        <v>7</v>
      </c>
      <c r="H481" t="str">
        <f>RIGHT(B481,4)</f>
        <v>EXCL</v>
      </c>
      <c r="I481" t="str">
        <f t="shared" si="88"/>
        <v>BTC</v>
      </c>
      <c r="J481" t="str">
        <f t="shared" si="83"/>
        <v>EXCLBTC</v>
      </c>
      <c r="K481" t="str">
        <f t="shared" si="84"/>
        <v>BTCEXCL</v>
      </c>
      <c r="L481">
        <f t="shared" si="85"/>
        <v>0</v>
      </c>
      <c r="M481">
        <f t="shared" si="86"/>
        <v>1</v>
      </c>
      <c r="N481" t="b">
        <f t="shared" si="87"/>
        <v>1</v>
      </c>
    </row>
    <row r="482" spans="1:14" hidden="1" x14ac:dyDescent="0.25">
      <c r="A482" t="s">
        <v>2</v>
      </c>
      <c r="B482" t="s">
        <v>131</v>
      </c>
      <c r="C482" s="1">
        <v>3.468E-5</v>
      </c>
      <c r="D482" s="1">
        <v>3.392E-5</v>
      </c>
      <c r="E482" s="1">
        <v>3.468E-5</v>
      </c>
      <c r="F482" s="1">
        <v>3.392E-5</v>
      </c>
      <c r="G482">
        <f t="shared" si="82"/>
        <v>7</v>
      </c>
      <c r="H482" t="str">
        <f>RIGHT(B482,4)</f>
        <v>FAIR</v>
      </c>
      <c r="I482" t="str">
        <f t="shared" si="88"/>
        <v>BTC</v>
      </c>
      <c r="J482" t="str">
        <f t="shared" si="83"/>
        <v>FAIRBTC</v>
      </c>
      <c r="K482" t="str">
        <f t="shared" si="84"/>
        <v>BTCFAIR</v>
      </c>
      <c r="L482">
        <f t="shared" si="85"/>
        <v>0</v>
      </c>
      <c r="M482">
        <f t="shared" si="86"/>
        <v>1</v>
      </c>
      <c r="N482" t="b">
        <f t="shared" si="87"/>
        <v>1</v>
      </c>
    </row>
    <row r="483" spans="1:14" hidden="1" x14ac:dyDescent="0.25">
      <c r="A483" t="s">
        <v>2</v>
      </c>
      <c r="B483" t="s">
        <v>142</v>
      </c>
      <c r="C483" s="1">
        <v>8.3000000000000002E-6</v>
      </c>
      <c r="D483" s="1">
        <v>8.0399999999999993E-6</v>
      </c>
      <c r="E483" s="1">
        <v>8.3000000000000002E-6</v>
      </c>
      <c r="F483" s="1">
        <v>8.0399999999999993E-6</v>
      </c>
      <c r="G483">
        <f t="shared" si="82"/>
        <v>7</v>
      </c>
      <c r="H483" t="str">
        <f>RIGHT(B483,4)</f>
        <v>FLDC</v>
      </c>
      <c r="I483" t="str">
        <f t="shared" si="88"/>
        <v>BTC</v>
      </c>
      <c r="J483" t="str">
        <f t="shared" si="83"/>
        <v>FLDCBTC</v>
      </c>
      <c r="K483" t="str">
        <f t="shared" si="84"/>
        <v>BTCFLDC</v>
      </c>
      <c r="L483">
        <f t="shared" si="85"/>
        <v>0</v>
      </c>
      <c r="M483">
        <f t="shared" si="86"/>
        <v>1</v>
      </c>
      <c r="N483" t="b">
        <f t="shared" si="87"/>
        <v>1</v>
      </c>
    </row>
    <row r="484" spans="1:14" hidden="1" x14ac:dyDescent="0.25">
      <c r="A484" t="s">
        <v>2</v>
      </c>
      <c r="B484" t="s">
        <v>143</v>
      </c>
      <c r="C484" s="1">
        <v>3.3300000000000003E-5</v>
      </c>
      <c r="D484" s="1">
        <v>3.269E-5</v>
      </c>
      <c r="E484" s="1">
        <v>3.3300000000000003E-5</v>
      </c>
      <c r="F484" s="1">
        <v>3.269E-5</v>
      </c>
      <c r="G484">
        <f t="shared" si="82"/>
        <v>6</v>
      </c>
      <c r="H484" t="str">
        <f>RIGHT(B484,3)</f>
        <v>FLO</v>
      </c>
      <c r="I484" t="str">
        <f t="shared" si="88"/>
        <v>BTC</v>
      </c>
      <c r="J484" t="str">
        <f t="shared" si="83"/>
        <v>FLOBTC</v>
      </c>
      <c r="K484" t="str">
        <f t="shared" si="84"/>
        <v>BTCFLO</v>
      </c>
      <c r="L484">
        <f t="shared" si="85"/>
        <v>0</v>
      </c>
      <c r="M484">
        <f t="shared" si="86"/>
        <v>1</v>
      </c>
      <c r="N484" t="b">
        <f t="shared" si="87"/>
        <v>1</v>
      </c>
    </row>
    <row r="485" spans="1:14" hidden="1" x14ac:dyDescent="0.25">
      <c r="A485" t="s">
        <v>2</v>
      </c>
      <c r="B485" t="s">
        <v>81</v>
      </c>
      <c r="C485" s="1">
        <v>2.69E-5</v>
      </c>
      <c r="D485" s="1">
        <v>2.669E-5</v>
      </c>
      <c r="E485" s="1">
        <v>2.69E-5</v>
      </c>
      <c r="F485" s="1">
        <v>2.669E-5</v>
      </c>
      <c r="G485">
        <f t="shared" si="82"/>
        <v>6</v>
      </c>
      <c r="H485" t="str">
        <f>RIGHT(B485,3)</f>
        <v>FTC</v>
      </c>
      <c r="I485" t="str">
        <f t="shared" si="88"/>
        <v>BTC</v>
      </c>
      <c r="J485" t="str">
        <f t="shared" si="83"/>
        <v>FTCBTC</v>
      </c>
      <c r="K485" t="str">
        <f t="shared" si="84"/>
        <v>BTCFTC</v>
      </c>
      <c r="L485">
        <f t="shared" si="85"/>
        <v>0</v>
      </c>
      <c r="M485">
        <f t="shared" si="86"/>
        <v>1</v>
      </c>
      <c r="N485" t="b">
        <f t="shared" si="87"/>
        <v>1</v>
      </c>
    </row>
    <row r="486" spans="1:14" hidden="1" x14ac:dyDescent="0.25">
      <c r="A486" t="s">
        <v>2</v>
      </c>
      <c r="B486" t="s">
        <v>150</v>
      </c>
      <c r="C486" s="1">
        <v>2.40004E-3</v>
      </c>
      <c r="D486" s="1">
        <v>2.40003E-3</v>
      </c>
      <c r="E486" s="1">
        <v>2.40004E-3</v>
      </c>
      <c r="F486" s="1">
        <v>2.40003E-3</v>
      </c>
      <c r="G486">
        <f t="shared" si="82"/>
        <v>6</v>
      </c>
      <c r="H486" t="str">
        <f>RIGHT(B486,3)</f>
        <v>GAM</v>
      </c>
      <c r="I486" t="str">
        <f t="shared" si="88"/>
        <v>BTC</v>
      </c>
      <c r="J486" t="str">
        <f t="shared" si="83"/>
        <v>GAMBTC</v>
      </c>
      <c r="K486" t="str">
        <f t="shared" si="84"/>
        <v>BTCGAM</v>
      </c>
      <c r="L486">
        <f t="shared" si="85"/>
        <v>0</v>
      </c>
      <c r="M486">
        <f t="shared" si="86"/>
        <v>1</v>
      </c>
      <c r="N486" t="b">
        <f t="shared" si="87"/>
        <v>1</v>
      </c>
    </row>
    <row r="487" spans="1:14" hidden="1" x14ac:dyDescent="0.25">
      <c r="A487" t="s">
        <v>2</v>
      </c>
      <c r="B487" t="s">
        <v>213</v>
      </c>
      <c r="C487" s="1">
        <v>5.7960000000000001E-5</v>
      </c>
      <c r="D487" s="1">
        <v>5.7620000000000001E-5</v>
      </c>
      <c r="E487" s="1">
        <v>5.7960000000000001E-5</v>
      </c>
      <c r="F487" s="1">
        <v>5.7620000000000001E-5</v>
      </c>
      <c r="G487">
        <f t="shared" si="82"/>
        <v>6</v>
      </c>
      <c r="H487" t="str">
        <f>RIGHT(B487,3)</f>
        <v>GBG</v>
      </c>
      <c r="I487" t="str">
        <f t="shared" si="88"/>
        <v>BTC</v>
      </c>
      <c r="J487" t="str">
        <f t="shared" si="83"/>
        <v>GBGBTC</v>
      </c>
      <c r="K487" t="str">
        <f t="shared" si="84"/>
        <v>BTCGBG</v>
      </c>
      <c r="L487">
        <f t="shared" si="85"/>
        <v>0</v>
      </c>
      <c r="M487">
        <f t="shared" si="86"/>
        <v>1</v>
      </c>
      <c r="N487" t="b">
        <f t="shared" si="87"/>
        <v>1</v>
      </c>
    </row>
    <row r="488" spans="1:14" hidden="1" x14ac:dyDescent="0.25">
      <c r="A488" t="s">
        <v>3</v>
      </c>
      <c r="B488" t="s">
        <v>275</v>
      </c>
      <c r="C488" s="1">
        <v>1826.8320000000001</v>
      </c>
      <c r="D488" s="1">
        <v>1755.114</v>
      </c>
      <c r="E488" s="1">
        <v>1826.8320000000001</v>
      </c>
      <c r="F488" s="1">
        <v>1755.116</v>
      </c>
      <c r="G488">
        <f t="shared" si="82"/>
        <v>6</v>
      </c>
      <c r="H488" t="str">
        <f>RIGHT(B488,3)</f>
        <v>GBP</v>
      </c>
      <c r="I488" t="str">
        <f t="shared" si="88"/>
        <v>BTC</v>
      </c>
      <c r="J488" t="str">
        <f t="shared" si="83"/>
        <v>GBPBTC</v>
      </c>
      <c r="K488" t="str">
        <f t="shared" si="84"/>
        <v>BTCGBP</v>
      </c>
      <c r="L488">
        <f t="shared" si="85"/>
        <v>0</v>
      </c>
      <c r="M488">
        <f t="shared" si="86"/>
        <v>1</v>
      </c>
      <c r="N488" t="b">
        <f t="shared" si="87"/>
        <v>1</v>
      </c>
    </row>
    <row r="489" spans="1:14" hidden="1" x14ac:dyDescent="0.25">
      <c r="A489" t="s">
        <v>2</v>
      </c>
      <c r="B489" t="s">
        <v>228</v>
      </c>
      <c r="C489" s="1">
        <v>0.25800000000000001</v>
      </c>
      <c r="D489" s="1">
        <v>0.25007632000000002</v>
      </c>
      <c r="E489" s="1">
        <v>0.25838053906584402</v>
      </c>
      <c r="F489" s="1">
        <v>0.25007633000000001</v>
      </c>
      <c r="G489">
        <f t="shared" si="82"/>
        <v>8</v>
      </c>
      <c r="H489" t="str">
        <f>RIGHT(B489,5)</f>
        <v>GBYTE</v>
      </c>
      <c r="I489" t="str">
        <f t="shared" si="88"/>
        <v>BTC</v>
      </c>
      <c r="J489" t="str">
        <f t="shared" si="83"/>
        <v>GBYTEBTC</v>
      </c>
      <c r="K489" t="str">
        <f t="shared" si="84"/>
        <v>BTCGBYTE</v>
      </c>
      <c r="L489">
        <f t="shared" si="85"/>
        <v>0</v>
      </c>
      <c r="M489">
        <f t="shared" si="86"/>
        <v>1</v>
      </c>
      <c r="N489" t="b">
        <f t="shared" si="87"/>
        <v>1</v>
      </c>
    </row>
    <row r="490" spans="1:14" hidden="1" x14ac:dyDescent="0.25">
      <c r="A490" t="s">
        <v>2</v>
      </c>
      <c r="B490" t="s">
        <v>92</v>
      </c>
      <c r="C490" s="1">
        <v>2.4170000000000001E-5</v>
      </c>
      <c r="D490" s="1">
        <v>2.3580000000000001E-5</v>
      </c>
      <c r="E490" s="1">
        <v>2.4170000000000001E-5</v>
      </c>
      <c r="F490" s="1">
        <v>2.3580000000000001E-5</v>
      </c>
      <c r="G490">
        <f t="shared" si="82"/>
        <v>6</v>
      </c>
      <c r="H490" t="str">
        <f>RIGHT(B490,3)</f>
        <v>GRS</v>
      </c>
      <c r="I490" t="str">
        <f t="shared" si="88"/>
        <v>BTC</v>
      </c>
      <c r="J490" t="str">
        <f t="shared" si="83"/>
        <v>GRSBTC</v>
      </c>
      <c r="K490" t="str">
        <f t="shared" si="84"/>
        <v>BTCGRS</v>
      </c>
      <c r="L490">
        <f t="shared" si="85"/>
        <v>0</v>
      </c>
      <c r="M490">
        <f t="shared" si="86"/>
        <v>1</v>
      </c>
      <c r="N490" t="b">
        <f t="shared" si="87"/>
        <v>1</v>
      </c>
    </row>
    <row r="491" spans="1:14" hidden="1" x14ac:dyDescent="0.25">
      <c r="A491" t="s">
        <v>1403</v>
      </c>
      <c r="B491" t="s">
        <v>1418</v>
      </c>
      <c r="C491" s="1" t="s">
        <v>362</v>
      </c>
      <c r="D491" s="1" t="s">
        <v>362</v>
      </c>
      <c r="E491" s="1" t="s">
        <v>362</v>
      </c>
      <c r="F491" s="1" t="s">
        <v>362</v>
      </c>
      <c r="G491">
        <f t="shared" si="82"/>
        <v>8</v>
      </c>
      <c r="H491" t="str">
        <f>RIGHT(B491,5)</f>
        <v>HCBTC</v>
      </c>
      <c r="I491" t="str">
        <f t="shared" si="88"/>
        <v>BTC</v>
      </c>
      <c r="J491" t="str">
        <f t="shared" si="83"/>
        <v>HCBTCBTC</v>
      </c>
      <c r="K491" t="str">
        <f t="shared" si="84"/>
        <v>BTCHCBTC</v>
      </c>
      <c r="L491">
        <f t="shared" si="85"/>
        <v>0</v>
      </c>
      <c r="M491">
        <f t="shared" si="86"/>
        <v>1</v>
      </c>
      <c r="N491" t="b">
        <f t="shared" si="87"/>
        <v>1</v>
      </c>
    </row>
    <row r="492" spans="1:14" hidden="1" x14ac:dyDescent="0.25">
      <c r="A492" t="s">
        <v>1403</v>
      </c>
      <c r="B492" t="s">
        <v>1924</v>
      </c>
      <c r="C492" s="1">
        <v>1.3579999999999999E-4</v>
      </c>
      <c r="D492" s="1">
        <v>8.4899999999999993E-3</v>
      </c>
      <c r="E492" s="1">
        <v>8.4899999999999993E-3</v>
      </c>
      <c r="F492" s="1">
        <v>7.4999999999999997E-3</v>
      </c>
      <c r="G492">
        <f t="shared" si="82"/>
        <v>9</v>
      </c>
      <c r="H492" t="str">
        <f>RIGHT(B492,4)</f>
        <v>DOGE</v>
      </c>
      <c r="I492" t="str">
        <f>LEFT(B492,5)</f>
        <v>BTCHC</v>
      </c>
      <c r="J492" t="str">
        <f t="shared" si="83"/>
        <v>DOGEBTCHC</v>
      </c>
      <c r="K492" t="str">
        <f t="shared" si="84"/>
        <v>BTCHCDOGE</v>
      </c>
      <c r="L492">
        <f t="shared" si="85"/>
        <v>0</v>
      </c>
      <c r="M492">
        <f t="shared" si="86"/>
        <v>1</v>
      </c>
      <c r="N492" t="b">
        <f t="shared" si="87"/>
        <v>1</v>
      </c>
    </row>
    <row r="493" spans="1:14" hidden="1" x14ac:dyDescent="0.25">
      <c r="A493" t="s">
        <v>1403</v>
      </c>
      <c r="B493" t="s">
        <v>1732</v>
      </c>
      <c r="C493" s="1" t="s">
        <v>362</v>
      </c>
      <c r="D493" s="1">
        <v>8.7000000000000003E-7</v>
      </c>
      <c r="E493" s="1">
        <v>8.7000000000000003E-7</v>
      </c>
      <c r="F493" s="1">
        <v>3.3999999999999997E-7</v>
      </c>
      <c r="G493">
        <f t="shared" si="82"/>
        <v>8</v>
      </c>
      <c r="H493" t="str">
        <f>RIGHT(B493,5)</f>
        <v>HCLTC</v>
      </c>
      <c r="I493" t="str">
        <f t="shared" ref="I493:I524" si="89">LEFT(B493,3)</f>
        <v>BTC</v>
      </c>
      <c r="J493" t="str">
        <f t="shared" si="83"/>
        <v>HCLTCBTC</v>
      </c>
      <c r="K493" t="str">
        <f t="shared" si="84"/>
        <v>BTCHCLTC</v>
      </c>
      <c r="L493">
        <f t="shared" si="85"/>
        <v>0</v>
      </c>
      <c r="M493">
        <f t="shared" si="86"/>
        <v>1</v>
      </c>
      <c r="N493" t="b">
        <f t="shared" si="87"/>
        <v>1</v>
      </c>
    </row>
    <row r="494" spans="1:14" hidden="1" x14ac:dyDescent="0.25">
      <c r="A494" t="s">
        <v>1403</v>
      </c>
      <c r="B494" t="s">
        <v>1552</v>
      </c>
      <c r="C494" s="1" t="s">
        <v>435</v>
      </c>
      <c r="D494" s="1">
        <v>2.499E-5</v>
      </c>
      <c r="E494" s="1">
        <v>2.4899999999999999E-5</v>
      </c>
      <c r="F494" s="1">
        <v>1.611E-5</v>
      </c>
      <c r="G494">
        <f t="shared" si="82"/>
        <v>8</v>
      </c>
      <c r="H494" t="str">
        <f>RIGHT(B494,5)</f>
        <v>HCUSD</v>
      </c>
      <c r="I494" t="str">
        <f t="shared" si="89"/>
        <v>BTC</v>
      </c>
      <c r="J494" t="str">
        <f t="shared" si="83"/>
        <v>HCUSDBTC</v>
      </c>
      <c r="K494" t="str">
        <f t="shared" si="84"/>
        <v>BTCHCUSD</v>
      </c>
      <c r="L494">
        <f t="shared" si="85"/>
        <v>0</v>
      </c>
      <c r="M494">
        <f t="shared" si="86"/>
        <v>1</v>
      </c>
      <c r="N494" t="b">
        <f t="shared" si="87"/>
        <v>1</v>
      </c>
    </row>
    <row r="495" spans="1:14" hidden="1" x14ac:dyDescent="0.25">
      <c r="A495" t="s">
        <v>2</v>
      </c>
      <c r="B495" t="s">
        <v>210</v>
      </c>
      <c r="C495" s="1">
        <v>2.8940000000000001E-5</v>
      </c>
      <c r="D495" s="1">
        <v>2.8E-5</v>
      </c>
      <c r="E495" s="1">
        <v>2.8940000000000001E-5</v>
      </c>
      <c r="F495" s="1">
        <v>2.8E-5</v>
      </c>
      <c r="G495">
        <f t="shared" si="82"/>
        <v>6</v>
      </c>
      <c r="H495" t="str">
        <f>RIGHT(B495,3)</f>
        <v>HKG</v>
      </c>
      <c r="I495" t="str">
        <f t="shared" si="89"/>
        <v>BTC</v>
      </c>
      <c r="J495" t="str">
        <f t="shared" si="83"/>
        <v>HKGBTC</v>
      </c>
      <c r="K495" t="str">
        <f t="shared" si="84"/>
        <v>BTCHKG</v>
      </c>
      <c r="L495">
        <f t="shared" si="85"/>
        <v>0</v>
      </c>
      <c r="M495">
        <f t="shared" si="86"/>
        <v>1</v>
      </c>
      <c r="N495" t="b">
        <f t="shared" si="87"/>
        <v>1</v>
      </c>
    </row>
    <row r="496" spans="1:14" hidden="1" x14ac:dyDescent="0.25">
      <c r="A496" t="s">
        <v>2</v>
      </c>
      <c r="B496" t="s">
        <v>247</v>
      </c>
      <c r="C496" s="1">
        <v>7.6990000000000007E-5</v>
      </c>
      <c r="D496" s="1">
        <v>7.6970000000000003E-5</v>
      </c>
      <c r="E496" s="1">
        <v>7.6990000000000007E-5</v>
      </c>
      <c r="F496" s="1">
        <v>7.6970000000000003E-5</v>
      </c>
      <c r="G496">
        <f t="shared" si="82"/>
        <v>6</v>
      </c>
      <c r="H496" t="str">
        <f>RIGHT(B496,3)</f>
        <v>HMQ</v>
      </c>
      <c r="I496" t="str">
        <f t="shared" si="89"/>
        <v>BTC</v>
      </c>
      <c r="J496" t="str">
        <f t="shared" si="83"/>
        <v>HMQBTC</v>
      </c>
      <c r="K496" t="str">
        <f t="shared" si="84"/>
        <v>BTCHMQ</v>
      </c>
      <c r="L496">
        <f t="shared" si="85"/>
        <v>0</v>
      </c>
      <c r="M496">
        <f t="shared" si="86"/>
        <v>1</v>
      </c>
      <c r="N496" t="b">
        <f t="shared" si="87"/>
        <v>1</v>
      </c>
    </row>
    <row r="497" spans="1:14" hidden="1" x14ac:dyDescent="0.25">
      <c r="A497" t="s">
        <v>3</v>
      </c>
      <c r="B497" t="s">
        <v>282</v>
      </c>
      <c r="C497" s="1">
        <v>260600.1</v>
      </c>
      <c r="D497" s="1">
        <v>252975.1</v>
      </c>
      <c r="E497" s="1">
        <v>260600.1</v>
      </c>
      <c r="F497" s="1">
        <v>252977</v>
      </c>
      <c r="G497">
        <f t="shared" si="82"/>
        <v>6</v>
      </c>
      <c r="H497" t="str">
        <f>RIGHT(B497,3)</f>
        <v>JPY</v>
      </c>
      <c r="I497" t="str">
        <f t="shared" si="89"/>
        <v>BTC</v>
      </c>
      <c r="J497" t="str">
        <f t="shared" si="83"/>
        <v>JPYBTC</v>
      </c>
      <c r="K497" t="str">
        <f t="shared" si="84"/>
        <v>BTCJPY</v>
      </c>
      <c r="L497">
        <f t="shared" si="85"/>
        <v>0</v>
      </c>
      <c r="M497">
        <f t="shared" si="86"/>
        <v>1</v>
      </c>
      <c r="N497" t="b">
        <f t="shared" si="87"/>
        <v>1</v>
      </c>
    </row>
    <row r="498" spans="1:14" hidden="1" x14ac:dyDescent="0.25">
      <c r="A498" t="s">
        <v>2</v>
      </c>
      <c r="B498" t="s">
        <v>212</v>
      </c>
      <c r="C498" s="1">
        <v>6.0747999999999998E-4</v>
      </c>
      <c r="D498" s="1">
        <v>6.0004000000000004E-4</v>
      </c>
      <c r="E498" s="1">
        <v>6.0747999999999998E-4</v>
      </c>
      <c r="F498" s="1">
        <v>6.0004000000000004E-4</v>
      </c>
      <c r="G498">
        <f t="shared" si="82"/>
        <v>6</v>
      </c>
      <c r="H498" t="str">
        <f>RIGHT(B498,3)</f>
        <v>KMD</v>
      </c>
      <c r="I498" t="str">
        <f t="shared" si="89"/>
        <v>BTC</v>
      </c>
      <c r="J498" t="str">
        <f t="shared" si="83"/>
        <v>KMDBTC</v>
      </c>
      <c r="K498" t="str">
        <f t="shared" si="84"/>
        <v>BTCKMD</v>
      </c>
      <c r="L498">
        <f t="shared" si="85"/>
        <v>0</v>
      </c>
      <c r="M498">
        <f t="shared" si="86"/>
        <v>1</v>
      </c>
      <c r="N498" t="b">
        <f t="shared" si="87"/>
        <v>1</v>
      </c>
    </row>
    <row r="499" spans="1:14" hidden="1" x14ac:dyDescent="0.25">
      <c r="A499" t="s">
        <v>2</v>
      </c>
      <c r="B499" t="s">
        <v>107</v>
      </c>
      <c r="C499" s="1">
        <v>1.4880000000000001E-4</v>
      </c>
      <c r="D499" s="1">
        <v>1.3647E-4</v>
      </c>
      <c r="E499" s="1">
        <v>1.4880000000000001E-4</v>
      </c>
      <c r="F499" s="1">
        <v>1.3647E-4</v>
      </c>
      <c r="G499">
        <f t="shared" si="82"/>
        <v>7</v>
      </c>
      <c r="H499" t="str">
        <f>RIGHT(B499,4)</f>
        <v>KORE</v>
      </c>
      <c r="I499" t="str">
        <f t="shared" si="89"/>
        <v>BTC</v>
      </c>
      <c r="J499" t="str">
        <f t="shared" si="83"/>
        <v>KOREBTC</v>
      </c>
      <c r="K499" t="str">
        <f t="shared" si="84"/>
        <v>BTCKORE</v>
      </c>
      <c r="L499">
        <f t="shared" si="85"/>
        <v>0</v>
      </c>
      <c r="M499">
        <f t="shared" si="86"/>
        <v>1</v>
      </c>
      <c r="N499" t="b">
        <f t="shared" si="87"/>
        <v>1</v>
      </c>
    </row>
    <row r="500" spans="1:14" hidden="1" x14ac:dyDescent="0.25">
      <c r="A500" t="s">
        <v>2</v>
      </c>
      <c r="B500" t="s">
        <v>230</v>
      </c>
      <c r="C500" s="1">
        <v>3.9539000000000002E-4</v>
      </c>
      <c r="D500" s="1">
        <v>3.6530999999999998E-4</v>
      </c>
      <c r="E500" s="1">
        <v>3.9539000000000002E-4</v>
      </c>
      <c r="F500" s="1">
        <v>3.6530999999999998E-4</v>
      </c>
      <c r="G500">
        <f t="shared" si="82"/>
        <v>6</v>
      </c>
      <c r="H500" t="str">
        <f>RIGHT(B500,3)</f>
        <v>LGD</v>
      </c>
      <c r="I500" t="str">
        <f t="shared" si="89"/>
        <v>BTC</v>
      </c>
      <c r="J500" t="str">
        <f t="shared" si="83"/>
        <v>LGDBTC</v>
      </c>
      <c r="K500" t="str">
        <f t="shared" si="84"/>
        <v>BTCLGD</v>
      </c>
      <c r="L500">
        <f t="shared" si="85"/>
        <v>0</v>
      </c>
      <c r="M500">
        <f t="shared" si="86"/>
        <v>1</v>
      </c>
      <c r="N500" t="b">
        <f t="shared" si="87"/>
        <v>1</v>
      </c>
    </row>
    <row r="501" spans="1:14" hidden="1" x14ac:dyDescent="0.25">
      <c r="A501" t="s">
        <v>2</v>
      </c>
      <c r="B501" t="s">
        <v>216</v>
      </c>
      <c r="C501" s="1">
        <v>1.064E-5</v>
      </c>
      <c r="D501" s="1">
        <v>1.0360000000000001E-5</v>
      </c>
      <c r="E501" s="1">
        <v>1.064E-5</v>
      </c>
      <c r="F501" s="1">
        <v>1.0360000000000001E-5</v>
      </c>
      <c r="G501">
        <f t="shared" si="82"/>
        <v>6</v>
      </c>
      <c r="H501" t="str">
        <f>RIGHT(B501,3)</f>
        <v>LMC</v>
      </c>
      <c r="I501" t="str">
        <f t="shared" si="89"/>
        <v>BTC</v>
      </c>
      <c r="J501" t="str">
        <f t="shared" si="83"/>
        <v>LMCBTC</v>
      </c>
      <c r="K501" t="str">
        <f t="shared" si="84"/>
        <v>BTCLMC</v>
      </c>
      <c r="L501">
        <f t="shared" si="85"/>
        <v>0</v>
      </c>
      <c r="M501">
        <f t="shared" si="86"/>
        <v>1</v>
      </c>
      <c r="N501" t="b">
        <f t="shared" si="87"/>
        <v>1</v>
      </c>
    </row>
    <row r="502" spans="1:14" hidden="1" x14ac:dyDescent="0.25">
      <c r="A502" t="s">
        <v>2</v>
      </c>
      <c r="B502" t="s">
        <v>176</v>
      </c>
      <c r="C502" s="1">
        <v>6.3999999999999997E-5</v>
      </c>
      <c r="D502" s="1">
        <v>6.3979999999999994E-5</v>
      </c>
      <c r="E502" s="1">
        <v>6.3999999999999997E-5</v>
      </c>
      <c r="F502" s="1">
        <v>6.3979999999999994E-5</v>
      </c>
      <c r="G502">
        <f t="shared" si="82"/>
        <v>7</v>
      </c>
      <c r="H502" t="str">
        <f>RIGHT(B502,4)</f>
        <v>MEME</v>
      </c>
      <c r="I502" t="str">
        <f t="shared" si="89"/>
        <v>BTC</v>
      </c>
      <c r="J502" t="str">
        <f t="shared" si="83"/>
        <v>MEMEBTC</v>
      </c>
      <c r="K502" t="str">
        <f t="shared" si="84"/>
        <v>BTCMEME</v>
      </c>
      <c r="L502">
        <f t="shared" si="85"/>
        <v>0</v>
      </c>
      <c r="M502">
        <f t="shared" si="86"/>
        <v>1</v>
      </c>
      <c r="N502" t="b">
        <f t="shared" si="87"/>
        <v>1</v>
      </c>
    </row>
    <row r="503" spans="1:14" hidden="1" x14ac:dyDescent="0.25">
      <c r="A503" t="s">
        <v>2</v>
      </c>
      <c r="B503" t="s">
        <v>259</v>
      </c>
      <c r="E503" s="1">
        <v>4.5111300000000003E-3</v>
      </c>
      <c r="F503" s="1">
        <v>0.26458802358045402</v>
      </c>
      <c r="G503">
        <f t="shared" si="82"/>
        <v>6</v>
      </c>
      <c r="H503" t="str">
        <f>RIGHT(B503,3)</f>
        <v>MGO</v>
      </c>
      <c r="I503" t="str">
        <f t="shared" si="89"/>
        <v>BTC</v>
      </c>
      <c r="J503" t="str">
        <f t="shared" si="83"/>
        <v>MGOBTC</v>
      </c>
      <c r="K503" t="str">
        <f t="shared" si="84"/>
        <v>BTCMGO</v>
      </c>
      <c r="L503">
        <f t="shared" si="85"/>
        <v>0</v>
      </c>
      <c r="M503">
        <f t="shared" si="86"/>
        <v>1</v>
      </c>
      <c r="N503" t="b">
        <f t="shared" si="87"/>
        <v>1</v>
      </c>
    </row>
    <row r="504" spans="1:14" hidden="1" x14ac:dyDescent="0.25">
      <c r="A504" t="s">
        <v>2</v>
      </c>
      <c r="B504" t="s">
        <v>225</v>
      </c>
      <c r="C504" s="1">
        <v>1.101E-5</v>
      </c>
      <c r="D504" s="1">
        <v>1.079E-5</v>
      </c>
      <c r="E504" s="1">
        <v>1.101E-5</v>
      </c>
      <c r="F504" s="1">
        <v>1.079E-5</v>
      </c>
      <c r="G504">
        <f t="shared" si="82"/>
        <v>8</v>
      </c>
      <c r="H504" t="str">
        <f>RIGHT(B504,5)</f>
        <v>MUSIC</v>
      </c>
      <c r="I504" t="str">
        <f t="shared" si="89"/>
        <v>BTC</v>
      </c>
      <c r="J504" t="str">
        <f t="shared" si="83"/>
        <v>MUSICBTC</v>
      </c>
      <c r="K504" t="str">
        <f t="shared" si="84"/>
        <v>BTCMUSIC</v>
      </c>
      <c r="L504">
        <f t="shared" si="85"/>
        <v>0</v>
      </c>
      <c r="M504">
        <f t="shared" si="86"/>
        <v>1</v>
      </c>
      <c r="N504" t="b">
        <f t="shared" si="87"/>
        <v>1</v>
      </c>
    </row>
    <row r="505" spans="1:14" hidden="1" x14ac:dyDescent="0.25">
      <c r="A505" t="s">
        <v>2</v>
      </c>
      <c r="B505" t="s">
        <v>86</v>
      </c>
      <c r="C505" s="1">
        <v>1.28E-6</v>
      </c>
      <c r="D505" s="1">
        <v>1.2699999999999999E-6</v>
      </c>
      <c r="E505" s="1">
        <v>1.28E-6</v>
      </c>
      <c r="F505" s="1">
        <v>1.2699999999999999E-6</v>
      </c>
      <c r="G505">
        <f t="shared" si="82"/>
        <v>6</v>
      </c>
      <c r="H505" t="str">
        <f>RIGHT(B505,3)</f>
        <v>MYR</v>
      </c>
      <c r="I505" t="str">
        <f t="shared" si="89"/>
        <v>BTC</v>
      </c>
      <c r="J505" t="str">
        <f t="shared" si="83"/>
        <v>MYRBTC</v>
      </c>
      <c r="K505" t="str">
        <f t="shared" si="84"/>
        <v>BTCMYR</v>
      </c>
      <c r="L505">
        <f t="shared" si="85"/>
        <v>0</v>
      </c>
      <c r="M505">
        <f t="shared" si="86"/>
        <v>1</v>
      </c>
      <c r="N505" t="b">
        <f t="shared" si="87"/>
        <v>1</v>
      </c>
    </row>
    <row r="506" spans="1:14" hidden="1" x14ac:dyDescent="0.25">
      <c r="A506" t="s">
        <v>2</v>
      </c>
      <c r="B506" t="s">
        <v>144</v>
      </c>
      <c r="C506" s="1">
        <v>4.5811000000000002E-4</v>
      </c>
      <c r="D506" s="1">
        <v>4.5006000000000001E-4</v>
      </c>
      <c r="E506" s="1">
        <v>4.5811000000000002E-4</v>
      </c>
      <c r="F506" s="1">
        <v>4.5006000000000001E-4</v>
      </c>
      <c r="G506">
        <f t="shared" si="82"/>
        <v>6</v>
      </c>
      <c r="H506" t="str">
        <f>RIGHT(B506,3)</f>
        <v>NBT</v>
      </c>
      <c r="I506" t="str">
        <f t="shared" si="89"/>
        <v>BTC</v>
      </c>
      <c r="J506" t="str">
        <f t="shared" si="83"/>
        <v>NBTBTC</v>
      </c>
      <c r="K506" t="str">
        <f t="shared" si="84"/>
        <v>BTCNBT</v>
      </c>
      <c r="L506">
        <f t="shared" si="85"/>
        <v>0</v>
      </c>
      <c r="M506">
        <f t="shared" si="86"/>
        <v>1</v>
      </c>
      <c r="N506" t="b">
        <f t="shared" si="87"/>
        <v>1</v>
      </c>
    </row>
    <row r="507" spans="1:14" hidden="1" x14ac:dyDescent="0.25">
      <c r="A507" t="s">
        <v>2</v>
      </c>
      <c r="B507" t="s">
        <v>117</v>
      </c>
      <c r="C507" s="1">
        <v>1.2944300000000001E-3</v>
      </c>
      <c r="D507" s="1">
        <v>1.2830700000000001E-3</v>
      </c>
      <c r="E507" s="1">
        <v>1.2944300000000001E-3</v>
      </c>
      <c r="F507" s="1">
        <v>1.2830700000000001E-3</v>
      </c>
      <c r="G507">
        <f t="shared" si="82"/>
        <v>7</v>
      </c>
      <c r="H507" t="str">
        <f>RIGHT(B507,4)</f>
        <v>NEOS</v>
      </c>
      <c r="I507" t="str">
        <f t="shared" si="89"/>
        <v>BTC</v>
      </c>
      <c r="J507" t="str">
        <f t="shared" si="83"/>
        <v>NEOSBTC</v>
      </c>
      <c r="K507" t="str">
        <f t="shared" si="84"/>
        <v>BTCNEOS</v>
      </c>
      <c r="L507">
        <f t="shared" si="85"/>
        <v>0</v>
      </c>
      <c r="M507">
        <f t="shared" si="86"/>
        <v>1</v>
      </c>
      <c r="N507" t="b">
        <f t="shared" si="87"/>
        <v>1</v>
      </c>
    </row>
    <row r="508" spans="1:14" hidden="1" x14ac:dyDescent="0.25">
      <c r="A508" t="s">
        <v>2</v>
      </c>
      <c r="B508" t="s">
        <v>137</v>
      </c>
      <c r="C508" s="1">
        <v>3.4581999999999999E-4</v>
      </c>
      <c r="D508" s="1">
        <v>3.4572999999999998E-4</v>
      </c>
      <c r="E508" s="1">
        <v>3.4581999999999999E-4</v>
      </c>
      <c r="F508" s="1">
        <v>3.4572999999999998E-4</v>
      </c>
      <c r="G508">
        <f t="shared" si="82"/>
        <v>6</v>
      </c>
      <c r="H508" t="str">
        <f>RIGHT(B508,3)</f>
        <v>NXS</v>
      </c>
      <c r="I508" t="str">
        <f t="shared" si="89"/>
        <v>BTC</v>
      </c>
      <c r="J508" t="str">
        <f t="shared" si="83"/>
        <v>NXSBTC</v>
      </c>
      <c r="K508" t="str">
        <f t="shared" si="84"/>
        <v>BTCNXS</v>
      </c>
      <c r="L508">
        <f t="shared" si="85"/>
        <v>0</v>
      </c>
      <c r="M508">
        <f t="shared" si="86"/>
        <v>1</v>
      </c>
      <c r="N508" t="b">
        <f t="shared" si="87"/>
        <v>1</v>
      </c>
    </row>
    <row r="509" spans="1:14" hidden="1" x14ac:dyDescent="0.25">
      <c r="A509" t="s">
        <v>5</v>
      </c>
      <c r="B509" t="s">
        <v>1052</v>
      </c>
      <c r="C509" s="1" t="s">
        <v>361</v>
      </c>
      <c r="D509" s="1" t="s">
        <v>362</v>
      </c>
      <c r="E509" s="1" t="s">
        <v>361</v>
      </c>
      <c r="F509" s="1" t="s">
        <v>362</v>
      </c>
      <c r="G509">
        <f t="shared" si="82"/>
        <v>7</v>
      </c>
      <c r="H509" t="str">
        <f>RIGHT(B509,4)</f>
        <v>OBTC</v>
      </c>
      <c r="I509" t="str">
        <f t="shared" si="89"/>
        <v>BTC</v>
      </c>
      <c r="J509" t="str">
        <f t="shared" si="83"/>
        <v>OBTCBTC</v>
      </c>
      <c r="K509" t="str">
        <f t="shared" si="84"/>
        <v>BTCOBTC</v>
      </c>
      <c r="L509">
        <f t="shared" si="85"/>
        <v>0</v>
      </c>
      <c r="M509">
        <f t="shared" si="86"/>
        <v>1</v>
      </c>
      <c r="N509" t="b">
        <f t="shared" si="87"/>
        <v>1</v>
      </c>
    </row>
    <row r="510" spans="1:14" hidden="1" x14ac:dyDescent="0.25">
      <c r="A510" t="s">
        <v>1</v>
      </c>
      <c r="B510" t="s">
        <v>71</v>
      </c>
      <c r="C510" s="1">
        <v>3.8385999999999997E-4</v>
      </c>
      <c r="D510" s="1">
        <v>3.8005999999999999E-4</v>
      </c>
      <c r="E510" s="1">
        <v>3.8385999999999997E-4</v>
      </c>
      <c r="F510" s="1">
        <v>3.8005999999999999E-4</v>
      </c>
      <c r="G510">
        <f t="shared" si="82"/>
        <v>7</v>
      </c>
      <c r="H510" t="str">
        <f>RIGHT(B510,4)</f>
        <v>PASC</v>
      </c>
      <c r="I510" t="str">
        <f t="shared" si="89"/>
        <v>BTC</v>
      </c>
      <c r="J510" t="str">
        <f t="shared" si="83"/>
        <v>PASCBTC</v>
      </c>
      <c r="K510" t="str">
        <f t="shared" si="84"/>
        <v>BTCPASC</v>
      </c>
      <c r="L510">
        <f t="shared" si="85"/>
        <v>0</v>
      </c>
      <c r="M510">
        <f t="shared" si="86"/>
        <v>1</v>
      </c>
      <c r="N510" t="b">
        <f t="shared" si="87"/>
        <v>1</v>
      </c>
    </row>
    <row r="511" spans="1:14" hidden="1" x14ac:dyDescent="0.25">
      <c r="A511" t="s">
        <v>2</v>
      </c>
      <c r="B511" t="s">
        <v>180</v>
      </c>
      <c r="C511" s="1">
        <v>1.9190000000000001E-5</v>
      </c>
      <c r="D511" s="1">
        <v>1.806E-5</v>
      </c>
      <c r="E511" s="1">
        <v>1.9190000000000001E-5</v>
      </c>
      <c r="F511" s="1">
        <v>1.806E-5</v>
      </c>
      <c r="G511">
        <f t="shared" si="82"/>
        <v>6</v>
      </c>
      <c r="H511" t="str">
        <f>RIGHT(B511,3)</f>
        <v>PDC</v>
      </c>
      <c r="I511" t="str">
        <f t="shared" si="89"/>
        <v>BTC</v>
      </c>
      <c r="J511" t="str">
        <f t="shared" si="83"/>
        <v>PDCBTC</v>
      </c>
      <c r="K511" t="str">
        <f t="shared" si="84"/>
        <v>BTCPDC</v>
      </c>
      <c r="L511">
        <f t="shared" si="85"/>
        <v>0</v>
      </c>
      <c r="M511">
        <f t="shared" si="86"/>
        <v>1</v>
      </c>
      <c r="N511" t="b">
        <f t="shared" si="87"/>
        <v>1</v>
      </c>
    </row>
    <row r="512" spans="1:14" hidden="1" x14ac:dyDescent="0.25">
      <c r="A512" t="s">
        <v>2</v>
      </c>
      <c r="B512" t="s">
        <v>83</v>
      </c>
      <c r="C512" s="1">
        <v>5.0670000000000001E-5</v>
      </c>
      <c r="D512" s="1" t="s">
        <v>84</v>
      </c>
      <c r="E512" s="1">
        <v>5.0670000000000001E-5</v>
      </c>
      <c r="F512" s="1" t="s">
        <v>84</v>
      </c>
      <c r="G512">
        <f t="shared" si="82"/>
        <v>6</v>
      </c>
      <c r="H512" t="str">
        <f>RIGHT(B512,3)</f>
        <v>POT</v>
      </c>
      <c r="I512" t="str">
        <f t="shared" si="89"/>
        <v>BTC</v>
      </c>
      <c r="J512" t="str">
        <f t="shared" si="83"/>
        <v>POTBTC</v>
      </c>
      <c r="K512" t="str">
        <f t="shared" si="84"/>
        <v>BTCPOT</v>
      </c>
      <c r="L512">
        <f t="shared" si="85"/>
        <v>0</v>
      </c>
      <c r="M512">
        <f t="shared" si="86"/>
        <v>1</v>
      </c>
      <c r="N512" t="b">
        <f t="shared" si="87"/>
        <v>1</v>
      </c>
    </row>
    <row r="513" spans="1:14" hidden="1" x14ac:dyDescent="0.25">
      <c r="A513" t="s">
        <v>2</v>
      </c>
      <c r="B513" t="s">
        <v>91</v>
      </c>
      <c r="C513" s="1">
        <v>5.1499999999999998E-6</v>
      </c>
      <c r="D513" s="1">
        <v>5.0499999999999999E-6</v>
      </c>
      <c r="E513" s="1">
        <v>5.1499999999999998E-6</v>
      </c>
      <c r="F513" s="1">
        <v>5.0499999999999999E-6</v>
      </c>
      <c r="G513">
        <f t="shared" ref="G513:G576" si="90">LEN(B513)</f>
        <v>6</v>
      </c>
      <c r="H513" t="str">
        <f>RIGHT(B513,3)</f>
        <v>PTC</v>
      </c>
      <c r="I513" t="str">
        <f t="shared" si="89"/>
        <v>BTC</v>
      </c>
      <c r="J513" t="str">
        <f t="shared" ref="J513:J576" si="91">CONCATENATE(H513,I513)</f>
        <v>PTCBTC</v>
      </c>
      <c r="K513" t="str">
        <f t="shared" ref="K513:K576" si="92">CONCATENATE(I513,H513)</f>
        <v>BTCPTC</v>
      </c>
      <c r="L513">
        <f t="shared" ref="L513:L576" si="93">COUNTIF(B:B,J513)</f>
        <v>0</v>
      </c>
      <c r="M513">
        <f t="shared" ref="M513:M576" si="94">COUNTIF(B:B,K513)</f>
        <v>1</v>
      </c>
      <c r="N513" t="b">
        <f t="shared" ref="N513:N576" si="95">L513=0</f>
        <v>1</v>
      </c>
    </row>
    <row r="514" spans="1:14" hidden="1" x14ac:dyDescent="0.25">
      <c r="A514" t="s">
        <v>2</v>
      </c>
      <c r="B514" t="s">
        <v>256</v>
      </c>
      <c r="C514" s="1">
        <v>6.1970000000000005E-4</v>
      </c>
      <c r="D514" s="1">
        <v>6.1357000000000002E-4</v>
      </c>
      <c r="E514" s="1">
        <v>6.1970000000000005E-4</v>
      </c>
      <c r="F514" s="1">
        <v>6.1357000000000002E-4</v>
      </c>
      <c r="G514">
        <f t="shared" si="90"/>
        <v>6</v>
      </c>
      <c r="H514" t="str">
        <f>RIGHT(B514,3)</f>
        <v>QRL</v>
      </c>
      <c r="I514" t="str">
        <f t="shared" si="89"/>
        <v>BTC</v>
      </c>
      <c r="J514" t="str">
        <f t="shared" si="91"/>
        <v>QRLBTC</v>
      </c>
      <c r="K514" t="str">
        <f t="shared" si="92"/>
        <v>BTCQRL</v>
      </c>
      <c r="L514">
        <f t="shared" si="93"/>
        <v>0</v>
      </c>
      <c r="M514">
        <f t="shared" si="94"/>
        <v>1</v>
      </c>
      <c r="N514" t="b">
        <f t="shared" si="95"/>
        <v>1</v>
      </c>
    </row>
    <row r="515" spans="1:14" hidden="1" x14ac:dyDescent="0.25">
      <c r="A515" t="s">
        <v>2</v>
      </c>
      <c r="B515" t="s">
        <v>109</v>
      </c>
      <c r="C515" s="1">
        <v>2.0939999999999999E-5</v>
      </c>
      <c r="D515" s="1">
        <v>2.0590000000000001E-5</v>
      </c>
      <c r="E515" s="1">
        <v>2.0939999999999999E-5</v>
      </c>
      <c r="F515" s="1">
        <v>2.0590000000000001E-5</v>
      </c>
      <c r="G515">
        <f t="shared" si="90"/>
        <v>6</v>
      </c>
      <c r="H515" t="str">
        <f>RIGHT(B515,3)</f>
        <v>QTL</v>
      </c>
      <c r="I515" t="str">
        <f t="shared" si="89"/>
        <v>BTC</v>
      </c>
      <c r="J515" t="str">
        <f t="shared" si="91"/>
        <v>QTLBTC</v>
      </c>
      <c r="K515" t="str">
        <f t="shared" si="92"/>
        <v>BTCQTL</v>
      </c>
      <c r="L515">
        <f t="shared" si="93"/>
        <v>0</v>
      </c>
      <c r="M515">
        <f t="shared" si="94"/>
        <v>1</v>
      </c>
      <c r="N515" t="b">
        <f t="shared" si="95"/>
        <v>1</v>
      </c>
    </row>
    <row r="516" spans="1:14" hidden="1" x14ac:dyDescent="0.25">
      <c r="A516" t="s">
        <v>2</v>
      </c>
      <c r="B516" t="s">
        <v>217</v>
      </c>
      <c r="C516" s="1">
        <v>4.85E-5</v>
      </c>
      <c r="D516" s="1">
        <v>4.8000000000000001E-5</v>
      </c>
      <c r="E516" s="1">
        <v>4.85E-5</v>
      </c>
      <c r="F516" s="1">
        <v>4.8000000000000001E-5</v>
      </c>
      <c r="G516">
        <f t="shared" si="90"/>
        <v>8</v>
      </c>
      <c r="H516" t="str">
        <f>RIGHT(B516,5)</f>
        <v>QWARK</v>
      </c>
      <c r="I516" t="str">
        <f t="shared" si="89"/>
        <v>BTC</v>
      </c>
      <c r="J516" t="str">
        <f t="shared" si="91"/>
        <v>QWARKBTC</v>
      </c>
      <c r="K516" t="str">
        <f t="shared" si="92"/>
        <v>BTCQWARK</v>
      </c>
      <c r="L516">
        <f t="shared" si="93"/>
        <v>0</v>
      </c>
      <c r="M516">
        <f t="shared" si="94"/>
        <v>1</v>
      </c>
      <c r="N516" t="b">
        <f t="shared" si="95"/>
        <v>1</v>
      </c>
    </row>
    <row r="517" spans="1:14" hidden="1" x14ac:dyDescent="0.25">
      <c r="A517" t="s">
        <v>5</v>
      </c>
      <c r="B517" t="s">
        <v>532</v>
      </c>
      <c r="C517" s="1">
        <v>1.8E-7</v>
      </c>
      <c r="D517" s="1">
        <v>1.6999999999999999E-7</v>
      </c>
      <c r="E517" s="1">
        <v>1.8E-7</v>
      </c>
      <c r="F517" s="1">
        <v>1.6999999999999999E-7</v>
      </c>
      <c r="G517">
        <f t="shared" si="90"/>
        <v>7</v>
      </c>
      <c r="H517" t="str">
        <f>RIGHT(B517,4)</f>
        <v>RBTC</v>
      </c>
      <c r="I517" t="str">
        <f t="shared" si="89"/>
        <v>BTC</v>
      </c>
      <c r="J517" t="str">
        <f t="shared" si="91"/>
        <v>RBTCBTC</v>
      </c>
      <c r="K517" t="str">
        <f t="shared" si="92"/>
        <v>BTCRBTC</v>
      </c>
      <c r="L517">
        <f t="shared" si="93"/>
        <v>0</v>
      </c>
      <c r="M517">
        <f t="shared" si="94"/>
        <v>1</v>
      </c>
      <c r="N517" t="b">
        <f t="shared" si="95"/>
        <v>1</v>
      </c>
    </row>
    <row r="518" spans="1:14" hidden="1" x14ac:dyDescent="0.25">
      <c r="A518" t="s">
        <v>2</v>
      </c>
      <c r="B518" t="s">
        <v>94</v>
      </c>
      <c r="C518" s="1">
        <v>1.5200000000000001E-4</v>
      </c>
      <c r="D518" s="1">
        <v>1.5024E-4</v>
      </c>
      <c r="E518" s="1">
        <v>1.5200000000000001E-4</v>
      </c>
      <c r="F518" s="1">
        <v>1.5024E-4</v>
      </c>
      <c r="G518">
        <f t="shared" si="90"/>
        <v>6</v>
      </c>
      <c r="H518" t="str">
        <f>RIGHT(B518,3)</f>
        <v>RBY</v>
      </c>
      <c r="I518" t="str">
        <f t="shared" si="89"/>
        <v>BTC</v>
      </c>
      <c r="J518" t="str">
        <f t="shared" si="91"/>
        <v>RBYBTC</v>
      </c>
      <c r="K518" t="str">
        <f t="shared" si="92"/>
        <v>BTCRBY</v>
      </c>
      <c r="L518">
        <f t="shared" si="93"/>
        <v>0</v>
      </c>
      <c r="M518">
        <f t="shared" si="94"/>
        <v>1</v>
      </c>
      <c r="N518" t="b">
        <f t="shared" si="95"/>
        <v>1</v>
      </c>
    </row>
    <row r="519" spans="1:14" hidden="1" x14ac:dyDescent="0.25">
      <c r="A519" t="s">
        <v>5</v>
      </c>
      <c r="B519" t="s">
        <v>1045</v>
      </c>
      <c r="C519" s="1" t="s">
        <v>361</v>
      </c>
      <c r="D519" s="1" t="s">
        <v>362</v>
      </c>
      <c r="E519" s="1" t="s">
        <v>361</v>
      </c>
      <c r="F519" s="1" t="s">
        <v>362</v>
      </c>
      <c r="G519">
        <f t="shared" si="90"/>
        <v>8</v>
      </c>
      <c r="H519" t="str">
        <f>RIGHT(B519,5)</f>
        <v>RYBTC</v>
      </c>
      <c r="I519" t="str">
        <f t="shared" si="89"/>
        <v>BTC</v>
      </c>
      <c r="J519" t="str">
        <f t="shared" si="91"/>
        <v>RYBTCBTC</v>
      </c>
      <c r="K519" t="str">
        <f t="shared" si="92"/>
        <v>BTCRYBTC</v>
      </c>
      <c r="L519">
        <f t="shared" si="93"/>
        <v>0</v>
      </c>
      <c r="M519">
        <f t="shared" si="94"/>
        <v>1</v>
      </c>
      <c r="N519" t="b">
        <f t="shared" si="95"/>
        <v>1</v>
      </c>
    </row>
    <row r="520" spans="1:14" hidden="1" x14ac:dyDescent="0.25">
      <c r="A520" t="s">
        <v>1403</v>
      </c>
      <c r="B520" t="s">
        <v>1421</v>
      </c>
      <c r="C520" s="1">
        <v>1.19E-6</v>
      </c>
      <c r="D520" s="1">
        <v>1.2899999999999999E-6</v>
      </c>
      <c r="E520" s="1">
        <v>1.2899999999999999E-6</v>
      </c>
      <c r="F520" s="1">
        <v>1.2500000000000001E-6</v>
      </c>
      <c r="G520">
        <f t="shared" si="90"/>
        <v>7</v>
      </c>
      <c r="H520" t="str">
        <f>RIGHT(B520,4)</f>
        <v>SBTC</v>
      </c>
      <c r="I520" t="str">
        <f t="shared" si="89"/>
        <v>BTC</v>
      </c>
      <c r="J520" t="str">
        <f t="shared" si="91"/>
        <v>SBTCBTC</v>
      </c>
      <c r="K520" t="str">
        <f t="shared" si="92"/>
        <v>BTCSBTC</v>
      </c>
      <c r="L520">
        <f t="shared" si="93"/>
        <v>0</v>
      </c>
      <c r="M520">
        <f t="shared" si="94"/>
        <v>1</v>
      </c>
      <c r="N520" t="b">
        <f t="shared" si="95"/>
        <v>1</v>
      </c>
    </row>
    <row r="521" spans="1:14" hidden="1" x14ac:dyDescent="0.25">
      <c r="A521" t="s">
        <v>1403</v>
      </c>
      <c r="B521" t="s">
        <v>1927</v>
      </c>
      <c r="C521" s="1">
        <v>6.2000000200000001</v>
      </c>
      <c r="D521" s="1">
        <v>0.62000018000000001</v>
      </c>
      <c r="E521" s="1">
        <v>6.3011589900000002</v>
      </c>
      <c r="F521" s="1">
        <v>0.62000014999999997</v>
      </c>
      <c r="G521">
        <f t="shared" si="90"/>
        <v>8</v>
      </c>
      <c r="H521" t="str">
        <f>RIGHT(B521,5)</f>
        <v>SDOGE</v>
      </c>
      <c r="I521" t="str">
        <f t="shared" si="89"/>
        <v>BTC</v>
      </c>
      <c r="J521" t="str">
        <f t="shared" si="91"/>
        <v>SDOGEBTC</v>
      </c>
      <c r="K521" t="str">
        <f t="shared" si="92"/>
        <v>BTCSDOGE</v>
      </c>
      <c r="L521">
        <f t="shared" si="93"/>
        <v>0</v>
      </c>
      <c r="M521">
        <f t="shared" si="94"/>
        <v>1</v>
      </c>
      <c r="N521" t="b">
        <f t="shared" si="95"/>
        <v>1</v>
      </c>
    </row>
    <row r="522" spans="1:14" hidden="1" x14ac:dyDescent="0.25">
      <c r="A522" t="s">
        <v>2</v>
      </c>
      <c r="B522" t="s">
        <v>172</v>
      </c>
      <c r="C522" s="1">
        <v>1.3E-6</v>
      </c>
      <c r="D522" s="1">
        <v>1.2899999999999999E-6</v>
      </c>
      <c r="E522" s="1">
        <v>1.3E-6</v>
      </c>
      <c r="F522" s="1">
        <v>1.2899999999999999E-6</v>
      </c>
      <c r="G522">
        <f t="shared" si="90"/>
        <v>6</v>
      </c>
      <c r="H522" t="str">
        <f>RIGHT(B522,3)</f>
        <v>SEC</v>
      </c>
      <c r="I522" t="str">
        <f t="shared" si="89"/>
        <v>BTC</v>
      </c>
      <c r="J522" t="str">
        <f t="shared" si="91"/>
        <v>SECBTC</v>
      </c>
      <c r="K522" t="str">
        <f t="shared" si="92"/>
        <v>BTCSEC</v>
      </c>
      <c r="L522">
        <f t="shared" si="93"/>
        <v>0</v>
      </c>
      <c r="M522">
        <f t="shared" si="94"/>
        <v>1</v>
      </c>
      <c r="N522" t="b">
        <f t="shared" si="95"/>
        <v>1</v>
      </c>
    </row>
    <row r="523" spans="1:14" hidden="1" x14ac:dyDescent="0.25">
      <c r="A523" t="s">
        <v>2</v>
      </c>
      <c r="B523" t="s">
        <v>197</v>
      </c>
      <c r="C523" s="1">
        <v>3.7039999999999998E-5</v>
      </c>
      <c r="D523" s="1">
        <v>3.6560000000000002E-5</v>
      </c>
      <c r="E523" s="1">
        <v>3.7039999999999998E-5</v>
      </c>
      <c r="F523" s="1">
        <v>3.6560000000000002E-5</v>
      </c>
      <c r="G523">
        <f t="shared" si="90"/>
        <v>6</v>
      </c>
      <c r="H523" t="str">
        <f>RIGHT(B523,3)</f>
        <v>SEQ</v>
      </c>
      <c r="I523" t="str">
        <f t="shared" si="89"/>
        <v>BTC</v>
      </c>
      <c r="J523" t="str">
        <f t="shared" si="91"/>
        <v>SEQBTC</v>
      </c>
      <c r="K523" t="str">
        <f t="shared" si="92"/>
        <v>BTCSEQ</v>
      </c>
      <c r="L523">
        <f t="shared" si="93"/>
        <v>0</v>
      </c>
      <c r="M523">
        <f t="shared" si="94"/>
        <v>1</v>
      </c>
      <c r="N523" t="b">
        <f t="shared" si="95"/>
        <v>1</v>
      </c>
    </row>
    <row r="524" spans="1:14" hidden="1" x14ac:dyDescent="0.25">
      <c r="A524" t="s">
        <v>2</v>
      </c>
      <c r="B524" t="s">
        <v>139</v>
      </c>
      <c r="C524" s="1">
        <v>4.4000000000000002E-4</v>
      </c>
      <c r="D524" s="1">
        <v>4.3682999999999998E-4</v>
      </c>
      <c r="E524" s="1">
        <v>4.4000000000000002E-4</v>
      </c>
      <c r="F524" s="1">
        <v>4.3682999999999998E-4</v>
      </c>
      <c r="G524">
        <f t="shared" si="90"/>
        <v>7</v>
      </c>
      <c r="H524" t="str">
        <f>RIGHT(B524,4)</f>
        <v>SJCX</v>
      </c>
      <c r="I524" t="str">
        <f t="shared" si="89"/>
        <v>BTC</v>
      </c>
      <c r="J524" t="str">
        <f t="shared" si="91"/>
        <v>SJCXBTC</v>
      </c>
      <c r="K524" t="str">
        <f t="shared" si="92"/>
        <v>BTCSJCX</v>
      </c>
      <c r="L524">
        <f t="shared" si="93"/>
        <v>0</v>
      </c>
      <c r="M524">
        <f t="shared" si="94"/>
        <v>1</v>
      </c>
      <c r="N524" t="b">
        <f t="shared" si="95"/>
        <v>1</v>
      </c>
    </row>
    <row r="525" spans="1:14" hidden="1" x14ac:dyDescent="0.25">
      <c r="A525" t="s">
        <v>1403</v>
      </c>
      <c r="B525" t="s">
        <v>1735</v>
      </c>
      <c r="C525" s="1">
        <v>8.4569999999999998E-5</v>
      </c>
      <c r="D525" s="1">
        <v>6.9594000000000004E-4</v>
      </c>
      <c r="E525" s="1">
        <v>6.8979999999999996E-4</v>
      </c>
      <c r="F525" s="1">
        <v>5.8010000000000002E-5</v>
      </c>
      <c r="G525">
        <f t="shared" si="90"/>
        <v>7</v>
      </c>
      <c r="H525" t="str">
        <f>RIGHT(B525,4)</f>
        <v>SLTC</v>
      </c>
      <c r="I525" t="str">
        <f t="shared" ref="I525:I546" si="96">LEFT(B525,3)</f>
        <v>BTC</v>
      </c>
      <c r="J525" t="str">
        <f t="shared" si="91"/>
        <v>SLTCBTC</v>
      </c>
      <c r="K525" t="str">
        <f t="shared" si="92"/>
        <v>BTCSLTC</v>
      </c>
      <c r="L525">
        <f t="shared" si="93"/>
        <v>0</v>
      </c>
      <c r="M525">
        <f t="shared" si="94"/>
        <v>1</v>
      </c>
      <c r="N525" t="b">
        <f t="shared" si="95"/>
        <v>1</v>
      </c>
    </row>
    <row r="526" spans="1:14" hidden="1" x14ac:dyDescent="0.25">
      <c r="A526" t="s">
        <v>2</v>
      </c>
      <c r="B526" t="s">
        <v>151</v>
      </c>
      <c r="C526" s="1">
        <v>4.1615000000000001E-4</v>
      </c>
      <c r="D526" s="1">
        <v>4.0230000000000002E-4</v>
      </c>
      <c r="E526" s="1">
        <v>4.1615000000000001E-4</v>
      </c>
      <c r="F526" s="1">
        <v>4.0230000000000002E-4</v>
      </c>
      <c r="G526">
        <f t="shared" si="90"/>
        <v>7</v>
      </c>
      <c r="H526" t="str">
        <f>RIGHT(B526,4)</f>
        <v>SPHR</v>
      </c>
      <c r="I526" t="str">
        <f t="shared" si="96"/>
        <v>BTC</v>
      </c>
      <c r="J526" t="str">
        <f t="shared" si="91"/>
        <v>SPHRBTC</v>
      </c>
      <c r="K526" t="str">
        <f t="shared" si="92"/>
        <v>BTCSPHR</v>
      </c>
      <c r="L526">
        <f t="shared" si="93"/>
        <v>0</v>
      </c>
      <c r="M526">
        <f t="shared" si="94"/>
        <v>1</v>
      </c>
      <c r="N526" t="b">
        <f t="shared" si="95"/>
        <v>1</v>
      </c>
    </row>
    <row r="527" spans="1:14" hidden="1" x14ac:dyDescent="0.25">
      <c r="A527" t="s">
        <v>1403</v>
      </c>
      <c r="B527" t="s">
        <v>1555</v>
      </c>
      <c r="C527" s="1">
        <v>3.0003000000000001E-4</v>
      </c>
      <c r="D527" s="1">
        <v>1.2499980000000001E-2</v>
      </c>
      <c r="E527" s="1">
        <v>1.2559304188E-2</v>
      </c>
      <c r="F527" s="1">
        <v>3.4199999999999999E-6</v>
      </c>
      <c r="G527">
        <f t="shared" si="90"/>
        <v>7</v>
      </c>
      <c r="H527" t="str">
        <f>RIGHT(B527,4)</f>
        <v>SUSD</v>
      </c>
      <c r="I527" t="str">
        <f t="shared" si="96"/>
        <v>BTC</v>
      </c>
      <c r="J527" t="str">
        <f t="shared" si="91"/>
        <v>SUSDBTC</v>
      </c>
      <c r="K527" t="str">
        <f t="shared" si="92"/>
        <v>BTCSUSD</v>
      </c>
      <c r="L527">
        <f t="shared" si="93"/>
        <v>0</v>
      </c>
      <c r="M527">
        <f t="shared" si="94"/>
        <v>1</v>
      </c>
      <c r="N527" t="b">
        <f t="shared" si="95"/>
        <v>1</v>
      </c>
    </row>
    <row r="528" spans="1:14" hidden="1" x14ac:dyDescent="0.25">
      <c r="A528" t="s">
        <v>2</v>
      </c>
      <c r="B528" t="s">
        <v>122</v>
      </c>
      <c r="C528" s="1">
        <v>3.2996000000000002E-4</v>
      </c>
      <c r="D528" s="1">
        <v>3.2106000000000002E-4</v>
      </c>
      <c r="E528" s="1">
        <v>3.2996000000000002E-4</v>
      </c>
      <c r="F528" s="1">
        <v>3.2106000000000002E-4</v>
      </c>
      <c r="G528">
        <f t="shared" si="90"/>
        <v>8</v>
      </c>
      <c r="H528" t="str">
        <f>RIGHT(B528,5)</f>
        <v>SWIFT</v>
      </c>
      <c r="I528" t="str">
        <f t="shared" si="96"/>
        <v>BTC</v>
      </c>
      <c r="J528" t="str">
        <f t="shared" si="91"/>
        <v>SWIFTBTC</v>
      </c>
      <c r="K528" t="str">
        <f t="shared" si="92"/>
        <v>BTCSWIFT</v>
      </c>
      <c r="L528">
        <f t="shared" si="93"/>
        <v>0</v>
      </c>
      <c r="M528">
        <f t="shared" si="94"/>
        <v>1</v>
      </c>
      <c r="N528" t="b">
        <f t="shared" si="95"/>
        <v>1</v>
      </c>
    </row>
    <row r="529" spans="1:14" hidden="1" x14ac:dyDescent="0.25">
      <c r="A529" t="s">
        <v>2</v>
      </c>
      <c r="B529" t="s">
        <v>98</v>
      </c>
      <c r="C529" s="1">
        <v>3.3000000000000002E-6</v>
      </c>
      <c r="D529" s="1">
        <v>3.2899999999999998E-6</v>
      </c>
      <c r="E529" s="1">
        <v>3.3000000000000002E-6</v>
      </c>
      <c r="F529" s="1">
        <v>3.2899999999999998E-6</v>
      </c>
      <c r="G529">
        <f t="shared" si="90"/>
        <v>6</v>
      </c>
      <c r="H529" t="str">
        <f>RIGHT(B529,3)</f>
        <v>THC</v>
      </c>
      <c r="I529" t="str">
        <f t="shared" si="96"/>
        <v>BTC</v>
      </c>
      <c r="J529" t="str">
        <f t="shared" si="91"/>
        <v>THCBTC</v>
      </c>
      <c r="K529" t="str">
        <f t="shared" si="92"/>
        <v>BTCTHC</v>
      </c>
      <c r="L529">
        <f t="shared" si="93"/>
        <v>0</v>
      </c>
      <c r="M529">
        <f t="shared" si="94"/>
        <v>1</v>
      </c>
      <c r="N529" t="b">
        <f t="shared" si="95"/>
        <v>1</v>
      </c>
    </row>
    <row r="530" spans="1:14" hidden="1" x14ac:dyDescent="0.25">
      <c r="A530" t="s">
        <v>2</v>
      </c>
      <c r="B530" t="s">
        <v>224</v>
      </c>
      <c r="C530" s="1">
        <v>4.4401999999999999E-4</v>
      </c>
      <c r="D530" s="1">
        <v>4.2776000000000001E-4</v>
      </c>
      <c r="E530" s="1">
        <v>4.4401999999999999E-4</v>
      </c>
      <c r="F530" s="1">
        <v>4.2776000000000001E-4</v>
      </c>
      <c r="G530">
        <f t="shared" si="90"/>
        <v>6</v>
      </c>
      <c r="H530" t="str">
        <f>RIGHT(B530,3)</f>
        <v>TKS</v>
      </c>
      <c r="I530" t="str">
        <f t="shared" si="96"/>
        <v>BTC</v>
      </c>
      <c r="J530" t="str">
        <f t="shared" si="91"/>
        <v>TKSBTC</v>
      </c>
      <c r="K530" t="str">
        <f t="shared" si="92"/>
        <v>BTCTKS</v>
      </c>
      <c r="L530">
        <f t="shared" si="93"/>
        <v>0</v>
      </c>
      <c r="M530">
        <f t="shared" si="94"/>
        <v>1</v>
      </c>
      <c r="N530" t="b">
        <f t="shared" si="95"/>
        <v>1</v>
      </c>
    </row>
    <row r="531" spans="1:14" hidden="1" x14ac:dyDescent="0.25">
      <c r="A531" t="s">
        <v>2</v>
      </c>
      <c r="B531" t="s">
        <v>194</v>
      </c>
      <c r="C531" s="1">
        <v>3.4090000000000001E-5</v>
      </c>
      <c r="D531" s="1">
        <v>3.2849999999999999E-5</v>
      </c>
      <c r="E531" s="1">
        <v>3.4090000000000001E-5</v>
      </c>
      <c r="F531" s="1">
        <v>3.2849999999999999E-5</v>
      </c>
      <c r="G531">
        <f t="shared" si="90"/>
        <v>7</v>
      </c>
      <c r="H531" t="str">
        <f>RIGHT(B531,4)</f>
        <v>TRIG</v>
      </c>
      <c r="I531" t="str">
        <f t="shared" si="96"/>
        <v>BTC</v>
      </c>
      <c r="J531" t="str">
        <f t="shared" si="91"/>
        <v>TRIGBTC</v>
      </c>
      <c r="K531" t="str">
        <f t="shared" si="92"/>
        <v>BTCTRIG</v>
      </c>
      <c r="L531">
        <f t="shared" si="93"/>
        <v>0</v>
      </c>
      <c r="M531">
        <f t="shared" si="94"/>
        <v>1</v>
      </c>
      <c r="N531" t="b">
        <f t="shared" si="95"/>
        <v>1</v>
      </c>
    </row>
    <row r="532" spans="1:14" hidden="1" x14ac:dyDescent="0.25">
      <c r="A532" t="s">
        <v>2</v>
      </c>
      <c r="B532" t="s">
        <v>110</v>
      </c>
      <c r="C532" s="1">
        <v>1.04E-5</v>
      </c>
      <c r="D532" s="1">
        <v>1.0139999999999999E-5</v>
      </c>
      <c r="E532" s="1">
        <v>1.04E-5</v>
      </c>
      <c r="F532" s="1">
        <v>1.0139999999999999E-5</v>
      </c>
      <c r="G532">
        <f t="shared" si="90"/>
        <v>8</v>
      </c>
      <c r="H532" t="str">
        <f>RIGHT(B532,5)</f>
        <v>TRUST</v>
      </c>
      <c r="I532" t="str">
        <f t="shared" si="96"/>
        <v>BTC</v>
      </c>
      <c r="J532" t="str">
        <f t="shared" si="91"/>
        <v>TRUSTBTC</v>
      </c>
      <c r="K532" t="str">
        <f t="shared" si="92"/>
        <v>BTCTRUST</v>
      </c>
      <c r="L532">
        <f t="shared" si="93"/>
        <v>0</v>
      </c>
      <c r="M532">
        <f t="shared" si="94"/>
        <v>1</v>
      </c>
      <c r="N532" t="b">
        <f t="shared" si="95"/>
        <v>1</v>
      </c>
    </row>
    <row r="533" spans="1:14" hidden="1" x14ac:dyDescent="0.25">
      <c r="A533" t="s">
        <v>7</v>
      </c>
      <c r="B533" t="s">
        <v>1235</v>
      </c>
      <c r="C533" s="1">
        <v>67000.000000009997</v>
      </c>
      <c r="D533" s="1">
        <v>68197.999999990003</v>
      </c>
      <c r="E533" s="1">
        <v>66491.263906018401</v>
      </c>
      <c r="F533" s="1">
        <v>68291.650655599107</v>
      </c>
      <c r="G533">
        <f t="shared" si="90"/>
        <v>6</v>
      </c>
      <c r="H533" t="str">
        <f>RIGHT(B533,3)</f>
        <v>UAH</v>
      </c>
      <c r="I533" t="str">
        <f t="shared" si="96"/>
        <v>BTC</v>
      </c>
      <c r="J533" t="str">
        <f t="shared" si="91"/>
        <v>UAHBTC</v>
      </c>
      <c r="K533" t="str">
        <f t="shared" si="92"/>
        <v>BTCUAH</v>
      </c>
      <c r="L533">
        <f t="shared" si="93"/>
        <v>0</v>
      </c>
      <c r="M533">
        <f t="shared" si="94"/>
        <v>1</v>
      </c>
      <c r="N533" t="b">
        <f t="shared" si="95"/>
        <v>1</v>
      </c>
    </row>
    <row r="534" spans="1:14" hidden="1" x14ac:dyDescent="0.25">
      <c r="A534" t="s">
        <v>2</v>
      </c>
      <c r="B534" t="s">
        <v>211</v>
      </c>
      <c r="C534" s="1">
        <v>8.3741000000000002E-4</v>
      </c>
      <c r="D534" s="1">
        <v>8.3600000000000005E-4</v>
      </c>
      <c r="E534" s="1">
        <v>8.3741000000000002E-4</v>
      </c>
      <c r="F534" s="1">
        <v>8.3600000000000005E-4</v>
      </c>
      <c r="G534">
        <f t="shared" si="90"/>
        <v>6</v>
      </c>
      <c r="H534" t="str">
        <f>RIGHT(B534,3)</f>
        <v>UBQ</v>
      </c>
      <c r="I534" t="str">
        <f t="shared" si="96"/>
        <v>BTC</v>
      </c>
      <c r="J534" t="str">
        <f t="shared" si="91"/>
        <v>UBQBTC</v>
      </c>
      <c r="K534" t="str">
        <f t="shared" si="92"/>
        <v>BTCUBQ</v>
      </c>
      <c r="L534">
        <f t="shared" si="93"/>
        <v>0</v>
      </c>
      <c r="M534">
        <f t="shared" si="94"/>
        <v>1</v>
      </c>
      <c r="N534" t="b">
        <f t="shared" si="95"/>
        <v>1</v>
      </c>
    </row>
    <row r="535" spans="1:14" hidden="1" x14ac:dyDescent="0.25">
      <c r="A535" t="s">
        <v>5</v>
      </c>
      <c r="B535" t="s">
        <v>637</v>
      </c>
      <c r="C535" s="1">
        <v>4.6199999999999998E-6</v>
      </c>
      <c r="D535" s="1">
        <v>4.4700000000000004E-6</v>
      </c>
      <c r="E535" s="1">
        <v>4.6199999999999998E-6</v>
      </c>
      <c r="F535" s="1">
        <v>4.4700000000000004E-6</v>
      </c>
      <c r="G535">
        <f t="shared" si="90"/>
        <v>7</v>
      </c>
      <c r="H535" t="str">
        <f>RIGHT(B535,4)</f>
        <v>UBTC</v>
      </c>
      <c r="I535" t="str">
        <f t="shared" si="96"/>
        <v>BTC</v>
      </c>
      <c r="J535" t="str">
        <f t="shared" si="91"/>
        <v>UBTCBTC</v>
      </c>
      <c r="K535" t="str">
        <f t="shared" si="92"/>
        <v>BTCUBTC</v>
      </c>
      <c r="L535">
        <f t="shared" si="93"/>
        <v>0</v>
      </c>
      <c r="M535">
        <f t="shared" si="94"/>
        <v>1</v>
      </c>
      <c r="N535" t="b">
        <f t="shared" si="95"/>
        <v>1</v>
      </c>
    </row>
    <row r="536" spans="1:14" hidden="1" x14ac:dyDescent="0.25">
      <c r="A536" t="s">
        <v>2</v>
      </c>
      <c r="B536" t="s">
        <v>192</v>
      </c>
      <c r="C536" s="1">
        <v>4.829E-5</v>
      </c>
      <c r="D536" s="1">
        <v>4.638E-5</v>
      </c>
      <c r="E536" s="1">
        <v>4.829E-5</v>
      </c>
      <c r="F536" s="1">
        <v>4.638E-5</v>
      </c>
      <c r="G536">
        <f t="shared" si="90"/>
        <v>6</v>
      </c>
      <c r="H536" t="str">
        <f t="shared" ref="H536:H547" si="97">RIGHT(B536,3)</f>
        <v>UNB</v>
      </c>
      <c r="I536" t="str">
        <f t="shared" si="96"/>
        <v>BTC</v>
      </c>
      <c r="J536" t="str">
        <f t="shared" si="91"/>
        <v>UNBBTC</v>
      </c>
      <c r="K536" t="str">
        <f t="shared" si="92"/>
        <v>BTCUNB</v>
      </c>
      <c r="L536">
        <f t="shared" si="93"/>
        <v>0</v>
      </c>
      <c r="M536">
        <f t="shared" si="94"/>
        <v>1</v>
      </c>
      <c r="N536" t="b">
        <f t="shared" si="95"/>
        <v>1</v>
      </c>
    </row>
    <row r="537" spans="1:14" hidden="1" x14ac:dyDescent="0.25">
      <c r="A537" t="s">
        <v>2</v>
      </c>
      <c r="B537" t="s">
        <v>133</v>
      </c>
      <c r="C537" s="1">
        <v>8.7990000000000003E-5</v>
      </c>
      <c r="D537" s="1">
        <v>8.7960000000000005E-5</v>
      </c>
      <c r="E537" s="1">
        <v>8.7990000000000003E-5</v>
      </c>
      <c r="F537" s="1">
        <v>8.7960000000000005E-5</v>
      </c>
      <c r="G537">
        <f t="shared" si="90"/>
        <v>6</v>
      </c>
      <c r="H537" t="str">
        <f t="shared" si="97"/>
        <v>VTR</v>
      </c>
      <c r="I537" t="str">
        <f t="shared" si="96"/>
        <v>BTC</v>
      </c>
      <c r="J537" t="str">
        <f t="shared" si="91"/>
        <v>VTRBTC</v>
      </c>
      <c r="K537" t="str">
        <f t="shared" si="92"/>
        <v>BTCVTR</v>
      </c>
      <c r="L537">
        <f t="shared" si="93"/>
        <v>0</v>
      </c>
      <c r="M537">
        <f t="shared" si="94"/>
        <v>1</v>
      </c>
      <c r="N537" t="b">
        <f t="shared" si="95"/>
        <v>1</v>
      </c>
    </row>
    <row r="538" spans="1:14" hidden="1" x14ac:dyDescent="0.25">
      <c r="A538" t="s">
        <v>2</v>
      </c>
      <c r="B538" t="s">
        <v>103</v>
      </c>
      <c r="C538" s="1">
        <v>1.0310999999999999E-4</v>
      </c>
      <c r="D538" s="1">
        <v>9.8109999999999994E-5</v>
      </c>
      <c r="E538" s="1">
        <v>1.0310999999999999E-4</v>
      </c>
      <c r="F538" s="1">
        <v>9.8109999999999994E-5</v>
      </c>
      <c r="G538">
        <f t="shared" si="90"/>
        <v>6</v>
      </c>
      <c r="H538" t="str">
        <f t="shared" si="97"/>
        <v>XBB</v>
      </c>
      <c r="I538" t="str">
        <f t="shared" si="96"/>
        <v>BTC</v>
      </c>
      <c r="J538" t="str">
        <f t="shared" si="91"/>
        <v>XBBBTC</v>
      </c>
      <c r="K538" t="str">
        <f t="shared" si="92"/>
        <v>BTCXBB</v>
      </c>
      <c r="L538">
        <f t="shared" si="93"/>
        <v>0</v>
      </c>
      <c r="M538">
        <f t="shared" si="94"/>
        <v>1</v>
      </c>
      <c r="N538" t="b">
        <f t="shared" si="95"/>
        <v>1</v>
      </c>
    </row>
    <row r="539" spans="1:14" hidden="1" x14ac:dyDescent="0.25">
      <c r="A539" t="s">
        <v>2</v>
      </c>
      <c r="B539" t="s">
        <v>138</v>
      </c>
      <c r="C539" s="1">
        <v>4.9795400000000002E-3</v>
      </c>
      <c r="D539" s="1">
        <v>4.8293299999999997E-3</v>
      </c>
      <c r="E539" s="1">
        <v>4.9795400000000002E-3</v>
      </c>
      <c r="F539" s="1">
        <v>4.8293299999999997E-3</v>
      </c>
      <c r="G539">
        <f t="shared" si="90"/>
        <v>6</v>
      </c>
      <c r="H539" t="str">
        <f t="shared" si="97"/>
        <v>XCP</v>
      </c>
      <c r="I539" t="str">
        <f t="shared" si="96"/>
        <v>BTC</v>
      </c>
      <c r="J539" t="str">
        <f t="shared" si="91"/>
        <v>XCPBTC</v>
      </c>
      <c r="K539" t="str">
        <f t="shared" si="92"/>
        <v>BTCXCP</v>
      </c>
      <c r="L539">
        <f t="shared" si="93"/>
        <v>0</v>
      </c>
      <c r="M539">
        <f t="shared" si="94"/>
        <v>1</v>
      </c>
      <c r="N539" t="b">
        <f t="shared" si="95"/>
        <v>1</v>
      </c>
    </row>
    <row r="540" spans="1:14" hidden="1" x14ac:dyDescent="0.25">
      <c r="A540" t="s">
        <v>2</v>
      </c>
      <c r="B540" t="s">
        <v>127</v>
      </c>
      <c r="C540" s="1">
        <v>5.7049999999999998E-5</v>
      </c>
      <c r="D540" s="1">
        <v>5.5009999999999997E-5</v>
      </c>
      <c r="E540" s="1">
        <v>5.7049999999999998E-5</v>
      </c>
      <c r="F540" s="1">
        <v>5.5019999999999998E-5</v>
      </c>
      <c r="G540">
        <f t="shared" si="90"/>
        <v>6</v>
      </c>
      <c r="H540" t="str">
        <f t="shared" si="97"/>
        <v>XMG</v>
      </c>
      <c r="I540" t="str">
        <f t="shared" si="96"/>
        <v>BTC</v>
      </c>
      <c r="J540" t="str">
        <f t="shared" si="91"/>
        <v>XMGBTC</v>
      </c>
      <c r="K540" t="str">
        <f t="shared" si="92"/>
        <v>BTCXMG</v>
      </c>
      <c r="L540">
        <f t="shared" si="93"/>
        <v>0</v>
      </c>
      <c r="M540">
        <f t="shared" si="94"/>
        <v>1</v>
      </c>
      <c r="N540" t="b">
        <f t="shared" si="95"/>
        <v>1</v>
      </c>
    </row>
    <row r="541" spans="1:14" hidden="1" x14ac:dyDescent="0.25">
      <c r="A541" t="s">
        <v>1</v>
      </c>
      <c r="B541" t="s">
        <v>66</v>
      </c>
      <c r="C541" s="1">
        <v>1.883E-4</v>
      </c>
      <c r="D541" s="1">
        <v>1.8819999999999999E-4</v>
      </c>
      <c r="E541" s="1">
        <v>1.883E-4</v>
      </c>
      <c r="F541" s="1">
        <v>1.8819999999999999E-4</v>
      </c>
      <c r="G541">
        <f t="shared" si="90"/>
        <v>6</v>
      </c>
      <c r="H541" t="str">
        <f t="shared" si="97"/>
        <v>XPM</v>
      </c>
      <c r="I541" t="str">
        <f t="shared" si="96"/>
        <v>BTC</v>
      </c>
      <c r="J541" t="str">
        <f t="shared" si="91"/>
        <v>XPMBTC</v>
      </c>
      <c r="K541" t="str">
        <f t="shared" si="92"/>
        <v>BTCXPM</v>
      </c>
      <c r="L541">
        <f t="shared" si="93"/>
        <v>0</v>
      </c>
      <c r="M541">
        <f t="shared" si="94"/>
        <v>1</v>
      </c>
      <c r="N541" t="b">
        <f t="shared" si="95"/>
        <v>1</v>
      </c>
    </row>
    <row r="542" spans="1:14" hidden="1" x14ac:dyDescent="0.25">
      <c r="A542" t="s">
        <v>2</v>
      </c>
      <c r="B542" t="s">
        <v>112</v>
      </c>
      <c r="C542" s="1">
        <v>6.5920000000000006E-5</v>
      </c>
      <c r="D542" s="1">
        <v>6.5019999999999998E-5</v>
      </c>
      <c r="E542" s="1">
        <v>6.5920000000000006E-5</v>
      </c>
      <c r="F542" s="1">
        <v>6.5019999999999998E-5</v>
      </c>
      <c r="G542">
        <f t="shared" si="90"/>
        <v>6</v>
      </c>
      <c r="H542" t="str">
        <f t="shared" si="97"/>
        <v>XST</v>
      </c>
      <c r="I542" t="str">
        <f t="shared" si="96"/>
        <v>BTC</v>
      </c>
      <c r="J542" t="str">
        <f t="shared" si="91"/>
        <v>XSTBTC</v>
      </c>
      <c r="K542" t="str">
        <f t="shared" si="92"/>
        <v>BTCXST</v>
      </c>
      <c r="L542">
        <f t="shared" si="93"/>
        <v>0</v>
      </c>
      <c r="M542">
        <f t="shared" si="94"/>
        <v>1</v>
      </c>
      <c r="N542" t="b">
        <f t="shared" si="95"/>
        <v>1</v>
      </c>
    </row>
    <row r="543" spans="1:14" hidden="1" x14ac:dyDescent="0.25">
      <c r="A543" t="s">
        <v>2</v>
      </c>
      <c r="B543" t="s">
        <v>95</v>
      </c>
      <c r="C543" s="1" t="s">
        <v>96</v>
      </c>
      <c r="D543" s="1">
        <v>4.8899999999999998E-6</v>
      </c>
      <c r="E543" s="1" t="s">
        <v>96</v>
      </c>
      <c r="F543" s="1">
        <v>4.8899999999999998E-6</v>
      </c>
      <c r="G543">
        <f t="shared" si="90"/>
        <v>6</v>
      </c>
      <c r="H543" t="str">
        <f t="shared" si="97"/>
        <v>XWC</v>
      </c>
      <c r="I543" t="str">
        <f t="shared" si="96"/>
        <v>BTC</v>
      </c>
      <c r="J543" t="str">
        <f t="shared" si="91"/>
        <v>XWCBTC</v>
      </c>
      <c r="K543" t="str">
        <f t="shared" si="92"/>
        <v>BTCXWC</v>
      </c>
      <c r="L543">
        <f t="shared" si="93"/>
        <v>0</v>
      </c>
      <c r="M543">
        <f t="shared" si="94"/>
        <v>1</v>
      </c>
      <c r="N543" t="b">
        <f t="shared" si="95"/>
        <v>1</v>
      </c>
    </row>
    <row r="544" spans="1:14" hidden="1" x14ac:dyDescent="0.25">
      <c r="A544" t="s">
        <v>2</v>
      </c>
      <c r="B544" t="s">
        <v>203</v>
      </c>
      <c r="C544" s="1">
        <v>4.9999800000000002E-3</v>
      </c>
      <c r="D544" s="1">
        <v>4.9048700000000004E-3</v>
      </c>
      <c r="E544" s="1">
        <v>4.9999800000000002E-3</v>
      </c>
      <c r="F544" s="1">
        <v>4.9048700000000004E-3</v>
      </c>
      <c r="G544">
        <f t="shared" si="90"/>
        <v>6</v>
      </c>
      <c r="H544" t="str">
        <f t="shared" si="97"/>
        <v>XZC</v>
      </c>
      <c r="I544" t="str">
        <f t="shared" si="96"/>
        <v>BTC</v>
      </c>
      <c r="J544" t="str">
        <f t="shared" si="91"/>
        <v>XZCBTC</v>
      </c>
      <c r="K544" t="str">
        <f t="shared" si="92"/>
        <v>BTCXZC</v>
      </c>
      <c r="L544">
        <f t="shared" si="93"/>
        <v>0</v>
      </c>
      <c r="M544">
        <f t="shared" si="94"/>
        <v>1</v>
      </c>
      <c r="N544" t="b">
        <f t="shared" si="95"/>
        <v>1</v>
      </c>
    </row>
    <row r="545" spans="1:14" hidden="1" x14ac:dyDescent="0.25">
      <c r="A545" t="s">
        <v>2</v>
      </c>
      <c r="B545" t="s">
        <v>254</v>
      </c>
      <c r="C545" s="1">
        <v>3.3495E-3</v>
      </c>
      <c r="D545" s="1">
        <v>3.3000099999999999E-3</v>
      </c>
      <c r="E545" s="1">
        <v>3.3495E-3</v>
      </c>
      <c r="F545" s="1">
        <v>3.3000099999999999E-3</v>
      </c>
      <c r="G545">
        <f t="shared" si="90"/>
        <v>6</v>
      </c>
      <c r="H545" t="str">
        <f t="shared" si="97"/>
        <v>ZEN</v>
      </c>
      <c r="I545" t="str">
        <f t="shared" si="96"/>
        <v>BTC</v>
      </c>
      <c r="J545" t="str">
        <f t="shared" si="91"/>
        <v>ZENBTC</v>
      </c>
      <c r="K545" t="str">
        <f t="shared" si="92"/>
        <v>BTCZEN</v>
      </c>
      <c r="L545">
        <f t="shared" si="93"/>
        <v>0</v>
      </c>
      <c r="M545">
        <f t="shared" si="94"/>
        <v>1</v>
      </c>
      <c r="N545" t="b">
        <f t="shared" si="95"/>
        <v>1</v>
      </c>
    </row>
    <row r="546" spans="1:14" hidden="1" x14ac:dyDescent="0.25">
      <c r="A546" t="s">
        <v>5</v>
      </c>
      <c r="B546" t="s">
        <v>1216</v>
      </c>
      <c r="C546" s="1">
        <v>3.6399999999999999E-6</v>
      </c>
      <c r="D546" s="1">
        <v>3.1999999999999999E-6</v>
      </c>
      <c r="E546" s="1">
        <v>3.6399999999999999E-6</v>
      </c>
      <c r="F546" s="1">
        <v>3.1999999999999999E-6</v>
      </c>
      <c r="G546">
        <f t="shared" si="90"/>
        <v>6</v>
      </c>
      <c r="H546" t="str">
        <f t="shared" si="97"/>
        <v>BTC</v>
      </c>
      <c r="I546" t="str">
        <f t="shared" si="96"/>
        <v>BTD</v>
      </c>
      <c r="J546" t="str">
        <f t="shared" si="91"/>
        <v>BTCBTD</v>
      </c>
      <c r="K546" t="str">
        <f t="shared" si="92"/>
        <v>BTDBTC</v>
      </c>
      <c r="L546">
        <f t="shared" si="93"/>
        <v>0</v>
      </c>
      <c r="M546">
        <f t="shared" si="94"/>
        <v>1</v>
      </c>
      <c r="N546" t="b">
        <f t="shared" si="95"/>
        <v>1</v>
      </c>
    </row>
    <row r="547" spans="1:14" hidden="1" x14ac:dyDescent="0.25">
      <c r="A547" t="s">
        <v>1403</v>
      </c>
      <c r="B547" t="s">
        <v>1419</v>
      </c>
      <c r="C547" s="1">
        <v>3.0800000000000002E-6</v>
      </c>
      <c r="D547" s="1">
        <v>3.294E-5</v>
      </c>
      <c r="E547" s="1">
        <v>3.1900000000000003E-5</v>
      </c>
      <c r="F547" s="1" t="s">
        <v>328</v>
      </c>
      <c r="G547">
        <f t="shared" si="90"/>
        <v>7</v>
      </c>
      <c r="H547" t="str">
        <f t="shared" si="97"/>
        <v>BTC</v>
      </c>
      <c r="I547" t="str">
        <f>LEFT(B547,4)</f>
        <v>BTLC</v>
      </c>
      <c r="J547" t="str">
        <f t="shared" si="91"/>
        <v>BTCBTLC</v>
      </c>
      <c r="K547" t="str">
        <f t="shared" si="92"/>
        <v>BTLCBTC</v>
      </c>
      <c r="L547">
        <f t="shared" si="93"/>
        <v>0</v>
      </c>
      <c r="M547">
        <f t="shared" si="94"/>
        <v>1</v>
      </c>
      <c r="N547" t="b">
        <f t="shared" si="95"/>
        <v>1</v>
      </c>
    </row>
    <row r="548" spans="1:14" hidden="1" x14ac:dyDescent="0.25">
      <c r="A548" t="s">
        <v>1403</v>
      </c>
      <c r="B548" t="s">
        <v>1925</v>
      </c>
      <c r="C548" s="1">
        <v>152315.9999</v>
      </c>
      <c r="D548" s="1">
        <v>152315.9999</v>
      </c>
      <c r="E548" s="1">
        <v>152315.9999</v>
      </c>
      <c r="F548" s="1">
        <v>2.0300000499999999</v>
      </c>
      <c r="G548">
        <f t="shared" si="90"/>
        <v>8</v>
      </c>
      <c r="H548" t="str">
        <f>RIGHT(B548,4)</f>
        <v>DOGE</v>
      </c>
      <c r="I548" t="str">
        <f>LEFT(B548,4)</f>
        <v>BTLC</v>
      </c>
      <c r="J548" t="str">
        <f t="shared" si="91"/>
        <v>DOGEBTLC</v>
      </c>
      <c r="K548" t="str">
        <f t="shared" si="92"/>
        <v>BTLCDOGE</v>
      </c>
      <c r="L548">
        <f t="shared" si="93"/>
        <v>0</v>
      </c>
      <c r="M548">
        <f t="shared" si="94"/>
        <v>1</v>
      </c>
      <c r="N548" t="b">
        <f t="shared" si="95"/>
        <v>1</v>
      </c>
    </row>
    <row r="549" spans="1:14" hidden="1" x14ac:dyDescent="0.25">
      <c r="A549" t="s">
        <v>1403</v>
      </c>
      <c r="B549" t="s">
        <v>1733</v>
      </c>
      <c r="C549" s="1">
        <v>0</v>
      </c>
      <c r="D549" s="1">
        <v>0</v>
      </c>
      <c r="E549" s="1">
        <v>0</v>
      </c>
      <c r="F549" s="1">
        <v>2.0002999999999999E-4</v>
      </c>
      <c r="G549">
        <f t="shared" si="90"/>
        <v>7</v>
      </c>
      <c r="H549" t="str">
        <f>RIGHT(B549,3)</f>
        <v>LTC</v>
      </c>
      <c r="I549" t="str">
        <f>LEFT(B549,4)</f>
        <v>BTLC</v>
      </c>
      <c r="J549" t="str">
        <f t="shared" si="91"/>
        <v>LTCBTLC</v>
      </c>
      <c r="K549" t="str">
        <f t="shared" si="92"/>
        <v>BTLCLTC</v>
      </c>
      <c r="L549">
        <f t="shared" si="93"/>
        <v>0</v>
      </c>
      <c r="M549">
        <f t="shared" si="94"/>
        <v>1</v>
      </c>
      <c r="N549" t="b">
        <f t="shared" si="95"/>
        <v>1</v>
      </c>
    </row>
    <row r="550" spans="1:14" hidden="1" x14ac:dyDescent="0.25">
      <c r="A550" t="s">
        <v>1403</v>
      </c>
      <c r="B550" t="s">
        <v>1553</v>
      </c>
      <c r="C550" s="1">
        <v>0.100754</v>
      </c>
      <c r="D550" s="1">
        <v>0.100754</v>
      </c>
      <c r="E550" s="1">
        <v>0.100754</v>
      </c>
      <c r="F550" s="1">
        <v>6.0137999999999999E-4</v>
      </c>
      <c r="G550">
        <f t="shared" si="90"/>
        <v>7</v>
      </c>
      <c r="H550" t="str">
        <f>RIGHT(B550,3)</f>
        <v>USD</v>
      </c>
      <c r="I550" t="str">
        <f>LEFT(B550,4)</f>
        <v>BTLC</v>
      </c>
      <c r="J550" t="str">
        <f t="shared" si="91"/>
        <v>USDBTLC</v>
      </c>
      <c r="K550" t="str">
        <f t="shared" si="92"/>
        <v>BTLCUSD</v>
      </c>
      <c r="L550">
        <f t="shared" si="93"/>
        <v>0</v>
      </c>
      <c r="M550">
        <f t="shared" si="94"/>
        <v>1</v>
      </c>
      <c r="N550" t="b">
        <f t="shared" si="95"/>
        <v>1</v>
      </c>
    </row>
    <row r="551" spans="1:14" hidden="1" x14ac:dyDescent="0.25">
      <c r="A551" t="s">
        <v>5</v>
      </c>
      <c r="B551" t="s">
        <v>1109</v>
      </c>
      <c r="C551" s="1">
        <v>1.5999999999999999E-6</v>
      </c>
      <c r="D551" s="1">
        <v>1.24E-6</v>
      </c>
      <c r="E551" s="1">
        <v>1.5999999999999999E-6</v>
      </c>
      <c r="F551" s="1">
        <v>1.24E-6</v>
      </c>
      <c r="G551">
        <f t="shared" si="90"/>
        <v>6</v>
      </c>
      <c r="H551" t="str">
        <f>RIGHT(B551,3)</f>
        <v>BTC</v>
      </c>
      <c r="I551" t="str">
        <f>LEFT(B551,3)</f>
        <v>BTP</v>
      </c>
      <c r="J551" t="str">
        <f t="shared" si="91"/>
        <v>BTCBTP</v>
      </c>
      <c r="K551" t="str">
        <f t="shared" si="92"/>
        <v>BTPBTC</v>
      </c>
      <c r="L551">
        <f t="shared" si="93"/>
        <v>0</v>
      </c>
      <c r="M551">
        <f t="shared" si="94"/>
        <v>1</v>
      </c>
      <c r="N551" t="b">
        <f t="shared" si="95"/>
        <v>1</v>
      </c>
    </row>
    <row r="552" spans="1:14" hidden="1" x14ac:dyDescent="0.25">
      <c r="A552" t="s">
        <v>1403</v>
      </c>
      <c r="B552" t="s">
        <v>1422</v>
      </c>
      <c r="C552" s="1">
        <v>1.28E-6</v>
      </c>
      <c r="D552" s="1">
        <v>2.0600000000000002E-6</v>
      </c>
      <c r="E552" s="1">
        <v>1.86E-6</v>
      </c>
      <c r="F552" s="1">
        <v>1.24E-6</v>
      </c>
      <c r="G552">
        <f t="shared" si="90"/>
        <v>6</v>
      </c>
      <c r="H552" t="str">
        <f>RIGHT(B552,3)</f>
        <v>BTC</v>
      </c>
      <c r="I552" t="str">
        <f>LEFT(B552,3)</f>
        <v>BTQ</v>
      </c>
      <c r="J552" t="str">
        <f t="shared" si="91"/>
        <v>BTCBTQ</v>
      </c>
      <c r="K552" t="str">
        <f t="shared" si="92"/>
        <v>BTQBTC</v>
      </c>
      <c r="L552">
        <f t="shared" si="93"/>
        <v>0</v>
      </c>
      <c r="M552">
        <f t="shared" si="94"/>
        <v>1</v>
      </c>
      <c r="N552" t="b">
        <f t="shared" si="95"/>
        <v>1</v>
      </c>
    </row>
    <row r="553" spans="1:14" hidden="1" x14ac:dyDescent="0.25">
      <c r="A553" t="s">
        <v>1403</v>
      </c>
      <c r="B553" t="s">
        <v>1928</v>
      </c>
      <c r="C553" s="1">
        <v>1.07000001</v>
      </c>
      <c r="D553" s="1">
        <v>0.74719999999999998</v>
      </c>
      <c r="E553" s="1">
        <v>9.9101490000000005</v>
      </c>
      <c r="F553" s="1">
        <v>0.50000001000000005</v>
      </c>
      <c r="G553">
        <f t="shared" si="90"/>
        <v>7</v>
      </c>
      <c r="H553" t="str">
        <f>RIGHT(B553,4)</f>
        <v>DOGE</v>
      </c>
      <c r="I553" t="str">
        <f>LEFT(B553,3)</f>
        <v>BTQ</v>
      </c>
      <c r="J553" t="str">
        <f t="shared" si="91"/>
        <v>DOGEBTQ</v>
      </c>
      <c r="K553" t="str">
        <f t="shared" si="92"/>
        <v>BTQDOGE</v>
      </c>
      <c r="L553">
        <f t="shared" si="93"/>
        <v>0</v>
      </c>
      <c r="M553">
        <f t="shared" si="94"/>
        <v>1</v>
      </c>
      <c r="N553" t="b">
        <f t="shared" si="95"/>
        <v>1</v>
      </c>
    </row>
    <row r="554" spans="1:14" hidden="1" x14ac:dyDescent="0.25">
      <c r="A554" t="s">
        <v>1403</v>
      </c>
      <c r="B554" t="s">
        <v>1736</v>
      </c>
      <c r="C554" s="1">
        <v>6.1199999999999999E-6</v>
      </c>
      <c r="D554" s="1">
        <v>4.8992999999999997E-4</v>
      </c>
      <c r="E554" s="1">
        <v>1.9999000000000002E-3</v>
      </c>
      <c r="F554" s="1">
        <v>7.3900000000000004E-6</v>
      </c>
      <c r="G554">
        <f t="shared" si="90"/>
        <v>6</v>
      </c>
      <c r="H554" t="str">
        <f>RIGHT(B554,3)</f>
        <v>LTC</v>
      </c>
      <c r="I554" t="str">
        <f>LEFT(B554,3)</f>
        <v>BTQ</v>
      </c>
      <c r="J554" t="str">
        <f t="shared" si="91"/>
        <v>LTCBTQ</v>
      </c>
      <c r="K554" t="str">
        <f t="shared" si="92"/>
        <v>BTQLTC</v>
      </c>
      <c r="L554">
        <f t="shared" si="93"/>
        <v>0</v>
      </c>
      <c r="M554">
        <f t="shared" si="94"/>
        <v>1</v>
      </c>
      <c r="N554" t="b">
        <f t="shared" si="95"/>
        <v>1</v>
      </c>
    </row>
    <row r="555" spans="1:14" hidden="1" x14ac:dyDescent="0.25">
      <c r="A555" t="s">
        <v>1403</v>
      </c>
      <c r="B555" t="s">
        <v>1556</v>
      </c>
      <c r="C555" s="1">
        <v>2E-3</v>
      </c>
      <c r="D555" s="1">
        <v>0.01</v>
      </c>
      <c r="E555" s="1">
        <v>2.3E-2</v>
      </c>
      <c r="F555" s="1">
        <v>4.2000099999999997E-3</v>
      </c>
      <c r="G555">
        <f t="shared" si="90"/>
        <v>6</v>
      </c>
      <c r="H555" t="str">
        <f>RIGHT(B555,3)</f>
        <v>USD</v>
      </c>
      <c r="I555" t="str">
        <f>LEFT(B555,3)</f>
        <v>BTQ</v>
      </c>
      <c r="J555" t="str">
        <f t="shared" si="91"/>
        <v>USDBTQ</v>
      </c>
      <c r="K555" t="str">
        <f t="shared" si="92"/>
        <v>BTQUSD</v>
      </c>
      <c r="L555">
        <f t="shared" si="93"/>
        <v>0</v>
      </c>
      <c r="M555">
        <f t="shared" si="94"/>
        <v>1</v>
      </c>
      <c r="N555" t="b">
        <f t="shared" si="95"/>
        <v>1</v>
      </c>
    </row>
    <row r="556" spans="1:14" hidden="1" x14ac:dyDescent="0.25">
      <c r="A556" t="s">
        <v>5</v>
      </c>
      <c r="B556" t="s">
        <v>489</v>
      </c>
      <c r="C556" s="1">
        <v>2.0099999999999998E-6</v>
      </c>
      <c r="D556" s="1">
        <v>1.3599999999999999E-6</v>
      </c>
      <c r="E556" s="1">
        <v>2.0099999999999998E-6</v>
      </c>
      <c r="F556" s="1">
        <v>1.3599999999999999E-6</v>
      </c>
      <c r="G556">
        <f t="shared" si="90"/>
        <v>7</v>
      </c>
      <c r="H556" t="str">
        <f>RIGHT(B556,3)</f>
        <v>BTC</v>
      </c>
      <c r="I556" t="str">
        <f>LEFT(B556,4)</f>
        <v>BTTF</v>
      </c>
      <c r="J556" t="str">
        <f t="shared" si="91"/>
        <v>BTCBTTF</v>
      </c>
      <c r="K556" t="str">
        <f t="shared" si="92"/>
        <v>BTTFBTC</v>
      </c>
      <c r="L556">
        <f t="shared" si="93"/>
        <v>0</v>
      </c>
      <c r="M556">
        <f t="shared" si="94"/>
        <v>1</v>
      </c>
      <c r="N556" t="b">
        <f t="shared" si="95"/>
        <v>1</v>
      </c>
    </row>
    <row r="557" spans="1:14" hidden="1" x14ac:dyDescent="0.25">
      <c r="A557" t="s">
        <v>4</v>
      </c>
      <c r="B557" t="s">
        <v>324</v>
      </c>
      <c r="C557" s="1">
        <v>2.802E-2</v>
      </c>
      <c r="D557" s="1">
        <v>2.5520000000000001E-2</v>
      </c>
      <c r="E557" s="1">
        <v>2.8021580000000001E-2</v>
      </c>
      <c r="F557" s="1">
        <v>2.5227408E-2</v>
      </c>
      <c r="G557">
        <f t="shared" si="90"/>
        <v>6</v>
      </c>
      <c r="H557" t="str">
        <f>RIGHT(B557,3)</f>
        <v>BTC</v>
      </c>
      <c r="I557" t="str">
        <f t="shared" ref="I557:I563" si="98">LEFT(B557,3)</f>
        <v>BTU</v>
      </c>
      <c r="J557" t="str">
        <f t="shared" si="91"/>
        <v>BTCBTU</v>
      </c>
      <c r="K557" t="str">
        <f t="shared" si="92"/>
        <v>BTUBTC</v>
      </c>
      <c r="L557">
        <f t="shared" si="93"/>
        <v>0</v>
      </c>
      <c r="M557">
        <f t="shared" si="94"/>
        <v>1</v>
      </c>
      <c r="N557" t="b">
        <f t="shared" si="95"/>
        <v>1</v>
      </c>
    </row>
    <row r="558" spans="1:14" hidden="1" x14ac:dyDescent="0.25">
      <c r="A558" t="s">
        <v>1403</v>
      </c>
      <c r="B558" t="s">
        <v>1420</v>
      </c>
      <c r="C558" s="1">
        <v>1.2500000000000001E-6</v>
      </c>
      <c r="D558" s="1">
        <v>1.8899999999999999E-6</v>
      </c>
      <c r="E558" s="1">
        <v>1.7999999999999999E-6</v>
      </c>
      <c r="F558" s="1">
        <v>1.26E-6</v>
      </c>
      <c r="G558">
        <f t="shared" si="90"/>
        <v>6</v>
      </c>
      <c r="H558" t="str">
        <f>RIGHT(B558,3)</f>
        <v>BTC</v>
      </c>
      <c r="I558" t="str">
        <f t="shared" si="98"/>
        <v>BTX</v>
      </c>
      <c r="J558" t="str">
        <f t="shared" si="91"/>
        <v>BTCBTX</v>
      </c>
      <c r="K558" t="str">
        <f t="shared" si="92"/>
        <v>BTXBTC</v>
      </c>
      <c r="L558">
        <f t="shared" si="93"/>
        <v>0</v>
      </c>
      <c r="M558">
        <f t="shared" si="94"/>
        <v>1</v>
      </c>
      <c r="N558" t="b">
        <f t="shared" si="95"/>
        <v>1</v>
      </c>
    </row>
    <row r="559" spans="1:14" hidden="1" x14ac:dyDescent="0.25">
      <c r="A559" t="s">
        <v>1403</v>
      </c>
      <c r="B559" t="s">
        <v>1926</v>
      </c>
      <c r="C559" s="1">
        <v>0.30000000999999998</v>
      </c>
      <c r="D559" s="1">
        <v>5.8889990000000001</v>
      </c>
      <c r="E559" s="1">
        <v>5.7489999000000003</v>
      </c>
      <c r="F559" s="1">
        <v>0.31515449000000001</v>
      </c>
      <c r="G559">
        <f t="shared" si="90"/>
        <v>7</v>
      </c>
      <c r="H559" t="str">
        <f>RIGHT(B559,4)</f>
        <v>DOGE</v>
      </c>
      <c r="I559" t="str">
        <f t="shared" si="98"/>
        <v>BTX</v>
      </c>
      <c r="J559" t="str">
        <f t="shared" si="91"/>
        <v>DOGEBTX</v>
      </c>
      <c r="K559" t="str">
        <f t="shared" si="92"/>
        <v>BTXDOGE</v>
      </c>
      <c r="L559">
        <f t="shared" si="93"/>
        <v>0</v>
      </c>
      <c r="M559">
        <f t="shared" si="94"/>
        <v>1</v>
      </c>
      <c r="N559" t="b">
        <f t="shared" si="95"/>
        <v>1</v>
      </c>
    </row>
    <row r="560" spans="1:14" hidden="1" x14ac:dyDescent="0.25">
      <c r="A560" t="s">
        <v>1403</v>
      </c>
      <c r="B560" t="s">
        <v>1734</v>
      </c>
      <c r="C560" s="1">
        <v>1.6889999999999999E-5</v>
      </c>
      <c r="D560" s="1">
        <v>4.9928799999999999E-3</v>
      </c>
      <c r="E560" s="1">
        <v>1.9E-3</v>
      </c>
      <c r="F560" s="1">
        <v>1.785E-5</v>
      </c>
      <c r="G560">
        <f t="shared" si="90"/>
        <v>6</v>
      </c>
      <c r="H560" t="str">
        <f t="shared" ref="H560:H565" si="99">RIGHT(B560,3)</f>
        <v>LTC</v>
      </c>
      <c r="I560" t="str">
        <f t="shared" si="98"/>
        <v>BTX</v>
      </c>
      <c r="J560" t="str">
        <f t="shared" si="91"/>
        <v>LTCBTX</v>
      </c>
      <c r="K560" t="str">
        <f t="shared" si="92"/>
        <v>BTXLTC</v>
      </c>
      <c r="L560">
        <f t="shared" si="93"/>
        <v>0</v>
      </c>
      <c r="M560">
        <f t="shared" si="94"/>
        <v>1</v>
      </c>
      <c r="N560" t="b">
        <f t="shared" si="95"/>
        <v>1</v>
      </c>
    </row>
    <row r="561" spans="1:14" hidden="1" x14ac:dyDescent="0.25">
      <c r="A561" t="s">
        <v>1403</v>
      </c>
      <c r="B561" t="s">
        <v>1554</v>
      </c>
      <c r="C561" s="1">
        <v>1.004E-5</v>
      </c>
      <c r="D561" s="1">
        <v>5.0959000000000004E-3</v>
      </c>
      <c r="E561" s="1">
        <v>3.7988800000000003E-2</v>
      </c>
      <c r="F561" s="1">
        <v>5.0958999999999998E-4</v>
      </c>
      <c r="G561">
        <f t="shared" si="90"/>
        <v>6</v>
      </c>
      <c r="H561" t="str">
        <f t="shared" si="99"/>
        <v>USD</v>
      </c>
      <c r="I561" t="str">
        <f t="shared" si="98"/>
        <v>BTX</v>
      </c>
      <c r="J561" t="str">
        <f t="shared" si="91"/>
        <v>USDBTX</v>
      </c>
      <c r="K561" t="str">
        <f t="shared" si="92"/>
        <v>BTXUSD</v>
      </c>
      <c r="L561">
        <f t="shared" si="93"/>
        <v>0</v>
      </c>
      <c r="M561">
        <f t="shared" si="94"/>
        <v>1</v>
      </c>
      <c r="N561" t="b">
        <f t="shared" si="95"/>
        <v>1</v>
      </c>
    </row>
    <row r="562" spans="1:14" hidden="1" x14ac:dyDescent="0.25">
      <c r="A562" t="s">
        <v>5</v>
      </c>
      <c r="B562" t="s">
        <v>808</v>
      </c>
      <c r="C562" s="1">
        <v>3.2000000000000001E-7</v>
      </c>
      <c r="D562" s="1">
        <v>2.6E-7</v>
      </c>
      <c r="E562" s="1">
        <v>3.2000000000000001E-7</v>
      </c>
      <c r="F562" s="1">
        <v>2.6E-7</v>
      </c>
      <c r="G562">
        <f t="shared" si="90"/>
        <v>6</v>
      </c>
      <c r="H562" t="str">
        <f t="shared" si="99"/>
        <v>BTC</v>
      </c>
      <c r="I562" t="str">
        <f t="shared" si="98"/>
        <v>BTZ</v>
      </c>
      <c r="J562" t="str">
        <f t="shared" si="91"/>
        <v>BTCBTZ</v>
      </c>
      <c r="K562" t="str">
        <f t="shared" si="92"/>
        <v>BTZBTC</v>
      </c>
      <c r="L562">
        <f t="shared" si="93"/>
        <v>0</v>
      </c>
      <c r="M562">
        <f t="shared" si="94"/>
        <v>1</v>
      </c>
      <c r="N562" t="b">
        <f t="shared" si="95"/>
        <v>1</v>
      </c>
    </row>
    <row r="563" spans="1:14" hidden="1" x14ac:dyDescent="0.25">
      <c r="A563" t="s">
        <v>5</v>
      </c>
      <c r="B563" t="s">
        <v>616</v>
      </c>
      <c r="C563" s="1">
        <v>7.0970000000000007E-5</v>
      </c>
      <c r="D563" s="1">
        <v>6.3E-5</v>
      </c>
      <c r="E563" s="1">
        <v>7.0970000000000007E-5</v>
      </c>
      <c r="F563" s="1">
        <v>6.3E-5</v>
      </c>
      <c r="G563">
        <f t="shared" si="90"/>
        <v>6</v>
      </c>
      <c r="H563" t="str">
        <f t="shared" si="99"/>
        <v>BTC</v>
      </c>
      <c r="I563" t="str">
        <f t="shared" si="98"/>
        <v>BUB</v>
      </c>
      <c r="J563" t="str">
        <f t="shared" si="91"/>
        <v>BTCBUB</v>
      </c>
      <c r="K563" t="str">
        <f t="shared" si="92"/>
        <v>BUBBTC</v>
      </c>
      <c r="L563">
        <f t="shared" si="93"/>
        <v>0</v>
      </c>
      <c r="M563">
        <f t="shared" si="94"/>
        <v>1</v>
      </c>
      <c r="N563" t="b">
        <f t="shared" si="95"/>
        <v>1</v>
      </c>
    </row>
    <row r="564" spans="1:14" hidden="1" x14ac:dyDescent="0.25">
      <c r="A564" t="s">
        <v>5</v>
      </c>
      <c r="B564" t="s">
        <v>792</v>
      </c>
      <c r="C564" s="1">
        <v>3.8978E-4</v>
      </c>
      <c r="D564" s="1">
        <v>3.501E-4</v>
      </c>
      <c r="E564" s="1">
        <v>3.8978E-4</v>
      </c>
      <c r="F564" s="1">
        <v>3.501E-4</v>
      </c>
      <c r="G564">
        <f t="shared" si="90"/>
        <v>8</v>
      </c>
      <c r="H564" t="str">
        <f t="shared" si="99"/>
        <v>BTC</v>
      </c>
      <c r="I564" t="str">
        <f>LEFT(B564,5)</f>
        <v>BUCKS</v>
      </c>
      <c r="J564" t="str">
        <f t="shared" si="91"/>
        <v>BTCBUCKS</v>
      </c>
      <c r="K564" t="str">
        <f t="shared" si="92"/>
        <v>BUCKSBTC</v>
      </c>
      <c r="L564">
        <f t="shared" si="93"/>
        <v>0</v>
      </c>
      <c r="M564">
        <f t="shared" si="94"/>
        <v>1</v>
      </c>
      <c r="N564" t="b">
        <f t="shared" si="95"/>
        <v>1</v>
      </c>
    </row>
    <row r="565" spans="1:14" hidden="1" x14ac:dyDescent="0.25">
      <c r="A565" t="s">
        <v>1403</v>
      </c>
      <c r="B565" t="s">
        <v>1423</v>
      </c>
      <c r="C565" s="1" t="s">
        <v>540</v>
      </c>
      <c r="D565" s="1" t="s">
        <v>539</v>
      </c>
      <c r="E565" s="1" t="s">
        <v>539</v>
      </c>
      <c r="F565" s="1" t="s">
        <v>435</v>
      </c>
      <c r="G565">
        <f t="shared" si="90"/>
        <v>7</v>
      </c>
      <c r="H565" t="str">
        <f t="shared" si="99"/>
        <v>BTC</v>
      </c>
      <c r="I565" t="str">
        <f>LEFT(B565,4)</f>
        <v>BURN</v>
      </c>
      <c r="J565" t="str">
        <f t="shared" si="91"/>
        <v>BTCBURN</v>
      </c>
      <c r="K565" t="str">
        <f t="shared" si="92"/>
        <v>BURNBTC</v>
      </c>
      <c r="L565">
        <f t="shared" si="93"/>
        <v>0</v>
      </c>
      <c r="M565">
        <f t="shared" si="94"/>
        <v>1</v>
      </c>
      <c r="N565" t="b">
        <f t="shared" si="95"/>
        <v>1</v>
      </c>
    </row>
    <row r="566" spans="1:14" hidden="1" x14ac:dyDescent="0.25">
      <c r="A566" t="s">
        <v>1403</v>
      </c>
      <c r="B566" t="s">
        <v>1929</v>
      </c>
      <c r="C566" s="1">
        <v>0.96879999999999999</v>
      </c>
      <c r="D566" s="1">
        <v>0.96879999999999999</v>
      </c>
      <c r="E566" s="1">
        <v>0.49987999999999999</v>
      </c>
      <c r="F566" s="1">
        <v>7.3151209999999994E-2</v>
      </c>
      <c r="G566">
        <f t="shared" si="90"/>
        <v>8</v>
      </c>
      <c r="H566" t="str">
        <f>RIGHT(B566,4)</f>
        <v>DOGE</v>
      </c>
      <c r="I566" t="str">
        <f>LEFT(B566,4)</f>
        <v>BURN</v>
      </c>
      <c r="J566" t="str">
        <f t="shared" si="91"/>
        <v>DOGEBURN</v>
      </c>
      <c r="K566" t="str">
        <f t="shared" si="92"/>
        <v>BURNDOGE</v>
      </c>
      <c r="L566">
        <f t="shared" si="93"/>
        <v>0</v>
      </c>
      <c r="M566">
        <f t="shared" si="94"/>
        <v>1</v>
      </c>
      <c r="N566" t="b">
        <f t="shared" si="95"/>
        <v>1</v>
      </c>
    </row>
    <row r="567" spans="1:14" hidden="1" x14ac:dyDescent="0.25">
      <c r="A567" t="s">
        <v>1403</v>
      </c>
      <c r="B567" t="s">
        <v>1737</v>
      </c>
      <c r="C567" s="1">
        <v>1.2951E-4</v>
      </c>
      <c r="D567" s="1">
        <v>1.2951E-4</v>
      </c>
      <c r="E567" s="1">
        <v>1.4991799999999999E-3</v>
      </c>
      <c r="F567" s="1" t="s">
        <v>380</v>
      </c>
      <c r="G567">
        <f t="shared" si="90"/>
        <v>7</v>
      </c>
      <c r="H567" t="str">
        <f>RIGHT(B567,3)</f>
        <v>LTC</v>
      </c>
      <c r="I567" t="str">
        <f>LEFT(B567,4)</f>
        <v>BURN</v>
      </c>
      <c r="J567" t="str">
        <f t="shared" si="91"/>
        <v>LTCBURN</v>
      </c>
      <c r="K567" t="str">
        <f t="shared" si="92"/>
        <v>BURNLTC</v>
      </c>
      <c r="L567">
        <f t="shared" si="93"/>
        <v>0</v>
      </c>
      <c r="M567">
        <f t="shared" si="94"/>
        <v>1</v>
      </c>
      <c r="N567" t="b">
        <f t="shared" si="95"/>
        <v>1</v>
      </c>
    </row>
    <row r="568" spans="1:14" hidden="1" x14ac:dyDescent="0.25">
      <c r="A568" t="s">
        <v>1403</v>
      </c>
      <c r="B568" t="s">
        <v>1557</v>
      </c>
      <c r="C568" s="1">
        <v>2.6899999999999998E-4</v>
      </c>
      <c r="D568" s="1">
        <v>2.6899999999999998E-4</v>
      </c>
      <c r="E568" s="1">
        <v>2.6899999999999998E-4</v>
      </c>
      <c r="F568" s="1">
        <v>1.048E-4</v>
      </c>
      <c r="G568">
        <f t="shared" si="90"/>
        <v>7</v>
      </c>
      <c r="H568" t="str">
        <f>RIGHT(B568,3)</f>
        <v>USD</v>
      </c>
      <c r="I568" t="str">
        <f>LEFT(B568,4)</f>
        <v>BURN</v>
      </c>
      <c r="J568" t="str">
        <f t="shared" si="91"/>
        <v>USDBURN</v>
      </c>
      <c r="K568" t="str">
        <f t="shared" si="92"/>
        <v>BURNUSD</v>
      </c>
      <c r="L568">
        <f t="shared" si="93"/>
        <v>0</v>
      </c>
      <c r="M568">
        <f t="shared" si="94"/>
        <v>1</v>
      </c>
      <c r="N568" t="b">
        <f t="shared" si="95"/>
        <v>1</v>
      </c>
    </row>
    <row r="569" spans="1:14" hidden="1" x14ac:dyDescent="0.25">
      <c r="A569" t="s">
        <v>1403</v>
      </c>
      <c r="B569" t="s">
        <v>1930</v>
      </c>
      <c r="C569" s="1">
        <v>0.11000015</v>
      </c>
      <c r="D569" s="1">
        <v>5.2560000000000002</v>
      </c>
      <c r="E569" s="1">
        <v>5.28</v>
      </c>
      <c r="F569" s="1">
        <v>5.2560000000000002</v>
      </c>
      <c r="G569">
        <f t="shared" si="90"/>
        <v>9</v>
      </c>
      <c r="H569" t="str">
        <f>RIGHT(B569,4)</f>
        <v>DOGE</v>
      </c>
      <c r="I569" t="str">
        <f>LEFT(B569,5)</f>
        <v>BURST</v>
      </c>
      <c r="J569" t="str">
        <f t="shared" si="91"/>
        <v>DOGEBURST</v>
      </c>
      <c r="K569" t="str">
        <f t="shared" si="92"/>
        <v>BURSTDOGE</v>
      </c>
      <c r="L569">
        <f t="shared" si="93"/>
        <v>0</v>
      </c>
      <c r="M569">
        <f t="shared" si="94"/>
        <v>1</v>
      </c>
      <c r="N569" t="b">
        <f t="shared" si="95"/>
        <v>1</v>
      </c>
    </row>
    <row r="570" spans="1:14" hidden="1" x14ac:dyDescent="0.25">
      <c r="A570" t="s">
        <v>1403</v>
      </c>
      <c r="B570" t="s">
        <v>1738</v>
      </c>
      <c r="C570" s="1">
        <v>9.5799999999999998E-6</v>
      </c>
      <c r="D570" s="1">
        <v>4.6649000000000001E-4</v>
      </c>
      <c r="E570" s="1">
        <v>1.30199999999999E-2</v>
      </c>
      <c r="F570" s="1">
        <v>5.003E-5</v>
      </c>
      <c r="G570">
        <f t="shared" si="90"/>
        <v>8</v>
      </c>
      <c r="H570" t="str">
        <f t="shared" ref="H570:H579" si="100">RIGHT(B570,3)</f>
        <v>LTC</v>
      </c>
      <c r="I570" t="str">
        <f>LEFT(B570,5)</f>
        <v>BURST</v>
      </c>
      <c r="J570" t="str">
        <f t="shared" si="91"/>
        <v>LTCBURST</v>
      </c>
      <c r="K570" t="str">
        <f t="shared" si="92"/>
        <v>BURSTLTC</v>
      </c>
      <c r="L570">
        <f t="shared" si="93"/>
        <v>0</v>
      </c>
      <c r="M570">
        <f t="shared" si="94"/>
        <v>1</v>
      </c>
      <c r="N570" t="b">
        <f t="shared" si="95"/>
        <v>1</v>
      </c>
    </row>
    <row r="571" spans="1:14" hidden="1" x14ac:dyDescent="0.25">
      <c r="A571" t="s">
        <v>1403</v>
      </c>
      <c r="B571" t="s">
        <v>1558</v>
      </c>
      <c r="C571" s="1">
        <v>1.9011000000000001E-4</v>
      </c>
      <c r="D571" s="1">
        <v>2.1999000000000001E-2</v>
      </c>
      <c r="E571" s="1">
        <v>2.1996000000000002E-2</v>
      </c>
      <c r="F571" s="1">
        <v>1.3001E-2</v>
      </c>
      <c r="G571">
        <f t="shared" si="90"/>
        <v>8</v>
      </c>
      <c r="H571" t="str">
        <f t="shared" si="100"/>
        <v>USD</v>
      </c>
      <c r="I571" t="str">
        <f>LEFT(B571,5)</f>
        <v>BURST</v>
      </c>
      <c r="J571" t="str">
        <f t="shared" si="91"/>
        <v>USDBURST</v>
      </c>
      <c r="K571" t="str">
        <f t="shared" si="92"/>
        <v>BURSTUSD</v>
      </c>
      <c r="L571">
        <f t="shared" si="93"/>
        <v>0</v>
      </c>
      <c r="M571">
        <f t="shared" si="94"/>
        <v>1</v>
      </c>
      <c r="N571" t="b">
        <f t="shared" si="95"/>
        <v>1</v>
      </c>
    </row>
    <row r="572" spans="1:14" hidden="1" x14ac:dyDescent="0.25">
      <c r="A572" t="s">
        <v>5</v>
      </c>
      <c r="B572" t="s">
        <v>986</v>
      </c>
      <c r="C572" s="1" t="s">
        <v>361</v>
      </c>
      <c r="D572" s="1" t="s">
        <v>362</v>
      </c>
      <c r="E572" s="1" t="s">
        <v>361</v>
      </c>
      <c r="F572" s="1" t="s">
        <v>362</v>
      </c>
      <c r="G572">
        <f t="shared" si="90"/>
        <v>7</v>
      </c>
      <c r="H572" t="str">
        <f t="shared" si="100"/>
        <v>BTC</v>
      </c>
      <c r="I572" t="str">
        <f>LEFT(B572,4)</f>
        <v>BUZZ</v>
      </c>
      <c r="J572" t="str">
        <f t="shared" si="91"/>
        <v>BTCBUZZ</v>
      </c>
      <c r="K572" t="str">
        <f t="shared" si="92"/>
        <v>BUZZBTC</v>
      </c>
      <c r="L572">
        <f t="shared" si="93"/>
        <v>0</v>
      </c>
      <c r="M572">
        <f t="shared" si="94"/>
        <v>1</v>
      </c>
      <c r="N572" t="b">
        <f t="shared" si="95"/>
        <v>1</v>
      </c>
    </row>
    <row r="573" spans="1:14" hidden="1" x14ac:dyDescent="0.25">
      <c r="A573" t="s">
        <v>5</v>
      </c>
      <c r="B573" t="s">
        <v>643</v>
      </c>
      <c r="C573" s="1">
        <v>4.6399999999999996E-6</v>
      </c>
      <c r="D573" s="1">
        <v>4.0600000000000001E-6</v>
      </c>
      <c r="E573" s="1">
        <v>4.6399999999999996E-6</v>
      </c>
      <c r="F573" s="1">
        <v>4.0600000000000001E-6</v>
      </c>
      <c r="G573">
        <f t="shared" si="90"/>
        <v>6</v>
      </c>
      <c r="H573" t="str">
        <f t="shared" si="100"/>
        <v>BTC</v>
      </c>
      <c r="I573" t="str">
        <f>LEFT(B573,3)</f>
        <v>BVC</v>
      </c>
      <c r="J573" t="str">
        <f t="shared" si="91"/>
        <v>BTCBVC</v>
      </c>
      <c r="K573" t="str">
        <f t="shared" si="92"/>
        <v>BVCBTC</v>
      </c>
      <c r="L573">
        <f t="shared" si="93"/>
        <v>0</v>
      </c>
      <c r="M573">
        <f t="shared" si="94"/>
        <v>1</v>
      </c>
      <c r="N573" t="b">
        <f t="shared" si="95"/>
        <v>1</v>
      </c>
    </row>
    <row r="574" spans="1:14" hidden="1" x14ac:dyDescent="0.25">
      <c r="A574" t="s">
        <v>5</v>
      </c>
      <c r="B574" t="s">
        <v>422</v>
      </c>
      <c r="C574" s="1">
        <v>1.27E-5</v>
      </c>
      <c r="D574" s="1">
        <v>1.238E-5</v>
      </c>
      <c r="E574" s="1">
        <v>1.27E-5</v>
      </c>
      <c r="F574" s="1">
        <v>1.238E-5</v>
      </c>
      <c r="G574">
        <f t="shared" si="90"/>
        <v>6</v>
      </c>
      <c r="H574" t="str">
        <f t="shared" si="100"/>
        <v>BTC</v>
      </c>
      <c r="I574" t="str">
        <f>LEFT(B574,3)</f>
        <v>BXT</v>
      </c>
      <c r="J574" t="str">
        <f t="shared" si="91"/>
        <v>BTCBXT</v>
      </c>
      <c r="K574" t="str">
        <f t="shared" si="92"/>
        <v>BXTBTC</v>
      </c>
      <c r="L574">
        <f t="shared" si="93"/>
        <v>0</v>
      </c>
      <c r="M574">
        <f t="shared" si="94"/>
        <v>1</v>
      </c>
      <c r="N574" t="b">
        <f t="shared" si="95"/>
        <v>1</v>
      </c>
    </row>
    <row r="575" spans="1:14" hidden="1" x14ac:dyDescent="0.25">
      <c r="A575" t="s">
        <v>5</v>
      </c>
      <c r="B575" t="s">
        <v>685</v>
      </c>
      <c r="C575" s="1">
        <v>1.04E-6</v>
      </c>
      <c r="D575" s="1">
        <v>6.4000000000000001E-7</v>
      </c>
      <c r="E575" s="1">
        <v>1.04E-6</v>
      </c>
      <c r="F575" s="1">
        <v>6.4000000000000001E-7</v>
      </c>
      <c r="G575">
        <f t="shared" si="90"/>
        <v>7</v>
      </c>
      <c r="H575" t="str">
        <f t="shared" si="100"/>
        <v>BTC</v>
      </c>
      <c r="I575" t="str">
        <f>LEFT(B575,4)</f>
        <v>C0C0</v>
      </c>
      <c r="J575" t="str">
        <f t="shared" si="91"/>
        <v>BTCC0C0</v>
      </c>
      <c r="K575" t="str">
        <f t="shared" si="92"/>
        <v>C0C0BTC</v>
      </c>
      <c r="L575">
        <f t="shared" si="93"/>
        <v>0</v>
      </c>
      <c r="M575">
        <f t="shared" si="94"/>
        <v>1</v>
      </c>
      <c r="N575" t="b">
        <f t="shared" si="95"/>
        <v>1</v>
      </c>
    </row>
    <row r="576" spans="1:14" hidden="1" x14ac:dyDescent="0.25">
      <c r="A576" t="s">
        <v>5</v>
      </c>
      <c r="B576" t="s">
        <v>400</v>
      </c>
      <c r="C576" s="1">
        <v>5.7000000000000005E-7</v>
      </c>
      <c r="D576" s="1" t="s">
        <v>401</v>
      </c>
      <c r="E576" s="1">
        <v>5.7000000000000005E-7</v>
      </c>
      <c r="F576" s="1" t="s">
        <v>401</v>
      </c>
      <c r="G576">
        <f t="shared" si="90"/>
        <v>5</v>
      </c>
      <c r="H576" t="str">
        <f t="shared" si="100"/>
        <v>BTC</v>
      </c>
      <c r="I576" t="str">
        <f>LEFT(B576,2)</f>
        <v>C2</v>
      </c>
      <c r="J576" t="str">
        <f t="shared" si="91"/>
        <v>BTCC2</v>
      </c>
      <c r="K576" t="str">
        <f t="shared" si="92"/>
        <v>C2BTC</v>
      </c>
      <c r="L576">
        <f t="shared" si="93"/>
        <v>0</v>
      </c>
      <c r="M576">
        <f t="shared" si="94"/>
        <v>1</v>
      </c>
      <c r="N576" t="b">
        <f t="shared" si="95"/>
        <v>1</v>
      </c>
    </row>
    <row r="577" spans="1:14" hidden="1" x14ac:dyDescent="0.25">
      <c r="A577" t="s">
        <v>5</v>
      </c>
      <c r="B577" t="s">
        <v>666</v>
      </c>
      <c r="C577" s="1">
        <v>4.8999999999999997E-7</v>
      </c>
      <c r="D577" s="1">
        <v>4.0999999999999999E-7</v>
      </c>
      <c r="E577" s="1">
        <v>4.8999999999999997E-7</v>
      </c>
      <c r="F577" s="1">
        <v>4.0999999999999999E-7</v>
      </c>
      <c r="G577">
        <f t="shared" ref="G577:G640" si="101">LEN(B577)</f>
        <v>6</v>
      </c>
      <c r="H577" t="str">
        <f t="shared" si="100"/>
        <v>BTC</v>
      </c>
      <c r="I577" t="str">
        <f>LEFT(B577,3)</f>
        <v>CAB</v>
      </c>
      <c r="J577" t="str">
        <f t="shared" ref="J577:J640" si="102">CONCATENATE(H577,I577)</f>
        <v>BTCCAB</v>
      </c>
      <c r="K577" t="str">
        <f t="shared" ref="K577:K640" si="103">CONCATENATE(I577,H577)</f>
        <v>CABBTC</v>
      </c>
      <c r="L577">
        <f t="shared" ref="L577:L640" si="104">COUNTIF(B:B,J577)</f>
        <v>0</v>
      </c>
      <c r="M577">
        <f t="shared" ref="M577:M640" si="105">COUNTIF(B:B,K577)</f>
        <v>1</v>
      </c>
      <c r="N577" t="b">
        <f t="shared" ref="N577:N640" si="106">L577=0</f>
        <v>1</v>
      </c>
    </row>
    <row r="578" spans="1:14" hidden="1" x14ac:dyDescent="0.25">
      <c r="A578" t="s">
        <v>5</v>
      </c>
      <c r="B578" t="s">
        <v>1095</v>
      </c>
      <c r="C578" s="1" t="s">
        <v>361</v>
      </c>
      <c r="D578" s="1" t="s">
        <v>362</v>
      </c>
      <c r="E578" s="1" t="s">
        <v>361</v>
      </c>
      <c r="F578" s="1" t="s">
        <v>362</v>
      </c>
      <c r="G578">
        <f t="shared" si="101"/>
        <v>7</v>
      </c>
      <c r="H578" t="str">
        <f t="shared" si="100"/>
        <v>BTC</v>
      </c>
      <c r="I578" t="str">
        <f>LEFT(B578,4)</f>
        <v>CAID</v>
      </c>
      <c r="J578" t="str">
        <f t="shared" si="102"/>
        <v>BTCCAID</v>
      </c>
      <c r="K578" t="str">
        <f t="shared" si="103"/>
        <v>CAIDBTC</v>
      </c>
      <c r="L578">
        <f t="shared" si="104"/>
        <v>0</v>
      </c>
      <c r="M578">
        <f t="shared" si="105"/>
        <v>1</v>
      </c>
      <c r="N578" t="b">
        <f t="shared" si="106"/>
        <v>1</v>
      </c>
    </row>
    <row r="579" spans="1:14" hidden="1" x14ac:dyDescent="0.25">
      <c r="A579" t="s">
        <v>1403</v>
      </c>
      <c r="B579" t="s">
        <v>1424</v>
      </c>
      <c r="C579" s="1">
        <v>9.9000000000000005E-7</v>
      </c>
      <c r="D579" s="1">
        <v>1.8500000000000001E-6</v>
      </c>
      <c r="E579" s="1">
        <v>1.86E-6</v>
      </c>
      <c r="F579" s="1">
        <v>1.0100000000000001E-6</v>
      </c>
      <c r="G579">
        <f t="shared" si="101"/>
        <v>7</v>
      </c>
      <c r="H579" t="str">
        <f t="shared" si="100"/>
        <v>BTC</v>
      </c>
      <c r="I579" t="str">
        <f>LEFT(B579,4)</f>
        <v>CALC</v>
      </c>
      <c r="J579" t="str">
        <f t="shared" si="102"/>
        <v>BTCCALC</v>
      </c>
      <c r="K579" t="str">
        <f t="shared" si="103"/>
        <v>CALCBTC</v>
      </c>
      <c r="L579">
        <f t="shared" si="104"/>
        <v>0</v>
      </c>
      <c r="M579">
        <f t="shared" si="105"/>
        <v>1</v>
      </c>
      <c r="N579" t="b">
        <f t="shared" si="106"/>
        <v>1</v>
      </c>
    </row>
    <row r="580" spans="1:14" hidden="1" x14ac:dyDescent="0.25">
      <c r="A580" t="s">
        <v>1403</v>
      </c>
      <c r="B580" t="s">
        <v>1931</v>
      </c>
      <c r="C580" s="1">
        <v>0.21212121</v>
      </c>
      <c r="D580" s="1">
        <v>0.21212121</v>
      </c>
      <c r="E580" s="1">
        <v>40.999999899999999</v>
      </c>
      <c r="F580" s="1">
        <v>0.21400006999999999</v>
      </c>
      <c r="G580">
        <f t="shared" si="101"/>
        <v>8</v>
      </c>
      <c r="H580" t="str">
        <f>RIGHT(B580,4)</f>
        <v>DOGE</v>
      </c>
      <c r="I580" t="str">
        <f>LEFT(B580,4)</f>
        <v>CALC</v>
      </c>
      <c r="J580" t="str">
        <f t="shared" si="102"/>
        <v>DOGECALC</v>
      </c>
      <c r="K580" t="str">
        <f t="shared" si="103"/>
        <v>CALCDOGE</v>
      </c>
      <c r="L580">
        <f t="shared" si="104"/>
        <v>0</v>
      </c>
      <c r="M580">
        <f t="shared" si="105"/>
        <v>1</v>
      </c>
      <c r="N580" t="b">
        <f t="shared" si="106"/>
        <v>1</v>
      </c>
    </row>
    <row r="581" spans="1:14" hidden="1" x14ac:dyDescent="0.25">
      <c r="A581" t="s">
        <v>1403</v>
      </c>
      <c r="B581" t="s">
        <v>1739</v>
      </c>
      <c r="C581" s="1">
        <v>7.2200000000000003E-6</v>
      </c>
      <c r="D581" s="1">
        <v>7.2200000000000003E-6</v>
      </c>
      <c r="E581" s="1">
        <v>5.8399899999999998E-3</v>
      </c>
      <c r="F581" s="1">
        <v>3.9990000000000002E-5</v>
      </c>
      <c r="G581">
        <f t="shared" si="101"/>
        <v>7</v>
      </c>
      <c r="H581" t="str">
        <f t="shared" ref="H581:H591" si="107">RIGHT(B581,3)</f>
        <v>LTC</v>
      </c>
      <c r="I581" t="str">
        <f>LEFT(B581,4)</f>
        <v>CALC</v>
      </c>
      <c r="J581" t="str">
        <f t="shared" si="102"/>
        <v>LTCCALC</v>
      </c>
      <c r="K581" t="str">
        <f t="shared" si="103"/>
        <v>CALCLTC</v>
      </c>
      <c r="L581">
        <f t="shared" si="104"/>
        <v>0</v>
      </c>
      <c r="M581">
        <f t="shared" si="105"/>
        <v>1</v>
      </c>
      <c r="N581" t="b">
        <f t="shared" si="106"/>
        <v>1</v>
      </c>
    </row>
    <row r="582" spans="1:14" hidden="1" x14ac:dyDescent="0.25">
      <c r="A582" t="s">
        <v>1403</v>
      </c>
      <c r="B582" t="s">
        <v>1559</v>
      </c>
      <c r="C582" s="1">
        <v>2.5521000000000002E-4</v>
      </c>
      <c r="D582" s="1">
        <v>2.5521000000000002E-4</v>
      </c>
      <c r="E582" s="1">
        <v>9.4429849999999996E-2</v>
      </c>
      <c r="F582" s="1">
        <v>8.3582999999999997E-4</v>
      </c>
      <c r="G582">
        <f t="shared" si="101"/>
        <v>7</v>
      </c>
      <c r="H582" t="str">
        <f t="shared" si="107"/>
        <v>USD</v>
      </c>
      <c r="I582" t="str">
        <f>LEFT(B582,4)</f>
        <v>CALC</v>
      </c>
      <c r="J582" t="str">
        <f t="shared" si="102"/>
        <v>USDCALC</v>
      </c>
      <c r="K582" t="str">
        <f t="shared" si="103"/>
        <v>CALCUSD</v>
      </c>
      <c r="L582">
        <f t="shared" si="104"/>
        <v>0</v>
      </c>
      <c r="M582">
        <f t="shared" si="105"/>
        <v>1</v>
      </c>
      <c r="N582" t="b">
        <f t="shared" si="106"/>
        <v>1</v>
      </c>
    </row>
    <row r="583" spans="1:14" hidden="1" x14ac:dyDescent="0.25">
      <c r="A583" t="s">
        <v>5</v>
      </c>
      <c r="B583" t="s">
        <v>500</v>
      </c>
      <c r="C583" s="1" t="s">
        <v>364</v>
      </c>
      <c r="D583" s="1">
        <v>1.0001363400000001</v>
      </c>
      <c r="E583" s="1">
        <v>3.1980000000000002E-5</v>
      </c>
      <c r="F583" s="1">
        <v>0.21378198743411</v>
      </c>
      <c r="G583">
        <f t="shared" si="101"/>
        <v>6</v>
      </c>
      <c r="H583" t="str">
        <f t="shared" si="107"/>
        <v>BTC</v>
      </c>
      <c r="I583" t="str">
        <f>LEFT(B583,3)</f>
        <v>CAM</v>
      </c>
      <c r="J583" t="str">
        <f t="shared" si="102"/>
        <v>BTCCAM</v>
      </c>
      <c r="K583" t="str">
        <f t="shared" si="103"/>
        <v>CAMBTC</v>
      </c>
      <c r="L583">
        <f t="shared" si="104"/>
        <v>0</v>
      </c>
      <c r="M583">
        <f t="shared" si="105"/>
        <v>1</v>
      </c>
      <c r="N583" t="b">
        <f t="shared" si="106"/>
        <v>1</v>
      </c>
    </row>
    <row r="584" spans="1:14" hidden="1" x14ac:dyDescent="0.25">
      <c r="A584" t="s">
        <v>5</v>
      </c>
      <c r="B584" t="s">
        <v>1029</v>
      </c>
      <c r="C584" s="1">
        <v>3.0599999999999999E-6</v>
      </c>
      <c r="D584" s="1">
        <v>2.92E-6</v>
      </c>
      <c r="E584" s="1">
        <v>3.0599999999999999E-6</v>
      </c>
      <c r="F584" s="1">
        <v>2.92E-6</v>
      </c>
      <c r="G584">
        <f t="shared" si="101"/>
        <v>7</v>
      </c>
      <c r="H584" t="str">
        <f t="shared" si="107"/>
        <v>BTC</v>
      </c>
      <c r="I584" t="str">
        <f>LEFT(B584,4)</f>
        <v>CAPT</v>
      </c>
      <c r="J584" t="str">
        <f t="shared" si="102"/>
        <v>BTCCAPT</v>
      </c>
      <c r="K584" t="str">
        <f t="shared" si="103"/>
        <v>CAPTBTC</v>
      </c>
      <c r="L584">
        <f t="shared" si="104"/>
        <v>0</v>
      </c>
      <c r="M584">
        <f t="shared" si="105"/>
        <v>1</v>
      </c>
      <c r="N584" t="b">
        <f t="shared" si="106"/>
        <v>1</v>
      </c>
    </row>
    <row r="585" spans="1:14" hidden="1" x14ac:dyDescent="0.25">
      <c r="A585" t="s">
        <v>5</v>
      </c>
      <c r="B585" t="s">
        <v>562</v>
      </c>
      <c r="C585" s="1" t="s">
        <v>384</v>
      </c>
      <c r="D585" s="1" t="s">
        <v>361</v>
      </c>
      <c r="E585" s="1" t="s">
        <v>384</v>
      </c>
      <c r="F585" s="1" t="s">
        <v>361</v>
      </c>
      <c r="G585">
        <f t="shared" si="101"/>
        <v>9</v>
      </c>
      <c r="H585" t="str">
        <f t="shared" si="107"/>
        <v>BTC</v>
      </c>
      <c r="I585" t="str">
        <f>LEFT(B585,6)</f>
        <v>CARBON</v>
      </c>
      <c r="J585" t="str">
        <f t="shared" si="102"/>
        <v>BTCCARBON</v>
      </c>
      <c r="K585" t="str">
        <f t="shared" si="103"/>
        <v>CARBONBTC</v>
      </c>
      <c r="L585">
        <f t="shared" si="104"/>
        <v>0</v>
      </c>
      <c r="M585">
        <f t="shared" si="105"/>
        <v>1</v>
      </c>
      <c r="N585" t="b">
        <f t="shared" si="106"/>
        <v>1</v>
      </c>
    </row>
    <row r="586" spans="1:14" hidden="1" x14ac:dyDescent="0.25">
      <c r="A586" t="s">
        <v>5</v>
      </c>
      <c r="B586" t="s">
        <v>733</v>
      </c>
      <c r="C586" s="1">
        <v>6.9983299999999997E-3</v>
      </c>
      <c r="D586" s="1">
        <v>3.5670400000000001E-3</v>
      </c>
      <c r="E586" s="1">
        <v>6.9996080915476003E-3</v>
      </c>
      <c r="F586" s="1">
        <v>3.5670348547404002E-3</v>
      </c>
      <c r="G586">
        <f t="shared" si="101"/>
        <v>5</v>
      </c>
      <c r="H586" t="str">
        <f t="shared" si="107"/>
        <v>BTC</v>
      </c>
      <c r="I586" t="str">
        <f>LEFT(B586,2)</f>
        <v>CB</v>
      </c>
      <c r="J586" t="str">
        <f t="shared" si="102"/>
        <v>BTCCB</v>
      </c>
      <c r="K586" t="str">
        <f t="shared" si="103"/>
        <v>CBBTC</v>
      </c>
      <c r="L586">
        <f t="shared" si="104"/>
        <v>0</v>
      </c>
      <c r="M586">
        <f t="shared" si="105"/>
        <v>1</v>
      </c>
      <c r="N586" t="b">
        <f t="shared" si="106"/>
        <v>1</v>
      </c>
    </row>
    <row r="587" spans="1:14" hidden="1" x14ac:dyDescent="0.25">
      <c r="A587" t="s">
        <v>5</v>
      </c>
      <c r="B587" t="s">
        <v>825</v>
      </c>
      <c r="C587" s="1">
        <v>3.2000000000000001E-7</v>
      </c>
      <c r="D587" s="1">
        <v>2.1E-7</v>
      </c>
      <c r="E587" s="1">
        <v>3.2000000000000001E-7</v>
      </c>
      <c r="F587" s="1">
        <v>2.1E-7</v>
      </c>
      <c r="G587">
        <f t="shared" si="101"/>
        <v>6</v>
      </c>
      <c r="H587" t="str">
        <f t="shared" si="107"/>
        <v>BTC</v>
      </c>
      <c r="I587" t="str">
        <f>LEFT(B587,3)</f>
        <v>CBD</v>
      </c>
      <c r="J587" t="str">
        <f t="shared" si="102"/>
        <v>BTCCBD</v>
      </c>
      <c r="K587" t="str">
        <f t="shared" si="103"/>
        <v>CBDBTC</v>
      </c>
      <c r="L587">
        <f t="shared" si="104"/>
        <v>0</v>
      </c>
      <c r="M587">
        <f t="shared" si="105"/>
        <v>1</v>
      </c>
      <c r="N587" t="b">
        <f t="shared" si="106"/>
        <v>1</v>
      </c>
    </row>
    <row r="588" spans="1:14" hidden="1" x14ac:dyDescent="0.25">
      <c r="A588" t="s">
        <v>5</v>
      </c>
      <c r="B588" t="s">
        <v>515</v>
      </c>
      <c r="C588" s="1">
        <v>1.8989000000000001E-4</v>
      </c>
      <c r="D588" s="1">
        <v>1.1011E-4</v>
      </c>
      <c r="E588" s="1">
        <v>1.8989000000000001E-4</v>
      </c>
      <c r="F588" s="1">
        <v>1.1011E-4</v>
      </c>
      <c r="G588">
        <f t="shared" si="101"/>
        <v>6</v>
      </c>
      <c r="H588" t="str">
        <f t="shared" si="107"/>
        <v>BTC</v>
      </c>
      <c r="I588" t="str">
        <f>LEFT(B588,3)</f>
        <v>CBX</v>
      </c>
      <c r="J588" t="str">
        <f t="shared" si="102"/>
        <v>BTCCBX</v>
      </c>
      <c r="K588" t="str">
        <f t="shared" si="103"/>
        <v>CBXBTC</v>
      </c>
      <c r="L588">
        <f t="shared" si="104"/>
        <v>0</v>
      </c>
      <c r="M588">
        <f t="shared" si="105"/>
        <v>1</v>
      </c>
      <c r="N588" t="b">
        <f t="shared" si="106"/>
        <v>1</v>
      </c>
    </row>
    <row r="589" spans="1:14" hidden="1" x14ac:dyDescent="0.25">
      <c r="A589" t="s">
        <v>5</v>
      </c>
      <c r="B589" t="s">
        <v>988</v>
      </c>
      <c r="C589" s="1" t="s">
        <v>362</v>
      </c>
      <c r="D589" s="1" t="s">
        <v>364</v>
      </c>
      <c r="E589" s="1" t="s">
        <v>362</v>
      </c>
      <c r="F589" s="1">
        <v>6.6900000000000003E-6</v>
      </c>
      <c r="G589">
        <f t="shared" si="101"/>
        <v>6</v>
      </c>
      <c r="H589" t="str">
        <f t="shared" si="107"/>
        <v>BTC</v>
      </c>
      <c r="I589" t="str">
        <f>LEFT(B589,3)</f>
        <v>CCB</v>
      </c>
      <c r="J589" t="str">
        <f t="shared" si="102"/>
        <v>BTCCCB</v>
      </c>
      <c r="K589" t="str">
        <f t="shared" si="103"/>
        <v>CCBBTC</v>
      </c>
      <c r="L589">
        <f t="shared" si="104"/>
        <v>0</v>
      </c>
      <c r="M589">
        <f t="shared" si="105"/>
        <v>1</v>
      </c>
      <c r="N589" t="b">
        <f t="shared" si="106"/>
        <v>1</v>
      </c>
    </row>
    <row r="590" spans="1:14" hidden="1" x14ac:dyDescent="0.25">
      <c r="A590" t="s">
        <v>5</v>
      </c>
      <c r="B590" t="s">
        <v>883</v>
      </c>
      <c r="C590" s="1" t="s">
        <v>361</v>
      </c>
      <c r="D590" s="1" t="s">
        <v>362</v>
      </c>
      <c r="E590" s="1" t="s">
        <v>361</v>
      </c>
      <c r="F590" s="1" t="s">
        <v>362</v>
      </c>
      <c r="G590">
        <f t="shared" si="101"/>
        <v>5</v>
      </c>
      <c r="H590" t="str">
        <f t="shared" si="107"/>
        <v>BTC</v>
      </c>
      <c r="I590" t="str">
        <f>LEFT(B590,2)</f>
        <v>CC</v>
      </c>
      <c r="J590" t="str">
        <f t="shared" si="102"/>
        <v>BTCCC</v>
      </c>
      <c r="K590" t="str">
        <f t="shared" si="103"/>
        <v>CCBTC</v>
      </c>
      <c r="L590">
        <f t="shared" si="104"/>
        <v>0</v>
      </c>
      <c r="M590">
        <f t="shared" si="105"/>
        <v>1</v>
      </c>
      <c r="N590" t="b">
        <f t="shared" si="106"/>
        <v>1</v>
      </c>
    </row>
    <row r="591" spans="1:14" hidden="1" x14ac:dyDescent="0.25">
      <c r="A591" t="s">
        <v>5</v>
      </c>
      <c r="B591" t="s">
        <v>580</v>
      </c>
      <c r="C591" s="1" t="s">
        <v>362</v>
      </c>
      <c r="D591" s="1" t="s">
        <v>364</v>
      </c>
      <c r="E591" s="1" t="s">
        <v>362</v>
      </c>
      <c r="F591" s="1">
        <v>8.2999999999999999E-7</v>
      </c>
      <c r="G591">
        <f t="shared" si="101"/>
        <v>6</v>
      </c>
      <c r="H591" t="str">
        <f t="shared" si="107"/>
        <v>BTC</v>
      </c>
      <c r="I591" t="str">
        <f>LEFT(B591,3)</f>
        <v>CCC</v>
      </c>
      <c r="J591" t="str">
        <f t="shared" si="102"/>
        <v>BTCCCC</v>
      </c>
      <c r="K591" t="str">
        <f t="shared" si="103"/>
        <v>CCCBTC</v>
      </c>
      <c r="L591">
        <f t="shared" si="104"/>
        <v>0</v>
      </c>
      <c r="M591">
        <f t="shared" si="105"/>
        <v>1</v>
      </c>
      <c r="N591" t="b">
        <f t="shared" si="106"/>
        <v>1</v>
      </c>
    </row>
    <row r="592" spans="1:14" hidden="1" x14ac:dyDescent="0.25">
      <c r="A592" t="s">
        <v>1403</v>
      </c>
      <c r="B592" t="s">
        <v>1932</v>
      </c>
      <c r="C592" s="1">
        <v>150.00000001000001</v>
      </c>
      <c r="D592" s="1">
        <v>150.00000001000001</v>
      </c>
      <c r="E592" s="1">
        <v>1494.99999998</v>
      </c>
      <c r="F592" s="1">
        <v>1.49500053</v>
      </c>
      <c r="G592">
        <f t="shared" si="101"/>
        <v>8</v>
      </c>
      <c r="H592" t="str">
        <f>RIGHT(B592,4)</f>
        <v>DOGE</v>
      </c>
      <c r="I592" t="str">
        <f>LEFT(B592,4)</f>
        <v>CCRB</v>
      </c>
      <c r="J592" t="str">
        <f t="shared" si="102"/>
        <v>DOGECCRB</v>
      </c>
      <c r="K592" t="str">
        <f t="shared" si="103"/>
        <v>CCRBDOGE</v>
      </c>
      <c r="L592">
        <f t="shared" si="104"/>
        <v>0</v>
      </c>
      <c r="M592">
        <f t="shared" si="105"/>
        <v>1</v>
      </c>
      <c r="N592" t="b">
        <f t="shared" si="106"/>
        <v>1</v>
      </c>
    </row>
    <row r="593" spans="1:14" hidden="1" x14ac:dyDescent="0.25">
      <c r="A593" t="s">
        <v>1239</v>
      </c>
      <c r="B593" t="s">
        <v>1306</v>
      </c>
      <c r="C593" s="1">
        <v>1.9959999999999999E-3</v>
      </c>
      <c r="D593" s="1">
        <v>4.5670999999999998E-4</v>
      </c>
      <c r="E593" s="1">
        <v>1.9959999999999999E-3</v>
      </c>
      <c r="F593" s="1">
        <v>4.5670999999999998E-4</v>
      </c>
      <c r="G593">
        <f t="shared" si="101"/>
        <v>7</v>
      </c>
      <c r="H593" t="str">
        <f t="shared" ref="H593:H598" si="108">RIGHT(B593,3)</f>
        <v>ETH</v>
      </c>
      <c r="I593" t="str">
        <f>LEFT(B593,4)</f>
        <v>CCRB</v>
      </c>
      <c r="J593" t="str">
        <f t="shared" si="102"/>
        <v>ETHCCRB</v>
      </c>
      <c r="K593" t="str">
        <f t="shared" si="103"/>
        <v>CCRBETH</v>
      </c>
      <c r="L593">
        <f t="shared" si="104"/>
        <v>0</v>
      </c>
      <c r="M593">
        <f t="shared" si="105"/>
        <v>1</v>
      </c>
      <c r="N593" t="b">
        <f t="shared" si="106"/>
        <v>1</v>
      </c>
    </row>
    <row r="594" spans="1:14" hidden="1" x14ac:dyDescent="0.25">
      <c r="A594" t="s">
        <v>1403</v>
      </c>
      <c r="B594" t="s">
        <v>1740</v>
      </c>
      <c r="C594" s="1">
        <v>1.044001E-2</v>
      </c>
      <c r="D594" s="1">
        <v>1.044001E-2</v>
      </c>
      <c r="E594" s="1">
        <v>3.0000550000000001E-2</v>
      </c>
      <c r="F594" s="1">
        <v>9.4000200000000003E-3</v>
      </c>
      <c r="G594">
        <f t="shared" si="101"/>
        <v>7</v>
      </c>
      <c r="H594" t="str">
        <f t="shared" si="108"/>
        <v>LTC</v>
      </c>
      <c r="I594" t="str">
        <f>LEFT(B594,4)</f>
        <v>CCRB</v>
      </c>
      <c r="J594" t="str">
        <f t="shared" si="102"/>
        <v>LTCCCRB</v>
      </c>
      <c r="K594" t="str">
        <f t="shared" si="103"/>
        <v>CCRBLTC</v>
      </c>
      <c r="L594">
        <f t="shared" si="104"/>
        <v>0</v>
      </c>
      <c r="M594">
        <f t="shared" si="105"/>
        <v>1</v>
      </c>
      <c r="N594" t="b">
        <f t="shared" si="106"/>
        <v>1</v>
      </c>
    </row>
    <row r="595" spans="1:14" hidden="1" x14ac:dyDescent="0.25">
      <c r="A595" t="s">
        <v>1403</v>
      </c>
      <c r="B595" t="s">
        <v>1560</v>
      </c>
      <c r="C595" s="1">
        <v>0.499</v>
      </c>
      <c r="D595" s="1">
        <v>0.499</v>
      </c>
      <c r="E595" s="1">
        <v>0.499</v>
      </c>
      <c r="F595" s="1">
        <v>0.20100002</v>
      </c>
      <c r="G595">
        <f t="shared" si="101"/>
        <v>7</v>
      </c>
      <c r="H595" t="str">
        <f t="shared" si="108"/>
        <v>USD</v>
      </c>
      <c r="I595" t="str">
        <f>LEFT(B595,4)</f>
        <v>CCRB</v>
      </c>
      <c r="J595" t="str">
        <f t="shared" si="102"/>
        <v>USDCCRB</v>
      </c>
      <c r="K595" t="str">
        <f t="shared" si="103"/>
        <v>CCRBUSD</v>
      </c>
      <c r="L595">
        <f t="shared" si="104"/>
        <v>0</v>
      </c>
      <c r="M595">
        <f t="shared" si="105"/>
        <v>1</v>
      </c>
      <c r="N595" t="b">
        <f t="shared" si="106"/>
        <v>1</v>
      </c>
    </row>
    <row r="596" spans="1:14" hidden="1" x14ac:dyDescent="0.25">
      <c r="A596" t="s">
        <v>5</v>
      </c>
      <c r="B596" t="s">
        <v>462</v>
      </c>
      <c r="C596" s="1">
        <v>1.81E-6</v>
      </c>
      <c r="D596" s="1">
        <v>1.31E-6</v>
      </c>
      <c r="E596" s="1">
        <v>1.81E-6</v>
      </c>
      <c r="F596" s="1">
        <v>1.31E-6</v>
      </c>
      <c r="G596">
        <f t="shared" si="101"/>
        <v>6</v>
      </c>
      <c r="H596" t="str">
        <f t="shared" si="108"/>
        <v>BTC</v>
      </c>
      <c r="I596" t="str">
        <f>LEFT(B596,3)</f>
        <v>CCX</v>
      </c>
      <c r="J596" t="str">
        <f t="shared" si="102"/>
        <v>BTCCCX</v>
      </c>
      <c r="K596" t="str">
        <f t="shared" si="103"/>
        <v>CCXBTC</v>
      </c>
      <c r="L596">
        <f t="shared" si="104"/>
        <v>0</v>
      </c>
      <c r="M596">
        <f t="shared" si="105"/>
        <v>1</v>
      </c>
      <c r="N596" t="b">
        <f t="shared" si="106"/>
        <v>1</v>
      </c>
    </row>
    <row r="597" spans="1:14" hidden="1" x14ac:dyDescent="0.25">
      <c r="A597" t="s">
        <v>5</v>
      </c>
      <c r="B597" t="s">
        <v>586</v>
      </c>
      <c r="C597" s="1" t="s">
        <v>540</v>
      </c>
      <c r="D597" s="1" t="s">
        <v>435</v>
      </c>
      <c r="E597" s="1" t="s">
        <v>540</v>
      </c>
      <c r="F597" s="1" t="s">
        <v>435</v>
      </c>
      <c r="G597">
        <f t="shared" si="101"/>
        <v>5</v>
      </c>
      <c r="H597" t="str">
        <f t="shared" si="108"/>
        <v>BTC</v>
      </c>
      <c r="I597" t="str">
        <f>LEFT(B597,2)</f>
        <v>CD</v>
      </c>
      <c r="J597" t="str">
        <f t="shared" si="102"/>
        <v>BTCCD</v>
      </c>
      <c r="K597" t="str">
        <f t="shared" si="103"/>
        <v>CDBTC</v>
      </c>
      <c r="L597">
        <f t="shared" si="104"/>
        <v>0</v>
      </c>
      <c r="M597">
        <f t="shared" si="105"/>
        <v>1</v>
      </c>
      <c r="N597" t="b">
        <f t="shared" si="106"/>
        <v>1</v>
      </c>
    </row>
    <row r="598" spans="1:14" hidden="1" x14ac:dyDescent="0.25">
      <c r="A598" t="s">
        <v>1403</v>
      </c>
      <c r="B598" t="s">
        <v>1425</v>
      </c>
      <c r="C598" s="1">
        <v>1.1000000000000001E-7</v>
      </c>
      <c r="D598" s="1">
        <v>1.3E-7</v>
      </c>
      <c r="E598" s="1">
        <v>1.1999999999999999E-7</v>
      </c>
      <c r="F598" s="1">
        <v>1.1000000000000001E-7</v>
      </c>
      <c r="G598">
        <f t="shared" si="101"/>
        <v>7</v>
      </c>
      <c r="H598" t="str">
        <f t="shared" si="108"/>
        <v>BTC</v>
      </c>
      <c r="I598" t="str">
        <f>LEFT(B598,4)</f>
        <v>CESC</v>
      </c>
      <c r="J598" t="str">
        <f t="shared" si="102"/>
        <v>BTCCESC</v>
      </c>
      <c r="K598" t="str">
        <f t="shared" si="103"/>
        <v>CESCBTC</v>
      </c>
      <c r="L598">
        <f t="shared" si="104"/>
        <v>0</v>
      </c>
      <c r="M598">
        <f t="shared" si="105"/>
        <v>1</v>
      </c>
      <c r="N598" t="b">
        <f t="shared" si="106"/>
        <v>1</v>
      </c>
    </row>
    <row r="599" spans="1:14" hidden="1" x14ac:dyDescent="0.25">
      <c r="A599" t="s">
        <v>1403</v>
      </c>
      <c r="B599" t="s">
        <v>1933</v>
      </c>
      <c r="C599" s="1">
        <v>3.4999999399999999</v>
      </c>
      <c r="D599" s="1">
        <v>0.48949999999999999</v>
      </c>
      <c r="E599" s="1">
        <v>0.48949999999999999</v>
      </c>
      <c r="F599" s="1">
        <v>1.113E-5</v>
      </c>
      <c r="G599">
        <f t="shared" si="101"/>
        <v>8</v>
      </c>
      <c r="H599" t="str">
        <f>RIGHT(B599,4)</f>
        <v>DOGE</v>
      </c>
      <c r="I599" t="str">
        <f>LEFT(B599,4)</f>
        <v>CESC</v>
      </c>
      <c r="J599" t="str">
        <f t="shared" si="102"/>
        <v>DOGECESC</v>
      </c>
      <c r="K599" t="str">
        <f t="shared" si="103"/>
        <v>CESCDOGE</v>
      </c>
      <c r="L599">
        <f t="shared" si="104"/>
        <v>0</v>
      </c>
      <c r="M599">
        <f t="shared" si="105"/>
        <v>1</v>
      </c>
      <c r="N599" t="b">
        <f t="shared" si="106"/>
        <v>1</v>
      </c>
    </row>
    <row r="600" spans="1:14" hidden="1" x14ac:dyDescent="0.25">
      <c r="A600" t="s">
        <v>1403</v>
      </c>
      <c r="B600" t="s">
        <v>1741</v>
      </c>
      <c r="C600" s="1">
        <v>1.6969999999999998E-5</v>
      </c>
      <c r="D600" s="1">
        <v>2.4994999999999998E-4</v>
      </c>
      <c r="E600" s="1">
        <v>2.4992999999999999E-4</v>
      </c>
      <c r="F600" s="1">
        <v>8.5000000000000001E-7</v>
      </c>
      <c r="G600">
        <f t="shared" si="101"/>
        <v>7</v>
      </c>
      <c r="H600" t="str">
        <f t="shared" ref="H600:H613" si="109">RIGHT(B600,3)</f>
        <v>LTC</v>
      </c>
      <c r="I600" t="str">
        <f>LEFT(B600,4)</f>
        <v>CESC</v>
      </c>
      <c r="J600" t="str">
        <f t="shared" si="102"/>
        <v>LTCCESC</v>
      </c>
      <c r="K600" t="str">
        <f t="shared" si="103"/>
        <v>CESCLTC</v>
      </c>
      <c r="L600">
        <f t="shared" si="104"/>
        <v>0</v>
      </c>
      <c r="M600">
        <f t="shared" si="105"/>
        <v>1</v>
      </c>
      <c r="N600" t="b">
        <f t="shared" si="106"/>
        <v>1</v>
      </c>
    </row>
    <row r="601" spans="1:14" hidden="1" x14ac:dyDescent="0.25">
      <c r="A601" t="s">
        <v>1403</v>
      </c>
      <c r="B601" t="s">
        <v>1561</v>
      </c>
      <c r="C601" s="1">
        <v>2.9999999999999997E-4</v>
      </c>
      <c r="D601" s="1">
        <v>4.8992000000000003E-4</v>
      </c>
      <c r="E601" s="1">
        <v>8.9999999999999998E-4</v>
      </c>
      <c r="F601" s="1">
        <v>6.0999999999999999E-5</v>
      </c>
      <c r="G601">
        <f t="shared" si="101"/>
        <v>7</v>
      </c>
      <c r="H601" t="str">
        <f t="shared" si="109"/>
        <v>USD</v>
      </c>
      <c r="I601" t="str">
        <f>LEFT(B601,4)</f>
        <v>CESC</v>
      </c>
      <c r="J601" t="str">
        <f t="shared" si="102"/>
        <v>USDCESC</v>
      </c>
      <c r="K601" t="str">
        <f t="shared" si="103"/>
        <v>CESCUSD</v>
      </c>
      <c r="L601">
        <f t="shared" si="104"/>
        <v>0</v>
      </c>
      <c r="M601">
        <f t="shared" si="105"/>
        <v>1</v>
      </c>
      <c r="N601" t="b">
        <f t="shared" si="106"/>
        <v>1</v>
      </c>
    </row>
    <row r="602" spans="1:14" hidden="1" x14ac:dyDescent="0.25">
      <c r="A602" t="s">
        <v>5</v>
      </c>
      <c r="B602" t="s">
        <v>640</v>
      </c>
      <c r="C602" s="1">
        <v>1.45E-5</v>
      </c>
      <c r="D602" s="1">
        <v>1.0509999999999999E-5</v>
      </c>
      <c r="E602" s="1">
        <v>1.45E-5</v>
      </c>
      <c r="F602" s="1">
        <v>1.0509999999999999E-5</v>
      </c>
      <c r="G602">
        <f t="shared" si="101"/>
        <v>5</v>
      </c>
      <c r="H602" t="str">
        <f t="shared" si="109"/>
        <v>BTC</v>
      </c>
      <c r="I602" t="str">
        <f>LEFT(B602,2)</f>
        <v>CF</v>
      </c>
      <c r="J602" t="str">
        <f t="shared" si="102"/>
        <v>BTCCF</v>
      </c>
      <c r="K602" t="str">
        <f t="shared" si="103"/>
        <v>CFBTC</v>
      </c>
      <c r="L602">
        <f t="shared" si="104"/>
        <v>0</v>
      </c>
      <c r="M602">
        <f t="shared" si="105"/>
        <v>1</v>
      </c>
      <c r="N602" t="b">
        <f t="shared" si="106"/>
        <v>1</v>
      </c>
    </row>
    <row r="603" spans="1:14" hidden="1" x14ac:dyDescent="0.25">
      <c r="A603" t="s">
        <v>5</v>
      </c>
      <c r="B603" t="s">
        <v>529</v>
      </c>
      <c r="C603" s="1">
        <v>2.2999999999999999E-7</v>
      </c>
      <c r="D603" s="1">
        <v>1.4999999999999999E-7</v>
      </c>
      <c r="E603" s="1">
        <v>2.2999999999999999E-7</v>
      </c>
      <c r="F603" s="1">
        <v>1.4999999999999999E-7</v>
      </c>
      <c r="G603">
        <f t="shared" si="101"/>
        <v>6</v>
      </c>
      <c r="H603" t="str">
        <f t="shared" si="109"/>
        <v>BTC</v>
      </c>
      <c r="I603" t="str">
        <f>LEFT(B603,3)</f>
        <v>CFC</v>
      </c>
      <c r="J603" t="str">
        <f t="shared" si="102"/>
        <v>BTCCFC</v>
      </c>
      <c r="K603" t="str">
        <f t="shared" si="103"/>
        <v>CFCBTC</v>
      </c>
      <c r="L603">
        <f t="shared" si="104"/>
        <v>0</v>
      </c>
      <c r="M603">
        <f t="shared" si="105"/>
        <v>1</v>
      </c>
      <c r="N603" t="b">
        <f t="shared" si="106"/>
        <v>1</v>
      </c>
    </row>
    <row r="604" spans="1:14" hidden="1" x14ac:dyDescent="0.25">
      <c r="A604" t="s">
        <v>4</v>
      </c>
      <c r="B604" t="s">
        <v>325</v>
      </c>
      <c r="C604" s="1">
        <v>2.1900000000000001E-4</v>
      </c>
      <c r="D604" s="1">
        <v>1.93E-4</v>
      </c>
      <c r="E604" s="1">
        <v>2.1900000000000001E-4</v>
      </c>
      <c r="F604" s="1">
        <v>1.93E-4</v>
      </c>
      <c r="G604">
        <f t="shared" si="101"/>
        <v>6</v>
      </c>
      <c r="H604" t="str">
        <f t="shared" si="109"/>
        <v>BTC</v>
      </c>
      <c r="I604" t="str">
        <f>LEFT(B604,3)</f>
        <v>CFI</v>
      </c>
      <c r="J604" t="str">
        <f t="shared" si="102"/>
        <v>BTCCFI</v>
      </c>
      <c r="K604" t="str">
        <f t="shared" si="103"/>
        <v>CFIBTC</v>
      </c>
      <c r="L604">
        <f t="shared" si="104"/>
        <v>0</v>
      </c>
      <c r="M604">
        <f t="shared" si="105"/>
        <v>1</v>
      </c>
      <c r="N604" t="b">
        <f t="shared" si="106"/>
        <v>1</v>
      </c>
    </row>
    <row r="605" spans="1:14" hidden="1" x14ac:dyDescent="0.25">
      <c r="A605" t="s">
        <v>5</v>
      </c>
      <c r="B605" t="s">
        <v>717</v>
      </c>
      <c r="C605" s="1">
        <v>1.3E-7</v>
      </c>
      <c r="D605" s="1">
        <v>1.1000000000000001E-7</v>
      </c>
      <c r="E605" s="1">
        <v>1.3E-7</v>
      </c>
      <c r="F605" s="1">
        <v>1.1000000000000001E-7</v>
      </c>
      <c r="G605">
        <f t="shared" si="101"/>
        <v>5</v>
      </c>
      <c r="H605" t="str">
        <f t="shared" si="109"/>
        <v>BTC</v>
      </c>
      <c r="I605" t="str">
        <f>LEFT(B605,2)</f>
        <v>CG</v>
      </c>
      <c r="J605" t="str">
        <f t="shared" si="102"/>
        <v>BTCCG</v>
      </c>
      <c r="K605" t="str">
        <f t="shared" si="103"/>
        <v>CGBTC</v>
      </c>
      <c r="L605">
        <f t="shared" si="104"/>
        <v>0</v>
      </c>
      <c r="M605">
        <f t="shared" si="105"/>
        <v>1</v>
      </c>
      <c r="N605" t="b">
        <f t="shared" si="106"/>
        <v>1</v>
      </c>
    </row>
    <row r="606" spans="1:14" hidden="1" x14ac:dyDescent="0.25">
      <c r="A606" t="s">
        <v>5</v>
      </c>
      <c r="B606" t="s">
        <v>657</v>
      </c>
      <c r="C606" s="1">
        <v>7.17E-6</v>
      </c>
      <c r="D606" s="1">
        <v>7.0199999999999997E-6</v>
      </c>
      <c r="E606" s="1">
        <v>7.17E-6</v>
      </c>
      <c r="F606" s="1">
        <v>7.0199999999999997E-6</v>
      </c>
      <c r="G606">
        <f t="shared" si="101"/>
        <v>7</v>
      </c>
      <c r="H606" t="str">
        <f t="shared" si="109"/>
        <v>BTC</v>
      </c>
      <c r="I606" t="str">
        <f>LEFT(B606,4)</f>
        <v>CHAT</v>
      </c>
      <c r="J606" t="str">
        <f t="shared" si="102"/>
        <v>BTCCHAT</v>
      </c>
      <c r="K606" t="str">
        <f t="shared" si="103"/>
        <v>CHATBTC</v>
      </c>
      <c r="L606">
        <f t="shared" si="104"/>
        <v>0</v>
      </c>
      <c r="M606">
        <f t="shared" si="105"/>
        <v>1</v>
      </c>
      <c r="N606" t="b">
        <f t="shared" si="106"/>
        <v>1</v>
      </c>
    </row>
    <row r="607" spans="1:14" hidden="1" x14ac:dyDescent="0.25">
      <c r="A607" t="s">
        <v>5</v>
      </c>
      <c r="B607" t="s">
        <v>910</v>
      </c>
      <c r="C607" s="1">
        <v>6.6000000000000003E-7</v>
      </c>
      <c r="D607" s="1">
        <v>6.5000000000000002E-7</v>
      </c>
      <c r="E607" s="1">
        <v>6.6000000000000003E-7</v>
      </c>
      <c r="F607" s="1">
        <v>6.5000000000000002E-7</v>
      </c>
      <c r="G607">
        <f t="shared" si="101"/>
        <v>8</v>
      </c>
      <c r="H607" t="str">
        <f t="shared" si="109"/>
        <v>BTC</v>
      </c>
      <c r="I607" t="str">
        <f>LEFT(B607,5)</f>
        <v>CHEMX</v>
      </c>
      <c r="J607" t="str">
        <f t="shared" si="102"/>
        <v>BTCCHEMX</v>
      </c>
      <c r="K607" t="str">
        <f t="shared" si="103"/>
        <v>CHEMXBTC</v>
      </c>
      <c r="L607">
        <f t="shared" si="104"/>
        <v>0</v>
      </c>
      <c r="M607">
        <f t="shared" si="105"/>
        <v>1</v>
      </c>
      <c r="N607" t="b">
        <f t="shared" si="106"/>
        <v>1</v>
      </c>
    </row>
    <row r="608" spans="1:14" hidden="1" x14ac:dyDescent="0.25">
      <c r="A608" t="s">
        <v>5</v>
      </c>
      <c r="B608" t="s">
        <v>794</v>
      </c>
      <c r="C608" s="1">
        <v>6.1999999999999999E-7</v>
      </c>
      <c r="D608" s="1">
        <v>5.7000000000000005E-7</v>
      </c>
      <c r="E608" s="1">
        <v>6.1999999999999999E-7</v>
      </c>
      <c r="F608" s="1">
        <v>5.7000000000000005E-7</v>
      </c>
      <c r="G608">
        <f t="shared" si="101"/>
        <v>8</v>
      </c>
      <c r="H608" t="str">
        <f t="shared" si="109"/>
        <v>BTC</v>
      </c>
      <c r="I608" t="str">
        <f>LEFT(B608,5)</f>
        <v>CHESS</v>
      </c>
      <c r="J608" t="str">
        <f t="shared" si="102"/>
        <v>BTCCHESS</v>
      </c>
      <c r="K608" t="str">
        <f t="shared" si="103"/>
        <v>CHESSBTC</v>
      </c>
      <c r="L608">
        <f t="shared" si="104"/>
        <v>0</v>
      </c>
      <c r="M608">
        <f t="shared" si="105"/>
        <v>1</v>
      </c>
      <c r="N608" t="b">
        <f t="shared" si="106"/>
        <v>1</v>
      </c>
    </row>
    <row r="609" spans="1:14" hidden="1" x14ac:dyDescent="0.25">
      <c r="A609" t="s">
        <v>5</v>
      </c>
      <c r="B609" t="s">
        <v>1221</v>
      </c>
      <c r="C609" s="1">
        <v>3.5999999999999999E-7</v>
      </c>
      <c r="D609" s="1">
        <v>2.8000000000000002E-7</v>
      </c>
      <c r="E609" s="1">
        <v>3.5999999999999999E-7</v>
      </c>
      <c r="F609" s="1">
        <v>2.8000000000000002E-7</v>
      </c>
      <c r="G609">
        <f t="shared" si="101"/>
        <v>7</v>
      </c>
      <c r="H609" t="str">
        <f t="shared" si="109"/>
        <v>BTC</v>
      </c>
      <c r="I609" t="str">
        <f>LEFT(B609,4)</f>
        <v>CHIP</v>
      </c>
      <c r="J609" t="str">
        <f t="shared" si="102"/>
        <v>BTCCHIP</v>
      </c>
      <c r="K609" t="str">
        <f t="shared" si="103"/>
        <v>CHIPBTC</v>
      </c>
      <c r="L609">
        <f t="shared" si="104"/>
        <v>0</v>
      </c>
      <c r="M609">
        <f t="shared" si="105"/>
        <v>1</v>
      </c>
      <c r="N609" t="b">
        <f t="shared" si="106"/>
        <v>1</v>
      </c>
    </row>
    <row r="610" spans="1:14" hidden="1" x14ac:dyDescent="0.25">
      <c r="A610" t="s">
        <v>5</v>
      </c>
      <c r="B610" t="s">
        <v>634</v>
      </c>
      <c r="C610" s="1" t="s">
        <v>362</v>
      </c>
      <c r="D610" s="1" t="s">
        <v>364</v>
      </c>
      <c r="E610" s="1" t="s">
        <v>362</v>
      </c>
      <c r="F610" s="1" t="s">
        <v>435</v>
      </c>
      <c r="G610">
        <f t="shared" si="101"/>
        <v>8</v>
      </c>
      <c r="H610" t="str">
        <f t="shared" si="109"/>
        <v>BTC</v>
      </c>
      <c r="I610" t="str">
        <f>LEFT(B610,5)</f>
        <v>CHOOF</v>
      </c>
      <c r="J610" t="str">
        <f t="shared" si="102"/>
        <v>BTCCHOOF</v>
      </c>
      <c r="K610" t="str">
        <f t="shared" si="103"/>
        <v>CHOOFBTC</v>
      </c>
      <c r="L610">
        <f t="shared" si="104"/>
        <v>0</v>
      </c>
      <c r="M610">
        <f t="shared" si="105"/>
        <v>1</v>
      </c>
      <c r="N610" t="b">
        <f t="shared" si="106"/>
        <v>1</v>
      </c>
    </row>
    <row r="611" spans="1:14" hidden="1" x14ac:dyDescent="0.25">
      <c r="A611" t="s">
        <v>5</v>
      </c>
      <c r="B611" t="s">
        <v>407</v>
      </c>
      <c r="C611" s="1" t="s">
        <v>329</v>
      </c>
      <c r="D611" s="1">
        <v>1.8300000000000001E-6</v>
      </c>
      <c r="E611" s="1" t="s">
        <v>329</v>
      </c>
      <c r="F611" s="1">
        <v>1.8300000000000001E-6</v>
      </c>
      <c r="G611">
        <f t="shared" si="101"/>
        <v>7</v>
      </c>
      <c r="H611" t="str">
        <f t="shared" si="109"/>
        <v>BTC</v>
      </c>
      <c r="I611" t="str">
        <f>LEFT(B611,4)</f>
        <v>CHRG</v>
      </c>
      <c r="J611" t="str">
        <f t="shared" si="102"/>
        <v>BTCCHRG</v>
      </c>
      <c r="K611" t="str">
        <f t="shared" si="103"/>
        <v>CHRGBTC</v>
      </c>
      <c r="L611">
        <f t="shared" si="104"/>
        <v>0</v>
      </c>
      <c r="M611">
        <f t="shared" si="105"/>
        <v>1</v>
      </c>
      <c r="N611" t="b">
        <f t="shared" si="106"/>
        <v>1</v>
      </c>
    </row>
    <row r="612" spans="1:14" hidden="1" x14ac:dyDescent="0.25">
      <c r="A612" t="s">
        <v>5</v>
      </c>
      <c r="B612" t="s">
        <v>1202</v>
      </c>
      <c r="C612" s="1">
        <v>7.0469999999999994E-5</v>
      </c>
      <c r="D612" s="1">
        <v>4.1109999999999998E-5</v>
      </c>
      <c r="E612" s="1">
        <v>7.0469999999999994E-5</v>
      </c>
      <c r="F612" s="1">
        <v>4.1109999999999998E-5</v>
      </c>
      <c r="G612">
        <f t="shared" si="101"/>
        <v>7</v>
      </c>
      <c r="H612" t="str">
        <f t="shared" si="109"/>
        <v>BTC</v>
      </c>
      <c r="I612" t="str">
        <f>LEFT(B612,4)</f>
        <v>CIRC</v>
      </c>
      <c r="J612" t="str">
        <f t="shared" si="102"/>
        <v>BTCCIRC</v>
      </c>
      <c r="K612" t="str">
        <f t="shared" si="103"/>
        <v>CIRCBTC</v>
      </c>
      <c r="L612">
        <f t="shared" si="104"/>
        <v>0</v>
      </c>
      <c r="M612">
        <f t="shared" si="105"/>
        <v>1</v>
      </c>
      <c r="N612" t="b">
        <f t="shared" si="106"/>
        <v>1</v>
      </c>
    </row>
    <row r="613" spans="1:14" hidden="1" x14ac:dyDescent="0.25">
      <c r="A613" t="s">
        <v>5</v>
      </c>
      <c r="B613" t="s">
        <v>554</v>
      </c>
      <c r="C613" s="1">
        <v>1.3E-7</v>
      </c>
      <c r="D613" s="1" t="s">
        <v>539</v>
      </c>
      <c r="E613" s="1">
        <v>1.3E-7</v>
      </c>
      <c r="F613" s="1" t="s">
        <v>539</v>
      </c>
      <c r="G613">
        <f t="shared" si="101"/>
        <v>6</v>
      </c>
      <c r="H613" t="str">
        <f t="shared" si="109"/>
        <v>BTC</v>
      </c>
      <c r="I613" t="str">
        <f>LEFT(B613,3)</f>
        <v>CJC</v>
      </c>
      <c r="J613" t="str">
        <f t="shared" si="102"/>
        <v>BTCCJC</v>
      </c>
      <c r="K613" t="str">
        <f t="shared" si="103"/>
        <v>CJCBTC</v>
      </c>
      <c r="L613">
        <f t="shared" si="104"/>
        <v>0</v>
      </c>
      <c r="M613">
        <f t="shared" si="105"/>
        <v>1</v>
      </c>
      <c r="N613" t="b">
        <f t="shared" si="106"/>
        <v>1</v>
      </c>
    </row>
    <row r="614" spans="1:14" hidden="1" x14ac:dyDescent="0.25">
      <c r="A614" t="s">
        <v>1403</v>
      </c>
      <c r="B614" t="s">
        <v>1935</v>
      </c>
      <c r="C614" s="1">
        <v>0.91000000999999997</v>
      </c>
      <c r="D614" s="1">
        <v>0.91000000999999997</v>
      </c>
      <c r="E614" s="1">
        <v>0.90909001</v>
      </c>
      <c r="F614" s="1">
        <v>4.0244479999999999E-2</v>
      </c>
      <c r="G614">
        <f t="shared" si="101"/>
        <v>6</v>
      </c>
      <c r="H614" t="str">
        <f>RIGHT(B614,4)</f>
        <v>DOGE</v>
      </c>
      <c r="I614" t="str">
        <f>LEFT(B614,3)</f>
        <v>CJD</v>
      </c>
      <c r="J614" t="str">
        <f t="shared" si="102"/>
        <v>DOGECJD</v>
      </c>
      <c r="K614" t="str">
        <f t="shared" si="103"/>
        <v>CJDDOGE</v>
      </c>
      <c r="L614">
        <f t="shared" si="104"/>
        <v>0</v>
      </c>
      <c r="M614">
        <f t="shared" si="105"/>
        <v>0</v>
      </c>
      <c r="N614" t="b">
        <f t="shared" si="106"/>
        <v>1</v>
      </c>
    </row>
    <row r="615" spans="1:14" hidden="1" x14ac:dyDescent="0.25">
      <c r="A615" t="s">
        <v>1403</v>
      </c>
      <c r="B615" t="s">
        <v>1743</v>
      </c>
      <c r="C615" s="1">
        <v>2.9799999999999999E-5</v>
      </c>
      <c r="D615" s="1">
        <v>2.9799999999999999E-5</v>
      </c>
      <c r="E615" s="1">
        <v>9.9690000000000003E-5</v>
      </c>
      <c r="F615" s="1">
        <v>1.1000000000000001E-7</v>
      </c>
      <c r="G615">
        <f t="shared" si="101"/>
        <v>5</v>
      </c>
      <c r="H615" t="str">
        <f t="shared" ref="H615:H626" si="110">RIGHT(B615,3)</f>
        <v>LTC</v>
      </c>
      <c r="I615" t="str">
        <f>LEFT(B615,2)</f>
        <v>CJ</v>
      </c>
      <c r="J615" t="str">
        <f t="shared" si="102"/>
        <v>LTCCJ</v>
      </c>
      <c r="K615" t="str">
        <f t="shared" si="103"/>
        <v>CJLTC</v>
      </c>
      <c r="L615">
        <f t="shared" si="104"/>
        <v>0</v>
      </c>
      <c r="M615">
        <f t="shared" si="105"/>
        <v>1</v>
      </c>
      <c r="N615" t="b">
        <f t="shared" si="106"/>
        <v>1</v>
      </c>
    </row>
    <row r="616" spans="1:14" hidden="1" x14ac:dyDescent="0.25">
      <c r="A616" t="s">
        <v>1403</v>
      </c>
      <c r="B616" t="s">
        <v>1563</v>
      </c>
      <c r="C616" s="1">
        <v>1E-3</v>
      </c>
      <c r="D616" s="1">
        <v>1E-3</v>
      </c>
      <c r="E616" s="1">
        <v>8.9979999999999997E-4</v>
      </c>
      <c r="F616" s="1">
        <v>2.0016000000000001E-4</v>
      </c>
      <c r="G616">
        <f t="shared" si="101"/>
        <v>5</v>
      </c>
      <c r="H616" t="str">
        <f t="shared" si="110"/>
        <v>USD</v>
      </c>
      <c r="I616" t="str">
        <f>LEFT(B616,2)</f>
        <v>CJ</v>
      </c>
      <c r="J616" t="str">
        <f t="shared" si="102"/>
        <v>USDCJ</v>
      </c>
      <c r="K616" t="str">
        <f t="shared" si="103"/>
        <v>CJUSD</v>
      </c>
      <c r="L616">
        <f t="shared" si="104"/>
        <v>0</v>
      </c>
      <c r="M616">
        <f t="shared" si="105"/>
        <v>1</v>
      </c>
      <c r="N616" t="b">
        <f t="shared" si="106"/>
        <v>1</v>
      </c>
    </row>
    <row r="617" spans="1:14" hidden="1" x14ac:dyDescent="0.25">
      <c r="A617" t="s">
        <v>5</v>
      </c>
      <c r="B617" t="s">
        <v>760</v>
      </c>
      <c r="C617" s="1">
        <v>2.9179999999999998E-5</v>
      </c>
      <c r="D617" s="1">
        <v>1.7E-5</v>
      </c>
      <c r="E617" s="1">
        <v>2.9179999999999998E-5</v>
      </c>
      <c r="F617" s="1">
        <v>1.7E-5</v>
      </c>
      <c r="G617">
        <f t="shared" si="101"/>
        <v>6</v>
      </c>
      <c r="H617" t="str">
        <f t="shared" si="110"/>
        <v>BTC</v>
      </c>
      <c r="I617" t="str">
        <f>LEFT(B617,3)</f>
        <v>CKS</v>
      </c>
      <c r="J617" t="str">
        <f t="shared" si="102"/>
        <v>BTCCKS</v>
      </c>
      <c r="K617" t="str">
        <f t="shared" si="103"/>
        <v>CKSBTC</v>
      </c>
      <c r="L617">
        <f t="shared" si="104"/>
        <v>0</v>
      </c>
      <c r="M617">
        <f t="shared" si="105"/>
        <v>1</v>
      </c>
      <c r="N617" t="b">
        <f t="shared" si="106"/>
        <v>1</v>
      </c>
    </row>
    <row r="618" spans="1:14" hidden="1" x14ac:dyDescent="0.25">
      <c r="A618" t="s">
        <v>5</v>
      </c>
      <c r="B618" t="s">
        <v>453</v>
      </c>
      <c r="C618" s="1">
        <v>5.8999999999999996E-7</v>
      </c>
      <c r="D618" s="1">
        <v>5.3000000000000001E-7</v>
      </c>
      <c r="E618" s="1">
        <v>5.8999999999999996E-7</v>
      </c>
      <c r="F618" s="1">
        <v>5.3000000000000001E-7</v>
      </c>
      <c r="G618">
        <f t="shared" si="101"/>
        <v>8</v>
      </c>
      <c r="H618" t="str">
        <f t="shared" si="110"/>
        <v>BTC</v>
      </c>
      <c r="I618" t="str">
        <f>LEFT(B618,5)</f>
        <v>CLICK</v>
      </c>
      <c r="J618" t="str">
        <f t="shared" si="102"/>
        <v>BTCCLICK</v>
      </c>
      <c r="K618" t="str">
        <f t="shared" si="103"/>
        <v>CLICKBTC</v>
      </c>
      <c r="L618">
        <f t="shared" si="104"/>
        <v>0</v>
      </c>
      <c r="M618">
        <f t="shared" si="105"/>
        <v>1</v>
      </c>
      <c r="N618" t="b">
        <f t="shared" si="106"/>
        <v>1</v>
      </c>
    </row>
    <row r="619" spans="1:14" hidden="1" x14ac:dyDescent="0.25">
      <c r="A619" t="s">
        <v>5</v>
      </c>
      <c r="B619" t="s">
        <v>1171</v>
      </c>
      <c r="C619" s="1">
        <v>9.2999999999999999E-7</v>
      </c>
      <c r="D619" s="1">
        <v>8.1999999999999998E-7</v>
      </c>
      <c r="E619" s="1">
        <v>9.2999999999999999E-7</v>
      </c>
      <c r="F619" s="1">
        <v>8.1999999999999998E-7</v>
      </c>
      <c r="G619">
        <f t="shared" si="101"/>
        <v>8</v>
      </c>
      <c r="H619" t="str">
        <f t="shared" si="110"/>
        <v>BTC</v>
      </c>
      <c r="I619" t="str">
        <f>LEFT(B619,5)</f>
        <v>CLINT</v>
      </c>
      <c r="J619" t="str">
        <f t="shared" si="102"/>
        <v>BTCCLINT</v>
      </c>
      <c r="K619" t="str">
        <f t="shared" si="103"/>
        <v>CLINTBTC</v>
      </c>
      <c r="L619">
        <f t="shared" si="104"/>
        <v>0</v>
      </c>
      <c r="M619">
        <f t="shared" si="105"/>
        <v>1</v>
      </c>
      <c r="N619" t="b">
        <f t="shared" si="106"/>
        <v>1</v>
      </c>
    </row>
    <row r="620" spans="1:14" hidden="1" x14ac:dyDescent="0.25">
      <c r="A620" t="s">
        <v>1239</v>
      </c>
      <c r="B620" t="s">
        <v>1279</v>
      </c>
      <c r="C620" s="1">
        <v>8.9000500000000002</v>
      </c>
      <c r="D620" s="1">
        <v>1.2055</v>
      </c>
      <c r="E620" s="1">
        <v>8.9000500000000002</v>
      </c>
      <c r="F620" s="1">
        <v>1.2055</v>
      </c>
      <c r="G620">
        <f t="shared" si="101"/>
        <v>8</v>
      </c>
      <c r="H620" t="str">
        <f t="shared" si="110"/>
        <v>EUR</v>
      </c>
      <c r="I620" t="str">
        <f>LEFT(B620,5)</f>
        <v>CLOAK</v>
      </c>
      <c r="J620" t="str">
        <f t="shared" si="102"/>
        <v>EURCLOAK</v>
      </c>
      <c r="K620" t="str">
        <f t="shared" si="103"/>
        <v>CLOAKEUR</v>
      </c>
      <c r="L620">
        <f t="shared" si="104"/>
        <v>0</v>
      </c>
      <c r="M620">
        <f t="shared" si="105"/>
        <v>1</v>
      </c>
      <c r="N620" t="b">
        <f t="shared" si="106"/>
        <v>1</v>
      </c>
    </row>
    <row r="621" spans="1:14" hidden="1" x14ac:dyDescent="0.25">
      <c r="A621" t="s">
        <v>1239</v>
      </c>
      <c r="B621" t="s">
        <v>1278</v>
      </c>
      <c r="C621" s="1">
        <v>4.2899900000000004</v>
      </c>
      <c r="D621" s="1">
        <v>2.2129599999999998</v>
      </c>
      <c r="E621" s="1">
        <v>4.2899900000000004</v>
      </c>
      <c r="F621" s="1">
        <v>2.2129599999999998</v>
      </c>
      <c r="G621">
        <f t="shared" si="101"/>
        <v>8</v>
      </c>
      <c r="H621" t="str">
        <f t="shared" si="110"/>
        <v>USD</v>
      </c>
      <c r="I621" t="str">
        <f>LEFT(B621,5)</f>
        <v>CLOAK</v>
      </c>
      <c r="J621" t="str">
        <f t="shared" si="102"/>
        <v>USDCLOAK</v>
      </c>
      <c r="K621" t="str">
        <f t="shared" si="103"/>
        <v>CLOAKUSD</v>
      </c>
      <c r="L621">
        <f t="shared" si="104"/>
        <v>0</v>
      </c>
      <c r="M621">
        <f t="shared" si="105"/>
        <v>1</v>
      </c>
      <c r="N621" t="b">
        <f t="shared" si="106"/>
        <v>1</v>
      </c>
    </row>
    <row r="622" spans="1:14" hidden="1" x14ac:dyDescent="0.25">
      <c r="A622" t="s">
        <v>5</v>
      </c>
      <c r="B622" t="s">
        <v>798</v>
      </c>
      <c r="C622" s="1" t="s">
        <v>384</v>
      </c>
      <c r="D622" s="1" t="s">
        <v>361</v>
      </c>
      <c r="E622" s="1" t="s">
        <v>384</v>
      </c>
      <c r="F622" s="1" t="s">
        <v>361</v>
      </c>
      <c r="G622">
        <f t="shared" si="101"/>
        <v>7</v>
      </c>
      <c r="H622" t="str">
        <f t="shared" si="110"/>
        <v>BTC</v>
      </c>
      <c r="I622" t="str">
        <f>LEFT(B622,4)</f>
        <v>CLUD</v>
      </c>
      <c r="J622" t="str">
        <f t="shared" si="102"/>
        <v>BTCCLUD</v>
      </c>
      <c r="K622" t="str">
        <f t="shared" si="103"/>
        <v>CLUDBTC</v>
      </c>
      <c r="L622">
        <f t="shared" si="104"/>
        <v>0</v>
      </c>
      <c r="M622">
        <f t="shared" si="105"/>
        <v>1</v>
      </c>
      <c r="N622" t="b">
        <f t="shared" si="106"/>
        <v>1</v>
      </c>
    </row>
    <row r="623" spans="1:14" hidden="1" x14ac:dyDescent="0.25">
      <c r="A623" t="s">
        <v>5</v>
      </c>
      <c r="B623" t="s">
        <v>751</v>
      </c>
      <c r="C623" s="1">
        <v>6.8999999999999996E-7</v>
      </c>
      <c r="D623" s="1">
        <v>5.3000000000000001E-7</v>
      </c>
      <c r="E623" s="1">
        <v>6.8999999999999996E-7</v>
      </c>
      <c r="F623" s="1">
        <v>5.3000000000000001E-7</v>
      </c>
      <c r="G623">
        <f t="shared" si="101"/>
        <v>6</v>
      </c>
      <c r="H623" t="str">
        <f t="shared" si="110"/>
        <v>BTC</v>
      </c>
      <c r="I623" t="str">
        <f>LEFT(B623,3)</f>
        <v>CMC</v>
      </c>
      <c r="J623" t="str">
        <f t="shared" si="102"/>
        <v>BTCCMC</v>
      </c>
      <c r="K623" t="str">
        <f t="shared" si="103"/>
        <v>CMCBTC</v>
      </c>
      <c r="L623">
        <f t="shared" si="104"/>
        <v>0</v>
      </c>
      <c r="M623">
        <f t="shared" si="105"/>
        <v>1</v>
      </c>
      <c r="N623" t="b">
        <f t="shared" si="106"/>
        <v>1</v>
      </c>
    </row>
    <row r="624" spans="1:14" hidden="1" x14ac:dyDescent="0.25">
      <c r="A624" t="s">
        <v>5</v>
      </c>
      <c r="B624" t="s">
        <v>723</v>
      </c>
      <c r="C624" s="1" t="s">
        <v>361</v>
      </c>
      <c r="D624" s="1" t="s">
        <v>362</v>
      </c>
      <c r="E624" s="1" t="s">
        <v>361</v>
      </c>
      <c r="F624" s="1" t="s">
        <v>362</v>
      </c>
      <c r="G624">
        <f t="shared" si="101"/>
        <v>6</v>
      </c>
      <c r="H624" t="str">
        <f t="shared" si="110"/>
        <v>BTC</v>
      </c>
      <c r="I624" t="str">
        <f>LEFT(B624,3)</f>
        <v>CME</v>
      </c>
      <c r="J624" t="str">
        <f t="shared" si="102"/>
        <v>BTCCME</v>
      </c>
      <c r="K624" t="str">
        <f t="shared" si="103"/>
        <v>CMEBTC</v>
      </c>
      <c r="L624">
        <f t="shared" si="104"/>
        <v>0</v>
      </c>
      <c r="M624">
        <f t="shared" si="105"/>
        <v>1</v>
      </c>
      <c r="N624" t="b">
        <f t="shared" si="106"/>
        <v>1</v>
      </c>
    </row>
    <row r="625" spans="1:14" hidden="1" x14ac:dyDescent="0.25">
      <c r="A625" t="s">
        <v>5</v>
      </c>
      <c r="B625" t="s">
        <v>605</v>
      </c>
      <c r="C625" s="1">
        <v>8.8999999999999995E-6</v>
      </c>
      <c r="D625" s="1">
        <v>6.2999999999999998E-6</v>
      </c>
      <c r="E625" s="1">
        <v>8.8999999999999995E-6</v>
      </c>
      <c r="F625" s="1">
        <v>6.2999999999999998E-6</v>
      </c>
      <c r="G625">
        <f t="shared" si="101"/>
        <v>6</v>
      </c>
      <c r="H625" t="str">
        <f t="shared" si="110"/>
        <v>BTC</v>
      </c>
      <c r="I625" t="str">
        <f>LEFT(B625,3)</f>
        <v>CMT</v>
      </c>
      <c r="J625" t="str">
        <f t="shared" si="102"/>
        <v>BTCCMT</v>
      </c>
      <c r="K625" t="str">
        <f t="shared" si="103"/>
        <v>CMTBTC</v>
      </c>
      <c r="L625">
        <f t="shared" si="104"/>
        <v>0</v>
      </c>
      <c r="M625">
        <f t="shared" si="105"/>
        <v>1</v>
      </c>
      <c r="N625" t="b">
        <f t="shared" si="106"/>
        <v>1</v>
      </c>
    </row>
    <row r="626" spans="1:14" hidden="1" x14ac:dyDescent="0.25">
      <c r="A626" t="s">
        <v>5</v>
      </c>
      <c r="B626" t="s">
        <v>763</v>
      </c>
      <c r="C626" s="1" t="s">
        <v>764</v>
      </c>
      <c r="D626" s="1">
        <v>6.99E-6</v>
      </c>
      <c r="E626" s="1" t="s">
        <v>764</v>
      </c>
      <c r="F626" s="1">
        <v>6.99E-6</v>
      </c>
      <c r="G626">
        <f t="shared" si="101"/>
        <v>7</v>
      </c>
      <c r="H626" t="str">
        <f t="shared" si="110"/>
        <v>BTC</v>
      </c>
      <c r="I626" t="str">
        <f>LEFT(B626,4)</f>
        <v>CNNC</v>
      </c>
      <c r="J626" t="str">
        <f t="shared" si="102"/>
        <v>BTCCNNC</v>
      </c>
      <c r="K626" t="str">
        <f t="shared" si="103"/>
        <v>CNNCBTC</v>
      </c>
      <c r="L626">
        <f t="shared" si="104"/>
        <v>0</v>
      </c>
      <c r="M626">
        <f t="shared" si="105"/>
        <v>1</v>
      </c>
      <c r="N626" t="b">
        <f t="shared" si="106"/>
        <v>1</v>
      </c>
    </row>
    <row r="627" spans="1:14" hidden="1" x14ac:dyDescent="0.25">
      <c r="A627" t="s">
        <v>1403</v>
      </c>
      <c r="B627" t="s">
        <v>1934</v>
      </c>
      <c r="C627" s="1">
        <v>25.000000020000002</v>
      </c>
      <c r="D627" s="1">
        <v>25.000000020000002</v>
      </c>
      <c r="E627" s="1">
        <v>500.00000004999998</v>
      </c>
      <c r="F627" s="1">
        <v>5.0000000499999997</v>
      </c>
      <c r="G627">
        <f t="shared" si="101"/>
        <v>7</v>
      </c>
      <c r="H627" t="str">
        <f>RIGHT(B627,4)</f>
        <v>DOGE</v>
      </c>
      <c r="I627" t="str">
        <f>LEFT(B627,3)</f>
        <v>CNT</v>
      </c>
      <c r="J627" t="str">
        <f t="shared" si="102"/>
        <v>DOGECNT</v>
      </c>
      <c r="K627" t="str">
        <f t="shared" si="103"/>
        <v>CNTDOGE</v>
      </c>
      <c r="L627">
        <f t="shared" si="104"/>
        <v>0</v>
      </c>
      <c r="M627">
        <f t="shared" si="105"/>
        <v>1</v>
      </c>
      <c r="N627" t="b">
        <f t="shared" si="106"/>
        <v>1</v>
      </c>
    </row>
    <row r="628" spans="1:14" hidden="1" x14ac:dyDescent="0.25">
      <c r="A628" t="s">
        <v>1403</v>
      </c>
      <c r="B628" t="s">
        <v>1742</v>
      </c>
      <c r="C628" s="1">
        <v>0</v>
      </c>
      <c r="D628" s="1">
        <v>0</v>
      </c>
      <c r="E628" s="1">
        <v>9.9099900000000005E-3</v>
      </c>
      <c r="F628" s="1">
        <v>1.007E-5</v>
      </c>
      <c r="G628">
        <f t="shared" si="101"/>
        <v>6</v>
      </c>
      <c r="H628" t="str">
        <f t="shared" ref="H628:H645" si="111">RIGHT(B628,3)</f>
        <v>LTC</v>
      </c>
      <c r="I628" t="str">
        <f>LEFT(B628,3)</f>
        <v>CNT</v>
      </c>
      <c r="J628" t="str">
        <f t="shared" si="102"/>
        <v>LTCCNT</v>
      </c>
      <c r="K628" t="str">
        <f t="shared" si="103"/>
        <v>CNTLTC</v>
      </c>
      <c r="L628">
        <f t="shared" si="104"/>
        <v>0</v>
      </c>
      <c r="M628">
        <f t="shared" si="105"/>
        <v>1</v>
      </c>
      <c r="N628" t="b">
        <f t="shared" si="106"/>
        <v>1</v>
      </c>
    </row>
    <row r="629" spans="1:14" hidden="1" x14ac:dyDescent="0.25">
      <c r="A629" t="s">
        <v>1403</v>
      </c>
      <c r="B629" t="s">
        <v>1562</v>
      </c>
      <c r="C629" s="1">
        <v>6.6999989999999995E-2</v>
      </c>
      <c r="D629" s="1">
        <v>6.6999989999999995E-2</v>
      </c>
      <c r="E629" s="1">
        <v>6.9000000000000006E-2</v>
      </c>
      <c r="F629" s="1">
        <v>9.9999000000000008E-3</v>
      </c>
      <c r="G629">
        <f t="shared" si="101"/>
        <v>6</v>
      </c>
      <c r="H629" t="str">
        <f t="shared" si="111"/>
        <v>USD</v>
      </c>
      <c r="I629" t="str">
        <f>LEFT(B629,3)</f>
        <v>CNT</v>
      </c>
      <c r="J629" t="str">
        <f t="shared" si="102"/>
        <v>USDCNT</v>
      </c>
      <c r="K629" t="str">
        <f t="shared" si="103"/>
        <v>CNTUSD</v>
      </c>
      <c r="L629">
        <f t="shared" si="104"/>
        <v>0</v>
      </c>
      <c r="M629">
        <f t="shared" si="105"/>
        <v>1</v>
      </c>
      <c r="N629" t="b">
        <f t="shared" si="106"/>
        <v>1</v>
      </c>
    </row>
    <row r="630" spans="1:14" hidden="1" x14ac:dyDescent="0.25">
      <c r="A630" t="s">
        <v>5</v>
      </c>
      <c r="B630" t="s">
        <v>1001</v>
      </c>
      <c r="C630" s="1" t="s">
        <v>409</v>
      </c>
      <c r="D630" s="1">
        <v>4.8999999999999997E-7</v>
      </c>
      <c r="E630" s="1" t="s">
        <v>409</v>
      </c>
      <c r="F630" s="1">
        <v>4.8999999999999997E-7</v>
      </c>
      <c r="G630">
        <f t="shared" si="101"/>
        <v>6</v>
      </c>
      <c r="H630" t="str">
        <f t="shared" si="111"/>
        <v>BTC</v>
      </c>
      <c r="I630" t="str">
        <f>LEFT(B630,3)</f>
        <v>COC</v>
      </c>
      <c r="J630" t="str">
        <f t="shared" si="102"/>
        <v>BTCCOC</v>
      </c>
      <c r="K630" t="str">
        <f t="shared" si="103"/>
        <v>COCBTC</v>
      </c>
      <c r="L630">
        <f t="shared" si="104"/>
        <v>0</v>
      </c>
      <c r="M630">
        <f t="shared" si="105"/>
        <v>1</v>
      </c>
      <c r="N630" t="b">
        <f t="shared" si="106"/>
        <v>1</v>
      </c>
    </row>
    <row r="631" spans="1:14" hidden="1" x14ac:dyDescent="0.25">
      <c r="A631" t="s">
        <v>5</v>
      </c>
      <c r="B631" t="s">
        <v>452</v>
      </c>
      <c r="C631" s="1" t="s">
        <v>381</v>
      </c>
      <c r="D631" s="1" t="s">
        <v>384</v>
      </c>
      <c r="E631" s="1" t="s">
        <v>381</v>
      </c>
      <c r="F631" s="1" t="s">
        <v>384</v>
      </c>
      <c r="G631">
        <f t="shared" si="101"/>
        <v>7</v>
      </c>
      <c r="H631" t="str">
        <f t="shared" si="111"/>
        <v>BTC</v>
      </c>
      <c r="I631" t="str">
        <f>LEFT(B631,4)</f>
        <v>COIN</v>
      </c>
      <c r="J631" t="str">
        <f t="shared" si="102"/>
        <v>BTCCOIN</v>
      </c>
      <c r="K631" t="str">
        <f t="shared" si="103"/>
        <v>COINBTC</v>
      </c>
      <c r="L631">
        <f t="shared" si="104"/>
        <v>0</v>
      </c>
      <c r="M631">
        <f t="shared" si="105"/>
        <v>1</v>
      </c>
      <c r="N631" t="b">
        <f t="shared" si="106"/>
        <v>1</v>
      </c>
    </row>
    <row r="632" spans="1:14" hidden="1" x14ac:dyDescent="0.25">
      <c r="A632" t="s">
        <v>5</v>
      </c>
      <c r="B632" t="s">
        <v>866</v>
      </c>
      <c r="C632" s="1">
        <v>4.4100000000000001E-6</v>
      </c>
      <c r="D632" s="1">
        <v>2.6000000000000001E-6</v>
      </c>
      <c r="E632" s="1">
        <v>4.4100000000000001E-6</v>
      </c>
      <c r="F632" s="1">
        <v>2.6000000000000001E-6</v>
      </c>
      <c r="G632">
        <f t="shared" si="101"/>
        <v>6</v>
      </c>
      <c r="H632" t="str">
        <f t="shared" si="111"/>
        <v>BTC</v>
      </c>
      <c r="I632" t="str">
        <f>LEFT(B632,3)</f>
        <v>CON</v>
      </c>
      <c r="J632" t="str">
        <f t="shared" si="102"/>
        <v>BTCCON</v>
      </c>
      <c r="K632" t="str">
        <f t="shared" si="103"/>
        <v>CONBTC</v>
      </c>
      <c r="L632">
        <f t="shared" si="104"/>
        <v>0</v>
      </c>
      <c r="M632">
        <f t="shared" si="105"/>
        <v>1</v>
      </c>
      <c r="N632" t="b">
        <f t="shared" si="106"/>
        <v>1</v>
      </c>
    </row>
    <row r="633" spans="1:14" hidden="1" x14ac:dyDescent="0.25">
      <c r="A633" t="s">
        <v>5</v>
      </c>
      <c r="B633" t="s">
        <v>941</v>
      </c>
      <c r="C633" s="1">
        <v>5.7799999999999997E-6</v>
      </c>
      <c r="D633" s="1">
        <v>3.1099999999999999E-6</v>
      </c>
      <c r="E633" s="1">
        <v>5.7799999999999997E-6</v>
      </c>
      <c r="F633" s="1">
        <v>3.1099999999999999E-6</v>
      </c>
      <c r="G633">
        <f t="shared" si="101"/>
        <v>7</v>
      </c>
      <c r="H633" t="str">
        <f t="shared" si="111"/>
        <v>BTC</v>
      </c>
      <c r="I633" t="str">
        <f>LEFT(B633,4)</f>
        <v>CONX</v>
      </c>
      <c r="J633" t="str">
        <f t="shared" si="102"/>
        <v>BTCCONX</v>
      </c>
      <c r="K633" t="str">
        <f t="shared" si="103"/>
        <v>CONXBTC</v>
      </c>
      <c r="L633">
        <f t="shared" si="104"/>
        <v>0</v>
      </c>
      <c r="M633">
        <f t="shared" si="105"/>
        <v>1</v>
      </c>
      <c r="N633" t="b">
        <f t="shared" si="106"/>
        <v>1</v>
      </c>
    </row>
    <row r="634" spans="1:14" hidden="1" x14ac:dyDescent="0.25">
      <c r="A634" t="s">
        <v>5</v>
      </c>
      <c r="B634" t="s">
        <v>597</v>
      </c>
      <c r="C634" s="1">
        <v>1.3E-7</v>
      </c>
      <c r="D634" s="1">
        <v>1.1999999999999999E-7</v>
      </c>
      <c r="E634" s="1">
        <v>1.3E-7</v>
      </c>
      <c r="F634" s="1">
        <v>1.1999999999999999E-7</v>
      </c>
      <c r="G634">
        <f t="shared" si="101"/>
        <v>8</v>
      </c>
      <c r="H634" t="str">
        <f t="shared" si="111"/>
        <v>BTC</v>
      </c>
      <c r="I634" t="str">
        <f>LEFT(B634,5)</f>
        <v>CORAL</v>
      </c>
      <c r="J634" t="str">
        <f t="shared" si="102"/>
        <v>BTCCORAL</v>
      </c>
      <c r="K634" t="str">
        <f t="shared" si="103"/>
        <v>CORALBTC</v>
      </c>
      <c r="L634">
        <f t="shared" si="104"/>
        <v>0</v>
      </c>
      <c r="M634">
        <f t="shared" si="105"/>
        <v>1</v>
      </c>
      <c r="N634" t="b">
        <f t="shared" si="106"/>
        <v>1</v>
      </c>
    </row>
    <row r="635" spans="1:14" hidden="1" x14ac:dyDescent="0.25">
      <c r="A635" t="s">
        <v>5</v>
      </c>
      <c r="B635" t="s">
        <v>905</v>
      </c>
      <c r="C635" s="1" t="s">
        <v>380</v>
      </c>
      <c r="D635" s="1" t="s">
        <v>381</v>
      </c>
      <c r="E635" s="1" t="s">
        <v>380</v>
      </c>
      <c r="F635" s="1" t="s">
        <v>381</v>
      </c>
      <c r="G635">
        <f t="shared" si="101"/>
        <v>7</v>
      </c>
      <c r="H635" t="str">
        <f t="shared" si="111"/>
        <v>BTC</v>
      </c>
      <c r="I635" t="str">
        <f>LEFT(B635,4)</f>
        <v>CORG</v>
      </c>
      <c r="J635" t="str">
        <f t="shared" si="102"/>
        <v>BTCCORG</v>
      </c>
      <c r="K635" t="str">
        <f t="shared" si="103"/>
        <v>CORGBTC</v>
      </c>
      <c r="L635">
        <f t="shared" si="104"/>
        <v>0</v>
      </c>
      <c r="M635">
        <f t="shared" si="105"/>
        <v>1</v>
      </c>
      <c r="N635" t="b">
        <f t="shared" si="106"/>
        <v>1</v>
      </c>
    </row>
    <row r="636" spans="1:14" hidden="1" x14ac:dyDescent="0.25">
      <c r="A636" t="s">
        <v>5</v>
      </c>
      <c r="B636" t="s">
        <v>967</v>
      </c>
      <c r="C636" s="1">
        <v>2.5589300000000001E-3</v>
      </c>
      <c r="D636" s="1">
        <v>2.00001E-3</v>
      </c>
      <c r="E636" s="1">
        <v>2.5598251274175999E-3</v>
      </c>
      <c r="F636" s="1">
        <v>2.00001E-3</v>
      </c>
      <c r="G636">
        <f t="shared" si="101"/>
        <v>6</v>
      </c>
      <c r="H636" t="str">
        <f t="shared" si="111"/>
        <v>BTC</v>
      </c>
      <c r="I636" t="str">
        <f>LEFT(B636,3)</f>
        <v>COV</v>
      </c>
      <c r="J636" t="str">
        <f t="shared" si="102"/>
        <v>BTCCOV</v>
      </c>
      <c r="K636" t="str">
        <f t="shared" si="103"/>
        <v>COVBTC</v>
      </c>
      <c r="L636">
        <f t="shared" si="104"/>
        <v>0</v>
      </c>
      <c r="M636">
        <f t="shared" si="105"/>
        <v>1</v>
      </c>
      <c r="N636" t="b">
        <f t="shared" si="106"/>
        <v>1</v>
      </c>
    </row>
    <row r="637" spans="1:14" hidden="1" x14ac:dyDescent="0.25">
      <c r="A637" t="s">
        <v>5</v>
      </c>
      <c r="B637" t="s">
        <v>780</v>
      </c>
      <c r="C637" s="1" t="s">
        <v>362</v>
      </c>
      <c r="D637" s="1" t="s">
        <v>364</v>
      </c>
      <c r="E637" s="1" t="s">
        <v>362</v>
      </c>
      <c r="F637" s="1">
        <v>1.554E-5</v>
      </c>
      <c r="G637">
        <f t="shared" si="101"/>
        <v>6</v>
      </c>
      <c r="H637" t="str">
        <f t="shared" si="111"/>
        <v>BTC</v>
      </c>
      <c r="I637" t="str">
        <f>LEFT(B637,3)</f>
        <v>COX</v>
      </c>
      <c r="J637" t="str">
        <f t="shared" si="102"/>
        <v>BTCCOX</v>
      </c>
      <c r="K637" t="str">
        <f t="shared" si="103"/>
        <v>COXBTC</v>
      </c>
      <c r="L637">
        <f t="shared" si="104"/>
        <v>0</v>
      </c>
      <c r="M637">
        <f t="shared" si="105"/>
        <v>1</v>
      </c>
      <c r="N637" t="b">
        <f t="shared" si="106"/>
        <v>1</v>
      </c>
    </row>
    <row r="638" spans="1:14" hidden="1" x14ac:dyDescent="0.25">
      <c r="A638" t="s">
        <v>5</v>
      </c>
      <c r="B638" t="s">
        <v>887</v>
      </c>
      <c r="C638" s="1" t="s">
        <v>409</v>
      </c>
      <c r="D638" s="1">
        <v>5.5000000000000003E-7</v>
      </c>
      <c r="E638" s="1" t="s">
        <v>409</v>
      </c>
      <c r="F638" s="1">
        <v>5.5000000000000003E-7</v>
      </c>
      <c r="G638">
        <f t="shared" si="101"/>
        <v>8</v>
      </c>
      <c r="H638" t="str">
        <f t="shared" si="111"/>
        <v>BTC</v>
      </c>
      <c r="I638" t="str">
        <f>LEFT(B638,5)</f>
        <v>COXST</v>
      </c>
      <c r="J638" t="str">
        <f t="shared" si="102"/>
        <v>BTCCOXST</v>
      </c>
      <c r="K638" t="str">
        <f t="shared" si="103"/>
        <v>COXSTBTC</v>
      </c>
      <c r="L638">
        <f t="shared" si="104"/>
        <v>0</v>
      </c>
      <c r="M638">
        <f t="shared" si="105"/>
        <v>1</v>
      </c>
      <c r="N638" t="b">
        <f t="shared" si="106"/>
        <v>1</v>
      </c>
    </row>
    <row r="639" spans="1:14" hidden="1" x14ac:dyDescent="0.25">
      <c r="A639" t="s">
        <v>5</v>
      </c>
      <c r="B639" t="s">
        <v>493</v>
      </c>
      <c r="C639" s="1">
        <v>1.6E-7</v>
      </c>
      <c r="D639" s="1">
        <v>1.4999999999999999E-7</v>
      </c>
      <c r="E639" s="1">
        <v>1.6E-7</v>
      </c>
      <c r="F639" s="1">
        <v>1.4999999999999999E-7</v>
      </c>
      <c r="G639">
        <f t="shared" si="101"/>
        <v>7</v>
      </c>
      <c r="H639" t="str">
        <f t="shared" si="111"/>
        <v>BTC</v>
      </c>
      <c r="I639" t="str">
        <f>LEFT(B639,4)</f>
        <v>CRAB</v>
      </c>
      <c r="J639" t="str">
        <f t="shared" si="102"/>
        <v>BTCCRAB</v>
      </c>
      <c r="K639" t="str">
        <f t="shared" si="103"/>
        <v>CRABBTC</v>
      </c>
      <c r="L639">
        <f t="shared" si="104"/>
        <v>0</v>
      </c>
      <c r="M639">
        <f t="shared" si="105"/>
        <v>1</v>
      </c>
      <c r="N639" t="b">
        <f t="shared" si="106"/>
        <v>1</v>
      </c>
    </row>
    <row r="640" spans="1:14" hidden="1" x14ac:dyDescent="0.25">
      <c r="A640" t="s">
        <v>5</v>
      </c>
      <c r="B640" t="s">
        <v>592</v>
      </c>
      <c r="C640" s="1">
        <v>2.6E-7</v>
      </c>
      <c r="D640" s="1">
        <v>2.4999999999999999E-7</v>
      </c>
      <c r="E640" s="1">
        <v>2.6E-7</v>
      </c>
      <c r="F640" s="1">
        <v>2.4999999999999999E-7</v>
      </c>
      <c r="G640">
        <f t="shared" si="101"/>
        <v>8</v>
      </c>
      <c r="H640" t="str">
        <f t="shared" si="111"/>
        <v>BTC</v>
      </c>
      <c r="I640" t="str">
        <f>LEFT(B640,5)</f>
        <v>CRAFT</v>
      </c>
      <c r="J640" t="str">
        <f t="shared" si="102"/>
        <v>BTCCRAFT</v>
      </c>
      <c r="K640" t="str">
        <f t="shared" si="103"/>
        <v>CRAFTBTC</v>
      </c>
      <c r="L640">
        <f t="shared" si="104"/>
        <v>0</v>
      </c>
      <c r="M640">
        <f t="shared" si="105"/>
        <v>1</v>
      </c>
      <c r="N640" t="b">
        <f t="shared" si="106"/>
        <v>1</v>
      </c>
    </row>
    <row r="641" spans="1:14" hidden="1" x14ac:dyDescent="0.25">
      <c r="A641" t="s">
        <v>5</v>
      </c>
      <c r="B641" t="s">
        <v>897</v>
      </c>
      <c r="C641" s="1">
        <v>1.1888E-4</v>
      </c>
      <c r="D641" s="1">
        <v>7.0190000000000004E-5</v>
      </c>
      <c r="E641" s="1">
        <v>1.1888E-4</v>
      </c>
      <c r="F641" s="1">
        <v>7.0190000000000004E-5</v>
      </c>
      <c r="G641">
        <f t="shared" ref="G641:G704" si="112">LEN(B641)</f>
        <v>8</v>
      </c>
      <c r="H641" t="str">
        <f t="shared" si="111"/>
        <v>BTC</v>
      </c>
      <c r="I641" t="str">
        <f>LEFT(B641,5)</f>
        <v>CRAVE</v>
      </c>
      <c r="J641" t="str">
        <f t="shared" ref="J641:J704" si="113">CONCATENATE(H641,I641)</f>
        <v>BTCCRAVE</v>
      </c>
      <c r="K641" t="str">
        <f t="shared" ref="K641:K704" si="114">CONCATENATE(I641,H641)</f>
        <v>CRAVEBTC</v>
      </c>
      <c r="L641">
        <f t="shared" ref="L641:L704" si="115">COUNTIF(B:B,J641)</f>
        <v>0</v>
      </c>
      <c r="M641">
        <f t="shared" ref="M641:M704" si="116">COUNTIF(B:B,K641)</f>
        <v>1</v>
      </c>
      <c r="N641" t="b">
        <f t="shared" ref="N641:N704" si="117">L641=0</f>
        <v>1</v>
      </c>
    </row>
    <row r="642" spans="1:14" hidden="1" x14ac:dyDescent="0.25">
      <c r="A642" t="s">
        <v>1239</v>
      </c>
      <c r="B642" t="s">
        <v>1254</v>
      </c>
      <c r="C642" s="1">
        <v>5.1500000000000005E-4</v>
      </c>
      <c r="D642" s="1">
        <v>5.0502000000000001E-4</v>
      </c>
      <c r="E642" s="1">
        <v>5.1500000000000005E-4</v>
      </c>
      <c r="F642" s="1">
        <v>5.0501504755680001E-4</v>
      </c>
      <c r="G642">
        <f t="shared" si="112"/>
        <v>8</v>
      </c>
      <c r="H642" t="str">
        <f t="shared" si="111"/>
        <v>BTC</v>
      </c>
      <c r="I642" t="str">
        <f>LEFT(B642,5)</f>
        <v>CRBIT</v>
      </c>
      <c r="J642" t="str">
        <f t="shared" si="113"/>
        <v>BTCCRBIT</v>
      </c>
      <c r="K642" t="str">
        <f t="shared" si="114"/>
        <v>CRBITBTC</v>
      </c>
      <c r="L642">
        <f t="shared" si="115"/>
        <v>0</v>
      </c>
      <c r="M642">
        <f t="shared" si="116"/>
        <v>1</v>
      </c>
      <c r="N642" t="b">
        <f t="shared" si="117"/>
        <v>1</v>
      </c>
    </row>
    <row r="643" spans="1:14" hidden="1" x14ac:dyDescent="0.25">
      <c r="A643" t="s">
        <v>1239</v>
      </c>
      <c r="B643" t="s">
        <v>1255</v>
      </c>
      <c r="C643" s="1">
        <v>4.4699900000000001E-3</v>
      </c>
      <c r="D643" s="1">
        <v>3.25559E-3</v>
      </c>
      <c r="E643" s="1">
        <v>4.4699900000000001E-3</v>
      </c>
      <c r="F643" s="1">
        <v>3.25559E-3</v>
      </c>
      <c r="G643">
        <f t="shared" si="112"/>
        <v>8</v>
      </c>
      <c r="H643" t="str">
        <f t="shared" si="111"/>
        <v>ETH</v>
      </c>
      <c r="I643" t="str">
        <f>LEFT(B643,5)</f>
        <v>CRBIT</v>
      </c>
      <c r="J643" t="str">
        <f t="shared" si="113"/>
        <v>ETHCRBIT</v>
      </c>
      <c r="K643" t="str">
        <f t="shared" si="114"/>
        <v>CRBITETH</v>
      </c>
      <c r="L643">
        <f t="shared" si="115"/>
        <v>0</v>
      </c>
      <c r="M643">
        <f t="shared" si="116"/>
        <v>1</v>
      </c>
      <c r="N643" t="b">
        <f t="shared" si="117"/>
        <v>1</v>
      </c>
    </row>
    <row r="644" spans="1:14" hidden="1" x14ac:dyDescent="0.25">
      <c r="A644" t="s">
        <v>1239</v>
      </c>
      <c r="B644" t="s">
        <v>1256</v>
      </c>
      <c r="C644" s="1">
        <v>2.5499999999999998</v>
      </c>
      <c r="D644" s="1">
        <v>2.0754999999999999</v>
      </c>
      <c r="E644" s="1">
        <v>2.5499999999999998</v>
      </c>
      <c r="F644" s="1">
        <v>2.0754999999999999</v>
      </c>
      <c r="G644">
        <f t="shared" si="112"/>
        <v>8</v>
      </c>
      <c r="H644" t="str">
        <f t="shared" si="111"/>
        <v>LEO</v>
      </c>
      <c r="I644" t="str">
        <f>LEFT(B644,5)</f>
        <v>CRBIT</v>
      </c>
      <c r="J644" t="str">
        <f t="shared" si="113"/>
        <v>LEOCRBIT</v>
      </c>
      <c r="K644" t="str">
        <f t="shared" si="114"/>
        <v>CRBITLEO</v>
      </c>
      <c r="L644">
        <f t="shared" si="115"/>
        <v>0</v>
      </c>
      <c r="M644">
        <f t="shared" si="116"/>
        <v>1</v>
      </c>
      <c r="N644" t="b">
        <f t="shared" si="117"/>
        <v>1</v>
      </c>
    </row>
    <row r="645" spans="1:14" hidden="1" x14ac:dyDescent="0.25">
      <c r="A645" t="s">
        <v>1403</v>
      </c>
      <c r="B645" t="s">
        <v>1426</v>
      </c>
      <c r="C645" s="1" t="s">
        <v>435</v>
      </c>
      <c r="D645" s="1" t="s">
        <v>355</v>
      </c>
      <c r="E645" s="1" t="s">
        <v>539</v>
      </c>
      <c r="F645" s="1" t="s">
        <v>540</v>
      </c>
      <c r="G645">
        <f t="shared" si="112"/>
        <v>6</v>
      </c>
      <c r="H645" t="str">
        <f t="shared" si="111"/>
        <v>BTC</v>
      </c>
      <c r="I645" t="str">
        <f>LEFT(B645,3)</f>
        <v>CRC</v>
      </c>
      <c r="J645" t="str">
        <f t="shared" si="113"/>
        <v>BTCCRC</v>
      </c>
      <c r="K645" t="str">
        <f t="shared" si="114"/>
        <v>CRCBTC</v>
      </c>
      <c r="L645">
        <f t="shared" si="115"/>
        <v>0</v>
      </c>
      <c r="M645">
        <f t="shared" si="116"/>
        <v>1</v>
      </c>
      <c r="N645" t="b">
        <f t="shared" si="117"/>
        <v>1</v>
      </c>
    </row>
    <row r="646" spans="1:14" hidden="1" x14ac:dyDescent="0.25">
      <c r="A646" t="s">
        <v>1403</v>
      </c>
      <c r="B646" t="s">
        <v>1936</v>
      </c>
      <c r="C646" s="1">
        <v>6</v>
      </c>
      <c r="D646" s="1">
        <v>6</v>
      </c>
      <c r="E646" s="1">
        <v>7.7777776899999997</v>
      </c>
      <c r="F646" s="1">
        <v>1.0008070000000001E-2</v>
      </c>
      <c r="G646">
        <f t="shared" si="112"/>
        <v>7</v>
      </c>
      <c r="H646" t="str">
        <f>RIGHT(B646,4)</f>
        <v>DOGE</v>
      </c>
      <c r="I646" t="str">
        <f>LEFT(B646,3)</f>
        <v>CRC</v>
      </c>
      <c r="J646" t="str">
        <f t="shared" si="113"/>
        <v>DOGECRC</v>
      </c>
      <c r="K646" t="str">
        <f t="shared" si="114"/>
        <v>CRCDOGE</v>
      </c>
      <c r="L646">
        <f t="shared" si="115"/>
        <v>0</v>
      </c>
      <c r="M646">
        <f t="shared" si="116"/>
        <v>1</v>
      </c>
      <c r="N646" t="b">
        <f t="shared" si="117"/>
        <v>1</v>
      </c>
    </row>
    <row r="647" spans="1:14" hidden="1" x14ac:dyDescent="0.25">
      <c r="A647" t="s">
        <v>1403</v>
      </c>
      <c r="B647" t="s">
        <v>1744</v>
      </c>
      <c r="C647" s="1">
        <v>3.99987E-3</v>
      </c>
      <c r="D647" s="1">
        <v>3.99987E-3</v>
      </c>
      <c r="E647" s="1">
        <v>3.99987E-3</v>
      </c>
      <c r="F647" s="1">
        <v>1.1799999999999999E-6</v>
      </c>
      <c r="G647">
        <f t="shared" si="112"/>
        <v>6</v>
      </c>
      <c r="H647" t="str">
        <f>RIGHT(B647,3)</f>
        <v>LTC</v>
      </c>
      <c r="I647" t="str">
        <f>LEFT(B647,3)</f>
        <v>CRC</v>
      </c>
      <c r="J647" t="str">
        <f t="shared" si="113"/>
        <v>LTCCRC</v>
      </c>
      <c r="K647" t="str">
        <f t="shared" si="114"/>
        <v>CRCLTC</v>
      </c>
      <c r="L647">
        <f t="shared" si="115"/>
        <v>0</v>
      </c>
      <c r="M647">
        <f t="shared" si="116"/>
        <v>1</v>
      </c>
      <c r="N647" t="b">
        <f t="shared" si="117"/>
        <v>1</v>
      </c>
    </row>
    <row r="648" spans="1:14" hidden="1" x14ac:dyDescent="0.25">
      <c r="A648" t="s">
        <v>1403</v>
      </c>
      <c r="B648" t="s">
        <v>1564</v>
      </c>
      <c r="C648" s="1">
        <v>3.9899799999999997E-3</v>
      </c>
      <c r="D648" s="1">
        <v>3.9899799999999997E-3</v>
      </c>
      <c r="E648" s="1">
        <v>3.9899999999999996E-3</v>
      </c>
      <c r="F648" s="1">
        <v>5.999E-5</v>
      </c>
      <c r="G648">
        <f t="shared" si="112"/>
        <v>6</v>
      </c>
      <c r="H648" t="str">
        <f>RIGHT(B648,3)</f>
        <v>USD</v>
      </c>
      <c r="I648" t="str">
        <f>LEFT(B648,3)</f>
        <v>CRC</v>
      </c>
      <c r="J648" t="str">
        <f t="shared" si="113"/>
        <v>USDCRC</v>
      </c>
      <c r="K648" t="str">
        <f t="shared" si="114"/>
        <v>CRCUSD</v>
      </c>
      <c r="L648">
        <f t="shared" si="115"/>
        <v>0</v>
      </c>
      <c r="M648">
        <f t="shared" si="116"/>
        <v>1</v>
      </c>
      <c r="N648" t="b">
        <f t="shared" si="117"/>
        <v>1</v>
      </c>
    </row>
    <row r="649" spans="1:14" hidden="1" x14ac:dyDescent="0.25">
      <c r="A649" t="s">
        <v>1403</v>
      </c>
      <c r="B649" t="s">
        <v>1427</v>
      </c>
      <c r="C649" s="1">
        <v>5.2100000000000001E-6</v>
      </c>
      <c r="D649" s="1">
        <v>1.4E-5</v>
      </c>
      <c r="E649" s="1" t="s">
        <v>1158</v>
      </c>
      <c r="F649" s="1">
        <v>5.2100000000000001E-6</v>
      </c>
      <c r="G649">
        <f t="shared" si="112"/>
        <v>6</v>
      </c>
      <c r="H649" t="str">
        <f>RIGHT(B649,3)</f>
        <v>BTC</v>
      </c>
      <c r="I649" t="str">
        <f>LEFT(B649,3)</f>
        <v>CRE</v>
      </c>
      <c r="J649" t="str">
        <f t="shared" si="113"/>
        <v>BTCCRE</v>
      </c>
      <c r="K649" t="str">
        <f t="shared" si="114"/>
        <v>CREBTC</v>
      </c>
      <c r="L649">
        <f t="shared" si="115"/>
        <v>0</v>
      </c>
      <c r="M649">
        <f t="shared" si="116"/>
        <v>1</v>
      </c>
      <c r="N649" t="b">
        <f t="shared" si="117"/>
        <v>1</v>
      </c>
    </row>
    <row r="650" spans="1:14" hidden="1" x14ac:dyDescent="0.25">
      <c r="A650" t="s">
        <v>5</v>
      </c>
      <c r="B650" t="s">
        <v>857</v>
      </c>
      <c r="C650" s="1">
        <v>7.6229999999999994E-5</v>
      </c>
      <c r="D650" s="1">
        <v>7.5090000000000001E-5</v>
      </c>
      <c r="E650" s="1">
        <v>7.6229999999999994E-5</v>
      </c>
      <c r="F650" s="1">
        <v>7.5090000000000001E-5</v>
      </c>
      <c r="G650">
        <f t="shared" si="112"/>
        <v>9</v>
      </c>
      <c r="H650" t="str">
        <f>RIGHT(B650,3)</f>
        <v>BTC</v>
      </c>
      <c r="I650" t="str">
        <f>LEFT(B650,6)</f>
        <v>CREDIT</v>
      </c>
      <c r="J650" t="str">
        <f t="shared" si="113"/>
        <v>BTCCREDIT</v>
      </c>
      <c r="K650" t="str">
        <f t="shared" si="114"/>
        <v>CREDITBTC</v>
      </c>
      <c r="L650">
        <f t="shared" si="115"/>
        <v>0</v>
      </c>
      <c r="M650">
        <f t="shared" si="116"/>
        <v>1</v>
      </c>
      <c r="N650" t="b">
        <f t="shared" si="117"/>
        <v>1</v>
      </c>
    </row>
    <row r="651" spans="1:14" hidden="1" x14ac:dyDescent="0.25">
      <c r="A651" t="s">
        <v>1403</v>
      </c>
      <c r="B651" t="s">
        <v>1937</v>
      </c>
      <c r="C651" s="1">
        <v>10</v>
      </c>
      <c r="D651" s="1">
        <v>333.75823807</v>
      </c>
      <c r="E651" s="1">
        <v>333.75823802000002</v>
      </c>
      <c r="F651" s="1">
        <v>3.6942409999999999</v>
      </c>
      <c r="G651">
        <f t="shared" si="112"/>
        <v>7</v>
      </c>
      <c r="H651" t="str">
        <f>RIGHT(B651,4)</f>
        <v>DOGE</v>
      </c>
      <c r="I651" t="str">
        <f>LEFT(B651,3)</f>
        <v>CRE</v>
      </c>
      <c r="J651" t="str">
        <f t="shared" si="113"/>
        <v>DOGECRE</v>
      </c>
      <c r="K651" t="str">
        <f t="shared" si="114"/>
        <v>CREDOGE</v>
      </c>
      <c r="L651">
        <f t="shared" si="115"/>
        <v>0</v>
      </c>
      <c r="M651">
        <f t="shared" si="116"/>
        <v>1</v>
      </c>
      <c r="N651" t="b">
        <f t="shared" si="117"/>
        <v>1</v>
      </c>
    </row>
    <row r="652" spans="1:14" hidden="1" x14ac:dyDescent="0.25">
      <c r="A652" t="s">
        <v>1403</v>
      </c>
      <c r="B652" t="s">
        <v>1745</v>
      </c>
      <c r="C652" s="1">
        <v>0.1</v>
      </c>
      <c r="D652" s="1">
        <v>5.0000000000000001E-3</v>
      </c>
      <c r="E652" s="1">
        <v>9.9681579199999995E-2</v>
      </c>
      <c r="F652" s="1">
        <v>1.0258E-4</v>
      </c>
      <c r="G652">
        <f t="shared" si="112"/>
        <v>6</v>
      </c>
      <c r="H652" t="str">
        <f>RIGHT(B652,3)</f>
        <v>LTC</v>
      </c>
      <c r="I652" t="str">
        <f>LEFT(B652,3)</f>
        <v>CRE</v>
      </c>
      <c r="J652" t="str">
        <f t="shared" si="113"/>
        <v>LTCCRE</v>
      </c>
      <c r="K652" t="str">
        <f t="shared" si="114"/>
        <v>CRELTC</v>
      </c>
      <c r="L652">
        <f t="shared" si="115"/>
        <v>0</v>
      </c>
      <c r="M652">
        <f t="shared" si="116"/>
        <v>1</v>
      </c>
      <c r="N652" t="b">
        <f t="shared" si="117"/>
        <v>1</v>
      </c>
    </row>
    <row r="653" spans="1:14" hidden="1" x14ac:dyDescent="0.25">
      <c r="A653" t="s">
        <v>1403</v>
      </c>
      <c r="B653" t="s">
        <v>1565</v>
      </c>
      <c r="C653" s="1">
        <v>0.29222209999999998</v>
      </c>
      <c r="D653" s="1">
        <v>0.29222209999999998</v>
      </c>
      <c r="E653" s="1">
        <v>0.27095920000000001</v>
      </c>
      <c r="F653" s="1">
        <v>1.9152000000000001E-4</v>
      </c>
      <c r="G653">
        <f t="shared" si="112"/>
        <v>6</v>
      </c>
      <c r="H653" t="str">
        <f>RIGHT(B653,3)</f>
        <v>USD</v>
      </c>
      <c r="I653" t="str">
        <f>LEFT(B653,3)</f>
        <v>CRE</v>
      </c>
      <c r="J653" t="str">
        <f t="shared" si="113"/>
        <v>USDCRE</v>
      </c>
      <c r="K653" t="str">
        <f t="shared" si="114"/>
        <v>CREUSD</v>
      </c>
      <c r="L653">
        <f t="shared" si="115"/>
        <v>0</v>
      </c>
      <c r="M653">
        <f t="shared" si="116"/>
        <v>1</v>
      </c>
      <c r="N653" t="b">
        <f t="shared" si="117"/>
        <v>1</v>
      </c>
    </row>
    <row r="654" spans="1:14" hidden="1" x14ac:dyDescent="0.25">
      <c r="A654" t="s">
        <v>5</v>
      </c>
      <c r="B654" t="s">
        <v>394</v>
      </c>
      <c r="C654" s="1">
        <v>2.6339000000000001E-4</v>
      </c>
      <c r="D654" s="1">
        <v>1.3999999999999999E-4</v>
      </c>
      <c r="E654" s="1">
        <v>2.6339000000000001E-4</v>
      </c>
      <c r="F654" s="1">
        <v>1.3999999999999999E-4</v>
      </c>
      <c r="G654">
        <f t="shared" si="112"/>
        <v>8</v>
      </c>
      <c r="H654" t="str">
        <f>RIGHT(B654,3)</f>
        <v>BTC</v>
      </c>
      <c r="I654" t="str">
        <f>LEFT(B654,5)</f>
        <v>CRIME</v>
      </c>
      <c r="J654" t="str">
        <f t="shared" si="113"/>
        <v>BTCCRIME</v>
      </c>
      <c r="K654" t="str">
        <f t="shared" si="114"/>
        <v>CRIMEBTC</v>
      </c>
      <c r="L654">
        <f t="shared" si="115"/>
        <v>0</v>
      </c>
      <c r="M654">
        <f t="shared" si="116"/>
        <v>1</v>
      </c>
      <c r="N654" t="b">
        <f t="shared" si="117"/>
        <v>1</v>
      </c>
    </row>
    <row r="655" spans="1:14" hidden="1" x14ac:dyDescent="0.25">
      <c r="A655" t="s">
        <v>5</v>
      </c>
      <c r="B655" t="s">
        <v>370</v>
      </c>
      <c r="C655" s="1">
        <v>1.505E-5</v>
      </c>
      <c r="D655" s="1">
        <v>1.504E-5</v>
      </c>
      <c r="E655" s="1">
        <v>1.505E-5</v>
      </c>
      <c r="F655" s="1">
        <v>1.504E-5</v>
      </c>
      <c r="G655">
        <f t="shared" si="112"/>
        <v>7</v>
      </c>
      <c r="H655" t="str">
        <f>RIGHT(B655,3)</f>
        <v>BTC</v>
      </c>
      <c r="I655" t="str">
        <f t="shared" ref="I655:I660" si="118">LEFT(B655,4)</f>
        <v>CRNK</v>
      </c>
      <c r="J655" t="str">
        <f t="shared" si="113"/>
        <v>BTCCRNK</v>
      </c>
      <c r="K655" t="str">
        <f t="shared" si="114"/>
        <v>CRNKBTC</v>
      </c>
      <c r="L655">
        <f t="shared" si="115"/>
        <v>0</v>
      </c>
      <c r="M655">
        <f t="shared" si="116"/>
        <v>1</v>
      </c>
      <c r="N655" t="b">
        <f t="shared" si="117"/>
        <v>1</v>
      </c>
    </row>
    <row r="656" spans="1:14" hidden="1" x14ac:dyDescent="0.25">
      <c r="A656" t="s">
        <v>1403</v>
      </c>
      <c r="B656" t="s">
        <v>1428</v>
      </c>
      <c r="C656" s="1" t="s">
        <v>362</v>
      </c>
      <c r="D656" s="1" t="s">
        <v>362</v>
      </c>
      <c r="E656" s="1" t="s">
        <v>362</v>
      </c>
      <c r="F656" s="1" t="s">
        <v>362</v>
      </c>
      <c r="G656">
        <f t="shared" si="112"/>
        <v>7</v>
      </c>
      <c r="H656" t="str">
        <f>RIGHT(B656,3)</f>
        <v>BTC</v>
      </c>
      <c r="I656" t="str">
        <f t="shared" si="118"/>
        <v>CRPC</v>
      </c>
      <c r="J656" t="str">
        <f t="shared" si="113"/>
        <v>BTCCRPC</v>
      </c>
      <c r="K656" t="str">
        <f t="shared" si="114"/>
        <v>CRPCBTC</v>
      </c>
      <c r="L656">
        <f t="shared" si="115"/>
        <v>0</v>
      </c>
      <c r="M656">
        <f t="shared" si="116"/>
        <v>1</v>
      </c>
      <c r="N656" t="b">
        <f t="shared" si="117"/>
        <v>1</v>
      </c>
    </row>
    <row r="657" spans="1:14" hidden="1" x14ac:dyDescent="0.25">
      <c r="A657" t="s">
        <v>1403</v>
      </c>
      <c r="B657" t="s">
        <v>1938</v>
      </c>
      <c r="C657" s="1">
        <v>1.25E-4</v>
      </c>
      <c r="D657" s="1">
        <v>1.25E-4</v>
      </c>
      <c r="E657" s="1">
        <v>1.1896999999999999E-4</v>
      </c>
      <c r="F657" s="1">
        <v>9.5299999999999999E-5</v>
      </c>
      <c r="G657">
        <f t="shared" si="112"/>
        <v>8</v>
      </c>
      <c r="H657" t="str">
        <f>RIGHT(B657,4)</f>
        <v>DOGE</v>
      </c>
      <c r="I657" t="str">
        <f t="shared" si="118"/>
        <v>CRPC</v>
      </c>
      <c r="J657" t="str">
        <f t="shared" si="113"/>
        <v>DOGECRPC</v>
      </c>
      <c r="K657" t="str">
        <f t="shared" si="114"/>
        <v>CRPCDOGE</v>
      </c>
      <c r="L657">
        <f t="shared" si="115"/>
        <v>0</v>
      </c>
      <c r="M657">
        <f t="shared" si="116"/>
        <v>1</v>
      </c>
      <c r="N657" t="b">
        <f t="shared" si="117"/>
        <v>1</v>
      </c>
    </row>
    <row r="658" spans="1:14" hidden="1" x14ac:dyDescent="0.25">
      <c r="A658" t="s">
        <v>1403</v>
      </c>
      <c r="B658" t="s">
        <v>1746</v>
      </c>
      <c r="C658" s="1" t="s">
        <v>362</v>
      </c>
      <c r="D658" s="1" t="s">
        <v>362</v>
      </c>
      <c r="E658" s="1" t="s">
        <v>362</v>
      </c>
      <c r="F658" s="1" t="s">
        <v>362</v>
      </c>
      <c r="G658">
        <f t="shared" si="112"/>
        <v>7</v>
      </c>
      <c r="H658" t="str">
        <f>RIGHT(B658,3)</f>
        <v>LTC</v>
      </c>
      <c r="I658" t="str">
        <f t="shared" si="118"/>
        <v>CRPC</v>
      </c>
      <c r="J658" t="str">
        <f t="shared" si="113"/>
        <v>LTCCRPC</v>
      </c>
      <c r="K658" t="str">
        <f t="shared" si="114"/>
        <v>CRPCLTC</v>
      </c>
      <c r="L658">
        <f t="shared" si="115"/>
        <v>0</v>
      </c>
      <c r="M658">
        <f t="shared" si="116"/>
        <v>1</v>
      </c>
      <c r="N658" t="b">
        <f t="shared" si="117"/>
        <v>1</v>
      </c>
    </row>
    <row r="659" spans="1:14" hidden="1" x14ac:dyDescent="0.25">
      <c r="A659" t="s">
        <v>1403</v>
      </c>
      <c r="B659" t="s">
        <v>1566</v>
      </c>
      <c r="C659" s="1">
        <v>2.7000000000000001E-7</v>
      </c>
      <c r="D659" s="1">
        <v>2.7000000000000001E-7</v>
      </c>
      <c r="E659" s="1">
        <v>2.7000000000000001E-7</v>
      </c>
      <c r="F659" s="1">
        <v>2.3999999999999998E-7</v>
      </c>
      <c r="G659">
        <f t="shared" si="112"/>
        <v>7</v>
      </c>
      <c r="H659" t="str">
        <f>RIGHT(B659,3)</f>
        <v>USD</v>
      </c>
      <c r="I659" t="str">
        <f t="shared" si="118"/>
        <v>CRPC</v>
      </c>
      <c r="J659" t="str">
        <f t="shared" si="113"/>
        <v>USDCRPC</v>
      </c>
      <c r="K659" t="str">
        <f t="shared" si="114"/>
        <v>CRPCUSD</v>
      </c>
      <c r="L659">
        <f t="shared" si="115"/>
        <v>0</v>
      </c>
      <c r="M659">
        <f t="shared" si="116"/>
        <v>1</v>
      </c>
      <c r="N659" t="b">
        <f t="shared" si="117"/>
        <v>1</v>
      </c>
    </row>
    <row r="660" spans="1:14" hidden="1" x14ac:dyDescent="0.25">
      <c r="A660" t="s">
        <v>5</v>
      </c>
      <c r="B660" t="s">
        <v>438</v>
      </c>
      <c r="C660" s="1">
        <v>2.2233329999999999E-2</v>
      </c>
      <c r="D660" s="1">
        <v>2.222998E-2</v>
      </c>
      <c r="E660" s="1">
        <v>2.2334409761023601E-2</v>
      </c>
      <c r="F660" s="1">
        <v>1.5634389364345198E-2</v>
      </c>
      <c r="G660">
        <f t="shared" si="112"/>
        <v>7</v>
      </c>
      <c r="H660" t="str">
        <f>RIGHT(B660,3)</f>
        <v>BTC</v>
      </c>
      <c r="I660" t="str">
        <f t="shared" si="118"/>
        <v>CRPS</v>
      </c>
      <c r="J660" t="str">
        <f t="shared" si="113"/>
        <v>BTCCRPS</v>
      </c>
      <c r="K660" t="str">
        <f t="shared" si="114"/>
        <v>CRPSBTC</v>
      </c>
      <c r="L660">
        <f t="shared" si="115"/>
        <v>0</v>
      </c>
      <c r="M660">
        <f t="shared" si="116"/>
        <v>1</v>
      </c>
      <c r="N660" t="b">
        <f t="shared" si="117"/>
        <v>1</v>
      </c>
    </row>
    <row r="661" spans="1:14" hidden="1" x14ac:dyDescent="0.25">
      <c r="A661" t="s">
        <v>1403</v>
      </c>
      <c r="B661" t="s">
        <v>1939</v>
      </c>
      <c r="C661" s="1">
        <v>0.30000155000000001</v>
      </c>
      <c r="D661" s="1">
        <v>22.100001129999999</v>
      </c>
      <c r="E661" s="1">
        <v>24997.999996710001</v>
      </c>
      <c r="F661" s="1">
        <v>204.36000625</v>
      </c>
      <c r="G661">
        <f t="shared" si="112"/>
        <v>7</v>
      </c>
      <c r="H661" t="str">
        <f>RIGHT(B661,4)</f>
        <v>DOGE</v>
      </c>
      <c r="I661" t="str">
        <f>LEFT(B661,3)</f>
        <v>CRW</v>
      </c>
      <c r="J661" t="str">
        <f t="shared" si="113"/>
        <v>DOGECRW</v>
      </c>
      <c r="K661" t="str">
        <f t="shared" si="114"/>
        <v>CRWDOGE</v>
      </c>
      <c r="L661">
        <f t="shared" si="115"/>
        <v>0</v>
      </c>
      <c r="M661">
        <f t="shared" si="116"/>
        <v>1</v>
      </c>
      <c r="N661" t="b">
        <f t="shared" si="117"/>
        <v>1</v>
      </c>
    </row>
    <row r="662" spans="1:14" hidden="1" x14ac:dyDescent="0.25">
      <c r="A662" t="s">
        <v>1403</v>
      </c>
      <c r="B662" t="s">
        <v>1747</v>
      </c>
      <c r="C662" s="1">
        <v>1.503E-5</v>
      </c>
      <c r="D662" s="1">
        <v>0.10998993999999999</v>
      </c>
      <c r="E662" s="1">
        <v>0.57556829480000005</v>
      </c>
      <c r="F662" s="1">
        <v>3.2160000000000001E-4</v>
      </c>
      <c r="G662">
        <f t="shared" si="112"/>
        <v>6</v>
      </c>
      <c r="H662" t="str">
        <f t="shared" ref="H662:H672" si="119">RIGHT(B662,3)</f>
        <v>LTC</v>
      </c>
      <c r="I662" t="str">
        <f>LEFT(B662,3)</f>
        <v>CRW</v>
      </c>
      <c r="J662" t="str">
        <f t="shared" si="113"/>
        <v>LTCCRW</v>
      </c>
      <c r="K662" t="str">
        <f t="shared" si="114"/>
        <v>CRWLTC</v>
      </c>
      <c r="L662">
        <f t="shared" si="115"/>
        <v>0</v>
      </c>
      <c r="M662">
        <f t="shared" si="116"/>
        <v>1</v>
      </c>
      <c r="N662" t="b">
        <f t="shared" si="117"/>
        <v>1</v>
      </c>
    </row>
    <row r="663" spans="1:14" hidden="1" x14ac:dyDescent="0.25">
      <c r="A663" t="s">
        <v>1403</v>
      </c>
      <c r="B663" t="s">
        <v>1567</v>
      </c>
      <c r="C663" s="1">
        <v>2.0109999999999999E-5</v>
      </c>
      <c r="D663" s="1">
        <v>3.9799999499999998</v>
      </c>
      <c r="E663" s="1">
        <v>3.97899984265741</v>
      </c>
      <c r="F663" s="1">
        <v>0.10001375</v>
      </c>
      <c r="G663">
        <f t="shared" si="112"/>
        <v>6</v>
      </c>
      <c r="H663" t="str">
        <f t="shared" si="119"/>
        <v>USD</v>
      </c>
      <c r="I663" t="str">
        <f>LEFT(B663,3)</f>
        <v>CRW</v>
      </c>
      <c r="J663" t="str">
        <f t="shared" si="113"/>
        <v>USDCRW</v>
      </c>
      <c r="K663" t="str">
        <f t="shared" si="114"/>
        <v>CRWUSD</v>
      </c>
      <c r="L663">
        <f t="shared" si="115"/>
        <v>0</v>
      </c>
      <c r="M663">
        <f t="shared" si="116"/>
        <v>1</v>
      </c>
      <c r="N663" t="b">
        <f t="shared" si="117"/>
        <v>1</v>
      </c>
    </row>
    <row r="664" spans="1:14" hidden="1" x14ac:dyDescent="0.25">
      <c r="A664" t="s">
        <v>5</v>
      </c>
      <c r="B664" t="s">
        <v>1184</v>
      </c>
      <c r="C664" s="1">
        <v>1.8E-7</v>
      </c>
      <c r="D664" s="1">
        <v>1.4999999999999999E-7</v>
      </c>
      <c r="E664" s="1">
        <v>1.8E-7</v>
      </c>
      <c r="F664" s="1">
        <v>1.4999999999999999E-7</v>
      </c>
      <c r="G664">
        <f t="shared" si="112"/>
        <v>6</v>
      </c>
      <c r="H664" t="str">
        <f t="shared" si="119"/>
        <v>BTC</v>
      </c>
      <c r="I664" t="str">
        <f>LEFT(B664,3)</f>
        <v>CRX</v>
      </c>
      <c r="J664" t="str">
        <f t="shared" si="113"/>
        <v>BTCCRX</v>
      </c>
      <c r="K664" t="str">
        <f t="shared" si="114"/>
        <v>CRXBTC</v>
      </c>
      <c r="L664">
        <f t="shared" si="115"/>
        <v>0</v>
      </c>
      <c r="M664">
        <f t="shared" si="116"/>
        <v>1</v>
      </c>
      <c r="N664" t="b">
        <f t="shared" si="117"/>
        <v>1</v>
      </c>
    </row>
    <row r="665" spans="1:14" hidden="1" x14ac:dyDescent="0.25">
      <c r="A665" t="s">
        <v>5</v>
      </c>
      <c r="B665" t="s">
        <v>963</v>
      </c>
      <c r="C665" s="1">
        <v>5.603557E-2</v>
      </c>
      <c r="D665" s="1">
        <v>4.0001429999999998E-2</v>
      </c>
      <c r="E665" s="1">
        <v>5.6800535952825103E-2</v>
      </c>
      <c r="F665" s="1">
        <v>2.6256416287882799E-2</v>
      </c>
      <c r="G665">
        <f t="shared" si="112"/>
        <v>6</v>
      </c>
      <c r="H665" t="str">
        <f t="shared" si="119"/>
        <v>BTC</v>
      </c>
      <c r="I665" t="str">
        <f>LEFT(B665,3)</f>
        <v>CRY</v>
      </c>
      <c r="J665" t="str">
        <f t="shared" si="113"/>
        <v>BTCCRY</v>
      </c>
      <c r="K665" t="str">
        <f t="shared" si="114"/>
        <v>CRYBTC</v>
      </c>
      <c r="L665">
        <f t="shared" si="115"/>
        <v>0</v>
      </c>
      <c r="M665">
        <f t="shared" si="116"/>
        <v>1</v>
      </c>
      <c r="N665" t="b">
        <f t="shared" si="117"/>
        <v>1</v>
      </c>
    </row>
    <row r="666" spans="1:14" hidden="1" x14ac:dyDescent="0.25">
      <c r="A666" t="s">
        <v>5</v>
      </c>
      <c r="B666" t="s">
        <v>376</v>
      </c>
      <c r="C666" s="1">
        <v>1.6300000000000001E-6</v>
      </c>
      <c r="D666" s="1">
        <v>1.6199999999999999E-6</v>
      </c>
      <c r="E666" s="1">
        <v>1.6300000000000001E-6</v>
      </c>
      <c r="F666" s="1">
        <v>1.6199999999999999E-6</v>
      </c>
      <c r="G666">
        <f t="shared" si="112"/>
        <v>5</v>
      </c>
      <c r="H666" t="str">
        <f t="shared" si="119"/>
        <v>BTC</v>
      </c>
      <c r="I666" t="str">
        <f>LEFT(B666,2)</f>
        <v>CS</v>
      </c>
      <c r="J666" t="str">
        <f t="shared" si="113"/>
        <v>BTCCS</v>
      </c>
      <c r="K666" t="str">
        <f t="shared" si="114"/>
        <v>CSBTC</v>
      </c>
      <c r="L666">
        <f t="shared" si="115"/>
        <v>0</v>
      </c>
      <c r="M666">
        <f t="shared" si="116"/>
        <v>1</v>
      </c>
      <c r="N666" t="b">
        <f t="shared" si="117"/>
        <v>1</v>
      </c>
    </row>
    <row r="667" spans="1:14" hidden="1" x14ac:dyDescent="0.25">
      <c r="A667" t="s">
        <v>5</v>
      </c>
      <c r="B667" t="s">
        <v>867</v>
      </c>
      <c r="C667" s="1">
        <v>3.6600000000000001E-6</v>
      </c>
      <c r="D667" s="1">
        <v>3.6500000000000002E-6</v>
      </c>
      <c r="E667" s="1">
        <v>3.6600000000000001E-6</v>
      </c>
      <c r="F667" s="1">
        <v>3.6500000000000002E-6</v>
      </c>
      <c r="G667">
        <f t="shared" si="112"/>
        <v>8</v>
      </c>
      <c r="H667" t="str">
        <f t="shared" si="119"/>
        <v>BTC</v>
      </c>
      <c r="I667" t="str">
        <f>LEFT(B667,5)</f>
        <v>CSMIC</v>
      </c>
      <c r="J667" t="str">
        <f t="shared" si="113"/>
        <v>BTCCSMIC</v>
      </c>
      <c r="K667" t="str">
        <f t="shared" si="114"/>
        <v>CSMICBTC</v>
      </c>
      <c r="L667">
        <f t="shared" si="115"/>
        <v>0</v>
      </c>
      <c r="M667">
        <f t="shared" si="116"/>
        <v>1</v>
      </c>
      <c r="N667" t="b">
        <f t="shared" si="117"/>
        <v>1</v>
      </c>
    </row>
    <row r="668" spans="1:14" hidden="1" x14ac:dyDescent="0.25">
      <c r="A668" t="s">
        <v>5</v>
      </c>
      <c r="B668" t="s">
        <v>911</v>
      </c>
      <c r="C668" s="1">
        <v>7.3300000000000001E-6</v>
      </c>
      <c r="D668" s="1">
        <v>7.2799999999999998E-6</v>
      </c>
      <c r="E668" s="1">
        <v>7.3300000000000001E-6</v>
      </c>
      <c r="F668" s="1">
        <v>7.2799999999999998E-6</v>
      </c>
      <c r="G668">
        <f t="shared" si="112"/>
        <v>6</v>
      </c>
      <c r="H668" t="str">
        <f t="shared" si="119"/>
        <v>BTC</v>
      </c>
      <c r="I668" t="str">
        <f>LEFT(B668,3)</f>
        <v>CST</v>
      </c>
      <c r="J668" t="str">
        <f t="shared" si="113"/>
        <v>BTCCST</v>
      </c>
      <c r="K668" t="str">
        <f t="shared" si="114"/>
        <v>CSTBTC</v>
      </c>
      <c r="L668">
        <f t="shared" si="115"/>
        <v>0</v>
      </c>
      <c r="M668">
        <f t="shared" si="116"/>
        <v>1</v>
      </c>
      <c r="N668" t="b">
        <f t="shared" si="117"/>
        <v>1</v>
      </c>
    </row>
    <row r="669" spans="1:14" hidden="1" x14ac:dyDescent="0.25">
      <c r="A669" t="s">
        <v>5</v>
      </c>
      <c r="B669" t="s">
        <v>1220</v>
      </c>
      <c r="C669" s="1">
        <v>2.26E-6</v>
      </c>
      <c r="D669" s="1" t="s">
        <v>528</v>
      </c>
      <c r="E669" s="1">
        <v>2.26E-6</v>
      </c>
      <c r="F669" s="1" t="s">
        <v>528</v>
      </c>
      <c r="G669">
        <f t="shared" si="112"/>
        <v>7</v>
      </c>
      <c r="H669" t="str">
        <f t="shared" si="119"/>
        <v>BTC</v>
      </c>
      <c r="I669" t="str">
        <f>LEFT(B669,4)</f>
        <v>CTIC</v>
      </c>
      <c r="J669" t="str">
        <f t="shared" si="113"/>
        <v>BTCCTIC</v>
      </c>
      <c r="K669" t="str">
        <f t="shared" si="114"/>
        <v>CTICBTC</v>
      </c>
      <c r="L669">
        <f t="shared" si="115"/>
        <v>0</v>
      </c>
      <c r="M669">
        <f t="shared" si="116"/>
        <v>1</v>
      </c>
      <c r="N669" t="b">
        <f t="shared" si="117"/>
        <v>1</v>
      </c>
    </row>
    <row r="670" spans="1:14" hidden="1" x14ac:dyDescent="0.25">
      <c r="A670" t="s">
        <v>5</v>
      </c>
      <c r="B670" t="s">
        <v>800</v>
      </c>
      <c r="C670" s="1">
        <v>2.7999999999999999E-6</v>
      </c>
      <c r="D670" s="1">
        <v>1.3999999999999999E-6</v>
      </c>
      <c r="E670" s="1">
        <v>2.7999999999999999E-6</v>
      </c>
      <c r="F670" s="1">
        <v>1.3999999999999999E-6</v>
      </c>
      <c r="G670">
        <f t="shared" si="112"/>
        <v>6</v>
      </c>
      <c r="H670" t="str">
        <f t="shared" si="119"/>
        <v>BTC</v>
      </c>
      <c r="I670" t="str">
        <f t="shared" ref="I670:I675" si="120">LEFT(B670,3)</f>
        <v>CTK</v>
      </c>
      <c r="J670" t="str">
        <f t="shared" si="113"/>
        <v>BTCCTK</v>
      </c>
      <c r="K670" t="str">
        <f t="shared" si="114"/>
        <v>CTKBTC</v>
      </c>
      <c r="L670">
        <f t="shared" si="115"/>
        <v>0</v>
      </c>
      <c r="M670">
        <f t="shared" si="116"/>
        <v>1</v>
      </c>
      <c r="N670" t="b">
        <f t="shared" si="117"/>
        <v>1</v>
      </c>
    </row>
    <row r="671" spans="1:14" hidden="1" x14ac:dyDescent="0.25">
      <c r="A671" t="s">
        <v>5</v>
      </c>
      <c r="B671" t="s">
        <v>523</v>
      </c>
      <c r="C671" s="1" t="s">
        <v>361</v>
      </c>
      <c r="D671" s="1" t="s">
        <v>362</v>
      </c>
      <c r="E671" s="1" t="s">
        <v>361</v>
      </c>
      <c r="F671" s="1" t="s">
        <v>362</v>
      </c>
      <c r="G671">
        <f t="shared" si="112"/>
        <v>6</v>
      </c>
      <c r="H671" t="str">
        <f t="shared" si="119"/>
        <v>BTC</v>
      </c>
      <c r="I671" t="str">
        <f t="shared" si="120"/>
        <v>CTL</v>
      </c>
      <c r="J671" t="str">
        <f t="shared" si="113"/>
        <v>BTCCTL</v>
      </c>
      <c r="K671" t="str">
        <f t="shared" si="114"/>
        <v>CTLBTC</v>
      </c>
      <c r="L671">
        <f t="shared" si="115"/>
        <v>0</v>
      </c>
      <c r="M671">
        <f t="shared" si="116"/>
        <v>1</v>
      </c>
      <c r="N671" t="b">
        <f t="shared" si="117"/>
        <v>1</v>
      </c>
    </row>
    <row r="672" spans="1:14" hidden="1" x14ac:dyDescent="0.25">
      <c r="A672" t="s">
        <v>1403</v>
      </c>
      <c r="B672" t="s">
        <v>1429</v>
      </c>
      <c r="C672" s="1" t="s">
        <v>409</v>
      </c>
      <c r="D672" s="1">
        <v>8.1999999999999998E-7</v>
      </c>
      <c r="E672" s="1">
        <v>8.1999999999999998E-7</v>
      </c>
      <c r="F672" s="1">
        <v>5.7000000000000005E-7</v>
      </c>
      <c r="G672">
        <f t="shared" si="112"/>
        <v>6</v>
      </c>
      <c r="H672" t="str">
        <f t="shared" si="119"/>
        <v>BTC</v>
      </c>
      <c r="I672" t="str">
        <f t="shared" si="120"/>
        <v>CTO</v>
      </c>
      <c r="J672" t="str">
        <f t="shared" si="113"/>
        <v>BTCCTO</v>
      </c>
      <c r="K672" t="str">
        <f t="shared" si="114"/>
        <v>CTOBTC</v>
      </c>
      <c r="L672">
        <f t="shared" si="115"/>
        <v>0</v>
      </c>
      <c r="M672">
        <f t="shared" si="116"/>
        <v>1</v>
      </c>
      <c r="N672" t="b">
        <f t="shared" si="117"/>
        <v>1</v>
      </c>
    </row>
    <row r="673" spans="1:14" hidden="1" x14ac:dyDescent="0.25">
      <c r="A673" t="s">
        <v>1403</v>
      </c>
      <c r="B673" t="s">
        <v>1940</v>
      </c>
      <c r="C673" s="1">
        <v>0.30200004000000003</v>
      </c>
      <c r="D673" s="1">
        <v>0.20499999999999999</v>
      </c>
      <c r="E673" s="1">
        <v>2.9999999599999998</v>
      </c>
      <c r="F673" s="1">
        <v>0.10000098</v>
      </c>
      <c r="G673">
        <f t="shared" si="112"/>
        <v>7</v>
      </c>
      <c r="H673" t="str">
        <f>RIGHT(B673,4)</f>
        <v>DOGE</v>
      </c>
      <c r="I673" t="str">
        <f t="shared" si="120"/>
        <v>CTO</v>
      </c>
      <c r="J673" t="str">
        <f t="shared" si="113"/>
        <v>DOGECTO</v>
      </c>
      <c r="K673" t="str">
        <f t="shared" si="114"/>
        <v>CTODOGE</v>
      </c>
      <c r="L673">
        <f t="shared" si="115"/>
        <v>0</v>
      </c>
      <c r="M673">
        <f t="shared" si="116"/>
        <v>1</v>
      </c>
      <c r="N673" t="b">
        <f t="shared" si="117"/>
        <v>1</v>
      </c>
    </row>
    <row r="674" spans="1:14" hidden="1" x14ac:dyDescent="0.25">
      <c r="A674" t="s">
        <v>1403</v>
      </c>
      <c r="B674" t="s">
        <v>1748</v>
      </c>
      <c r="C674" s="1">
        <v>5.7899999999999996E-6</v>
      </c>
      <c r="D674" s="1">
        <v>4.9979999999999999E-5</v>
      </c>
      <c r="E674" s="1">
        <v>9.3791000000000002E-4</v>
      </c>
      <c r="F674" s="1">
        <v>7.1199999999999996E-6</v>
      </c>
      <c r="G674">
        <f t="shared" si="112"/>
        <v>6</v>
      </c>
      <c r="H674" t="str">
        <f t="shared" ref="H674:H688" si="121">RIGHT(B674,3)</f>
        <v>LTC</v>
      </c>
      <c r="I674" t="str">
        <f t="shared" si="120"/>
        <v>CTO</v>
      </c>
      <c r="J674" t="str">
        <f t="shared" si="113"/>
        <v>LTCCTO</v>
      </c>
      <c r="K674" t="str">
        <f t="shared" si="114"/>
        <v>CTOLTC</v>
      </c>
      <c r="L674">
        <f t="shared" si="115"/>
        <v>0</v>
      </c>
      <c r="M674">
        <f t="shared" si="116"/>
        <v>1</v>
      </c>
      <c r="N674" t="b">
        <f t="shared" si="117"/>
        <v>1</v>
      </c>
    </row>
    <row r="675" spans="1:14" hidden="1" x14ac:dyDescent="0.25">
      <c r="A675" t="s">
        <v>1403</v>
      </c>
      <c r="B675" t="s">
        <v>1568</v>
      </c>
      <c r="C675" s="1">
        <v>7.9999300000000006E-3</v>
      </c>
      <c r="D675" s="1">
        <v>7.9999300000000006E-3</v>
      </c>
      <c r="E675" s="1">
        <v>4.0999699999999997E-3</v>
      </c>
      <c r="F675" s="1">
        <v>5.0002E-4</v>
      </c>
      <c r="G675">
        <f t="shared" si="112"/>
        <v>6</v>
      </c>
      <c r="H675" t="str">
        <f t="shared" si="121"/>
        <v>USD</v>
      </c>
      <c r="I675" t="str">
        <f t="shared" si="120"/>
        <v>CTO</v>
      </c>
      <c r="J675" t="str">
        <f t="shared" si="113"/>
        <v>USDCTO</v>
      </c>
      <c r="K675" t="str">
        <f t="shared" si="114"/>
        <v>CTOUSD</v>
      </c>
      <c r="L675">
        <f t="shared" si="115"/>
        <v>0</v>
      </c>
      <c r="M675">
        <f t="shared" si="116"/>
        <v>1</v>
      </c>
      <c r="N675" t="b">
        <f t="shared" si="117"/>
        <v>1</v>
      </c>
    </row>
    <row r="676" spans="1:14" hidden="1" x14ac:dyDescent="0.25">
      <c r="A676" t="s">
        <v>5</v>
      </c>
      <c r="B676" t="s">
        <v>1199</v>
      </c>
      <c r="C676" s="1">
        <v>2.42E-4</v>
      </c>
      <c r="D676" s="1">
        <v>2.0000000000000001E-4</v>
      </c>
      <c r="E676" s="1">
        <v>2.42E-4</v>
      </c>
      <c r="F676" s="1">
        <v>2.0000000000000001E-4</v>
      </c>
      <c r="G676">
        <f t="shared" si="112"/>
        <v>7</v>
      </c>
      <c r="H676" t="str">
        <f t="shared" si="121"/>
        <v>BTC</v>
      </c>
      <c r="I676" t="str">
        <f>LEFT(B676,4)</f>
        <v>CUBE</v>
      </c>
      <c r="J676" t="str">
        <f t="shared" si="113"/>
        <v>BTCCUBE</v>
      </c>
      <c r="K676" t="str">
        <f t="shared" si="114"/>
        <v>CUBEBTC</v>
      </c>
      <c r="L676">
        <f t="shared" si="115"/>
        <v>0</v>
      </c>
      <c r="M676">
        <f t="shared" si="116"/>
        <v>1</v>
      </c>
      <c r="N676" t="b">
        <f t="shared" si="117"/>
        <v>1</v>
      </c>
    </row>
    <row r="677" spans="1:14" hidden="1" x14ac:dyDescent="0.25">
      <c r="A677" t="s">
        <v>5</v>
      </c>
      <c r="B677" t="s">
        <v>819</v>
      </c>
      <c r="C677" s="1">
        <v>5.3000000000000001E-7</v>
      </c>
      <c r="D677" s="1">
        <v>5.2E-7</v>
      </c>
      <c r="E677" s="1">
        <v>5.3000000000000001E-7</v>
      </c>
      <c r="F677" s="1">
        <v>5.2E-7</v>
      </c>
      <c r="G677">
        <f t="shared" si="112"/>
        <v>9</v>
      </c>
      <c r="H677" t="str">
        <f t="shared" si="121"/>
        <v>BTC</v>
      </c>
      <c r="I677" t="str">
        <f>LEFT(B677,6)</f>
        <v>CURVES</v>
      </c>
      <c r="J677" t="str">
        <f t="shared" si="113"/>
        <v>BTCCURVES</v>
      </c>
      <c r="K677" t="str">
        <f t="shared" si="114"/>
        <v>CURVESBTC</v>
      </c>
      <c r="L677">
        <f t="shared" si="115"/>
        <v>0</v>
      </c>
      <c r="M677">
        <f t="shared" si="116"/>
        <v>1</v>
      </c>
      <c r="N677" t="b">
        <f t="shared" si="117"/>
        <v>1</v>
      </c>
    </row>
    <row r="678" spans="1:14" hidden="1" x14ac:dyDescent="0.25">
      <c r="A678" t="s">
        <v>5</v>
      </c>
      <c r="B678" t="s">
        <v>628</v>
      </c>
      <c r="C678" s="1" t="s">
        <v>361</v>
      </c>
      <c r="D678" s="1" t="s">
        <v>362</v>
      </c>
      <c r="E678" s="1" t="s">
        <v>361</v>
      </c>
      <c r="F678" s="1" t="s">
        <v>362</v>
      </c>
      <c r="G678">
        <f t="shared" si="112"/>
        <v>6</v>
      </c>
      <c r="H678" t="str">
        <f t="shared" si="121"/>
        <v>BTC</v>
      </c>
      <c r="I678" t="str">
        <f>LEFT(B678,3)</f>
        <v>CV2</v>
      </c>
      <c r="J678" t="str">
        <f t="shared" si="113"/>
        <v>BTCCV2</v>
      </c>
      <c r="K678" t="str">
        <f t="shared" si="114"/>
        <v>CV2BTC</v>
      </c>
      <c r="L678">
        <f t="shared" si="115"/>
        <v>0</v>
      </c>
      <c r="M678">
        <f t="shared" si="116"/>
        <v>1</v>
      </c>
      <c r="N678" t="b">
        <f t="shared" si="117"/>
        <v>1</v>
      </c>
    </row>
    <row r="679" spans="1:14" hidden="1" x14ac:dyDescent="0.25">
      <c r="A679" t="s">
        <v>5</v>
      </c>
      <c r="B679" t="s">
        <v>781</v>
      </c>
      <c r="C679" s="1">
        <v>2.8000000000000002E-7</v>
      </c>
      <c r="D679" s="1">
        <v>2.3999999999999998E-7</v>
      </c>
      <c r="E679" s="1">
        <v>2.8000000000000002E-7</v>
      </c>
      <c r="F679" s="1">
        <v>2.3999999999999998E-7</v>
      </c>
      <c r="G679">
        <f t="shared" si="112"/>
        <v>7</v>
      </c>
      <c r="H679" t="str">
        <f t="shared" si="121"/>
        <v>BTC</v>
      </c>
      <c r="I679" t="str">
        <f>LEFT(B679,4)</f>
        <v>CWXT</v>
      </c>
      <c r="J679" t="str">
        <f t="shared" si="113"/>
        <v>BTCCWXT</v>
      </c>
      <c r="K679" t="str">
        <f t="shared" si="114"/>
        <v>CWXTBTC</v>
      </c>
      <c r="L679">
        <f t="shared" si="115"/>
        <v>0</v>
      </c>
      <c r="M679">
        <f t="shared" si="116"/>
        <v>1</v>
      </c>
      <c r="N679" t="b">
        <f t="shared" si="117"/>
        <v>1</v>
      </c>
    </row>
    <row r="680" spans="1:14" hidden="1" x14ac:dyDescent="0.25">
      <c r="A680" t="s">
        <v>5</v>
      </c>
      <c r="B680" t="s">
        <v>618</v>
      </c>
      <c r="C680" s="1">
        <v>5.9900000000000002E-6</v>
      </c>
      <c r="D680" s="1">
        <v>4.3100000000000002E-6</v>
      </c>
      <c r="E680" s="1">
        <v>5.9900000000000002E-6</v>
      </c>
      <c r="F680" s="1">
        <v>4.3100000000000002E-6</v>
      </c>
      <c r="G680">
        <f t="shared" si="112"/>
        <v>6</v>
      </c>
      <c r="H680" t="str">
        <f t="shared" si="121"/>
        <v>BTC</v>
      </c>
      <c r="I680" t="str">
        <f>LEFT(B680,3)</f>
        <v>CXT</v>
      </c>
      <c r="J680" t="str">
        <f t="shared" si="113"/>
        <v>BTCCXT</v>
      </c>
      <c r="K680" t="str">
        <f t="shared" si="114"/>
        <v>CXTBTC</v>
      </c>
      <c r="L680">
        <f t="shared" si="115"/>
        <v>0</v>
      </c>
      <c r="M680">
        <f t="shared" si="116"/>
        <v>1</v>
      </c>
      <c r="N680" t="b">
        <f t="shared" si="117"/>
        <v>1</v>
      </c>
    </row>
    <row r="681" spans="1:14" hidden="1" x14ac:dyDescent="0.25">
      <c r="A681" t="s">
        <v>5</v>
      </c>
      <c r="B681" t="s">
        <v>667</v>
      </c>
      <c r="C681" s="1">
        <v>1.6E-7</v>
      </c>
      <c r="D681" s="1">
        <v>1.4000000000000001E-7</v>
      </c>
      <c r="E681" s="1">
        <v>1.6E-7</v>
      </c>
      <c r="F681" s="1">
        <v>1.4000000000000001E-7</v>
      </c>
      <c r="G681">
        <f t="shared" si="112"/>
        <v>6</v>
      </c>
      <c r="H681" t="str">
        <f t="shared" si="121"/>
        <v>BTC</v>
      </c>
      <c r="I681" t="str">
        <f>LEFT(B681,3)</f>
        <v>CYC</v>
      </c>
      <c r="J681" t="str">
        <f t="shared" si="113"/>
        <v>BTCCYC</v>
      </c>
      <c r="K681" t="str">
        <f t="shared" si="114"/>
        <v>CYCBTC</v>
      </c>
      <c r="L681">
        <f t="shared" si="115"/>
        <v>0</v>
      </c>
      <c r="M681">
        <f t="shared" si="116"/>
        <v>1</v>
      </c>
      <c r="N681" t="b">
        <f t="shared" si="117"/>
        <v>1</v>
      </c>
    </row>
    <row r="682" spans="1:14" hidden="1" x14ac:dyDescent="0.25">
      <c r="A682" t="s">
        <v>5</v>
      </c>
      <c r="B682" t="s">
        <v>648</v>
      </c>
      <c r="C682" s="1">
        <v>2.4999999999999999E-7</v>
      </c>
      <c r="D682" s="1">
        <v>1.8E-7</v>
      </c>
      <c r="E682" s="1">
        <v>2.4999999999999999E-7</v>
      </c>
      <c r="F682" s="1">
        <v>1.8E-7</v>
      </c>
      <c r="G682">
        <f t="shared" si="112"/>
        <v>6</v>
      </c>
      <c r="H682" t="str">
        <f t="shared" si="121"/>
        <v>BTC</v>
      </c>
      <c r="I682" t="str">
        <f>LEFT(B682,3)</f>
        <v>CYG</v>
      </c>
      <c r="J682" t="str">
        <f t="shared" si="113"/>
        <v>BTCCYG</v>
      </c>
      <c r="K682" t="str">
        <f t="shared" si="114"/>
        <v>CYGBTC</v>
      </c>
      <c r="L682">
        <f t="shared" si="115"/>
        <v>0</v>
      </c>
      <c r="M682">
        <f t="shared" si="116"/>
        <v>1</v>
      </c>
      <c r="N682" t="b">
        <f t="shared" si="117"/>
        <v>1</v>
      </c>
    </row>
    <row r="683" spans="1:14" hidden="1" x14ac:dyDescent="0.25">
      <c r="A683" t="s">
        <v>5</v>
      </c>
      <c r="B683" t="s">
        <v>468</v>
      </c>
      <c r="C683" s="1">
        <v>2.1600000000000001E-6</v>
      </c>
      <c r="D683" s="1">
        <v>2.0600000000000002E-6</v>
      </c>
      <c r="E683" s="1">
        <v>2.1600000000000001E-6</v>
      </c>
      <c r="F683" s="1">
        <v>2.0600000000000002E-6</v>
      </c>
      <c r="G683">
        <f t="shared" si="112"/>
        <v>6</v>
      </c>
      <c r="H683" t="str">
        <f t="shared" si="121"/>
        <v>BTC</v>
      </c>
      <c r="I683" t="str">
        <f>LEFT(B683,3)</f>
        <v>CYP</v>
      </c>
      <c r="J683" t="str">
        <f t="shared" si="113"/>
        <v>BTCCYP</v>
      </c>
      <c r="K683" t="str">
        <f t="shared" si="114"/>
        <v>CYPBTC</v>
      </c>
      <c r="L683">
        <f t="shared" si="115"/>
        <v>0</v>
      </c>
      <c r="M683">
        <f t="shared" si="116"/>
        <v>1</v>
      </c>
      <c r="N683" t="b">
        <f t="shared" si="117"/>
        <v>1</v>
      </c>
    </row>
    <row r="684" spans="1:14" hidden="1" x14ac:dyDescent="0.25">
      <c r="A684" t="s">
        <v>5</v>
      </c>
      <c r="B684" t="s">
        <v>521</v>
      </c>
      <c r="C684" s="1">
        <v>2.2918700000000001E-3</v>
      </c>
      <c r="D684" s="1">
        <v>2.1440500000000002E-3</v>
      </c>
      <c r="E684" s="1">
        <v>2.2918700000000001E-3</v>
      </c>
      <c r="F684" s="1">
        <v>2.1440500000000002E-3</v>
      </c>
      <c r="G684">
        <f t="shared" si="112"/>
        <v>6</v>
      </c>
      <c r="H684" t="str">
        <f t="shared" si="121"/>
        <v>BTC</v>
      </c>
      <c r="I684" t="str">
        <f>LEFT(B684,3)</f>
        <v>CYT</v>
      </c>
      <c r="J684" t="str">
        <f t="shared" si="113"/>
        <v>BTCCYT</v>
      </c>
      <c r="K684" t="str">
        <f t="shared" si="114"/>
        <v>CYTBTC</v>
      </c>
      <c r="L684">
        <f t="shared" si="115"/>
        <v>0</v>
      </c>
      <c r="M684">
        <f t="shared" si="116"/>
        <v>1</v>
      </c>
      <c r="N684" t="b">
        <f t="shared" si="117"/>
        <v>1</v>
      </c>
    </row>
    <row r="685" spans="1:14" hidden="1" x14ac:dyDescent="0.25">
      <c r="A685" t="s">
        <v>5</v>
      </c>
      <c r="B685" t="s">
        <v>1075</v>
      </c>
      <c r="C685" s="1">
        <v>3.18E-6</v>
      </c>
      <c r="D685" s="1">
        <v>2.57E-6</v>
      </c>
      <c r="E685" s="1">
        <v>3.18E-6</v>
      </c>
      <c r="F685" s="1">
        <v>2.57E-6</v>
      </c>
      <c r="G685">
        <f t="shared" si="112"/>
        <v>8</v>
      </c>
      <c r="H685" t="str">
        <f t="shared" si="121"/>
        <v>BTC</v>
      </c>
      <c r="I685" t="str">
        <f>LEFT(B685,5)</f>
        <v>CZECO</v>
      </c>
      <c r="J685" t="str">
        <f t="shared" si="113"/>
        <v>BTCCZECO</v>
      </c>
      <c r="K685" t="str">
        <f t="shared" si="114"/>
        <v>CZECOBTC</v>
      </c>
      <c r="L685">
        <f t="shared" si="115"/>
        <v>0</v>
      </c>
      <c r="M685">
        <f t="shared" si="116"/>
        <v>1</v>
      </c>
      <c r="N685" t="b">
        <f t="shared" si="117"/>
        <v>1</v>
      </c>
    </row>
    <row r="686" spans="1:14" hidden="1" x14ac:dyDescent="0.25">
      <c r="A686" t="s">
        <v>1239</v>
      </c>
      <c r="B686" t="s">
        <v>1349</v>
      </c>
      <c r="C686" s="1">
        <v>4.9849999999999999E-5</v>
      </c>
      <c r="D686" s="1">
        <v>4.7280000000000001E-5</v>
      </c>
      <c r="E686" s="1">
        <v>4.9849999999999999E-5</v>
      </c>
      <c r="F686" s="1">
        <v>4.7280000000000001E-5</v>
      </c>
      <c r="G686">
        <f t="shared" si="112"/>
        <v>7</v>
      </c>
      <c r="H686" t="str">
        <f t="shared" si="121"/>
        <v>BTC</v>
      </c>
      <c r="I686" t="str">
        <f t="shared" ref="I686:I693" si="122">LEFT(B686,4)</f>
        <v>DANC</v>
      </c>
      <c r="J686" t="str">
        <f t="shared" si="113"/>
        <v>BTCDANC</v>
      </c>
      <c r="K686" t="str">
        <f t="shared" si="114"/>
        <v>DANCBTC</v>
      </c>
      <c r="L686">
        <f t="shared" si="115"/>
        <v>0</v>
      </c>
      <c r="M686">
        <f t="shared" si="116"/>
        <v>1</v>
      </c>
      <c r="N686" t="b">
        <f t="shared" si="117"/>
        <v>1</v>
      </c>
    </row>
    <row r="687" spans="1:14" hidden="1" x14ac:dyDescent="0.25">
      <c r="A687" t="s">
        <v>1239</v>
      </c>
      <c r="B687" t="s">
        <v>1348</v>
      </c>
      <c r="C687" s="1">
        <v>0.16594999999999999</v>
      </c>
      <c r="D687" s="1">
        <v>0.10203</v>
      </c>
      <c r="E687" s="1">
        <v>0.16594999999999999</v>
      </c>
      <c r="F687" s="1">
        <v>0.10203</v>
      </c>
      <c r="G687">
        <f t="shared" si="112"/>
        <v>7</v>
      </c>
      <c r="H687" t="str">
        <f t="shared" si="121"/>
        <v>USD</v>
      </c>
      <c r="I687" t="str">
        <f t="shared" si="122"/>
        <v>DANC</v>
      </c>
      <c r="J687" t="str">
        <f t="shared" si="113"/>
        <v>USDDANC</v>
      </c>
      <c r="K687" t="str">
        <f t="shared" si="114"/>
        <v>DANCUSD</v>
      </c>
      <c r="L687">
        <f t="shared" si="115"/>
        <v>0</v>
      </c>
      <c r="M687">
        <f t="shared" si="116"/>
        <v>1</v>
      </c>
      <c r="N687" t="b">
        <f t="shared" si="117"/>
        <v>1</v>
      </c>
    </row>
    <row r="688" spans="1:14" hidden="1" x14ac:dyDescent="0.25">
      <c r="A688" t="s">
        <v>1239</v>
      </c>
      <c r="B688" t="s">
        <v>1350</v>
      </c>
      <c r="C688" s="1">
        <v>5</v>
      </c>
      <c r="D688" s="1">
        <v>2.85000001</v>
      </c>
      <c r="E688" s="1">
        <v>5</v>
      </c>
      <c r="F688" s="1">
        <v>2.85000001</v>
      </c>
      <c r="G688">
        <f t="shared" si="112"/>
        <v>7</v>
      </c>
      <c r="H688" t="str">
        <f t="shared" si="121"/>
        <v>ZBC</v>
      </c>
      <c r="I688" t="str">
        <f t="shared" si="122"/>
        <v>DANC</v>
      </c>
      <c r="J688" t="str">
        <f t="shared" si="113"/>
        <v>ZBCDANC</v>
      </c>
      <c r="K688" t="str">
        <f t="shared" si="114"/>
        <v>DANCZBC</v>
      </c>
      <c r="L688">
        <f t="shared" si="115"/>
        <v>0</v>
      </c>
      <c r="M688">
        <f t="shared" si="116"/>
        <v>1</v>
      </c>
      <c r="N688" t="b">
        <f t="shared" si="117"/>
        <v>1</v>
      </c>
    </row>
    <row r="689" spans="1:14" hidden="1" x14ac:dyDescent="0.25">
      <c r="A689" t="s">
        <v>1403</v>
      </c>
      <c r="B689" t="s">
        <v>1941</v>
      </c>
      <c r="C689" s="1">
        <v>33999.999999899999</v>
      </c>
      <c r="D689" s="1">
        <v>199998</v>
      </c>
      <c r="E689" s="1">
        <v>918360.92190079996</v>
      </c>
      <c r="F689" s="1">
        <v>20000.000000010001</v>
      </c>
      <c r="G689">
        <f t="shared" si="112"/>
        <v>8</v>
      </c>
      <c r="H689" t="str">
        <f>RIGHT(B689,4)</f>
        <v>DOGE</v>
      </c>
      <c r="I689" t="str">
        <f t="shared" si="122"/>
        <v>DASH</v>
      </c>
      <c r="J689" t="str">
        <f t="shared" si="113"/>
        <v>DOGEDASH</v>
      </c>
      <c r="K689" t="str">
        <f t="shared" si="114"/>
        <v>DASHDOGE</v>
      </c>
      <c r="L689">
        <f t="shared" si="115"/>
        <v>0</v>
      </c>
      <c r="M689">
        <f t="shared" si="116"/>
        <v>1</v>
      </c>
      <c r="N689" t="b">
        <f t="shared" si="117"/>
        <v>1</v>
      </c>
    </row>
    <row r="690" spans="1:14" hidden="1" x14ac:dyDescent="0.25">
      <c r="A690" t="s">
        <v>3</v>
      </c>
      <c r="B690" t="s">
        <v>292</v>
      </c>
      <c r="C690" s="1">
        <v>134.19818000000001</v>
      </c>
      <c r="D690" s="1">
        <v>130.57955999999999</v>
      </c>
      <c r="E690" s="1">
        <v>134.19818000000001</v>
      </c>
      <c r="F690" s="1">
        <v>130.57975999999999</v>
      </c>
      <c r="G690">
        <f t="shared" si="112"/>
        <v>7</v>
      </c>
      <c r="H690" t="str">
        <f t="shared" ref="H690:H705" si="123">RIGHT(B690,3)</f>
        <v>EUR</v>
      </c>
      <c r="I690" t="str">
        <f t="shared" si="122"/>
        <v>DASH</v>
      </c>
      <c r="J690" t="str">
        <f t="shared" si="113"/>
        <v>EURDASH</v>
      </c>
      <c r="K690" t="str">
        <f t="shared" si="114"/>
        <v>DASHEUR</v>
      </c>
      <c r="L690">
        <f t="shared" si="115"/>
        <v>0</v>
      </c>
      <c r="M690">
        <f t="shared" si="116"/>
        <v>1</v>
      </c>
      <c r="N690" t="b">
        <f t="shared" si="117"/>
        <v>1</v>
      </c>
    </row>
    <row r="691" spans="1:14" hidden="1" x14ac:dyDescent="0.25">
      <c r="A691" t="s">
        <v>1403</v>
      </c>
      <c r="B691" t="s">
        <v>1749</v>
      </c>
      <c r="C691" s="1">
        <v>0.37000038000000002</v>
      </c>
      <c r="D691" s="1">
        <v>5.7642300000000004</v>
      </c>
      <c r="E691" s="1">
        <v>10.371017638969001</v>
      </c>
      <c r="F691" s="1">
        <v>2.8143422322906901</v>
      </c>
      <c r="G691">
        <f t="shared" si="112"/>
        <v>7</v>
      </c>
      <c r="H691" t="str">
        <f t="shared" si="123"/>
        <v>LTC</v>
      </c>
      <c r="I691" t="str">
        <f t="shared" si="122"/>
        <v>DASH</v>
      </c>
      <c r="J691" t="str">
        <f t="shared" si="113"/>
        <v>LTCDASH</v>
      </c>
      <c r="K691" t="str">
        <f t="shared" si="114"/>
        <v>DASHLTC</v>
      </c>
      <c r="L691">
        <f t="shared" si="115"/>
        <v>0</v>
      </c>
      <c r="M691">
        <f t="shared" si="116"/>
        <v>1</v>
      </c>
      <c r="N691" t="b">
        <f t="shared" si="117"/>
        <v>1</v>
      </c>
    </row>
    <row r="692" spans="1:14" hidden="1" x14ac:dyDescent="0.25">
      <c r="A692" t="s">
        <v>7</v>
      </c>
      <c r="B692" t="s">
        <v>1233</v>
      </c>
      <c r="C692" s="1">
        <v>9461.9129635000008</v>
      </c>
      <c r="D692" s="1">
        <v>9523.3406599200007</v>
      </c>
      <c r="E692" s="1">
        <v>9426.2874319131297</v>
      </c>
      <c r="F692" s="1">
        <v>9556.4168142026592</v>
      </c>
      <c r="G692">
        <f t="shared" si="112"/>
        <v>7</v>
      </c>
      <c r="H692" t="str">
        <f t="shared" si="123"/>
        <v>RUB</v>
      </c>
      <c r="I692" t="str">
        <f t="shared" si="122"/>
        <v>DASH</v>
      </c>
      <c r="J692" t="str">
        <f t="shared" si="113"/>
        <v>RUBDASH</v>
      </c>
      <c r="K692" t="str">
        <f t="shared" si="114"/>
        <v>DASHRUB</v>
      </c>
      <c r="L692">
        <f t="shared" si="115"/>
        <v>0</v>
      </c>
      <c r="M692">
        <f t="shared" si="116"/>
        <v>1</v>
      </c>
      <c r="N692" t="b">
        <f t="shared" si="117"/>
        <v>1</v>
      </c>
    </row>
    <row r="693" spans="1:14" hidden="1" x14ac:dyDescent="0.25">
      <c r="A693" t="s">
        <v>5</v>
      </c>
      <c r="B693" t="s">
        <v>1164</v>
      </c>
      <c r="C693" s="1">
        <v>10298.999999969999</v>
      </c>
      <c r="D693" s="1">
        <v>9011.0000000199998</v>
      </c>
      <c r="E693" s="1">
        <v>10298.9999999711</v>
      </c>
      <c r="F693" s="1">
        <v>9011.0000000083292</v>
      </c>
      <c r="G693">
        <f t="shared" si="112"/>
        <v>7</v>
      </c>
      <c r="H693" t="str">
        <f t="shared" si="123"/>
        <v>RUR</v>
      </c>
      <c r="I693" t="str">
        <f t="shared" si="122"/>
        <v>DASH</v>
      </c>
      <c r="J693" t="str">
        <f t="shared" si="113"/>
        <v>RURDASH</v>
      </c>
      <c r="K693" t="str">
        <f t="shared" si="114"/>
        <v>DASHRUR</v>
      </c>
      <c r="L693">
        <f t="shared" si="115"/>
        <v>0</v>
      </c>
      <c r="M693">
        <f t="shared" si="116"/>
        <v>1</v>
      </c>
      <c r="N693" t="b">
        <f t="shared" si="117"/>
        <v>1</v>
      </c>
    </row>
    <row r="694" spans="1:14" hidden="1" x14ac:dyDescent="0.25">
      <c r="A694" t="s">
        <v>5</v>
      </c>
      <c r="B694" t="s">
        <v>814</v>
      </c>
      <c r="C694" s="1">
        <v>2.4499999999999998E-6</v>
      </c>
      <c r="D694" s="1">
        <v>1.9199999999999998E-6</v>
      </c>
      <c r="E694" s="1">
        <v>2.4499999999999998E-6</v>
      </c>
      <c r="F694" s="1">
        <v>1.9199999999999998E-6</v>
      </c>
      <c r="G694">
        <f t="shared" si="112"/>
        <v>8</v>
      </c>
      <c r="H694" t="str">
        <f t="shared" si="123"/>
        <v>BTC</v>
      </c>
      <c r="I694" t="str">
        <f>LEFT(B694,5)</f>
        <v>DASHS</v>
      </c>
      <c r="J694" t="str">
        <f t="shared" si="113"/>
        <v>BTCDASHS</v>
      </c>
      <c r="K694" t="str">
        <f t="shared" si="114"/>
        <v>DASHSBTC</v>
      </c>
      <c r="L694">
        <f t="shared" si="115"/>
        <v>0</v>
      </c>
      <c r="M694">
        <f t="shared" si="116"/>
        <v>1</v>
      </c>
      <c r="N694" t="b">
        <f t="shared" si="117"/>
        <v>1</v>
      </c>
    </row>
    <row r="695" spans="1:14" hidden="1" x14ac:dyDescent="0.25">
      <c r="A695" t="s">
        <v>5</v>
      </c>
      <c r="B695" t="s">
        <v>644</v>
      </c>
      <c r="C695" s="1">
        <v>2.4309999999999999E-5</v>
      </c>
      <c r="D695" s="1">
        <v>1.863E-5</v>
      </c>
      <c r="E695" s="1">
        <v>2.4309999999999999E-5</v>
      </c>
      <c r="F695" s="1">
        <v>1.863E-5</v>
      </c>
      <c r="G695">
        <f t="shared" si="112"/>
        <v>5</v>
      </c>
      <c r="H695" t="str">
        <f t="shared" si="123"/>
        <v>BTC</v>
      </c>
      <c r="I695" t="str">
        <f>LEFT(B695,2)</f>
        <v>DB</v>
      </c>
      <c r="J695" t="str">
        <f t="shared" si="113"/>
        <v>BTCDB</v>
      </c>
      <c r="K695" t="str">
        <f t="shared" si="114"/>
        <v>DBBTC</v>
      </c>
      <c r="L695">
        <f t="shared" si="115"/>
        <v>0</v>
      </c>
      <c r="M695">
        <f t="shared" si="116"/>
        <v>1</v>
      </c>
      <c r="N695" t="b">
        <f t="shared" si="117"/>
        <v>1</v>
      </c>
    </row>
    <row r="696" spans="1:14" hidden="1" x14ac:dyDescent="0.25">
      <c r="A696" t="s">
        <v>5</v>
      </c>
      <c r="B696" t="s">
        <v>477</v>
      </c>
      <c r="C696" s="1">
        <v>4.7999999999999996E-7</v>
      </c>
      <c r="D696" s="1">
        <v>3.5999999999999999E-7</v>
      </c>
      <c r="E696" s="1">
        <v>4.7999999999999996E-7</v>
      </c>
      <c r="F696" s="1">
        <v>3.5999999999999999E-7</v>
      </c>
      <c r="G696">
        <f t="shared" si="112"/>
        <v>6</v>
      </c>
      <c r="H696" t="str">
        <f t="shared" si="123"/>
        <v>BTC</v>
      </c>
      <c r="I696" t="str">
        <f>LEFT(B696,3)</f>
        <v>DBG</v>
      </c>
      <c r="J696" t="str">
        <f t="shared" si="113"/>
        <v>BTCDBG</v>
      </c>
      <c r="K696" t="str">
        <f t="shared" si="114"/>
        <v>DBGBTC</v>
      </c>
      <c r="L696">
        <f t="shared" si="115"/>
        <v>0</v>
      </c>
      <c r="M696">
        <f t="shared" si="116"/>
        <v>1</v>
      </c>
      <c r="N696" t="b">
        <f t="shared" si="117"/>
        <v>1</v>
      </c>
    </row>
    <row r="697" spans="1:14" hidden="1" x14ac:dyDescent="0.25">
      <c r="A697" t="s">
        <v>5</v>
      </c>
      <c r="B697" t="s">
        <v>1112</v>
      </c>
      <c r="C697" s="1">
        <v>1.5281999999999999E-4</v>
      </c>
      <c r="D697" s="1">
        <v>1.3573E-4</v>
      </c>
      <c r="E697" s="1">
        <v>1.5281999999999999E-4</v>
      </c>
      <c r="F697" s="1">
        <v>1.3573E-4</v>
      </c>
      <c r="G697">
        <f t="shared" si="112"/>
        <v>7</v>
      </c>
      <c r="H697" t="str">
        <f t="shared" si="123"/>
        <v>BTC</v>
      </c>
      <c r="I697" t="str">
        <f>LEFT(B697,4)</f>
        <v>DBIC</v>
      </c>
      <c r="J697" t="str">
        <f t="shared" si="113"/>
        <v>BTCDBIC</v>
      </c>
      <c r="K697" t="str">
        <f t="shared" si="114"/>
        <v>DBICBTC</v>
      </c>
      <c r="L697">
        <f t="shared" si="115"/>
        <v>0</v>
      </c>
      <c r="M697">
        <f t="shared" si="116"/>
        <v>1</v>
      </c>
      <c r="N697" t="b">
        <f t="shared" si="117"/>
        <v>1</v>
      </c>
    </row>
    <row r="698" spans="1:14" hidden="1" x14ac:dyDescent="0.25">
      <c r="A698" t="s">
        <v>1239</v>
      </c>
      <c r="B698" t="s">
        <v>1351</v>
      </c>
      <c r="C698" s="1">
        <v>2E-3</v>
      </c>
      <c r="D698" s="1">
        <v>1.9002800000000001E-3</v>
      </c>
      <c r="E698" s="1">
        <v>2E-3</v>
      </c>
      <c r="F698" s="1">
        <v>1.9002800000000001E-3</v>
      </c>
      <c r="G698">
        <f t="shared" si="112"/>
        <v>7</v>
      </c>
      <c r="H698" t="str">
        <f t="shared" si="123"/>
        <v>BTC</v>
      </c>
      <c r="I698" t="str">
        <f>LEFT(B698,4)</f>
        <v>DBIX</v>
      </c>
      <c r="J698" t="str">
        <f t="shared" si="113"/>
        <v>BTCDBIX</v>
      </c>
      <c r="K698" t="str">
        <f t="shared" si="114"/>
        <v>DBIXBTC</v>
      </c>
      <c r="L698">
        <f t="shared" si="115"/>
        <v>0</v>
      </c>
      <c r="M698">
        <f t="shared" si="116"/>
        <v>1</v>
      </c>
      <c r="N698" t="b">
        <f t="shared" si="117"/>
        <v>1</v>
      </c>
    </row>
    <row r="699" spans="1:14" hidden="1" x14ac:dyDescent="0.25">
      <c r="A699" t="s">
        <v>5</v>
      </c>
      <c r="B699" t="s">
        <v>354</v>
      </c>
      <c r="C699" s="1" t="s">
        <v>355</v>
      </c>
      <c r="D699" s="1" t="s">
        <v>356</v>
      </c>
      <c r="E699" s="1" t="s">
        <v>355</v>
      </c>
      <c r="F699" s="1" t="s">
        <v>356</v>
      </c>
      <c r="G699">
        <f t="shared" si="112"/>
        <v>7</v>
      </c>
      <c r="H699" t="str">
        <f t="shared" si="123"/>
        <v>BTC</v>
      </c>
      <c r="I699" t="str">
        <f>LEFT(B699,4)</f>
        <v>DBLK</v>
      </c>
      <c r="J699" t="str">
        <f t="shared" si="113"/>
        <v>BTCDBLK</v>
      </c>
      <c r="K699" t="str">
        <f t="shared" si="114"/>
        <v>DBLKBTC</v>
      </c>
      <c r="L699">
        <f t="shared" si="115"/>
        <v>0</v>
      </c>
      <c r="M699">
        <f t="shared" si="116"/>
        <v>1</v>
      </c>
      <c r="N699" t="b">
        <f t="shared" si="117"/>
        <v>1</v>
      </c>
    </row>
    <row r="700" spans="1:14" hidden="1" x14ac:dyDescent="0.25">
      <c r="A700" t="s">
        <v>5</v>
      </c>
      <c r="B700" t="s">
        <v>450</v>
      </c>
      <c r="C700" s="1" t="s">
        <v>362</v>
      </c>
      <c r="D700" s="1" t="s">
        <v>364</v>
      </c>
      <c r="E700" s="1" t="s">
        <v>362</v>
      </c>
      <c r="F700" s="1" t="s">
        <v>362</v>
      </c>
      <c r="G700">
        <f t="shared" si="112"/>
        <v>5</v>
      </c>
      <c r="H700" t="str">
        <f t="shared" si="123"/>
        <v>BTC</v>
      </c>
      <c r="I700" t="str">
        <f>LEFT(B700,2)</f>
        <v>DC</v>
      </c>
      <c r="J700" t="str">
        <f t="shared" si="113"/>
        <v>BTCDC</v>
      </c>
      <c r="K700" t="str">
        <f t="shared" si="114"/>
        <v>DCBTC</v>
      </c>
      <c r="L700">
        <f t="shared" si="115"/>
        <v>0</v>
      </c>
      <c r="M700">
        <f t="shared" si="116"/>
        <v>1</v>
      </c>
      <c r="N700" t="b">
        <f t="shared" si="117"/>
        <v>1</v>
      </c>
    </row>
    <row r="701" spans="1:14" hidden="1" x14ac:dyDescent="0.25">
      <c r="A701" t="s">
        <v>5</v>
      </c>
      <c r="B701" t="s">
        <v>921</v>
      </c>
      <c r="C701" s="1">
        <v>1.5400000000000001E-6</v>
      </c>
      <c r="D701" s="1">
        <v>1.04E-6</v>
      </c>
      <c r="E701" s="1">
        <v>1.5400000000000001E-6</v>
      </c>
      <c r="F701" s="1">
        <v>1.04E-6</v>
      </c>
      <c r="G701">
        <f t="shared" si="112"/>
        <v>6</v>
      </c>
      <c r="H701" t="str">
        <f t="shared" si="123"/>
        <v>BTC</v>
      </c>
      <c r="I701" t="str">
        <f>LEFT(B701,3)</f>
        <v>DCC</v>
      </c>
      <c r="J701" t="str">
        <f t="shared" si="113"/>
        <v>BTCDCC</v>
      </c>
      <c r="K701" t="str">
        <f t="shared" si="114"/>
        <v>DCCBTC</v>
      </c>
      <c r="L701">
        <f t="shared" si="115"/>
        <v>0</v>
      </c>
      <c r="M701">
        <f t="shared" si="116"/>
        <v>1</v>
      </c>
      <c r="N701" t="b">
        <f t="shared" si="117"/>
        <v>1</v>
      </c>
    </row>
    <row r="702" spans="1:14" hidden="1" x14ac:dyDescent="0.25">
      <c r="A702" t="s">
        <v>5</v>
      </c>
      <c r="B702" t="s">
        <v>735</v>
      </c>
      <c r="C702" s="1">
        <v>5.8999999999999996E-7</v>
      </c>
      <c r="D702" s="1">
        <v>4.5999999999999999E-7</v>
      </c>
      <c r="E702" s="1">
        <v>5.8999999999999996E-7</v>
      </c>
      <c r="F702" s="1">
        <v>4.5999999999999999E-7</v>
      </c>
      <c r="G702">
        <f t="shared" si="112"/>
        <v>6</v>
      </c>
      <c r="H702" t="str">
        <f t="shared" si="123"/>
        <v>BTC</v>
      </c>
      <c r="I702" t="str">
        <f>LEFT(B702,3)</f>
        <v>DCK</v>
      </c>
      <c r="J702" t="str">
        <f t="shared" si="113"/>
        <v>BTCDCK</v>
      </c>
      <c r="K702" t="str">
        <f t="shared" si="114"/>
        <v>DCKBTC</v>
      </c>
      <c r="L702">
        <f t="shared" si="115"/>
        <v>0</v>
      </c>
      <c r="M702">
        <f t="shared" si="116"/>
        <v>1</v>
      </c>
      <c r="N702" t="b">
        <f t="shared" si="117"/>
        <v>1</v>
      </c>
    </row>
    <row r="703" spans="1:14" hidden="1" x14ac:dyDescent="0.25">
      <c r="A703" t="s">
        <v>5</v>
      </c>
      <c r="B703" t="s">
        <v>679</v>
      </c>
      <c r="C703" s="1">
        <v>1.77E-5</v>
      </c>
      <c r="D703" s="1">
        <v>1.3699999999999999E-5</v>
      </c>
      <c r="E703" s="1">
        <v>1.77E-5</v>
      </c>
      <c r="F703" s="1">
        <v>1.3699999999999999E-5</v>
      </c>
      <c r="G703">
        <f t="shared" si="112"/>
        <v>7</v>
      </c>
      <c r="H703" t="str">
        <f t="shared" si="123"/>
        <v>BTC</v>
      </c>
      <c r="I703" t="str">
        <f>LEFT(B703,4)</f>
        <v>DCRE</v>
      </c>
      <c r="J703" t="str">
        <f t="shared" si="113"/>
        <v>BTCDCRE</v>
      </c>
      <c r="K703" t="str">
        <f t="shared" si="114"/>
        <v>DCREBTC</v>
      </c>
      <c r="L703">
        <f t="shared" si="115"/>
        <v>0</v>
      </c>
      <c r="M703">
        <f t="shared" si="116"/>
        <v>1</v>
      </c>
      <c r="N703" t="b">
        <f t="shared" si="117"/>
        <v>1</v>
      </c>
    </row>
    <row r="704" spans="1:14" hidden="1" x14ac:dyDescent="0.25">
      <c r="A704" t="s">
        <v>5</v>
      </c>
      <c r="B704" t="s">
        <v>442</v>
      </c>
      <c r="C704" s="1" t="s">
        <v>384</v>
      </c>
      <c r="D704" s="1" t="s">
        <v>361</v>
      </c>
      <c r="E704" s="1" t="s">
        <v>384</v>
      </c>
      <c r="F704" s="1" t="s">
        <v>361</v>
      </c>
      <c r="G704">
        <f t="shared" si="112"/>
        <v>7</v>
      </c>
      <c r="H704" t="str">
        <f t="shared" si="123"/>
        <v>BTC</v>
      </c>
      <c r="I704" t="str">
        <f>LEFT(B704,4)</f>
        <v>DCYP</v>
      </c>
      <c r="J704" t="str">
        <f t="shared" si="113"/>
        <v>BTCDCYP</v>
      </c>
      <c r="K704" t="str">
        <f t="shared" si="114"/>
        <v>DCYPBTC</v>
      </c>
      <c r="L704">
        <f t="shared" si="115"/>
        <v>0</v>
      </c>
      <c r="M704">
        <f t="shared" si="116"/>
        <v>1</v>
      </c>
      <c r="N704" t="b">
        <f t="shared" si="117"/>
        <v>1</v>
      </c>
    </row>
    <row r="705" spans="1:14" hidden="1" x14ac:dyDescent="0.25">
      <c r="A705" t="s">
        <v>1403</v>
      </c>
      <c r="B705" t="s">
        <v>1430</v>
      </c>
      <c r="C705" s="1" t="s">
        <v>409</v>
      </c>
      <c r="D705" s="1">
        <v>7.1999999999999999E-7</v>
      </c>
      <c r="E705" s="1">
        <v>1.06E-6</v>
      </c>
      <c r="F705" s="1">
        <v>6.6000000000000003E-7</v>
      </c>
      <c r="G705">
        <f t="shared" ref="G705:G768" si="124">LEN(B705)</f>
        <v>6</v>
      </c>
      <c r="H705" t="str">
        <f t="shared" si="123"/>
        <v>BTC</v>
      </c>
      <c r="I705" t="str">
        <f t="shared" ref="I705:I710" si="125">LEFT(B705,3)</f>
        <v>DDC</v>
      </c>
      <c r="J705" t="str">
        <f t="shared" ref="J705:J768" si="126">CONCATENATE(H705,I705)</f>
        <v>BTCDDC</v>
      </c>
      <c r="K705" t="str">
        <f t="shared" ref="K705:K768" si="127">CONCATENATE(I705,H705)</f>
        <v>DDCBTC</v>
      </c>
      <c r="L705">
        <f t="shared" ref="L705:L768" si="128">COUNTIF(B:B,J705)</f>
        <v>0</v>
      </c>
      <c r="M705">
        <f t="shared" ref="M705:M768" si="129">COUNTIF(B:B,K705)</f>
        <v>1</v>
      </c>
      <c r="N705" t="b">
        <f t="shared" ref="N705:N768" si="130">L705=0</f>
        <v>1</v>
      </c>
    </row>
    <row r="706" spans="1:14" hidden="1" x14ac:dyDescent="0.25">
      <c r="A706" t="s">
        <v>1403</v>
      </c>
      <c r="B706" t="s">
        <v>1942</v>
      </c>
      <c r="C706" s="1">
        <v>50.519736979999998</v>
      </c>
      <c r="D706" s="1">
        <v>50.519736979999998</v>
      </c>
      <c r="E706" s="1">
        <v>7</v>
      </c>
      <c r="F706" s="1">
        <v>1.000903E-2</v>
      </c>
      <c r="G706">
        <f t="shared" si="124"/>
        <v>7</v>
      </c>
      <c r="H706" t="str">
        <f>RIGHT(B706,4)</f>
        <v>DOGE</v>
      </c>
      <c r="I706" t="str">
        <f t="shared" si="125"/>
        <v>DDC</v>
      </c>
      <c r="J706" t="str">
        <f t="shared" si="126"/>
        <v>DOGEDDC</v>
      </c>
      <c r="K706" t="str">
        <f t="shared" si="127"/>
        <v>DDCDOGE</v>
      </c>
      <c r="L706">
        <f t="shared" si="128"/>
        <v>0</v>
      </c>
      <c r="M706">
        <f t="shared" si="129"/>
        <v>1</v>
      </c>
      <c r="N706" t="b">
        <f t="shared" si="130"/>
        <v>1</v>
      </c>
    </row>
    <row r="707" spans="1:14" hidden="1" x14ac:dyDescent="0.25">
      <c r="A707" t="s">
        <v>1403</v>
      </c>
      <c r="B707" t="s">
        <v>1750</v>
      </c>
      <c r="C707" s="1">
        <v>0</v>
      </c>
      <c r="D707" s="1">
        <v>0</v>
      </c>
      <c r="E707" s="1">
        <v>8.9981200000000001E-3</v>
      </c>
      <c r="F707" s="1">
        <v>1.6E-7</v>
      </c>
      <c r="G707">
        <f t="shared" si="124"/>
        <v>6</v>
      </c>
      <c r="H707" t="str">
        <f t="shared" ref="H707:H714" si="131">RIGHT(B707,3)</f>
        <v>LTC</v>
      </c>
      <c r="I707" t="str">
        <f t="shared" si="125"/>
        <v>DDC</v>
      </c>
      <c r="J707" t="str">
        <f t="shared" si="126"/>
        <v>LTCDDC</v>
      </c>
      <c r="K707" t="str">
        <f t="shared" si="127"/>
        <v>DDCLTC</v>
      </c>
      <c r="L707">
        <f t="shared" si="128"/>
        <v>0</v>
      </c>
      <c r="M707">
        <f t="shared" si="129"/>
        <v>1</v>
      </c>
      <c r="N707" t="b">
        <f t="shared" si="130"/>
        <v>1</v>
      </c>
    </row>
    <row r="708" spans="1:14" hidden="1" x14ac:dyDescent="0.25">
      <c r="A708" t="s">
        <v>1403</v>
      </c>
      <c r="B708" t="s">
        <v>1569</v>
      </c>
      <c r="C708" s="1">
        <v>1.9891099999999998E-2</v>
      </c>
      <c r="D708" s="1">
        <v>1.9891099999999998E-2</v>
      </c>
      <c r="E708" s="1">
        <v>1.499486E-2</v>
      </c>
      <c r="F708" s="1">
        <v>5.0109999999999998E-4</v>
      </c>
      <c r="G708">
        <f t="shared" si="124"/>
        <v>6</v>
      </c>
      <c r="H708" t="str">
        <f t="shared" si="131"/>
        <v>USD</v>
      </c>
      <c r="I708" t="str">
        <f t="shared" si="125"/>
        <v>DDC</v>
      </c>
      <c r="J708" t="str">
        <f t="shared" si="126"/>
        <v>USDDDC</v>
      </c>
      <c r="K708" t="str">
        <f t="shared" si="127"/>
        <v>DDCUSD</v>
      </c>
      <c r="L708">
        <f t="shared" si="128"/>
        <v>0</v>
      </c>
      <c r="M708">
        <f t="shared" si="129"/>
        <v>1</v>
      </c>
      <c r="N708" t="b">
        <f t="shared" si="130"/>
        <v>1</v>
      </c>
    </row>
    <row r="709" spans="1:14" hidden="1" x14ac:dyDescent="0.25">
      <c r="A709" t="s">
        <v>5</v>
      </c>
      <c r="B709" t="s">
        <v>1000</v>
      </c>
      <c r="C709" s="1">
        <v>1.1000000000000001E-7</v>
      </c>
      <c r="D709" s="1" t="s">
        <v>539</v>
      </c>
      <c r="E709" s="1">
        <v>1.1000000000000001E-7</v>
      </c>
      <c r="F709" s="1" t="s">
        <v>539</v>
      </c>
      <c r="G709">
        <f t="shared" si="124"/>
        <v>6</v>
      </c>
      <c r="H709" t="str">
        <f t="shared" si="131"/>
        <v>BTC</v>
      </c>
      <c r="I709" t="str">
        <f t="shared" si="125"/>
        <v>DEA</v>
      </c>
      <c r="J709" t="str">
        <f t="shared" si="126"/>
        <v>BTCDEA</v>
      </c>
      <c r="K709" t="str">
        <f t="shared" si="127"/>
        <v>DEABTC</v>
      </c>
      <c r="L709">
        <f t="shared" si="128"/>
        <v>0</v>
      </c>
      <c r="M709">
        <f t="shared" si="129"/>
        <v>1</v>
      </c>
      <c r="N709" t="b">
        <f t="shared" si="130"/>
        <v>1</v>
      </c>
    </row>
    <row r="710" spans="1:14" hidden="1" x14ac:dyDescent="0.25">
      <c r="A710" t="s">
        <v>5</v>
      </c>
      <c r="B710" t="s">
        <v>707</v>
      </c>
      <c r="C710" s="1" t="s">
        <v>364</v>
      </c>
      <c r="D710" s="1">
        <v>1.0000395200000001</v>
      </c>
      <c r="E710" s="1">
        <v>9.7999999999999993E-7</v>
      </c>
      <c r="F710" s="1">
        <v>0.206570738414111</v>
      </c>
      <c r="G710">
        <f t="shared" si="124"/>
        <v>6</v>
      </c>
      <c r="H710" t="str">
        <f t="shared" si="131"/>
        <v>BTC</v>
      </c>
      <c r="I710" t="str">
        <f t="shared" si="125"/>
        <v>DEC</v>
      </c>
      <c r="J710" t="str">
        <f t="shared" si="126"/>
        <v>BTCDEC</v>
      </c>
      <c r="K710" t="str">
        <f t="shared" si="127"/>
        <v>DECBTC</v>
      </c>
      <c r="L710">
        <f t="shared" si="128"/>
        <v>0</v>
      </c>
      <c r="M710">
        <f t="shared" si="129"/>
        <v>1</v>
      </c>
      <c r="N710" t="b">
        <f t="shared" si="130"/>
        <v>1</v>
      </c>
    </row>
    <row r="711" spans="1:14" hidden="1" x14ac:dyDescent="0.25">
      <c r="A711" t="s">
        <v>5</v>
      </c>
      <c r="B711" t="s">
        <v>932</v>
      </c>
      <c r="C711" s="1">
        <v>2.7276999999999998E-4</v>
      </c>
      <c r="D711" s="1">
        <v>2.5509000000000003E-4</v>
      </c>
      <c r="E711" s="1">
        <v>2.7276999999999998E-4</v>
      </c>
      <c r="F711" s="1">
        <v>2.5509000000000003E-4</v>
      </c>
      <c r="G711">
        <f t="shared" si="124"/>
        <v>7</v>
      </c>
      <c r="H711" t="str">
        <f t="shared" si="131"/>
        <v>BTC</v>
      </c>
      <c r="I711" t="str">
        <f>LEFT(B711,4)</f>
        <v>DECR</v>
      </c>
      <c r="J711" t="str">
        <f t="shared" si="126"/>
        <v>BTCDECR</v>
      </c>
      <c r="K711" t="str">
        <f t="shared" si="127"/>
        <v>DECRBTC</v>
      </c>
      <c r="L711">
        <f t="shared" si="128"/>
        <v>0</v>
      </c>
      <c r="M711">
        <f t="shared" si="129"/>
        <v>1</v>
      </c>
      <c r="N711" t="b">
        <f t="shared" si="130"/>
        <v>1</v>
      </c>
    </row>
    <row r="712" spans="1:14" hidden="1" x14ac:dyDescent="0.25">
      <c r="A712" t="s">
        <v>5</v>
      </c>
      <c r="B712" t="s">
        <v>916</v>
      </c>
      <c r="C712" s="1">
        <v>7.6299999999999998E-6</v>
      </c>
      <c r="D712" s="1">
        <v>6.5599999999999999E-6</v>
      </c>
      <c r="E712" s="1">
        <v>7.6299999999999998E-6</v>
      </c>
      <c r="F712" s="1">
        <v>6.5599999999999999E-6</v>
      </c>
      <c r="G712">
        <f t="shared" si="124"/>
        <v>6</v>
      </c>
      <c r="H712" t="str">
        <f t="shared" si="131"/>
        <v>BTC</v>
      </c>
      <c r="I712" t="str">
        <f>LEFT(B712,3)</f>
        <v>DEM</v>
      </c>
      <c r="J712" t="str">
        <f t="shared" si="126"/>
        <v>BTCDEM</v>
      </c>
      <c r="K712" t="str">
        <f t="shared" si="127"/>
        <v>DEMBTC</v>
      </c>
      <c r="L712">
        <f t="shared" si="128"/>
        <v>0</v>
      </c>
      <c r="M712">
        <f t="shared" si="129"/>
        <v>1</v>
      </c>
      <c r="N712" t="b">
        <f t="shared" si="130"/>
        <v>1</v>
      </c>
    </row>
    <row r="713" spans="1:14" hidden="1" x14ac:dyDescent="0.25">
      <c r="A713" t="s">
        <v>5</v>
      </c>
      <c r="B713" t="s">
        <v>625</v>
      </c>
      <c r="C713" s="1">
        <v>6.9500000000000004E-6</v>
      </c>
      <c r="D713" s="1">
        <v>5.6200000000000004E-6</v>
      </c>
      <c r="E713" s="1">
        <v>6.9500000000000004E-6</v>
      </c>
      <c r="F713" s="1">
        <v>5.6200000000000004E-6</v>
      </c>
      <c r="G713">
        <f t="shared" si="124"/>
        <v>6</v>
      </c>
      <c r="H713" t="str">
        <f t="shared" si="131"/>
        <v>BTC</v>
      </c>
      <c r="I713" t="str">
        <f>LEFT(B713,3)</f>
        <v>DES</v>
      </c>
      <c r="J713" t="str">
        <f t="shared" si="126"/>
        <v>BTCDES</v>
      </c>
      <c r="K713" t="str">
        <f t="shared" si="127"/>
        <v>DESBTC</v>
      </c>
      <c r="L713">
        <f t="shared" si="128"/>
        <v>0</v>
      </c>
      <c r="M713">
        <f t="shared" si="129"/>
        <v>1</v>
      </c>
      <c r="N713" t="b">
        <f t="shared" si="130"/>
        <v>1</v>
      </c>
    </row>
    <row r="714" spans="1:14" hidden="1" x14ac:dyDescent="0.25">
      <c r="A714" t="s">
        <v>1403</v>
      </c>
      <c r="B714" t="s">
        <v>1431</v>
      </c>
      <c r="C714" s="1" t="s">
        <v>384</v>
      </c>
      <c r="D714" s="1" t="s">
        <v>381</v>
      </c>
      <c r="E714" s="1" t="s">
        <v>381</v>
      </c>
      <c r="F714" s="1" t="s">
        <v>384</v>
      </c>
      <c r="G714">
        <f t="shared" si="124"/>
        <v>7</v>
      </c>
      <c r="H714" t="str">
        <f t="shared" si="131"/>
        <v>BTC</v>
      </c>
      <c r="I714" t="str">
        <f t="shared" ref="I714:I722" si="132">LEFT(B714,4)</f>
        <v>DESH</v>
      </c>
      <c r="J714" t="str">
        <f t="shared" si="126"/>
        <v>BTCDESH</v>
      </c>
      <c r="K714" t="str">
        <f t="shared" si="127"/>
        <v>DESHBTC</v>
      </c>
      <c r="L714">
        <f t="shared" si="128"/>
        <v>0</v>
      </c>
      <c r="M714">
        <f t="shared" si="129"/>
        <v>1</v>
      </c>
      <c r="N714" t="b">
        <f t="shared" si="130"/>
        <v>1</v>
      </c>
    </row>
    <row r="715" spans="1:14" hidden="1" x14ac:dyDescent="0.25">
      <c r="A715" t="s">
        <v>1403</v>
      </c>
      <c r="B715" t="s">
        <v>1943</v>
      </c>
      <c r="C715" s="1">
        <v>0.39899999000000003</v>
      </c>
      <c r="D715" s="1">
        <v>0.39899999000000003</v>
      </c>
      <c r="E715" s="1">
        <v>0.39</v>
      </c>
      <c r="F715" s="1">
        <v>5.4779299999999998E-3</v>
      </c>
      <c r="G715">
        <f t="shared" si="124"/>
        <v>8</v>
      </c>
      <c r="H715" t="str">
        <f>RIGHT(B715,4)</f>
        <v>DOGE</v>
      </c>
      <c r="I715" t="str">
        <f t="shared" si="132"/>
        <v>DESH</v>
      </c>
      <c r="J715" t="str">
        <f t="shared" si="126"/>
        <v>DOGEDESH</v>
      </c>
      <c r="K715" t="str">
        <f t="shared" si="127"/>
        <v>DESHDOGE</v>
      </c>
      <c r="L715">
        <f t="shared" si="128"/>
        <v>0</v>
      </c>
      <c r="M715">
        <f t="shared" si="129"/>
        <v>1</v>
      </c>
      <c r="N715" t="b">
        <f t="shared" si="130"/>
        <v>1</v>
      </c>
    </row>
    <row r="716" spans="1:14" hidden="1" x14ac:dyDescent="0.25">
      <c r="A716" t="s">
        <v>1403</v>
      </c>
      <c r="B716" t="s">
        <v>1751</v>
      </c>
      <c r="C716" s="1">
        <v>1.5849999999999999E-5</v>
      </c>
      <c r="D716" s="1">
        <v>1.5849999999999999E-5</v>
      </c>
      <c r="E716" s="1">
        <v>1.579E-5</v>
      </c>
      <c r="F716" s="1">
        <v>1.19E-6</v>
      </c>
      <c r="G716">
        <f t="shared" si="124"/>
        <v>7</v>
      </c>
      <c r="H716" t="str">
        <f>RIGHT(B716,3)</f>
        <v>LTC</v>
      </c>
      <c r="I716" t="str">
        <f t="shared" si="132"/>
        <v>DESH</v>
      </c>
      <c r="J716" t="str">
        <f t="shared" si="126"/>
        <v>LTCDESH</v>
      </c>
      <c r="K716" t="str">
        <f t="shared" si="127"/>
        <v>DESHLTC</v>
      </c>
      <c r="L716">
        <f t="shared" si="128"/>
        <v>0</v>
      </c>
      <c r="M716">
        <f t="shared" si="129"/>
        <v>1</v>
      </c>
      <c r="N716" t="b">
        <f t="shared" si="130"/>
        <v>1</v>
      </c>
    </row>
    <row r="717" spans="1:14" hidden="1" x14ac:dyDescent="0.25">
      <c r="A717" t="s">
        <v>1403</v>
      </c>
      <c r="B717" t="s">
        <v>1570</v>
      </c>
      <c r="C717" s="1">
        <v>2.0900000000000001E-4</v>
      </c>
      <c r="D717" s="1">
        <v>2.0900000000000001E-4</v>
      </c>
      <c r="E717" s="1">
        <v>1.9990000000000001E-4</v>
      </c>
      <c r="F717" s="1">
        <v>2.0049999999999999E-5</v>
      </c>
      <c r="G717">
        <f t="shared" si="124"/>
        <v>7</v>
      </c>
      <c r="H717" t="str">
        <f>RIGHT(B717,3)</f>
        <v>USD</v>
      </c>
      <c r="I717" t="str">
        <f t="shared" si="132"/>
        <v>DESH</v>
      </c>
      <c r="J717" t="str">
        <f t="shared" si="126"/>
        <v>USDDESH</v>
      </c>
      <c r="K717" t="str">
        <f t="shared" si="127"/>
        <v>DESHUSD</v>
      </c>
      <c r="L717">
        <f t="shared" si="128"/>
        <v>0</v>
      </c>
      <c r="M717">
        <f t="shared" si="129"/>
        <v>1</v>
      </c>
      <c r="N717" t="b">
        <f t="shared" si="130"/>
        <v>1</v>
      </c>
    </row>
    <row r="718" spans="1:14" hidden="1" x14ac:dyDescent="0.25">
      <c r="A718" t="s">
        <v>5</v>
      </c>
      <c r="B718" t="s">
        <v>730</v>
      </c>
      <c r="C718" s="1">
        <v>4.0999999999999999E-7</v>
      </c>
      <c r="D718" s="1">
        <v>3.7E-7</v>
      </c>
      <c r="E718" s="1">
        <v>4.0999999999999999E-7</v>
      </c>
      <c r="F718" s="1">
        <v>3.7E-7</v>
      </c>
      <c r="G718">
        <f t="shared" si="124"/>
        <v>7</v>
      </c>
      <c r="H718" t="str">
        <f>RIGHT(B718,3)</f>
        <v>BTC</v>
      </c>
      <c r="I718" t="str">
        <f t="shared" si="132"/>
        <v>DETH</v>
      </c>
      <c r="J718" t="str">
        <f t="shared" si="126"/>
        <v>BTCDETH</v>
      </c>
      <c r="K718" t="str">
        <f t="shared" si="127"/>
        <v>DETHBTC</v>
      </c>
      <c r="L718">
        <f t="shared" si="128"/>
        <v>0</v>
      </c>
      <c r="M718">
        <f t="shared" si="129"/>
        <v>1</v>
      </c>
      <c r="N718" t="b">
        <f t="shared" si="130"/>
        <v>1</v>
      </c>
    </row>
    <row r="719" spans="1:14" hidden="1" x14ac:dyDescent="0.25">
      <c r="A719" t="s">
        <v>1403</v>
      </c>
      <c r="B719" t="s">
        <v>1432</v>
      </c>
      <c r="C719" s="1">
        <v>5.1549999999999999E-5</v>
      </c>
      <c r="D719" s="1">
        <v>5.1549999999999999E-5</v>
      </c>
      <c r="E719" s="1">
        <v>5.1990000000000002E-5</v>
      </c>
      <c r="F719" s="1">
        <v>4.8260000000000002E-5</v>
      </c>
      <c r="G719">
        <f t="shared" si="124"/>
        <v>7</v>
      </c>
      <c r="H719" t="str">
        <f>RIGHT(B719,3)</f>
        <v>BTC</v>
      </c>
      <c r="I719" t="str">
        <f t="shared" si="132"/>
        <v>DEUS</v>
      </c>
      <c r="J719" t="str">
        <f t="shared" si="126"/>
        <v>BTCDEUS</v>
      </c>
      <c r="K719" t="str">
        <f t="shared" si="127"/>
        <v>DEUSBTC</v>
      </c>
      <c r="L719">
        <f t="shared" si="128"/>
        <v>0</v>
      </c>
      <c r="M719">
        <f t="shared" si="129"/>
        <v>1</v>
      </c>
      <c r="N719" t="b">
        <f t="shared" si="130"/>
        <v>1</v>
      </c>
    </row>
    <row r="720" spans="1:14" hidden="1" x14ac:dyDescent="0.25">
      <c r="A720" t="s">
        <v>1403</v>
      </c>
      <c r="B720" t="s">
        <v>1944</v>
      </c>
      <c r="C720" s="1">
        <v>8000</v>
      </c>
      <c r="D720" s="1">
        <v>8000</v>
      </c>
      <c r="E720" s="1">
        <v>8000</v>
      </c>
      <c r="F720" s="1">
        <v>1.8100005800000001</v>
      </c>
      <c r="G720">
        <f t="shared" si="124"/>
        <v>8</v>
      </c>
      <c r="H720" t="str">
        <f>RIGHT(B720,4)</f>
        <v>DOGE</v>
      </c>
      <c r="I720" t="str">
        <f t="shared" si="132"/>
        <v>DEUS</v>
      </c>
      <c r="J720" t="str">
        <f t="shared" si="126"/>
        <v>DOGEDEUS</v>
      </c>
      <c r="K720" t="str">
        <f t="shared" si="127"/>
        <v>DEUSDOGE</v>
      </c>
      <c r="L720">
        <f t="shared" si="128"/>
        <v>0</v>
      </c>
      <c r="M720">
        <f t="shared" si="129"/>
        <v>1</v>
      </c>
      <c r="N720" t="b">
        <f t="shared" si="130"/>
        <v>1</v>
      </c>
    </row>
    <row r="721" spans="1:14" hidden="1" x14ac:dyDescent="0.25">
      <c r="A721" t="s">
        <v>1403</v>
      </c>
      <c r="B721" t="s">
        <v>1752</v>
      </c>
      <c r="C721" s="1">
        <v>0.19999997</v>
      </c>
      <c r="D721" s="1">
        <v>0.19999997</v>
      </c>
      <c r="E721" s="1">
        <v>0.19999987</v>
      </c>
      <c r="F721" s="1">
        <v>9.0060000000000002E-5</v>
      </c>
      <c r="G721">
        <f t="shared" si="124"/>
        <v>7</v>
      </c>
      <c r="H721" t="str">
        <f t="shared" ref="H721:H744" si="133">RIGHT(B721,3)</f>
        <v>LTC</v>
      </c>
      <c r="I721" t="str">
        <f t="shared" si="132"/>
        <v>DEUS</v>
      </c>
      <c r="J721" t="str">
        <f t="shared" si="126"/>
        <v>LTCDEUS</v>
      </c>
      <c r="K721" t="str">
        <f t="shared" si="127"/>
        <v>DEUSLTC</v>
      </c>
      <c r="L721">
        <f t="shared" si="128"/>
        <v>0</v>
      </c>
      <c r="M721">
        <f t="shared" si="129"/>
        <v>1</v>
      </c>
      <c r="N721" t="b">
        <f t="shared" si="130"/>
        <v>1</v>
      </c>
    </row>
    <row r="722" spans="1:14" hidden="1" x14ac:dyDescent="0.25">
      <c r="A722" t="s">
        <v>1403</v>
      </c>
      <c r="B722" t="s">
        <v>1571</v>
      </c>
      <c r="C722" s="1">
        <v>0.3</v>
      </c>
      <c r="D722" s="1">
        <v>0.3</v>
      </c>
      <c r="E722" s="1">
        <v>0.3</v>
      </c>
      <c r="F722" s="1">
        <v>4.4109099999999997E-3</v>
      </c>
      <c r="G722">
        <f t="shared" si="124"/>
        <v>7</v>
      </c>
      <c r="H722" t="str">
        <f t="shared" si="133"/>
        <v>USD</v>
      </c>
      <c r="I722" t="str">
        <f t="shared" si="132"/>
        <v>DEUS</v>
      </c>
      <c r="J722" t="str">
        <f t="shared" si="126"/>
        <v>USDDEUS</v>
      </c>
      <c r="K722" t="str">
        <f t="shared" si="127"/>
        <v>DEUSUSD</v>
      </c>
      <c r="L722">
        <f t="shared" si="128"/>
        <v>0</v>
      </c>
      <c r="M722">
        <f t="shared" si="129"/>
        <v>1</v>
      </c>
      <c r="N722" t="b">
        <f t="shared" si="130"/>
        <v>1</v>
      </c>
    </row>
    <row r="723" spans="1:14" hidden="1" x14ac:dyDescent="0.25">
      <c r="A723" t="s">
        <v>5</v>
      </c>
      <c r="B723" t="s">
        <v>541</v>
      </c>
      <c r="C723" s="1">
        <v>6.6299999999999999E-5</v>
      </c>
      <c r="D723" s="1">
        <v>5.6289999999999998E-5</v>
      </c>
      <c r="E723" s="1">
        <v>6.6299999999999999E-5</v>
      </c>
      <c r="F723" s="1">
        <v>5.6289999999999998E-5</v>
      </c>
      <c r="G723">
        <f t="shared" si="124"/>
        <v>6</v>
      </c>
      <c r="H723" t="str">
        <f t="shared" si="133"/>
        <v>BTC</v>
      </c>
      <c r="I723" t="str">
        <f>LEFT(B723,3)</f>
        <v>DFT</v>
      </c>
      <c r="J723" t="str">
        <f t="shared" si="126"/>
        <v>BTCDFT</v>
      </c>
      <c r="K723" t="str">
        <f t="shared" si="127"/>
        <v>DFTBTC</v>
      </c>
      <c r="L723">
        <f t="shared" si="128"/>
        <v>0</v>
      </c>
      <c r="M723">
        <f t="shared" si="129"/>
        <v>1</v>
      </c>
      <c r="N723" t="b">
        <f t="shared" si="130"/>
        <v>1</v>
      </c>
    </row>
    <row r="724" spans="1:14" hidden="1" x14ac:dyDescent="0.25">
      <c r="A724" t="s">
        <v>5</v>
      </c>
      <c r="B724" t="s">
        <v>538</v>
      </c>
      <c r="C724" s="1" t="s">
        <v>539</v>
      </c>
      <c r="D724" s="1" t="s">
        <v>540</v>
      </c>
      <c r="E724" s="1" t="s">
        <v>539</v>
      </c>
      <c r="F724" s="1" t="s">
        <v>540</v>
      </c>
      <c r="G724">
        <f t="shared" si="124"/>
        <v>7</v>
      </c>
      <c r="H724" t="str">
        <f t="shared" si="133"/>
        <v>BTC</v>
      </c>
      <c r="I724" t="str">
        <f>LEFT(B724,4)</f>
        <v>DGCS</v>
      </c>
      <c r="J724" t="str">
        <f t="shared" si="126"/>
        <v>BTCDGCS</v>
      </c>
      <c r="K724" t="str">
        <f t="shared" si="127"/>
        <v>DGCSBTC</v>
      </c>
      <c r="L724">
        <f t="shared" si="128"/>
        <v>0</v>
      </c>
      <c r="M724">
        <f t="shared" si="129"/>
        <v>1</v>
      </c>
      <c r="N724" t="b">
        <f t="shared" si="130"/>
        <v>1</v>
      </c>
    </row>
    <row r="725" spans="1:14" hidden="1" x14ac:dyDescent="0.25">
      <c r="A725" t="s">
        <v>5</v>
      </c>
      <c r="B725" t="s">
        <v>413</v>
      </c>
      <c r="C725" s="1" t="s">
        <v>381</v>
      </c>
      <c r="D725" s="1" t="s">
        <v>384</v>
      </c>
      <c r="E725" s="1" t="s">
        <v>381</v>
      </c>
      <c r="F725" s="1" t="s">
        <v>384</v>
      </c>
      <c r="G725">
        <f t="shared" si="124"/>
        <v>7</v>
      </c>
      <c r="H725" t="str">
        <f t="shared" si="133"/>
        <v>BTC</v>
      </c>
      <c r="I725" t="str">
        <f>LEFT(B725,4)</f>
        <v>DGMS</v>
      </c>
      <c r="J725" t="str">
        <f t="shared" si="126"/>
        <v>BTCDGMS</v>
      </c>
      <c r="K725" t="str">
        <f t="shared" si="127"/>
        <v>DGMSBTC</v>
      </c>
      <c r="L725">
        <f t="shared" si="128"/>
        <v>0</v>
      </c>
      <c r="M725">
        <f t="shared" si="129"/>
        <v>1</v>
      </c>
      <c r="N725" t="b">
        <f t="shared" si="130"/>
        <v>1</v>
      </c>
    </row>
    <row r="726" spans="1:14" hidden="1" x14ac:dyDescent="0.25">
      <c r="A726" t="s">
        <v>5</v>
      </c>
      <c r="B726" t="s">
        <v>836</v>
      </c>
      <c r="C726" s="1">
        <v>1.4000000000000001E-7</v>
      </c>
      <c r="D726" s="1">
        <v>1.1999999999999999E-7</v>
      </c>
      <c r="E726" s="1">
        <v>1.4000000000000001E-7</v>
      </c>
      <c r="F726" s="1">
        <v>1.1999999999999999E-7</v>
      </c>
      <c r="G726">
        <f t="shared" si="124"/>
        <v>8</v>
      </c>
      <c r="H726" t="str">
        <f t="shared" si="133"/>
        <v>BTC</v>
      </c>
      <c r="I726" t="str">
        <f>LEFT(B726,5)</f>
        <v>DGORE</v>
      </c>
      <c r="J726" t="str">
        <f t="shared" si="126"/>
        <v>BTCDGORE</v>
      </c>
      <c r="K726" t="str">
        <f t="shared" si="127"/>
        <v>DGOREBTC</v>
      </c>
      <c r="L726">
        <f t="shared" si="128"/>
        <v>0</v>
      </c>
      <c r="M726">
        <f t="shared" si="129"/>
        <v>1</v>
      </c>
      <c r="N726" t="b">
        <f t="shared" si="130"/>
        <v>1</v>
      </c>
    </row>
    <row r="727" spans="1:14" hidden="1" x14ac:dyDescent="0.25">
      <c r="A727" t="s">
        <v>1239</v>
      </c>
      <c r="B727" t="s">
        <v>1322</v>
      </c>
      <c r="C727" s="1">
        <v>4.4990000000000001E-5</v>
      </c>
      <c r="D727" s="1">
        <v>3.9619999999999997E-5</v>
      </c>
      <c r="E727" s="1">
        <v>4.4990000000000001E-5</v>
      </c>
      <c r="F727" s="1">
        <v>3.9619999999999997E-5</v>
      </c>
      <c r="G727">
        <f t="shared" si="124"/>
        <v>7</v>
      </c>
      <c r="H727" t="str">
        <f t="shared" si="133"/>
        <v>BTC</v>
      </c>
      <c r="I727" t="str">
        <f t="shared" ref="I727:I734" si="134">LEFT(B727,4)</f>
        <v>DIBC</v>
      </c>
      <c r="J727" t="str">
        <f t="shared" si="126"/>
        <v>BTCDIBC</v>
      </c>
      <c r="K727" t="str">
        <f t="shared" si="127"/>
        <v>DIBCBTC</v>
      </c>
      <c r="L727">
        <f t="shared" si="128"/>
        <v>0</v>
      </c>
      <c r="M727">
        <f t="shared" si="129"/>
        <v>1</v>
      </c>
      <c r="N727" t="b">
        <f t="shared" si="130"/>
        <v>1</v>
      </c>
    </row>
    <row r="728" spans="1:14" hidden="1" x14ac:dyDescent="0.25">
      <c r="A728" t="s">
        <v>1239</v>
      </c>
      <c r="B728" t="s">
        <v>1323</v>
      </c>
      <c r="C728" s="1">
        <v>4.6990999999999998E-4</v>
      </c>
      <c r="D728" s="1">
        <v>2.2001E-4</v>
      </c>
      <c r="E728" s="1">
        <v>4.6990999999999998E-4</v>
      </c>
      <c r="F728" s="1">
        <v>2.2001E-4</v>
      </c>
      <c r="G728">
        <f t="shared" si="124"/>
        <v>7</v>
      </c>
      <c r="H728" t="str">
        <f t="shared" si="133"/>
        <v>ETH</v>
      </c>
      <c r="I728" t="str">
        <f t="shared" si="134"/>
        <v>DIBC</v>
      </c>
      <c r="J728" t="str">
        <f t="shared" si="126"/>
        <v>ETHDIBC</v>
      </c>
      <c r="K728" t="str">
        <f t="shared" si="127"/>
        <v>DIBCETH</v>
      </c>
      <c r="L728">
        <f t="shared" si="128"/>
        <v>0</v>
      </c>
      <c r="M728">
        <f t="shared" si="129"/>
        <v>1</v>
      </c>
      <c r="N728" t="b">
        <f t="shared" si="130"/>
        <v>1</v>
      </c>
    </row>
    <row r="729" spans="1:14" hidden="1" x14ac:dyDescent="0.25">
      <c r="A729" t="s">
        <v>1239</v>
      </c>
      <c r="B729" t="s">
        <v>1321</v>
      </c>
      <c r="C729" s="1">
        <v>0.13897999999999999</v>
      </c>
      <c r="D729" s="1">
        <v>8.8099999999999998E-2</v>
      </c>
      <c r="E729" s="1">
        <v>0.13897999999999999</v>
      </c>
      <c r="F729" s="1">
        <v>8.8099999999999998E-2</v>
      </c>
      <c r="G729">
        <f t="shared" si="124"/>
        <v>7</v>
      </c>
      <c r="H729" t="str">
        <f t="shared" si="133"/>
        <v>USD</v>
      </c>
      <c r="I729" t="str">
        <f t="shared" si="134"/>
        <v>DIBC</v>
      </c>
      <c r="J729" t="str">
        <f t="shared" si="126"/>
        <v>USDDIBC</v>
      </c>
      <c r="K729" t="str">
        <f t="shared" si="127"/>
        <v>DIBCUSD</v>
      </c>
      <c r="L729">
        <f t="shared" si="128"/>
        <v>0</v>
      </c>
      <c r="M729">
        <f t="shared" si="129"/>
        <v>1</v>
      </c>
      <c r="N729" t="b">
        <f t="shared" si="130"/>
        <v>1</v>
      </c>
    </row>
    <row r="730" spans="1:14" hidden="1" x14ac:dyDescent="0.25">
      <c r="A730" t="s">
        <v>1239</v>
      </c>
      <c r="B730" t="s">
        <v>1311</v>
      </c>
      <c r="C730" s="1" t="s">
        <v>1158</v>
      </c>
      <c r="D730" s="1" t="s">
        <v>364</v>
      </c>
      <c r="E730" s="1" t="s">
        <v>1158</v>
      </c>
      <c r="F730" s="1" t="s">
        <v>364</v>
      </c>
      <c r="G730">
        <f t="shared" si="124"/>
        <v>7</v>
      </c>
      <c r="H730" t="str">
        <f t="shared" si="133"/>
        <v>EUR</v>
      </c>
      <c r="I730" t="str">
        <f t="shared" si="134"/>
        <v>DIME</v>
      </c>
      <c r="J730" t="str">
        <f t="shared" si="126"/>
        <v>EURDIME</v>
      </c>
      <c r="K730" t="str">
        <f t="shared" si="127"/>
        <v>DIMEEUR</v>
      </c>
      <c r="L730">
        <f t="shared" si="128"/>
        <v>0</v>
      </c>
      <c r="M730">
        <f t="shared" si="129"/>
        <v>1</v>
      </c>
      <c r="N730" t="b">
        <f t="shared" si="130"/>
        <v>1</v>
      </c>
    </row>
    <row r="731" spans="1:14" hidden="1" x14ac:dyDescent="0.25">
      <c r="A731" t="s">
        <v>1239</v>
      </c>
      <c r="B731" t="s">
        <v>1312</v>
      </c>
      <c r="C731" s="1" t="s">
        <v>1313</v>
      </c>
      <c r="D731" s="1" t="s">
        <v>84</v>
      </c>
      <c r="E731" s="1" t="s">
        <v>1313</v>
      </c>
      <c r="F731" s="1" t="s">
        <v>84</v>
      </c>
      <c r="G731">
        <f t="shared" si="124"/>
        <v>7</v>
      </c>
      <c r="H731" t="str">
        <f t="shared" si="133"/>
        <v>RUR</v>
      </c>
      <c r="I731" t="str">
        <f t="shared" si="134"/>
        <v>DIME</v>
      </c>
      <c r="J731" t="str">
        <f t="shared" si="126"/>
        <v>RURDIME</v>
      </c>
      <c r="K731" t="str">
        <f t="shared" si="127"/>
        <v>DIMERUR</v>
      </c>
      <c r="L731">
        <f t="shared" si="128"/>
        <v>0</v>
      </c>
      <c r="M731">
        <f t="shared" si="129"/>
        <v>1</v>
      </c>
      <c r="N731" t="b">
        <f t="shared" si="130"/>
        <v>1</v>
      </c>
    </row>
    <row r="732" spans="1:14" hidden="1" x14ac:dyDescent="0.25">
      <c r="A732" t="s">
        <v>1239</v>
      </c>
      <c r="B732" t="s">
        <v>1310</v>
      </c>
      <c r="C732" s="1" t="s">
        <v>1158</v>
      </c>
      <c r="D732" s="1" t="s">
        <v>364</v>
      </c>
      <c r="E732" s="1" t="s">
        <v>1158</v>
      </c>
      <c r="F732" s="1" t="s">
        <v>364</v>
      </c>
      <c r="G732">
        <f t="shared" si="124"/>
        <v>7</v>
      </c>
      <c r="H732" t="str">
        <f t="shared" si="133"/>
        <v>USD</v>
      </c>
      <c r="I732" t="str">
        <f t="shared" si="134"/>
        <v>DIME</v>
      </c>
      <c r="J732" t="str">
        <f t="shared" si="126"/>
        <v>USDDIME</v>
      </c>
      <c r="K732" t="str">
        <f t="shared" si="127"/>
        <v>DIMEUSD</v>
      </c>
      <c r="L732">
        <f t="shared" si="128"/>
        <v>0</v>
      </c>
      <c r="M732">
        <f t="shared" si="129"/>
        <v>1</v>
      </c>
      <c r="N732" t="b">
        <f t="shared" si="130"/>
        <v>1</v>
      </c>
    </row>
    <row r="733" spans="1:14" hidden="1" x14ac:dyDescent="0.25">
      <c r="A733" t="s">
        <v>5</v>
      </c>
      <c r="B733" t="s">
        <v>1066</v>
      </c>
      <c r="C733" s="1" t="s">
        <v>362</v>
      </c>
      <c r="D733" s="1" t="s">
        <v>364</v>
      </c>
      <c r="E733" s="1" t="s">
        <v>362</v>
      </c>
      <c r="F733" s="1" t="s">
        <v>361</v>
      </c>
      <c r="G733">
        <f t="shared" si="124"/>
        <v>7</v>
      </c>
      <c r="H733" t="str">
        <f t="shared" si="133"/>
        <v>BTC</v>
      </c>
      <c r="I733" t="str">
        <f t="shared" si="134"/>
        <v>DIRT</v>
      </c>
      <c r="J733" t="str">
        <f t="shared" si="126"/>
        <v>BTCDIRT</v>
      </c>
      <c r="K733" t="str">
        <f t="shared" si="127"/>
        <v>DIRTBTC</v>
      </c>
      <c r="L733">
        <f t="shared" si="128"/>
        <v>0</v>
      </c>
      <c r="M733">
        <f t="shared" si="129"/>
        <v>1</v>
      </c>
      <c r="N733" t="b">
        <f t="shared" si="130"/>
        <v>1</v>
      </c>
    </row>
    <row r="734" spans="1:14" hidden="1" x14ac:dyDescent="0.25">
      <c r="A734" t="s">
        <v>5</v>
      </c>
      <c r="B734" t="s">
        <v>367</v>
      </c>
      <c r="C734" s="1">
        <v>2.1E-7</v>
      </c>
      <c r="D734" s="1" t="s">
        <v>368</v>
      </c>
      <c r="E734" s="1">
        <v>2.1E-7</v>
      </c>
      <c r="F734" s="1" t="s">
        <v>368</v>
      </c>
      <c r="G734">
        <f t="shared" si="124"/>
        <v>7</v>
      </c>
      <c r="H734" t="str">
        <f t="shared" si="133"/>
        <v>BTC</v>
      </c>
      <c r="I734" t="str">
        <f t="shared" si="134"/>
        <v>DISK</v>
      </c>
      <c r="J734" t="str">
        <f t="shared" si="126"/>
        <v>BTCDISK</v>
      </c>
      <c r="K734" t="str">
        <f t="shared" si="127"/>
        <v>DISKBTC</v>
      </c>
      <c r="L734">
        <f t="shared" si="128"/>
        <v>0</v>
      </c>
      <c r="M734">
        <f t="shared" si="129"/>
        <v>1</v>
      </c>
      <c r="N734" t="b">
        <f t="shared" si="130"/>
        <v>1</v>
      </c>
    </row>
    <row r="735" spans="1:14" hidden="1" x14ac:dyDescent="0.25">
      <c r="A735" t="s">
        <v>5</v>
      </c>
      <c r="B735" t="s">
        <v>677</v>
      </c>
      <c r="C735" s="1">
        <v>1.9000000000000001E-7</v>
      </c>
      <c r="D735" s="1">
        <v>1.6E-7</v>
      </c>
      <c r="E735" s="1">
        <v>1.9000000000000001E-7</v>
      </c>
      <c r="F735" s="1">
        <v>1.6E-7</v>
      </c>
      <c r="G735">
        <f t="shared" si="124"/>
        <v>6</v>
      </c>
      <c r="H735" t="str">
        <f t="shared" si="133"/>
        <v>BTC</v>
      </c>
      <c r="I735" t="str">
        <f>LEFT(B735,3)</f>
        <v>DKC</v>
      </c>
      <c r="J735" t="str">
        <f t="shared" si="126"/>
        <v>BTCDKC</v>
      </c>
      <c r="K735" t="str">
        <f t="shared" si="127"/>
        <v>DKCBTC</v>
      </c>
      <c r="L735">
        <f t="shared" si="128"/>
        <v>0</v>
      </c>
      <c r="M735">
        <f t="shared" si="129"/>
        <v>1</v>
      </c>
      <c r="N735" t="b">
        <f t="shared" si="130"/>
        <v>1</v>
      </c>
    </row>
    <row r="736" spans="1:14" hidden="1" x14ac:dyDescent="0.25">
      <c r="A736" t="s">
        <v>5</v>
      </c>
      <c r="B736" t="s">
        <v>944</v>
      </c>
      <c r="C736" s="1">
        <v>4.1999999999999996E-6</v>
      </c>
      <c r="D736" s="1">
        <v>3.1200000000000002E-6</v>
      </c>
      <c r="E736" s="1">
        <v>4.1999999999999996E-6</v>
      </c>
      <c r="F736" s="1">
        <v>3.1200000000000002E-6</v>
      </c>
      <c r="G736">
        <f t="shared" si="124"/>
        <v>6</v>
      </c>
      <c r="H736" t="str">
        <f t="shared" si="133"/>
        <v>BTC</v>
      </c>
      <c r="I736" t="str">
        <f>LEFT(B736,3)</f>
        <v>DLC</v>
      </c>
      <c r="J736" t="str">
        <f t="shared" si="126"/>
        <v>BTCDLC</v>
      </c>
      <c r="K736" t="str">
        <f t="shared" si="127"/>
        <v>DLCBTC</v>
      </c>
      <c r="L736">
        <f t="shared" si="128"/>
        <v>0</v>
      </c>
      <c r="M736">
        <f t="shared" si="129"/>
        <v>1</v>
      </c>
      <c r="N736" t="b">
        <f t="shared" si="130"/>
        <v>1</v>
      </c>
    </row>
    <row r="737" spans="1:14" hidden="1" x14ac:dyDescent="0.25">
      <c r="A737" t="s">
        <v>5</v>
      </c>
      <c r="B737" t="s">
        <v>678</v>
      </c>
      <c r="C737" s="1" t="s">
        <v>355</v>
      </c>
      <c r="D737" s="1" t="s">
        <v>540</v>
      </c>
      <c r="E737" s="1" t="s">
        <v>355</v>
      </c>
      <c r="F737" s="1" t="s">
        <v>540</v>
      </c>
      <c r="G737">
        <f t="shared" si="124"/>
        <v>8</v>
      </c>
      <c r="H737" t="str">
        <f t="shared" si="133"/>
        <v>BTC</v>
      </c>
      <c r="I737" t="str">
        <f>LEFT(B737,5)</f>
        <v>DLISK</v>
      </c>
      <c r="J737" t="str">
        <f t="shared" si="126"/>
        <v>BTCDLISK</v>
      </c>
      <c r="K737" t="str">
        <f t="shared" si="127"/>
        <v>DLISKBTC</v>
      </c>
      <c r="L737">
        <f t="shared" si="128"/>
        <v>0</v>
      </c>
      <c r="M737">
        <f t="shared" si="129"/>
        <v>1</v>
      </c>
      <c r="N737" t="b">
        <f t="shared" si="130"/>
        <v>1</v>
      </c>
    </row>
    <row r="738" spans="1:14" hidden="1" x14ac:dyDescent="0.25">
      <c r="A738" t="s">
        <v>1239</v>
      </c>
      <c r="B738" t="s">
        <v>1297</v>
      </c>
      <c r="C738" s="1">
        <v>1.199E-5</v>
      </c>
      <c r="D738" s="1">
        <v>1.198E-5</v>
      </c>
      <c r="E738" s="1">
        <v>1.199E-5</v>
      </c>
      <c r="F738" s="1">
        <v>9.010674784E-6</v>
      </c>
      <c r="G738">
        <f t="shared" si="124"/>
        <v>6</v>
      </c>
      <c r="H738" t="str">
        <f t="shared" si="133"/>
        <v>BTC</v>
      </c>
      <c r="I738" t="str">
        <f>LEFT(B738,3)</f>
        <v>DMC</v>
      </c>
      <c r="J738" t="str">
        <f t="shared" si="126"/>
        <v>BTCDMC</v>
      </c>
      <c r="K738" t="str">
        <f t="shared" si="127"/>
        <v>DMCBTC</v>
      </c>
      <c r="L738">
        <f t="shared" si="128"/>
        <v>0</v>
      </c>
      <c r="M738">
        <f t="shared" si="129"/>
        <v>1</v>
      </c>
      <c r="N738" t="b">
        <f t="shared" si="130"/>
        <v>1</v>
      </c>
    </row>
    <row r="739" spans="1:14" hidden="1" x14ac:dyDescent="0.25">
      <c r="A739" t="s">
        <v>1239</v>
      </c>
      <c r="B739" t="s">
        <v>1296</v>
      </c>
      <c r="C739" s="1">
        <v>3.4959999999999998E-2</v>
      </c>
      <c r="D739" s="1">
        <v>2.503E-2</v>
      </c>
      <c r="E739" s="1">
        <v>3.4959999999999998E-2</v>
      </c>
      <c r="F739" s="1">
        <v>2.503E-2</v>
      </c>
      <c r="G739">
        <f t="shared" si="124"/>
        <v>6</v>
      </c>
      <c r="H739" t="str">
        <f t="shared" si="133"/>
        <v>USD</v>
      </c>
      <c r="I739" t="str">
        <f>LEFT(B739,3)</f>
        <v>DMC</v>
      </c>
      <c r="J739" t="str">
        <f t="shared" si="126"/>
        <v>USDDMC</v>
      </c>
      <c r="K739" t="str">
        <f t="shared" si="127"/>
        <v>DMCUSD</v>
      </c>
      <c r="L739">
        <f t="shared" si="128"/>
        <v>0</v>
      </c>
      <c r="M739">
        <f t="shared" si="129"/>
        <v>1</v>
      </c>
      <c r="N739" t="b">
        <f t="shared" si="130"/>
        <v>1</v>
      </c>
    </row>
    <row r="740" spans="1:14" hidden="1" x14ac:dyDescent="0.25">
      <c r="A740" t="s">
        <v>1403</v>
      </c>
      <c r="B740" t="s">
        <v>1753</v>
      </c>
      <c r="C740" s="1">
        <v>3.7429999999999999E-5</v>
      </c>
      <c r="D740" s="1">
        <v>9.9980000000000002E-5</v>
      </c>
      <c r="E740" s="1">
        <v>9.9980000000000002E-5</v>
      </c>
      <c r="F740" s="1">
        <v>8.9909999999999998E-5</v>
      </c>
      <c r="G740">
        <f t="shared" si="124"/>
        <v>7</v>
      </c>
      <c r="H740" t="str">
        <f t="shared" si="133"/>
        <v>LTC</v>
      </c>
      <c r="I740" t="str">
        <f>LEFT(B740,4)</f>
        <v>DOGE</v>
      </c>
      <c r="J740" t="str">
        <f t="shared" si="126"/>
        <v>LTCDOGE</v>
      </c>
      <c r="K740" t="str">
        <f t="shared" si="127"/>
        <v>DOGELTC</v>
      </c>
      <c r="L740">
        <f t="shared" si="128"/>
        <v>0</v>
      </c>
      <c r="M740">
        <f t="shared" si="129"/>
        <v>1</v>
      </c>
      <c r="N740" t="b">
        <f t="shared" si="130"/>
        <v>1</v>
      </c>
    </row>
    <row r="741" spans="1:14" hidden="1" x14ac:dyDescent="0.25">
      <c r="A741" t="s">
        <v>5</v>
      </c>
      <c r="B741" t="s">
        <v>560</v>
      </c>
      <c r="C741" s="1">
        <v>0.17350513000000001</v>
      </c>
      <c r="D741" s="1">
        <v>0.17086826999999999</v>
      </c>
      <c r="E741" s="1">
        <v>0.17350513000000001</v>
      </c>
      <c r="F741" s="1">
        <v>0.17086826999999999</v>
      </c>
      <c r="G741">
        <f t="shared" si="124"/>
        <v>7</v>
      </c>
      <c r="H741" t="str">
        <f t="shared" si="133"/>
        <v>RUR</v>
      </c>
      <c r="I741" t="str">
        <f>LEFT(B741,4)</f>
        <v>DOGE</v>
      </c>
      <c r="J741" t="str">
        <f t="shared" si="126"/>
        <v>RURDOGE</v>
      </c>
      <c r="K741" t="str">
        <f t="shared" si="127"/>
        <v>DOGERUR</v>
      </c>
      <c r="L741">
        <f t="shared" si="128"/>
        <v>0</v>
      </c>
      <c r="M741">
        <f t="shared" si="129"/>
        <v>1</v>
      </c>
      <c r="N741" t="b">
        <f t="shared" si="130"/>
        <v>1</v>
      </c>
    </row>
    <row r="742" spans="1:14" hidden="1" x14ac:dyDescent="0.25">
      <c r="A742" t="s">
        <v>5</v>
      </c>
      <c r="B742" t="s">
        <v>762</v>
      </c>
      <c r="C742" s="1">
        <v>6.8999999999999996E-7</v>
      </c>
      <c r="D742" s="1">
        <v>6.7999999999999995E-7</v>
      </c>
      <c r="E742" s="1">
        <v>6.8999999999999996E-7</v>
      </c>
      <c r="F742" s="1">
        <v>6.7999999999999995E-7</v>
      </c>
      <c r="G742">
        <f t="shared" si="124"/>
        <v>9</v>
      </c>
      <c r="H742" t="str">
        <f t="shared" si="133"/>
        <v>BTC</v>
      </c>
      <c r="I742" t="str">
        <f>LEFT(B742,6)</f>
        <v>DOGETH</v>
      </c>
      <c r="J742" t="str">
        <f t="shared" si="126"/>
        <v>BTCDOGETH</v>
      </c>
      <c r="K742" t="str">
        <f t="shared" si="127"/>
        <v>DOGETHBTC</v>
      </c>
      <c r="L742">
        <f t="shared" si="128"/>
        <v>0</v>
      </c>
      <c r="M742">
        <f t="shared" si="129"/>
        <v>1</v>
      </c>
      <c r="N742" t="b">
        <f t="shared" si="130"/>
        <v>1</v>
      </c>
    </row>
    <row r="743" spans="1:14" hidden="1" x14ac:dyDescent="0.25">
      <c r="A743" t="s">
        <v>1239</v>
      </c>
      <c r="B743" t="s">
        <v>1302</v>
      </c>
      <c r="C743" s="1">
        <v>2.2099999999999998E-5</v>
      </c>
      <c r="D743" s="1">
        <v>2.1999999999999999E-5</v>
      </c>
      <c r="E743" s="1">
        <v>2.2099999999999998E-5</v>
      </c>
      <c r="F743" s="1">
        <v>2.1999999999999999E-5</v>
      </c>
      <c r="G743">
        <f t="shared" si="124"/>
        <v>9</v>
      </c>
      <c r="H743" t="str">
        <f t="shared" si="133"/>
        <v>BTC</v>
      </c>
      <c r="I743" t="str">
        <f>LEFT(B743,6)</f>
        <v>DOLLAR</v>
      </c>
      <c r="J743" t="str">
        <f t="shared" si="126"/>
        <v>BTCDOLLAR</v>
      </c>
      <c r="K743" t="str">
        <f t="shared" si="127"/>
        <v>DOLLARBTC</v>
      </c>
      <c r="L743">
        <f t="shared" si="128"/>
        <v>0</v>
      </c>
      <c r="M743">
        <f t="shared" si="129"/>
        <v>1</v>
      </c>
      <c r="N743" t="b">
        <f t="shared" si="130"/>
        <v>1</v>
      </c>
    </row>
    <row r="744" spans="1:14" hidden="1" x14ac:dyDescent="0.25">
      <c r="A744" t="s">
        <v>1403</v>
      </c>
      <c r="B744" t="s">
        <v>1433</v>
      </c>
      <c r="C744" s="1">
        <v>2.8100000000000002E-6</v>
      </c>
      <c r="D744" s="1">
        <v>3.4599999999999999E-6</v>
      </c>
      <c r="E744" s="1">
        <v>3.4699999999999998E-6</v>
      </c>
      <c r="F744" s="1">
        <v>2.8100000000000002E-6</v>
      </c>
      <c r="G744">
        <f t="shared" si="124"/>
        <v>6</v>
      </c>
      <c r="H744" t="str">
        <f t="shared" si="133"/>
        <v>BTC</v>
      </c>
      <c r="I744" t="str">
        <f>LEFT(B744,3)</f>
        <v>DOV</v>
      </c>
      <c r="J744" t="str">
        <f t="shared" si="126"/>
        <v>BTCDOV</v>
      </c>
      <c r="K744" t="str">
        <f t="shared" si="127"/>
        <v>DOVBTC</v>
      </c>
      <c r="L744">
        <f t="shared" si="128"/>
        <v>0</v>
      </c>
      <c r="M744">
        <f t="shared" si="129"/>
        <v>1</v>
      </c>
      <c r="N744" t="b">
        <f t="shared" si="130"/>
        <v>1</v>
      </c>
    </row>
    <row r="745" spans="1:14" hidden="1" x14ac:dyDescent="0.25">
      <c r="A745" t="s">
        <v>1403</v>
      </c>
      <c r="B745" t="s">
        <v>1945</v>
      </c>
      <c r="C745" s="1">
        <v>42</v>
      </c>
      <c r="D745" s="1">
        <v>42</v>
      </c>
      <c r="E745" s="1">
        <v>42.849998960000001</v>
      </c>
      <c r="F745" s="1">
        <v>0.70000008999999996</v>
      </c>
      <c r="G745">
        <f t="shared" si="124"/>
        <v>7</v>
      </c>
      <c r="H745" t="str">
        <f>RIGHT(B745,4)</f>
        <v>DOGE</v>
      </c>
      <c r="I745" t="str">
        <f>LEFT(B745,3)</f>
        <v>DOV</v>
      </c>
      <c r="J745" t="str">
        <f t="shared" si="126"/>
        <v>DOGEDOV</v>
      </c>
      <c r="K745" t="str">
        <f t="shared" si="127"/>
        <v>DOVDOGE</v>
      </c>
      <c r="L745">
        <f t="shared" si="128"/>
        <v>0</v>
      </c>
      <c r="M745">
        <f t="shared" si="129"/>
        <v>1</v>
      </c>
      <c r="N745" t="b">
        <f t="shared" si="130"/>
        <v>1</v>
      </c>
    </row>
    <row r="746" spans="1:14" hidden="1" x14ac:dyDescent="0.25">
      <c r="A746" t="s">
        <v>1403</v>
      </c>
      <c r="B746" t="s">
        <v>1754</v>
      </c>
      <c r="C746" s="1">
        <v>1.0006E-4</v>
      </c>
      <c r="D746" s="1">
        <v>1.0006E-4</v>
      </c>
      <c r="E746" s="1">
        <v>7.7776680000000001E-2</v>
      </c>
      <c r="F746" s="1">
        <v>1.0006E-4</v>
      </c>
      <c r="G746">
        <f t="shared" si="124"/>
        <v>6</v>
      </c>
      <c r="H746" t="str">
        <f>RIGHT(B746,3)</f>
        <v>LTC</v>
      </c>
      <c r="I746" t="str">
        <f>LEFT(B746,3)</f>
        <v>DOV</v>
      </c>
      <c r="J746" t="str">
        <f t="shared" si="126"/>
        <v>LTCDOV</v>
      </c>
      <c r="K746" t="str">
        <f t="shared" si="127"/>
        <v>DOVLTC</v>
      </c>
      <c r="L746">
        <f t="shared" si="128"/>
        <v>0</v>
      </c>
      <c r="M746">
        <f t="shared" si="129"/>
        <v>1</v>
      </c>
      <c r="N746" t="b">
        <f t="shared" si="130"/>
        <v>1</v>
      </c>
    </row>
    <row r="747" spans="1:14" hidden="1" x14ac:dyDescent="0.25">
      <c r="A747" t="s">
        <v>1403</v>
      </c>
      <c r="B747" t="s">
        <v>1572</v>
      </c>
      <c r="C747" s="1">
        <v>7.8999979999999997E-2</v>
      </c>
      <c r="D747" s="1">
        <v>7.8999979999999997E-2</v>
      </c>
      <c r="E747" s="1">
        <v>7.8999970000000003E-2</v>
      </c>
      <c r="F747" s="1">
        <v>4.0004999999999999E-4</v>
      </c>
      <c r="G747">
        <f t="shared" si="124"/>
        <v>6</v>
      </c>
      <c r="H747" t="str">
        <f>RIGHT(B747,3)</f>
        <v>USD</v>
      </c>
      <c r="I747" t="str">
        <f>LEFT(B747,3)</f>
        <v>DOV</v>
      </c>
      <c r="J747" t="str">
        <f t="shared" si="126"/>
        <v>USDDOV</v>
      </c>
      <c r="K747" t="str">
        <f t="shared" si="127"/>
        <v>DOVUSD</v>
      </c>
      <c r="L747">
        <f t="shared" si="128"/>
        <v>0</v>
      </c>
      <c r="M747">
        <f t="shared" si="129"/>
        <v>1</v>
      </c>
      <c r="N747" t="b">
        <f t="shared" si="130"/>
        <v>1</v>
      </c>
    </row>
    <row r="748" spans="1:14" hidden="1" x14ac:dyDescent="0.25">
      <c r="A748" t="s">
        <v>5</v>
      </c>
      <c r="B748" t="s">
        <v>880</v>
      </c>
      <c r="C748" s="1">
        <v>3.0985000000000002E-4</v>
      </c>
      <c r="D748" s="1">
        <v>2.2272000000000001E-4</v>
      </c>
      <c r="E748" s="1">
        <v>3.0985000000000002E-4</v>
      </c>
      <c r="F748" s="1">
        <v>2.2272000000000001E-4</v>
      </c>
      <c r="G748">
        <f t="shared" si="124"/>
        <v>6</v>
      </c>
      <c r="H748" t="str">
        <f>RIGHT(B748,3)</f>
        <v>BTC</v>
      </c>
      <c r="I748" t="str">
        <f>LEFT(B748,3)</f>
        <v>DOX</v>
      </c>
      <c r="J748" t="str">
        <f t="shared" si="126"/>
        <v>BTCDOX</v>
      </c>
      <c r="K748" t="str">
        <f t="shared" si="127"/>
        <v>DOXBTC</v>
      </c>
      <c r="L748">
        <f t="shared" si="128"/>
        <v>0</v>
      </c>
      <c r="M748">
        <f t="shared" si="129"/>
        <v>1</v>
      </c>
      <c r="N748" t="b">
        <f t="shared" si="130"/>
        <v>1</v>
      </c>
    </row>
    <row r="749" spans="1:14" hidden="1" x14ac:dyDescent="0.25">
      <c r="A749" t="s">
        <v>5</v>
      </c>
      <c r="B749" t="s">
        <v>405</v>
      </c>
      <c r="C749" s="1" t="s">
        <v>356</v>
      </c>
      <c r="D749" s="1" t="s">
        <v>381</v>
      </c>
      <c r="E749" s="1" t="s">
        <v>356</v>
      </c>
      <c r="F749" s="1" t="s">
        <v>381</v>
      </c>
      <c r="G749">
        <f t="shared" si="124"/>
        <v>7</v>
      </c>
      <c r="H749" t="str">
        <f>RIGHT(B749,3)</f>
        <v>BTC</v>
      </c>
      <c r="I749" t="str">
        <f>LEFT(B749,4)</f>
        <v>DPAY</v>
      </c>
      <c r="J749" t="str">
        <f t="shared" si="126"/>
        <v>BTCDPAY</v>
      </c>
      <c r="K749" t="str">
        <f t="shared" si="127"/>
        <v>DPAYBTC</v>
      </c>
      <c r="L749">
        <f t="shared" si="128"/>
        <v>0</v>
      </c>
      <c r="M749">
        <f t="shared" si="129"/>
        <v>1</v>
      </c>
      <c r="N749" t="b">
        <f t="shared" si="130"/>
        <v>1</v>
      </c>
    </row>
    <row r="750" spans="1:14" hidden="1" x14ac:dyDescent="0.25">
      <c r="A750" t="s">
        <v>5</v>
      </c>
      <c r="B750" t="s">
        <v>846</v>
      </c>
      <c r="C750" s="1">
        <v>7.6100000000000007E-5</v>
      </c>
      <c r="D750" s="1">
        <v>6.9900000000000005E-5</v>
      </c>
      <c r="E750" s="1">
        <v>7.6100000000000007E-5</v>
      </c>
      <c r="F750" s="1">
        <v>6.9900000000000005E-5</v>
      </c>
      <c r="G750">
        <f t="shared" si="124"/>
        <v>6</v>
      </c>
      <c r="H750" t="str">
        <f>RIGHT(B750,3)</f>
        <v>BTC</v>
      </c>
      <c r="I750" t="str">
        <f>LEFT(B750,3)</f>
        <v>DRA</v>
      </c>
      <c r="J750" t="str">
        <f t="shared" si="126"/>
        <v>BTCDRA</v>
      </c>
      <c r="K750" t="str">
        <f t="shared" si="127"/>
        <v>DRABTC</v>
      </c>
      <c r="L750">
        <f t="shared" si="128"/>
        <v>0</v>
      </c>
      <c r="M750">
        <f t="shared" si="129"/>
        <v>1</v>
      </c>
      <c r="N750" t="b">
        <f t="shared" si="130"/>
        <v>1</v>
      </c>
    </row>
    <row r="751" spans="1:14" hidden="1" x14ac:dyDescent="0.25">
      <c r="A751" t="s">
        <v>1403</v>
      </c>
      <c r="B751" t="s">
        <v>1946</v>
      </c>
      <c r="C751" s="1">
        <v>1.323</v>
      </c>
      <c r="D751" s="1">
        <v>1.323</v>
      </c>
      <c r="E751" s="1">
        <v>19.998959896017901</v>
      </c>
      <c r="F751" s="1">
        <v>0.40000025</v>
      </c>
      <c r="G751">
        <f t="shared" si="124"/>
        <v>9</v>
      </c>
      <c r="H751" t="str">
        <f>RIGHT(B751,4)</f>
        <v>DOGE</v>
      </c>
      <c r="I751" t="str">
        <f>LEFT(B751,5)</f>
        <v>DRACO</v>
      </c>
      <c r="J751" t="str">
        <f t="shared" si="126"/>
        <v>DOGEDRACO</v>
      </c>
      <c r="K751" t="str">
        <f t="shared" si="127"/>
        <v>DRACODOGE</v>
      </c>
      <c r="L751">
        <f t="shared" si="128"/>
        <v>0</v>
      </c>
      <c r="M751">
        <f t="shared" si="129"/>
        <v>1</v>
      </c>
      <c r="N751" t="b">
        <f t="shared" si="130"/>
        <v>1</v>
      </c>
    </row>
    <row r="752" spans="1:14" hidden="1" x14ac:dyDescent="0.25">
      <c r="A752" t="s">
        <v>1403</v>
      </c>
      <c r="B752" t="s">
        <v>1755</v>
      </c>
      <c r="C752" s="1">
        <v>8.7996999999999999E-4</v>
      </c>
      <c r="D752" s="1">
        <v>8.7996999999999999E-4</v>
      </c>
      <c r="E752" s="1">
        <v>2.49186175624584E-2</v>
      </c>
      <c r="F752" s="1">
        <v>1.3599999999999999E-6</v>
      </c>
      <c r="G752">
        <f t="shared" si="124"/>
        <v>8</v>
      </c>
      <c r="H752" t="str">
        <f>RIGHT(B752,3)</f>
        <v>LTC</v>
      </c>
      <c r="I752" t="str">
        <f>LEFT(B752,5)</f>
        <v>DRACO</v>
      </c>
      <c r="J752" t="str">
        <f t="shared" si="126"/>
        <v>LTCDRACO</v>
      </c>
      <c r="K752" t="str">
        <f t="shared" si="127"/>
        <v>DRACOLTC</v>
      </c>
      <c r="L752">
        <f t="shared" si="128"/>
        <v>0</v>
      </c>
      <c r="M752">
        <f t="shared" si="129"/>
        <v>1</v>
      </c>
      <c r="N752" t="b">
        <f t="shared" si="130"/>
        <v>1</v>
      </c>
    </row>
    <row r="753" spans="1:14" hidden="1" x14ac:dyDescent="0.25">
      <c r="A753" t="s">
        <v>1403</v>
      </c>
      <c r="B753" t="s">
        <v>1573</v>
      </c>
      <c r="C753" s="1">
        <v>1.1216E-2</v>
      </c>
      <c r="D753" s="1">
        <v>1.1216E-2</v>
      </c>
      <c r="E753" s="1">
        <v>1.122508E-2</v>
      </c>
      <c r="F753" s="1">
        <v>2.8629999999999999E-5</v>
      </c>
      <c r="G753">
        <f t="shared" si="124"/>
        <v>8</v>
      </c>
      <c r="H753" t="str">
        <f>RIGHT(B753,3)</f>
        <v>USD</v>
      </c>
      <c r="I753" t="str">
        <f>LEFT(B753,5)</f>
        <v>DRACO</v>
      </c>
      <c r="J753" t="str">
        <f t="shared" si="126"/>
        <v>USDDRACO</v>
      </c>
      <c r="K753" t="str">
        <f t="shared" si="127"/>
        <v>DRACOUSD</v>
      </c>
      <c r="L753">
        <f t="shared" si="128"/>
        <v>0</v>
      </c>
      <c r="M753">
        <f t="shared" si="129"/>
        <v>1</v>
      </c>
      <c r="N753" t="b">
        <f t="shared" si="130"/>
        <v>1</v>
      </c>
    </row>
    <row r="754" spans="1:14" hidden="1" x14ac:dyDescent="0.25">
      <c r="A754" t="s">
        <v>5</v>
      </c>
      <c r="B754" t="s">
        <v>1028</v>
      </c>
      <c r="C754" s="1">
        <v>1.5584999999999999E-4</v>
      </c>
      <c r="D754" s="1">
        <v>1.1848E-4</v>
      </c>
      <c r="E754" s="1">
        <v>1.5584999999999999E-4</v>
      </c>
      <c r="F754" s="1">
        <v>1.1848E-4</v>
      </c>
      <c r="G754">
        <f t="shared" si="124"/>
        <v>7</v>
      </c>
      <c r="H754" t="str">
        <f>RIGHT(B754,3)</f>
        <v>BTC</v>
      </c>
      <c r="I754" t="str">
        <f>LEFT(B754,4)</f>
        <v>DRKT</v>
      </c>
      <c r="J754" t="str">
        <f t="shared" si="126"/>
        <v>BTCDRKT</v>
      </c>
      <c r="K754" t="str">
        <f t="shared" si="127"/>
        <v>DRKTBTC</v>
      </c>
      <c r="L754">
        <f t="shared" si="128"/>
        <v>0</v>
      </c>
      <c r="M754">
        <f t="shared" si="129"/>
        <v>1</v>
      </c>
      <c r="N754" t="b">
        <f t="shared" si="130"/>
        <v>1</v>
      </c>
    </row>
    <row r="755" spans="1:14" hidden="1" x14ac:dyDescent="0.25">
      <c r="A755" t="s">
        <v>1403</v>
      </c>
      <c r="B755" t="s">
        <v>1434</v>
      </c>
      <c r="C755" s="1" t="s">
        <v>362</v>
      </c>
      <c r="D755" s="1" t="s">
        <v>362</v>
      </c>
      <c r="E755" s="1" t="s">
        <v>362</v>
      </c>
      <c r="F755" s="1" t="s">
        <v>362</v>
      </c>
      <c r="G755">
        <f t="shared" si="124"/>
        <v>7</v>
      </c>
      <c r="H755" t="str">
        <f>RIGHT(B755,3)</f>
        <v>BTC</v>
      </c>
      <c r="I755" t="str">
        <f>LEFT(B755,4)</f>
        <v>DRM8</v>
      </c>
      <c r="J755" t="str">
        <f t="shared" si="126"/>
        <v>BTCDRM8</v>
      </c>
      <c r="K755" t="str">
        <f t="shared" si="127"/>
        <v>DRM8BTC</v>
      </c>
      <c r="L755">
        <f t="shared" si="128"/>
        <v>0</v>
      </c>
      <c r="M755">
        <f t="shared" si="129"/>
        <v>1</v>
      </c>
      <c r="N755" t="b">
        <f t="shared" si="130"/>
        <v>1</v>
      </c>
    </row>
    <row r="756" spans="1:14" hidden="1" x14ac:dyDescent="0.25">
      <c r="A756" t="s">
        <v>1403</v>
      </c>
      <c r="B756" t="s">
        <v>1947</v>
      </c>
      <c r="C756" s="1">
        <v>1.5959999999999998E-2</v>
      </c>
      <c r="D756" s="1">
        <v>1.5959999999999998E-2</v>
      </c>
      <c r="E756" s="1">
        <v>1.5959999999999998E-2</v>
      </c>
      <c r="F756" s="1">
        <v>5.0001999999999998E-3</v>
      </c>
      <c r="G756">
        <f t="shared" si="124"/>
        <v>8</v>
      </c>
      <c r="H756" t="str">
        <f>RIGHT(B756,4)</f>
        <v>DOGE</v>
      </c>
      <c r="I756" t="str">
        <f>LEFT(B756,4)</f>
        <v>DRM8</v>
      </c>
      <c r="J756" t="str">
        <f t="shared" si="126"/>
        <v>DOGEDRM8</v>
      </c>
      <c r="K756" t="str">
        <f t="shared" si="127"/>
        <v>DRM8DOGE</v>
      </c>
      <c r="L756">
        <f t="shared" si="128"/>
        <v>0</v>
      </c>
      <c r="M756">
        <f t="shared" si="129"/>
        <v>1</v>
      </c>
      <c r="N756" t="b">
        <f t="shared" si="130"/>
        <v>1</v>
      </c>
    </row>
    <row r="757" spans="1:14" hidden="1" x14ac:dyDescent="0.25">
      <c r="A757" t="s">
        <v>1403</v>
      </c>
      <c r="B757" t="s">
        <v>1756</v>
      </c>
      <c r="C757" s="1">
        <v>1.7999999999999999E-6</v>
      </c>
      <c r="D757" s="1">
        <v>1.7999999999999999E-6</v>
      </c>
      <c r="E757" s="1">
        <v>1.7999999999999999E-6</v>
      </c>
      <c r="F757" s="1">
        <v>1.6999999999999999E-7</v>
      </c>
      <c r="G757">
        <f t="shared" si="124"/>
        <v>7</v>
      </c>
      <c r="H757" t="str">
        <f>RIGHT(B757,3)</f>
        <v>LTC</v>
      </c>
      <c r="I757" t="str">
        <f>LEFT(B757,4)</f>
        <v>DRM8</v>
      </c>
      <c r="J757" t="str">
        <f t="shared" si="126"/>
        <v>LTCDRM8</v>
      </c>
      <c r="K757" t="str">
        <f t="shared" si="127"/>
        <v>DRM8LTC</v>
      </c>
      <c r="L757">
        <f t="shared" si="128"/>
        <v>0</v>
      </c>
      <c r="M757">
        <f t="shared" si="129"/>
        <v>1</v>
      </c>
      <c r="N757" t="b">
        <f t="shared" si="130"/>
        <v>1</v>
      </c>
    </row>
    <row r="758" spans="1:14" hidden="1" x14ac:dyDescent="0.25">
      <c r="A758" t="s">
        <v>1403</v>
      </c>
      <c r="B758" t="s">
        <v>1574</v>
      </c>
      <c r="C758" s="1">
        <v>6.2030000000000001E-5</v>
      </c>
      <c r="D758" s="1">
        <v>6.2030000000000001E-5</v>
      </c>
      <c r="E758" s="1">
        <v>6.2000000000000003E-5</v>
      </c>
      <c r="F758" s="1">
        <v>1.507E-5</v>
      </c>
      <c r="G758">
        <f t="shared" si="124"/>
        <v>7</v>
      </c>
      <c r="H758" t="str">
        <f>RIGHT(B758,3)</f>
        <v>USD</v>
      </c>
      <c r="I758" t="str">
        <f>LEFT(B758,4)</f>
        <v>DRM8</v>
      </c>
      <c r="J758" t="str">
        <f t="shared" si="126"/>
        <v>USDDRM8</v>
      </c>
      <c r="K758" t="str">
        <f t="shared" si="127"/>
        <v>DRM8USD</v>
      </c>
      <c r="L758">
        <f t="shared" si="128"/>
        <v>0</v>
      </c>
      <c r="M758">
        <f t="shared" si="129"/>
        <v>1</v>
      </c>
      <c r="N758" t="b">
        <f t="shared" si="130"/>
        <v>1</v>
      </c>
    </row>
    <row r="759" spans="1:14" hidden="1" x14ac:dyDescent="0.25">
      <c r="A759" t="s">
        <v>5</v>
      </c>
      <c r="B759" t="s">
        <v>854</v>
      </c>
      <c r="C759" s="1">
        <v>1.004E-5</v>
      </c>
      <c r="D759" s="1">
        <v>7.3300000000000001E-6</v>
      </c>
      <c r="E759" s="1">
        <v>1.004E-5</v>
      </c>
      <c r="F759" s="1">
        <v>7.3300000000000001E-6</v>
      </c>
      <c r="G759">
        <f t="shared" si="124"/>
        <v>6</v>
      </c>
      <c r="H759" t="str">
        <f>RIGHT(B759,3)</f>
        <v>BTC</v>
      </c>
      <c r="I759" t="str">
        <f>LEFT(B759,3)</f>
        <v>DRM</v>
      </c>
      <c r="J759" t="str">
        <f t="shared" si="126"/>
        <v>BTCDRM</v>
      </c>
      <c r="K759" t="str">
        <f t="shared" si="127"/>
        <v>DRMBTC</v>
      </c>
      <c r="L759">
        <f t="shared" si="128"/>
        <v>0</v>
      </c>
      <c r="M759">
        <f t="shared" si="129"/>
        <v>1</v>
      </c>
      <c r="N759" t="b">
        <f t="shared" si="130"/>
        <v>1</v>
      </c>
    </row>
    <row r="760" spans="1:14" hidden="1" x14ac:dyDescent="0.25">
      <c r="A760" t="s">
        <v>5</v>
      </c>
      <c r="B760" t="s">
        <v>831</v>
      </c>
      <c r="C760" s="1">
        <v>6.5820000000000003E-5</v>
      </c>
      <c r="D760" s="1">
        <v>6.4999999999999994E-5</v>
      </c>
      <c r="E760" s="1">
        <v>6.5820000000000003E-5</v>
      </c>
      <c r="F760" s="1">
        <v>6.4999999999999994E-5</v>
      </c>
      <c r="G760">
        <f t="shared" si="124"/>
        <v>7</v>
      </c>
      <c r="H760" t="str">
        <f>RIGHT(B760,3)</f>
        <v>BTC</v>
      </c>
      <c r="I760" t="str">
        <f>LEFT(B760,4)</f>
        <v>DROP</v>
      </c>
      <c r="J760" t="str">
        <f t="shared" si="126"/>
        <v>BTCDROP</v>
      </c>
      <c r="K760" t="str">
        <f t="shared" si="127"/>
        <v>DROPBTC</v>
      </c>
      <c r="L760">
        <f t="shared" si="128"/>
        <v>0</v>
      </c>
      <c r="M760">
        <f t="shared" si="129"/>
        <v>1</v>
      </c>
      <c r="N760" t="b">
        <f t="shared" si="130"/>
        <v>1</v>
      </c>
    </row>
    <row r="761" spans="1:14" hidden="1" x14ac:dyDescent="0.25">
      <c r="A761" t="s">
        <v>1403</v>
      </c>
      <c r="B761" t="s">
        <v>1948</v>
      </c>
      <c r="C761" s="1">
        <v>796.99899991999996</v>
      </c>
      <c r="D761" s="1">
        <v>796.99899991999996</v>
      </c>
      <c r="E761" s="1">
        <v>791.99999699</v>
      </c>
      <c r="F761" s="1">
        <v>0.18800065999999999</v>
      </c>
      <c r="G761">
        <f t="shared" si="124"/>
        <v>7</v>
      </c>
      <c r="H761" t="str">
        <f>RIGHT(B761,4)</f>
        <v>DOGE</v>
      </c>
      <c r="I761" t="str">
        <f t="shared" ref="I761:I768" si="135">LEFT(B761,3)</f>
        <v>DRZ</v>
      </c>
      <c r="J761" t="str">
        <f t="shared" si="126"/>
        <v>DOGEDRZ</v>
      </c>
      <c r="K761" t="str">
        <f t="shared" si="127"/>
        <v>DRZDOGE</v>
      </c>
      <c r="L761">
        <f t="shared" si="128"/>
        <v>0</v>
      </c>
      <c r="M761">
        <f t="shared" si="129"/>
        <v>1</v>
      </c>
      <c r="N761" t="b">
        <f t="shared" si="130"/>
        <v>1</v>
      </c>
    </row>
    <row r="762" spans="1:14" hidden="1" x14ac:dyDescent="0.25">
      <c r="A762" t="s">
        <v>1403</v>
      </c>
      <c r="B762" t="s">
        <v>1757</v>
      </c>
      <c r="C762" s="1">
        <v>8.9990000000000001E-3</v>
      </c>
      <c r="D762" s="1">
        <v>8.9990000000000001E-3</v>
      </c>
      <c r="E762" s="1">
        <v>8.9988199999999994E-3</v>
      </c>
      <c r="F762" s="1">
        <v>9.8900000000000002E-6</v>
      </c>
      <c r="G762">
        <f t="shared" si="124"/>
        <v>6</v>
      </c>
      <c r="H762" t="str">
        <f t="shared" ref="H762:H774" si="136">RIGHT(B762,3)</f>
        <v>LTC</v>
      </c>
      <c r="I762" t="str">
        <f t="shared" si="135"/>
        <v>DRZ</v>
      </c>
      <c r="J762" t="str">
        <f t="shared" si="126"/>
        <v>LTCDRZ</v>
      </c>
      <c r="K762" t="str">
        <f t="shared" si="127"/>
        <v>DRZLTC</v>
      </c>
      <c r="L762">
        <f t="shared" si="128"/>
        <v>0</v>
      </c>
      <c r="M762">
        <f t="shared" si="129"/>
        <v>1</v>
      </c>
      <c r="N762" t="b">
        <f t="shared" si="130"/>
        <v>1</v>
      </c>
    </row>
    <row r="763" spans="1:14" hidden="1" x14ac:dyDescent="0.25">
      <c r="A763" t="s">
        <v>1403</v>
      </c>
      <c r="B763" t="s">
        <v>1575</v>
      </c>
      <c r="C763" s="1">
        <v>2.9798950000000001E-2</v>
      </c>
      <c r="D763" s="1">
        <v>2.9798950000000001E-2</v>
      </c>
      <c r="E763" s="1">
        <v>2.9798959999999999E-2</v>
      </c>
      <c r="F763" s="1">
        <v>1.0108E-4</v>
      </c>
      <c r="G763">
        <f t="shared" si="124"/>
        <v>6</v>
      </c>
      <c r="H763" t="str">
        <f t="shared" si="136"/>
        <v>USD</v>
      </c>
      <c r="I763" t="str">
        <f t="shared" si="135"/>
        <v>DRZ</v>
      </c>
      <c r="J763" t="str">
        <f t="shared" si="126"/>
        <v>USDDRZ</v>
      </c>
      <c r="K763" t="str">
        <f t="shared" si="127"/>
        <v>DRZUSD</v>
      </c>
      <c r="L763">
        <f t="shared" si="128"/>
        <v>0</v>
      </c>
      <c r="M763">
        <f t="shared" si="129"/>
        <v>1</v>
      </c>
      <c r="N763" t="b">
        <f t="shared" si="130"/>
        <v>1</v>
      </c>
    </row>
    <row r="764" spans="1:14" hidden="1" x14ac:dyDescent="0.25">
      <c r="A764" t="s">
        <v>0</v>
      </c>
      <c r="B764" t="s">
        <v>25</v>
      </c>
      <c r="C764" s="1">
        <v>0.47899999999999998</v>
      </c>
      <c r="D764" s="1">
        <v>0.47599999999999998</v>
      </c>
      <c r="E764" s="1">
        <v>0.47996</v>
      </c>
      <c r="F764" s="1">
        <v>0.47537505408000003</v>
      </c>
      <c r="G764">
        <f t="shared" si="124"/>
        <v>6</v>
      </c>
      <c r="H764" t="str">
        <f t="shared" si="136"/>
        <v>ETH</v>
      </c>
      <c r="I764" t="str">
        <f t="shared" si="135"/>
        <v>DSH</v>
      </c>
      <c r="J764" t="str">
        <f t="shared" si="126"/>
        <v>ETHDSH</v>
      </c>
      <c r="K764" t="str">
        <f t="shared" si="127"/>
        <v>DSHETH</v>
      </c>
      <c r="L764">
        <f t="shared" si="128"/>
        <v>0</v>
      </c>
      <c r="M764">
        <f t="shared" si="129"/>
        <v>1</v>
      </c>
      <c r="N764" t="b">
        <f t="shared" si="130"/>
        <v>1</v>
      </c>
    </row>
    <row r="765" spans="1:14" hidden="1" x14ac:dyDescent="0.25">
      <c r="A765" t="s">
        <v>0</v>
      </c>
      <c r="B765" t="s">
        <v>19</v>
      </c>
      <c r="C765" s="1">
        <v>5.3019999999999996</v>
      </c>
      <c r="D765" s="1">
        <v>5.2629999999999999</v>
      </c>
      <c r="E765" s="1">
        <v>5.3019999999999996</v>
      </c>
      <c r="F765" s="1">
        <v>5.2629999999999999</v>
      </c>
      <c r="G765">
        <f t="shared" si="124"/>
        <v>6</v>
      </c>
      <c r="H765" t="str">
        <f t="shared" si="136"/>
        <v>LTC</v>
      </c>
      <c r="I765" t="str">
        <f t="shared" si="135"/>
        <v>DSH</v>
      </c>
      <c r="J765" t="str">
        <f t="shared" si="126"/>
        <v>LTCDSH</v>
      </c>
      <c r="K765" t="str">
        <f t="shared" si="127"/>
        <v>DSHLTC</v>
      </c>
      <c r="L765">
        <f t="shared" si="128"/>
        <v>0</v>
      </c>
      <c r="M765">
        <f t="shared" si="129"/>
        <v>1</v>
      </c>
      <c r="N765" t="b">
        <f t="shared" si="130"/>
        <v>1</v>
      </c>
    </row>
    <row r="766" spans="1:14" hidden="1" x14ac:dyDescent="0.25">
      <c r="A766" t="s">
        <v>5</v>
      </c>
      <c r="B766" t="s">
        <v>433</v>
      </c>
      <c r="C766" s="1">
        <v>1.1000000000000001E-7</v>
      </c>
      <c r="D766" s="1" t="s">
        <v>355</v>
      </c>
      <c r="E766" s="1">
        <v>1.1000000000000001E-7</v>
      </c>
      <c r="F766" s="1" t="s">
        <v>355</v>
      </c>
      <c r="G766">
        <f t="shared" si="124"/>
        <v>6</v>
      </c>
      <c r="H766" t="str">
        <f t="shared" si="136"/>
        <v>BTC</v>
      </c>
      <c r="I766" t="str">
        <f t="shared" si="135"/>
        <v>DTT</v>
      </c>
      <c r="J766" t="str">
        <f t="shared" si="126"/>
        <v>BTCDTT</v>
      </c>
      <c r="K766" t="str">
        <f t="shared" si="127"/>
        <v>DTTBTC</v>
      </c>
      <c r="L766">
        <f t="shared" si="128"/>
        <v>0</v>
      </c>
      <c r="M766">
        <f t="shared" si="129"/>
        <v>1</v>
      </c>
      <c r="N766" t="b">
        <f t="shared" si="130"/>
        <v>1</v>
      </c>
    </row>
    <row r="767" spans="1:14" hidden="1" x14ac:dyDescent="0.25">
      <c r="A767" t="s">
        <v>5</v>
      </c>
      <c r="B767" t="s">
        <v>518</v>
      </c>
      <c r="C767" s="1" t="s">
        <v>374</v>
      </c>
      <c r="D767" s="1">
        <v>2.4999999999999999E-7</v>
      </c>
      <c r="E767" s="1" t="s">
        <v>374</v>
      </c>
      <c r="F767" s="1">
        <v>2.4999999999999999E-7</v>
      </c>
      <c r="G767">
        <f t="shared" si="124"/>
        <v>6</v>
      </c>
      <c r="H767" t="str">
        <f t="shared" si="136"/>
        <v>BTC</v>
      </c>
      <c r="I767" t="str">
        <f t="shared" si="135"/>
        <v>DUB</v>
      </c>
      <c r="J767" t="str">
        <f t="shared" si="126"/>
        <v>BTCDUB</v>
      </c>
      <c r="K767" t="str">
        <f t="shared" si="127"/>
        <v>DUBBTC</v>
      </c>
      <c r="L767">
        <f t="shared" si="128"/>
        <v>0</v>
      </c>
      <c r="M767">
        <f t="shared" si="129"/>
        <v>1</v>
      </c>
      <c r="N767" t="b">
        <f t="shared" si="130"/>
        <v>1</v>
      </c>
    </row>
    <row r="768" spans="1:14" hidden="1" x14ac:dyDescent="0.25">
      <c r="A768" t="s">
        <v>5</v>
      </c>
      <c r="B768" t="s">
        <v>919</v>
      </c>
      <c r="C768" s="1" t="s">
        <v>719</v>
      </c>
      <c r="D768" s="1">
        <v>3.6000000000000001E-5</v>
      </c>
      <c r="E768" s="1" t="s">
        <v>719</v>
      </c>
      <c r="F768" s="1">
        <v>3.6000000000000001E-5</v>
      </c>
      <c r="G768">
        <f t="shared" si="124"/>
        <v>6</v>
      </c>
      <c r="H768" t="str">
        <f t="shared" si="136"/>
        <v>BTC</v>
      </c>
      <c r="I768" t="str">
        <f t="shared" si="135"/>
        <v>DUO</v>
      </c>
      <c r="J768" t="str">
        <f t="shared" si="126"/>
        <v>BTCDUO</v>
      </c>
      <c r="K768" t="str">
        <f t="shared" si="127"/>
        <v>DUOBTC</v>
      </c>
      <c r="L768">
        <f t="shared" si="128"/>
        <v>0</v>
      </c>
      <c r="M768">
        <f t="shared" si="129"/>
        <v>1</v>
      </c>
      <c r="N768" t="b">
        <f t="shared" si="130"/>
        <v>1</v>
      </c>
    </row>
    <row r="769" spans="1:14" hidden="1" x14ac:dyDescent="0.25">
      <c r="A769" t="s">
        <v>5</v>
      </c>
      <c r="B769" t="s">
        <v>821</v>
      </c>
      <c r="C769" s="1" t="s">
        <v>361</v>
      </c>
      <c r="D769" s="1" t="s">
        <v>362</v>
      </c>
      <c r="E769" s="1" t="s">
        <v>361</v>
      </c>
      <c r="F769" s="1" t="s">
        <v>362</v>
      </c>
      <c r="G769">
        <f t="shared" ref="G769:G832" si="137">LEN(B769)</f>
        <v>7</v>
      </c>
      <c r="H769" t="str">
        <f t="shared" si="136"/>
        <v>BTC</v>
      </c>
      <c r="I769" t="str">
        <f>LEFT(B769,4)</f>
        <v>DUST</v>
      </c>
      <c r="J769" t="str">
        <f t="shared" ref="J769:J832" si="138">CONCATENATE(H769,I769)</f>
        <v>BTCDUST</v>
      </c>
      <c r="K769" t="str">
        <f t="shared" ref="K769:K832" si="139">CONCATENATE(I769,H769)</f>
        <v>DUSTBTC</v>
      </c>
      <c r="L769">
        <f t="shared" ref="L769:L832" si="140">COUNTIF(B:B,J769)</f>
        <v>0</v>
      </c>
      <c r="M769">
        <f t="shared" ref="M769:M832" si="141">COUNTIF(B:B,K769)</f>
        <v>1</v>
      </c>
      <c r="N769" t="b">
        <f t="shared" ref="N769:N832" si="142">L769=0</f>
        <v>1</v>
      </c>
    </row>
    <row r="770" spans="1:14" hidden="1" x14ac:dyDescent="0.25">
      <c r="A770" t="s">
        <v>5</v>
      </c>
      <c r="B770" t="s">
        <v>1190</v>
      </c>
      <c r="C770" s="1" t="s">
        <v>362</v>
      </c>
      <c r="D770" s="1" t="s">
        <v>364</v>
      </c>
      <c r="E770" s="1" t="s">
        <v>362</v>
      </c>
      <c r="F770" s="1">
        <v>1.1999999999999999E-7</v>
      </c>
      <c r="G770">
        <f t="shared" si="137"/>
        <v>6</v>
      </c>
      <c r="H770" t="str">
        <f t="shared" si="136"/>
        <v>BTC</v>
      </c>
      <c r="I770" t="str">
        <f>LEFT(B770,3)</f>
        <v>DUX</v>
      </c>
      <c r="J770" t="str">
        <f t="shared" si="138"/>
        <v>BTCDUX</v>
      </c>
      <c r="K770" t="str">
        <f t="shared" si="139"/>
        <v>DUXBTC</v>
      </c>
      <c r="L770">
        <f t="shared" si="140"/>
        <v>0</v>
      </c>
      <c r="M770">
        <f t="shared" si="141"/>
        <v>1</v>
      </c>
      <c r="N770" t="b">
        <f t="shared" si="142"/>
        <v>1</v>
      </c>
    </row>
    <row r="771" spans="1:14" hidden="1" x14ac:dyDescent="0.25">
      <c r="A771" t="s">
        <v>5</v>
      </c>
      <c r="B771" t="s">
        <v>546</v>
      </c>
      <c r="C771" s="1" t="s">
        <v>362</v>
      </c>
      <c r="D771" s="1" t="s">
        <v>364</v>
      </c>
      <c r="E771" s="1" t="s">
        <v>362</v>
      </c>
      <c r="F771" s="1" t="s">
        <v>355</v>
      </c>
      <c r="G771">
        <f t="shared" si="137"/>
        <v>6</v>
      </c>
      <c r="H771" t="str">
        <f t="shared" si="136"/>
        <v>BTC</v>
      </c>
      <c r="I771" t="str">
        <f>LEFT(B771,3)</f>
        <v>DXC</v>
      </c>
      <c r="J771" t="str">
        <f t="shared" si="138"/>
        <v>BTCDXC</v>
      </c>
      <c r="K771" t="str">
        <f t="shared" si="139"/>
        <v>DXCBTC</v>
      </c>
      <c r="L771">
        <f t="shared" si="140"/>
        <v>0</v>
      </c>
      <c r="M771">
        <f t="shared" si="141"/>
        <v>1</v>
      </c>
      <c r="N771" t="b">
        <f t="shared" si="142"/>
        <v>1</v>
      </c>
    </row>
    <row r="772" spans="1:14" hidden="1" x14ac:dyDescent="0.25">
      <c r="A772" t="s">
        <v>5</v>
      </c>
      <c r="B772" t="s">
        <v>456</v>
      </c>
      <c r="C772" s="1">
        <v>1.5600000000000001E-6</v>
      </c>
      <c r="D772" s="1">
        <v>1.53E-6</v>
      </c>
      <c r="E772" s="1">
        <v>1.5600000000000001E-6</v>
      </c>
      <c r="F772" s="1">
        <v>1.53E-6</v>
      </c>
      <c r="G772">
        <f t="shared" si="137"/>
        <v>5</v>
      </c>
      <c r="H772" t="str">
        <f t="shared" si="136"/>
        <v>BTC</v>
      </c>
      <c r="I772" t="str">
        <f>LEFT(B772,2)</f>
        <v>EA</v>
      </c>
      <c r="J772" t="str">
        <f t="shared" si="138"/>
        <v>BTCEA</v>
      </c>
      <c r="K772" t="str">
        <f t="shared" si="139"/>
        <v>EABTC</v>
      </c>
      <c r="L772">
        <f t="shared" si="140"/>
        <v>0</v>
      </c>
      <c r="M772">
        <f t="shared" si="141"/>
        <v>1</v>
      </c>
      <c r="N772" t="b">
        <f t="shared" si="142"/>
        <v>1</v>
      </c>
    </row>
    <row r="773" spans="1:14" hidden="1" x14ac:dyDescent="0.25">
      <c r="A773" t="s">
        <v>5</v>
      </c>
      <c r="B773" t="s">
        <v>711</v>
      </c>
      <c r="C773" s="1">
        <v>2.1799999999999999E-6</v>
      </c>
      <c r="D773" s="1">
        <v>1.8300000000000001E-6</v>
      </c>
      <c r="E773" s="1">
        <v>2.1799999999999999E-6</v>
      </c>
      <c r="F773" s="1">
        <v>1.8300000000000001E-6</v>
      </c>
      <c r="G773">
        <f t="shared" si="137"/>
        <v>7</v>
      </c>
      <c r="H773" t="str">
        <f t="shared" si="136"/>
        <v>BTC</v>
      </c>
      <c r="I773" t="str">
        <f>LEFT(B773,4)</f>
        <v>EAGS</v>
      </c>
      <c r="J773" t="str">
        <f t="shared" si="138"/>
        <v>BTCEAGS</v>
      </c>
      <c r="K773" t="str">
        <f t="shared" si="139"/>
        <v>EAGSBTC</v>
      </c>
      <c r="L773">
        <f t="shared" si="140"/>
        <v>0</v>
      </c>
      <c r="M773">
        <f t="shared" si="141"/>
        <v>1</v>
      </c>
      <c r="N773" t="b">
        <f t="shared" si="142"/>
        <v>1</v>
      </c>
    </row>
    <row r="774" spans="1:14" hidden="1" x14ac:dyDescent="0.25">
      <c r="A774" t="s">
        <v>1403</v>
      </c>
      <c r="B774" t="s">
        <v>1438</v>
      </c>
      <c r="C774" s="1">
        <v>9.4920000000000006E-5</v>
      </c>
      <c r="D774" s="1">
        <v>9.4909999999999998E-5</v>
      </c>
      <c r="E774" s="1">
        <v>9.4950000000000004E-5</v>
      </c>
      <c r="F774" s="1">
        <v>9.4909999999999998E-5</v>
      </c>
      <c r="G774">
        <f t="shared" si="137"/>
        <v>6</v>
      </c>
      <c r="H774" t="str">
        <f t="shared" si="136"/>
        <v>BTC</v>
      </c>
      <c r="I774" t="str">
        <f>LEFT(B774,3)</f>
        <v>EB3</v>
      </c>
      <c r="J774" t="str">
        <f t="shared" si="138"/>
        <v>BTCEB3</v>
      </c>
      <c r="K774" t="str">
        <f t="shared" si="139"/>
        <v>EB3BTC</v>
      </c>
      <c r="L774">
        <f t="shared" si="140"/>
        <v>0</v>
      </c>
      <c r="M774">
        <f t="shared" si="141"/>
        <v>1</v>
      </c>
      <c r="N774" t="b">
        <f t="shared" si="142"/>
        <v>1</v>
      </c>
    </row>
    <row r="775" spans="1:14" hidden="1" x14ac:dyDescent="0.25">
      <c r="A775" t="s">
        <v>1403</v>
      </c>
      <c r="B775" t="s">
        <v>1952</v>
      </c>
      <c r="C775" s="1">
        <v>499.99900000000002</v>
      </c>
      <c r="D775" s="1">
        <v>499.99900000000002</v>
      </c>
      <c r="E775" s="1">
        <v>891.19156769000006</v>
      </c>
      <c r="F775" s="1">
        <v>20.000000660000001</v>
      </c>
      <c r="G775">
        <f t="shared" si="137"/>
        <v>7</v>
      </c>
      <c r="H775" t="str">
        <f>RIGHT(B775,4)</f>
        <v>DOGE</v>
      </c>
      <c r="I775" t="str">
        <f>LEFT(B775,3)</f>
        <v>EB3</v>
      </c>
      <c r="J775" t="str">
        <f t="shared" si="138"/>
        <v>DOGEEB3</v>
      </c>
      <c r="K775" t="str">
        <f t="shared" si="139"/>
        <v>EB3DOGE</v>
      </c>
      <c r="L775">
        <f t="shared" si="140"/>
        <v>0</v>
      </c>
      <c r="M775">
        <f t="shared" si="141"/>
        <v>1</v>
      </c>
      <c r="N775" t="b">
        <f t="shared" si="142"/>
        <v>1</v>
      </c>
    </row>
    <row r="776" spans="1:14" hidden="1" x14ac:dyDescent="0.25">
      <c r="A776" t="s">
        <v>1403</v>
      </c>
      <c r="B776" t="s">
        <v>1761</v>
      </c>
      <c r="C776" s="1">
        <v>9.9109989999999995E-2</v>
      </c>
      <c r="D776" s="1">
        <v>9.9109989999999995E-2</v>
      </c>
      <c r="E776" s="1">
        <v>53.999989990000003</v>
      </c>
      <c r="F776" s="1">
        <v>3.1108099999999999E-3</v>
      </c>
      <c r="G776">
        <f t="shared" si="137"/>
        <v>6</v>
      </c>
      <c r="H776" t="str">
        <f>RIGHT(B776,3)</f>
        <v>LTC</v>
      </c>
      <c r="I776" t="str">
        <f>LEFT(B776,3)</f>
        <v>EB3</v>
      </c>
      <c r="J776" t="str">
        <f t="shared" si="138"/>
        <v>LTCEB3</v>
      </c>
      <c r="K776" t="str">
        <f t="shared" si="139"/>
        <v>EB3LTC</v>
      </c>
      <c r="L776">
        <f t="shared" si="140"/>
        <v>0</v>
      </c>
      <c r="M776">
        <f t="shared" si="141"/>
        <v>1</v>
      </c>
      <c r="N776" t="b">
        <f t="shared" si="142"/>
        <v>1</v>
      </c>
    </row>
    <row r="777" spans="1:14" hidden="1" x14ac:dyDescent="0.25">
      <c r="A777" t="s">
        <v>1403</v>
      </c>
      <c r="B777" t="s">
        <v>1579</v>
      </c>
      <c r="C777" s="1">
        <v>0.33999000000000001</v>
      </c>
      <c r="D777" s="1">
        <v>0.33999000000000001</v>
      </c>
      <c r="E777" s="1">
        <v>0.33589999999999998</v>
      </c>
      <c r="F777" s="1">
        <v>0.16763412</v>
      </c>
      <c r="G777">
        <f t="shared" si="137"/>
        <v>6</v>
      </c>
      <c r="H777" t="str">
        <f>RIGHT(B777,3)</f>
        <v>USD</v>
      </c>
      <c r="I777" t="str">
        <f>LEFT(B777,3)</f>
        <v>EB3</v>
      </c>
      <c r="J777" t="str">
        <f t="shared" si="138"/>
        <v>USDEB3</v>
      </c>
      <c r="K777" t="str">
        <f t="shared" si="139"/>
        <v>EB3USD</v>
      </c>
      <c r="L777">
        <f t="shared" si="140"/>
        <v>0</v>
      </c>
      <c r="M777">
        <f t="shared" si="141"/>
        <v>1</v>
      </c>
      <c r="N777" t="b">
        <f t="shared" si="142"/>
        <v>1</v>
      </c>
    </row>
    <row r="778" spans="1:14" hidden="1" x14ac:dyDescent="0.25">
      <c r="A778" t="s">
        <v>5</v>
      </c>
      <c r="B778" t="s">
        <v>969</v>
      </c>
      <c r="C778" s="1">
        <v>3.4489999999999997E-5</v>
      </c>
      <c r="D778" s="1">
        <v>3.4480000000000002E-5</v>
      </c>
      <c r="E778" s="1">
        <v>3.4489999999999997E-5</v>
      </c>
      <c r="F778" s="1">
        <v>3.4480000000000002E-5</v>
      </c>
      <c r="G778">
        <f t="shared" si="137"/>
        <v>9</v>
      </c>
      <c r="H778" t="str">
        <f>RIGHT(B778,3)</f>
        <v>BTC</v>
      </c>
      <c r="I778" t="str">
        <f>LEFT(B778,6)</f>
        <v>EBONUS</v>
      </c>
      <c r="J778" t="str">
        <f t="shared" si="138"/>
        <v>BTCEBONUS</v>
      </c>
      <c r="K778" t="str">
        <f t="shared" si="139"/>
        <v>EBONUSBTC</v>
      </c>
      <c r="L778">
        <f t="shared" si="140"/>
        <v>0</v>
      </c>
      <c r="M778">
        <f t="shared" si="141"/>
        <v>1</v>
      </c>
      <c r="N778" t="b">
        <f t="shared" si="142"/>
        <v>1</v>
      </c>
    </row>
    <row r="779" spans="1:14" hidden="1" x14ac:dyDescent="0.25">
      <c r="A779" t="s">
        <v>1403</v>
      </c>
      <c r="B779" t="s">
        <v>1439</v>
      </c>
      <c r="C779" s="1">
        <v>8.5019999999999996E-5</v>
      </c>
      <c r="D779" s="1">
        <v>1.6200000000000001E-4</v>
      </c>
      <c r="E779" s="1">
        <v>1.6796111115879999E-4</v>
      </c>
      <c r="F779" s="1">
        <v>8.5030000000000004E-5</v>
      </c>
      <c r="G779">
        <f t="shared" si="137"/>
        <v>5</v>
      </c>
      <c r="H779" t="str">
        <f>RIGHT(B779,3)</f>
        <v>BTC</v>
      </c>
      <c r="I779" t="str">
        <f>LEFT(B779,2)</f>
        <v>EC</v>
      </c>
      <c r="J779" t="str">
        <f t="shared" si="138"/>
        <v>BTCEC</v>
      </c>
      <c r="K779" t="str">
        <f t="shared" si="139"/>
        <v>ECBTC</v>
      </c>
      <c r="L779">
        <f t="shared" si="140"/>
        <v>0</v>
      </c>
      <c r="M779">
        <f t="shared" si="141"/>
        <v>1</v>
      </c>
      <c r="N779" t="b">
        <f t="shared" si="142"/>
        <v>1</v>
      </c>
    </row>
    <row r="780" spans="1:14" hidden="1" x14ac:dyDescent="0.25">
      <c r="A780" t="s">
        <v>5</v>
      </c>
      <c r="B780" t="s">
        <v>1226</v>
      </c>
      <c r="C780" s="1">
        <v>1.6E-7</v>
      </c>
      <c r="D780" s="1">
        <v>1.1000000000000001E-7</v>
      </c>
      <c r="E780" s="1">
        <v>1.6E-7</v>
      </c>
      <c r="F780" s="1">
        <v>1.1000000000000001E-7</v>
      </c>
      <c r="G780">
        <f t="shared" si="137"/>
        <v>8</v>
      </c>
      <c r="H780" t="str">
        <f>RIGHT(B780,3)</f>
        <v>BTC</v>
      </c>
      <c r="I780" t="str">
        <f>LEFT(B780,5)</f>
        <v>ECCHI</v>
      </c>
      <c r="J780" t="str">
        <f t="shared" si="138"/>
        <v>BTCECCHI</v>
      </c>
      <c r="K780" t="str">
        <f t="shared" si="139"/>
        <v>ECCHIBTC</v>
      </c>
      <c r="L780">
        <f t="shared" si="140"/>
        <v>0</v>
      </c>
      <c r="M780">
        <f t="shared" si="141"/>
        <v>1</v>
      </c>
      <c r="N780" t="b">
        <f t="shared" si="142"/>
        <v>1</v>
      </c>
    </row>
    <row r="781" spans="1:14" hidden="1" x14ac:dyDescent="0.25">
      <c r="A781" t="s">
        <v>1403</v>
      </c>
      <c r="B781" t="s">
        <v>1953</v>
      </c>
      <c r="C781" s="1">
        <v>1769.9999999900001</v>
      </c>
      <c r="D781" s="1">
        <v>1769.9999999900001</v>
      </c>
      <c r="E781" s="1">
        <v>16966</v>
      </c>
      <c r="F781" s="1">
        <v>1.18777708</v>
      </c>
      <c r="G781">
        <f t="shared" si="137"/>
        <v>6</v>
      </c>
      <c r="H781" t="str">
        <f>RIGHT(B781,4)</f>
        <v>DOGE</v>
      </c>
      <c r="I781" t="str">
        <f>LEFT(B781,2)</f>
        <v>EC</v>
      </c>
      <c r="J781" t="str">
        <f t="shared" si="138"/>
        <v>DOGEEC</v>
      </c>
      <c r="K781" t="str">
        <f t="shared" si="139"/>
        <v>ECDOGE</v>
      </c>
      <c r="L781">
        <f t="shared" si="140"/>
        <v>0</v>
      </c>
      <c r="M781">
        <f t="shared" si="141"/>
        <v>1</v>
      </c>
      <c r="N781" t="b">
        <f t="shared" si="142"/>
        <v>1</v>
      </c>
    </row>
    <row r="782" spans="1:14" hidden="1" x14ac:dyDescent="0.25">
      <c r="A782" t="s">
        <v>5</v>
      </c>
      <c r="B782" t="s">
        <v>790</v>
      </c>
      <c r="C782" s="1">
        <v>1.95E-6</v>
      </c>
      <c r="D782" s="1">
        <v>1.6500000000000001E-6</v>
      </c>
      <c r="E782" s="1">
        <v>1.95E-6</v>
      </c>
      <c r="F782" s="1">
        <v>1.6500000000000001E-6</v>
      </c>
      <c r="G782">
        <f t="shared" si="137"/>
        <v>7</v>
      </c>
      <c r="H782" t="str">
        <f>RIGHT(B782,3)</f>
        <v>BTC</v>
      </c>
      <c r="I782" t="str">
        <f>LEFT(B782,4)</f>
        <v>ECLI</v>
      </c>
      <c r="J782" t="str">
        <f t="shared" si="138"/>
        <v>BTCECLI</v>
      </c>
      <c r="K782" t="str">
        <f t="shared" si="139"/>
        <v>ECLIBTC</v>
      </c>
      <c r="L782">
        <f t="shared" si="140"/>
        <v>0</v>
      </c>
      <c r="M782">
        <f t="shared" si="141"/>
        <v>1</v>
      </c>
      <c r="N782" t="b">
        <f t="shared" si="142"/>
        <v>1</v>
      </c>
    </row>
    <row r="783" spans="1:14" hidden="1" x14ac:dyDescent="0.25">
      <c r="A783" t="s">
        <v>1403</v>
      </c>
      <c r="B783" t="s">
        <v>1762</v>
      </c>
      <c r="C783" s="1">
        <v>7.4998999999999996E-2</v>
      </c>
      <c r="D783" s="1">
        <v>7.4998999999999996E-2</v>
      </c>
      <c r="E783" s="1">
        <v>10.67689975</v>
      </c>
      <c r="F783" s="1">
        <v>7.9149999999999999E-5</v>
      </c>
      <c r="G783">
        <f t="shared" si="137"/>
        <v>5</v>
      </c>
      <c r="H783" t="str">
        <f>RIGHT(B783,3)</f>
        <v>LTC</v>
      </c>
      <c r="I783" t="str">
        <f>LEFT(B783,2)</f>
        <v>EC</v>
      </c>
      <c r="J783" t="str">
        <f t="shared" si="138"/>
        <v>LTCEC</v>
      </c>
      <c r="K783" t="str">
        <f t="shared" si="139"/>
        <v>ECLTC</v>
      </c>
      <c r="L783">
        <f t="shared" si="140"/>
        <v>0</v>
      </c>
      <c r="M783">
        <f t="shared" si="141"/>
        <v>1</v>
      </c>
      <c r="N783" t="b">
        <f t="shared" si="142"/>
        <v>1</v>
      </c>
    </row>
    <row r="784" spans="1:14" hidden="1" x14ac:dyDescent="0.25">
      <c r="A784" t="s">
        <v>1403</v>
      </c>
      <c r="B784" t="s">
        <v>1954</v>
      </c>
      <c r="C784" s="1">
        <v>2797</v>
      </c>
      <c r="D784" s="1">
        <v>2797</v>
      </c>
      <c r="E784" s="1">
        <v>2797</v>
      </c>
      <c r="F784" s="1">
        <v>788.57101981599999</v>
      </c>
      <c r="G784">
        <f t="shared" si="137"/>
        <v>7</v>
      </c>
      <c r="H784" t="str">
        <f>RIGHT(B784,4)</f>
        <v>DOGE</v>
      </c>
      <c r="I784" t="str">
        <f>LEFT(B784,3)</f>
        <v>ECN</v>
      </c>
      <c r="J784" t="str">
        <f t="shared" si="138"/>
        <v>DOGEECN</v>
      </c>
      <c r="K784" t="str">
        <f t="shared" si="139"/>
        <v>ECNDOGE</v>
      </c>
      <c r="L784">
        <f t="shared" si="140"/>
        <v>0</v>
      </c>
      <c r="M784">
        <f t="shared" si="141"/>
        <v>1</v>
      </c>
      <c r="N784" t="b">
        <f t="shared" si="142"/>
        <v>1</v>
      </c>
    </row>
    <row r="785" spans="1:14" hidden="1" x14ac:dyDescent="0.25">
      <c r="A785" t="s">
        <v>1403</v>
      </c>
      <c r="B785" t="s">
        <v>1763</v>
      </c>
      <c r="C785" s="1">
        <v>0.25</v>
      </c>
      <c r="D785" s="1">
        <v>0.25</v>
      </c>
      <c r="E785" s="1">
        <v>0.24990000000000001</v>
      </c>
      <c r="F785" s="1">
        <v>1.1661099999999999E-3</v>
      </c>
      <c r="G785">
        <f t="shared" si="137"/>
        <v>6</v>
      </c>
      <c r="H785" t="str">
        <f>RIGHT(B785,3)</f>
        <v>LTC</v>
      </c>
      <c r="I785" t="str">
        <f>LEFT(B785,3)</f>
        <v>ECN</v>
      </c>
      <c r="J785" t="str">
        <f t="shared" si="138"/>
        <v>LTCECN</v>
      </c>
      <c r="K785" t="str">
        <f t="shared" si="139"/>
        <v>ECNLTC</v>
      </c>
      <c r="L785">
        <f t="shared" si="140"/>
        <v>0</v>
      </c>
      <c r="M785">
        <f t="shared" si="141"/>
        <v>1</v>
      </c>
      <c r="N785" t="b">
        <f t="shared" si="142"/>
        <v>1</v>
      </c>
    </row>
    <row r="786" spans="1:14" hidden="1" x14ac:dyDescent="0.25">
      <c r="A786" t="s">
        <v>1403</v>
      </c>
      <c r="B786" t="s">
        <v>1581</v>
      </c>
      <c r="C786" s="1">
        <v>4.93</v>
      </c>
      <c r="D786" s="1">
        <v>4.93</v>
      </c>
      <c r="E786" s="1">
        <v>4.9290000000000003</v>
      </c>
      <c r="F786" s="1">
        <v>3.5300102</v>
      </c>
      <c r="G786">
        <f t="shared" si="137"/>
        <v>6</v>
      </c>
      <c r="H786" t="str">
        <f>RIGHT(B786,3)</f>
        <v>USD</v>
      </c>
      <c r="I786" t="str">
        <f>LEFT(B786,3)</f>
        <v>ECN</v>
      </c>
      <c r="J786" t="str">
        <f t="shared" si="138"/>
        <v>USDECN</v>
      </c>
      <c r="K786" t="str">
        <f t="shared" si="139"/>
        <v>ECNUSD</v>
      </c>
      <c r="L786">
        <f t="shared" si="140"/>
        <v>0</v>
      </c>
      <c r="M786">
        <f t="shared" si="141"/>
        <v>1</v>
      </c>
      <c r="N786" t="b">
        <f t="shared" si="142"/>
        <v>1</v>
      </c>
    </row>
    <row r="787" spans="1:14" hidden="1" x14ac:dyDescent="0.25">
      <c r="A787" t="s">
        <v>5</v>
      </c>
      <c r="B787" t="s">
        <v>943</v>
      </c>
      <c r="C787" s="1">
        <v>1.4649800000000001E-3</v>
      </c>
      <c r="D787" s="1">
        <v>1.4324299999999999E-3</v>
      </c>
      <c r="E787" s="1">
        <v>1.4649800000000001E-3</v>
      </c>
      <c r="F787" s="1">
        <v>1.4324299999999999E-3</v>
      </c>
      <c r="G787">
        <f t="shared" si="137"/>
        <v>6</v>
      </c>
      <c r="H787" t="str">
        <f>RIGHT(B787,3)</f>
        <v>BTC</v>
      </c>
      <c r="I787" t="str">
        <f>LEFT(B787,3)</f>
        <v>ECO</v>
      </c>
      <c r="J787" t="str">
        <f t="shared" si="138"/>
        <v>BTCECO</v>
      </c>
      <c r="K787" t="str">
        <f t="shared" si="139"/>
        <v>ECOBTC</v>
      </c>
      <c r="L787">
        <f t="shared" si="140"/>
        <v>0</v>
      </c>
      <c r="M787">
        <f t="shared" si="141"/>
        <v>1</v>
      </c>
      <c r="N787" t="b">
        <f t="shared" si="142"/>
        <v>1</v>
      </c>
    </row>
    <row r="788" spans="1:14" hidden="1" x14ac:dyDescent="0.25">
      <c r="A788" t="s">
        <v>1403</v>
      </c>
      <c r="B788" t="s">
        <v>1440</v>
      </c>
      <c r="C788" s="1">
        <v>1.2999999999999999E-3</v>
      </c>
      <c r="D788" s="1">
        <v>1.3699999999999999E-3</v>
      </c>
      <c r="E788" s="1">
        <v>1.4499999999999999E-3</v>
      </c>
      <c r="F788" s="1">
        <v>1.3001099999999999E-3</v>
      </c>
      <c r="G788">
        <f t="shared" si="137"/>
        <v>7</v>
      </c>
      <c r="H788" t="str">
        <f>RIGHT(B788,3)</f>
        <v>BTC</v>
      </c>
      <c r="I788" t="str">
        <f>LEFT(B788,4)</f>
        <v>ECON</v>
      </c>
      <c r="J788" t="str">
        <f t="shared" si="138"/>
        <v>BTCECON</v>
      </c>
      <c r="K788" t="str">
        <f t="shared" si="139"/>
        <v>ECONBTC</v>
      </c>
      <c r="L788">
        <f t="shared" si="140"/>
        <v>0</v>
      </c>
      <c r="M788">
        <f t="shared" si="141"/>
        <v>1</v>
      </c>
      <c r="N788" t="b">
        <f t="shared" si="142"/>
        <v>1</v>
      </c>
    </row>
    <row r="789" spans="1:14" hidden="1" x14ac:dyDescent="0.25">
      <c r="A789" t="s">
        <v>1403</v>
      </c>
      <c r="B789" t="s">
        <v>1955</v>
      </c>
      <c r="C789" s="1">
        <v>0</v>
      </c>
      <c r="D789" s="1">
        <v>0</v>
      </c>
      <c r="E789" s="1">
        <v>166666.28567421</v>
      </c>
      <c r="F789" s="1">
        <v>16.050033339999999</v>
      </c>
      <c r="G789">
        <f t="shared" si="137"/>
        <v>8</v>
      </c>
      <c r="H789" t="str">
        <f>RIGHT(B789,4)</f>
        <v>DOGE</v>
      </c>
      <c r="I789" t="str">
        <f>LEFT(B789,4)</f>
        <v>ECON</v>
      </c>
      <c r="J789" t="str">
        <f t="shared" si="138"/>
        <v>DOGEECON</v>
      </c>
      <c r="K789" t="str">
        <f t="shared" si="139"/>
        <v>ECONDOGE</v>
      </c>
      <c r="L789">
        <f t="shared" si="140"/>
        <v>0</v>
      </c>
      <c r="M789">
        <f t="shared" si="141"/>
        <v>1</v>
      </c>
      <c r="N789" t="b">
        <f t="shared" si="142"/>
        <v>1</v>
      </c>
    </row>
    <row r="790" spans="1:14" hidden="1" x14ac:dyDescent="0.25">
      <c r="A790" t="s">
        <v>1403</v>
      </c>
      <c r="B790" t="s">
        <v>1764</v>
      </c>
      <c r="C790" s="1">
        <v>0</v>
      </c>
      <c r="D790" s="1">
        <v>0</v>
      </c>
      <c r="E790" s="1">
        <v>16.8461538901241</v>
      </c>
      <c r="F790" s="1">
        <v>2.0019999999999999E-4</v>
      </c>
      <c r="G790">
        <f t="shared" si="137"/>
        <v>7</v>
      </c>
      <c r="H790" t="str">
        <f>RIGHT(B790,3)</f>
        <v>LTC</v>
      </c>
      <c r="I790" t="str">
        <f>LEFT(B790,4)</f>
        <v>ECON</v>
      </c>
      <c r="J790" t="str">
        <f t="shared" si="138"/>
        <v>LTCECON</v>
      </c>
      <c r="K790" t="str">
        <f t="shared" si="139"/>
        <v>ECONLTC</v>
      </c>
      <c r="L790">
        <f t="shared" si="140"/>
        <v>0</v>
      </c>
      <c r="M790">
        <f t="shared" si="141"/>
        <v>1</v>
      </c>
      <c r="N790" t="b">
        <f t="shared" si="142"/>
        <v>1</v>
      </c>
    </row>
    <row r="791" spans="1:14" hidden="1" x14ac:dyDescent="0.25">
      <c r="A791" t="s">
        <v>1403</v>
      </c>
      <c r="B791" t="s">
        <v>1582</v>
      </c>
      <c r="C791" s="1">
        <v>4</v>
      </c>
      <c r="D791" s="1">
        <v>4</v>
      </c>
      <c r="E791" s="1">
        <v>4</v>
      </c>
      <c r="F791" s="1">
        <v>0.23000191</v>
      </c>
      <c r="G791">
        <f t="shared" si="137"/>
        <v>7</v>
      </c>
      <c r="H791" t="str">
        <f>RIGHT(B791,3)</f>
        <v>USD</v>
      </c>
      <c r="I791" t="str">
        <f>LEFT(B791,4)</f>
        <v>ECON</v>
      </c>
      <c r="J791" t="str">
        <f t="shared" si="138"/>
        <v>USDECON</v>
      </c>
      <c r="K791" t="str">
        <f t="shared" si="139"/>
        <v>ECONUSD</v>
      </c>
      <c r="L791">
        <f t="shared" si="140"/>
        <v>0</v>
      </c>
      <c r="M791">
        <f t="shared" si="141"/>
        <v>1</v>
      </c>
      <c r="N791" t="b">
        <f t="shared" si="142"/>
        <v>1</v>
      </c>
    </row>
    <row r="792" spans="1:14" hidden="1" x14ac:dyDescent="0.25">
      <c r="A792" t="s">
        <v>1403</v>
      </c>
      <c r="B792" t="s">
        <v>1580</v>
      </c>
      <c r="C792" s="1">
        <v>1.4449989999999999E-2</v>
      </c>
      <c r="D792" s="1">
        <v>1.4449989999999999E-2</v>
      </c>
      <c r="E792" s="1">
        <v>4.7979898900000002</v>
      </c>
      <c r="F792" s="1">
        <v>1.0062700000000001E-3</v>
      </c>
      <c r="G792">
        <f t="shared" si="137"/>
        <v>5</v>
      </c>
      <c r="H792" t="str">
        <f>RIGHT(B792,3)</f>
        <v>USD</v>
      </c>
      <c r="I792" t="str">
        <f>LEFT(B792,2)</f>
        <v>EC</v>
      </c>
      <c r="J792" t="str">
        <f t="shared" si="138"/>
        <v>USDEC</v>
      </c>
      <c r="K792" t="str">
        <f t="shared" si="139"/>
        <v>ECUSD</v>
      </c>
      <c r="L792">
        <f t="shared" si="140"/>
        <v>0</v>
      </c>
      <c r="M792">
        <f t="shared" si="141"/>
        <v>1</v>
      </c>
      <c r="N792" t="b">
        <f t="shared" si="142"/>
        <v>1</v>
      </c>
    </row>
    <row r="793" spans="1:14" hidden="1" x14ac:dyDescent="0.25">
      <c r="A793" t="s">
        <v>5</v>
      </c>
      <c r="B793" t="s">
        <v>654</v>
      </c>
      <c r="C793" s="1" t="s">
        <v>540</v>
      </c>
      <c r="D793" s="1" t="s">
        <v>435</v>
      </c>
      <c r="E793" s="1" t="s">
        <v>540</v>
      </c>
      <c r="F793" s="1" t="s">
        <v>435</v>
      </c>
      <c r="G793">
        <f t="shared" si="137"/>
        <v>6</v>
      </c>
      <c r="H793" t="str">
        <f>RIGHT(B793,3)</f>
        <v>BTC</v>
      </c>
      <c r="I793" t="str">
        <f>LEFT(B793,3)</f>
        <v>EDC</v>
      </c>
      <c r="J793" t="str">
        <f t="shared" si="138"/>
        <v>BTCEDC</v>
      </c>
      <c r="K793" t="str">
        <f t="shared" si="139"/>
        <v>EDCBTC</v>
      </c>
      <c r="L793">
        <f t="shared" si="140"/>
        <v>0</v>
      </c>
      <c r="M793">
        <f t="shared" si="141"/>
        <v>1</v>
      </c>
      <c r="N793" t="b">
        <f t="shared" si="142"/>
        <v>1</v>
      </c>
    </row>
    <row r="794" spans="1:14" hidden="1" x14ac:dyDescent="0.25">
      <c r="A794" t="s">
        <v>5</v>
      </c>
      <c r="B794" t="s">
        <v>952</v>
      </c>
      <c r="C794" s="1">
        <v>8.14E-6</v>
      </c>
      <c r="D794" s="1">
        <v>8.1000000000000004E-6</v>
      </c>
      <c r="E794" s="1">
        <v>8.14E-6</v>
      </c>
      <c r="F794" s="1">
        <v>8.1000000000000004E-6</v>
      </c>
      <c r="G794">
        <f t="shared" si="137"/>
        <v>7</v>
      </c>
      <c r="H794" t="str">
        <f>RIGHT(B794,3)</f>
        <v>BTC</v>
      </c>
      <c r="I794" t="str">
        <f t="shared" ref="I794:I800" si="143">LEFT(B794,4)</f>
        <v>EDR2</v>
      </c>
      <c r="J794" t="str">
        <f t="shared" si="138"/>
        <v>BTCEDR2</v>
      </c>
      <c r="K794" t="str">
        <f t="shared" si="139"/>
        <v>EDR2BTC</v>
      </c>
      <c r="L794">
        <f t="shared" si="140"/>
        <v>0</v>
      </c>
      <c r="M794">
        <f t="shared" si="141"/>
        <v>1</v>
      </c>
      <c r="N794" t="b">
        <f t="shared" si="142"/>
        <v>1</v>
      </c>
    </row>
    <row r="795" spans="1:14" hidden="1" x14ac:dyDescent="0.25">
      <c r="A795" t="s">
        <v>5</v>
      </c>
      <c r="B795" t="s">
        <v>1010</v>
      </c>
      <c r="C795" s="1">
        <v>1.3959000000000001E-4</v>
      </c>
      <c r="D795" s="1">
        <v>6.5040000000000001E-5</v>
      </c>
      <c r="E795" s="1">
        <v>1.3959000000000001E-4</v>
      </c>
      <c r="F795" s="1">
        <v>6.5040000000000001E-5</v>
      </c>
      <c r="G795">
        <f t="shared" si="137"/>
        <v>8</v>
      </c>
      <c r="H795" t="str">
        <f>RIGHT(B795,4)</f>
        <v>DASH</v>
      </c>
      <c r="I795" t="str">
        <f t="shared" si="143"/>
        <v>EDR2</v>
      </c>
      <c r="J795" t="str">
        <f t="shared" si="138"/>
        <v>DASHEDR2</v>
      </c>
      <c r="K795" t="str">
        <f t="shared" si="139"/>
        <v>EDR2DASH</v>
      </c>
      <c r="L795">
        <f t="shared" si="140"/>
        <v>0</v>
      </c>
      <c r="M795">
        <f t="shared" si="141"/>
        <v>1</v>
      </c>
      <c r="N795" t="b">
        <f t="shared" si="142"/>
        <v>1</v>
      </c>
    </row>
    <row r="796" spans="1:14" hidden="1" x14ac:dyDescent="0.25">
      <c r="A796" t="s">
        <v>5</v>
      </c>
      <c r="B796" t="s">
        <v>1159</v>
      </c>
      <c r="C796" s="1">
        <v>8.3999999899999995</v>
      </c>
      <c r="D796" s="1">
        <v>6.5560039400000001</v>
      </c>
      <c r="E796" s="1">
        <v>8.3999999899999995</v>
      </c>
      <c r="F796" s="1">
        <v>6.55600363130928</v>
      </c>
      <c r="G796">
        <f t="shared" si="137"/>
        <v>8</v>
      </c>
      <c r="H796" t="str">
        <f>RIGHT(B796,4)</f>
        <v>DOGE</v>
      </c>
      <c r="I796" t="str">
        <f t="shared" si="143"/>
        <v>EDR2</v>
      </c>
      <c r="J796" t="str">
        <f t="shared" si="138"/>
        <v>DOGEEDR2</v>
      </c>
      <c r="K796" t="str">
        <f t="shared" si="139"/>
        <v>EDR2DOGE</v>
      </c>
      <c r="L796">
        <f t="shared" si="140"/>
        <v>0</v>
      </c>
      <c r="M796">
        <f t="shared" si="141"/>
        <v>1</v>
      </c>
      <c r="N796" t="b">
        <f t="shared" si="142"/>
        <v>1</v>
      </c>
    </row>
    <row r="797" spans="1:14" hidden="1" x14ac:dyDescent="0.25">
      <c r="A797" t="s">
        <v>5</v>
      </c>
      <c r="B797" t="s">
        <v>1196</v>
      </c>
      <c r="C797" s="1">
        <v>6.8830000000000003E-5</v>
      </c>
      <c r="D797" s="1">
        <v>5.6509999999999999E-5</v>
      </c>
      <c r="E797" s="1">
        <v>6.8830000000000003E-5</v>
      </c>
      <c r="F797" s="1">
        <v>5.6509999999999999E-5</v>
      </c>
      <c r="G797">
        <f t="shared" si="137"/>
        <v>7</v>
      </c>
      <c r="H797" t="str">
        <f t="shared" ref="H797:H804" si="144">RIGHT(B797,3)</f>
        <v>ETH</v>
      </c>
      <c r="I797" t="str">
        <f t="shared" si="143"/>
        <v>EDR2</v>
      </c>
      <c r="J797" t="str">
        <f t="shared" si="138"/>
        <v>ETHEDR2</v>
      </c>
      <c r="K797" t="str">
        <f t="shared" si="139"/>
        <v>EDR2ETH</v>
      </c>
      <c r="L797">
        <f t="shared" si="140"/>
        <v>0</v>
      </c>
      <c r="M797">
        <f t="shared" si="141"/>
        <v>1</v>
      </c>
      <c r="N797" t="b">
        <f t="shared" si="142"/>
        <v>1</v>
      </c>
    </row>
    <row r="798" spans="1:14" hidden="1" x14ac:dyDescent="0.25">
      <c r="A798" t="s">
        <v>5</v>
      </c>
      <c r="B798" t="s">
        <v>607</v>
      </c>
      <c r="C798" s="1">
        <v>6.7623E-4</v>
      </c>
      <c r="D798" s="1">
        <v>5.0000999999999995E-4</v>
      </c>
      <c r="E798" s="1">
        <v>6.7623E-4</v>
      </c>
      <c r="F798" s="1">
        <v>5.0000999999999995E-4</v>
      </c>
      <c r="G798">
        <f t="shared" si="137"/>
        <v>7</v>
      </c>
      <c r="H798" t="str">
        <f t="shared" si="144"/>
        <v>LTC</v>
      </c>
      <c r="I798" t="str">
        <f t="shared" si="143"/>
        <v>EDR2</v>
      </c>
      <c r="J798" t="str">
        <f t="shared" si="138"/>
        <v>LTCEDR2</v>
      </c>
      <c r="K798" t="str">
        <f t="shared" si="139"/>
        <v>EDR2LTC</v>
      </c>
      <c r="L798">
        <f t="shared" si="140"/>
        <v>0</v>
      </c>
      <c r="M798">
        <f t="shared" si="141"/>
        <v>1</v>
      </c>
      <c r="N798" t="b">
        <f t="shared" si="142"/>
        <v>1</v>
      </c>
    </row>
    <row r="799" spans="1:14" hidden="1" x14ac:dyDescent="0.25">
      <c r="A799" t="s">
        <v>5</v>
      </c>
      <c r="B799" t="s">
        <v>414</v>
      </c>
      <c r="C799" s="1">
        <v>1.39999998</v>
      </c>
      <c r="D799" s="1">
        <v>1.1000000999999999</v>
      </c>
      <c r="E799" s="1">
        <v>1.39999998</v>
      </c>
      <c r="F799" s="1">
        <v>1.1000000999999999</v>
      </c>
      <c r="G799">
        <f t="shared" si="137"/>
        <v>7</v>
      </c>
      <c r="H799" t="str">
        <f t="shared" si="144"/>
        <v>RUR</v>
      </c>
      <c r="I799" t="str">
        <f t="shared" si="143"/>
        <v>EDR2</v>
      </c>
      <c r="J799" t="str">
        <f t="shared" si="138"/>
        <v>RUREDR2</v>
      </c>
      <c r="K799" t="str">
        <f t="shared" si="139"/>
        <v>EDR2RUR</v>
      </c>
      <c r="L799">
        <f t="shared" si="140"/>
        <v>0</v>
      </c>
      <c r="M799">
        <f t="shared" si="141"/>
        <v>1</v>
      </c>
      <c r="N799" t="b">
        <f t="shared" si="142"/>
        <v>1</v>
      </c>
    </row>
    <row r="800" spans="1:14" hidden="1" x14ac:dyDescent="0.25">
      <c r="A800" t="s">
        <v>5</v>
      </c>
      <c r="B800" t="s">
        <v>746</v>
      </c>
      <c r="C800" s="1">
        <v>2.0498019999999999E-2</v>
      </c>
      <c r="D800" s="1">
        <v>1.95E-2</v>
      </c>
      <c r="E800" s="1">
        <v>2.0498019999999999E-2</v>
      </c>
      <c r="F800" s="1">
        <v>1.95E-2</v>
      </c>
      <c r="G800">
        <f t="shared" si="137"/>
        <v>7</v>
      </c>
      <c r="H800" t="str">
        <f t="shared" si="144"/>
        <v>USD</v>
      </c>
      <c r="I800" t="str">
        <f t="shared" si="143"/>
        <v>EDR2</v>
      </c>
      <c r="J800" t="str">
        <f t="shared" si="138"/>
        <v>USDEDR2</v>
      </c>
      <c r="K800" t="str">
        <f t="shared" si="139"/>
        <v>EDR2USD</v>
      </c>
      <c r="L800">
        <f t="shared" si="140"/>
        <v>0</v>
      </c>
      <c r="M800">
        <f t="shared" si="141"/>
        <v>1</v>
      </c>
      <c r="N800" t="b">
        <f t="shared" si="142"/>
        <v>1</v>
      </c>
    </row>
    <row r="801" spans="1:14" hidden="1" x14ac:dyDescent="0.25">
      <c r="A801" t="s">
        <v>1239</v>
      </c>
      <c r="B801" t="s">
        <v>1290</v>
      </c>
      <c r="C801" s="1">
        <v>8.0900000000000005E-6</v>
      </c>
      <c r="D801" s="1">
        <v>8.0499999999999992E-6</v>
      </c>
      <c r="E801" s="1">
        <v>8.0900000000000005E-6</v>
      </c>
      <c r="F801" s="1">
        <v>8.0499999999999992E-6</v>
      </c>
      <c r="G801">
        <f t="shared" si="137"/>
        <v>6</v>
      </c>
      <c r="H801" t="str">
        <f t="shared" si="144"/>
        <v>BTC</v>
      </c>
      <c r="I801" t="str">
        <f>LEFT(B801,3)</f>
        <v>EDR</v>
      </c>
      <c r="J801" t="str">
        <f t="shared" si="138"/>
        <v>BTCEDR</v>
      </c>
      <c r="K801" t="str">
        <f t="shared" si="139"/>
        <v>EDRBTC</v>
      </c>
      <c r="L801">
        <f t="shared" si="140"/>
        <v>0</v>
      </c>
      <c r="M801">
        <f t="shared" si="141"/>
        <v>1</v>
      </c>
      <c r="N801" t="b">
        <f t="shared" si="142"/>
        <v>1</v>
      </c>
    </row>
    <row r="802" spans="1:14" hidden="1" x14ac:dyDescent="0.25">
      <c r="A802" t="s">
        <v>5</v>
      </c>
      <c r="B802" t="s">
        <v>991</v>
      </c>
      <c r="C802" s="1">
        <v>1.4209999999999999E-5</v>
      </c>
      <c r="D802" s="1">
        <v>1.022E-5</v>
      </c>
      <c r="E802" s="1">
        <v>1.4209999999999999E-5</v>
      </c>
      <c r="F802" s="1">
        <v>1.022E-5</v>
      </c>
      <c r="G802">
        <f t="shared" si="137"/>
        <v>7</v>
      </c>
      <c r="H802" t="str">
        <f t="shared" si="144"/>
        <v>BTC</v>
      </c>
      <c r="I802" t="str">
        <f>LEFT(B802,4)</f>
        <v>EDRC</v>
      </c>
      <c r="J802" t="str">
        <f t="shared" si="138"/>
        <v>BTCEDRC</v>
      </c>
      <c r="K802" t="str">
        <f t="shared" si="139"/>
        <v>EDRCBTC</v>
      </c>
      <c r="L802">
        <f t="shared" si="140"/>
        <v>0</v>
      </c>
      <c r="M802">
        <f t="shared" si="141"/>
        <v>1</v>
      </c>
      <c r="N802" t="b">
        <f t="shared" si="142"/>
        <v>1</v>
      </c>
    </row>
    <row r="803" spans="1:14" hidden="1" x14ac:dyDescent="0.25">
      <c r="A803" t="s">
        <v>1239</v>
      </c>
      <c r="B803" t="s">
        <v>1291</v>
      </c>
      <c r="C803" s="1">
        <v>3.7997899999999998</v>
      </c>
      <c r="D803" s="1">
        <v>0.77500000000000002</v>
      </c>
      <c r="E803" s="1">
        <v>3.7997899999999998</v>
      </c>
      <c r="F803" s="1">
        <v>0.77500000000000002</v>
      </c>
      <c r="G803">
        <f t="shared" si="137"/>
        <v>6</v>
      </c>
      <c r="H803" t="str">
        <f t="shared" si="144"/>
        <v>RUR</v>
      </c>
      <c r="I803" t="str">
        <f t="shared" ref="I803:I810" si="145">LEFT(B803,3)</f>
        <v>EDR</v>
      </c>
      <c r="J803" t="str">
        <f t="shared" si="138"/>
        <v>RUREDR</v>
      </c>
      <c r="K803" t="str">
        <f t="shared" si="139"/>
        <v>EDRRUR</v>
      </c>
      <c r="L803">
        <f t="shared" si="140"/>
        <v>0</v>
      </c>
      <c r="M803">
        <f t="shared" si="141"/>
        <v>1</v>
      </c>
      <c r="N803" t="b">
        <f t="shared" si="142"/>
        <v>1</v>
      </c>
    </row>
    <row r="804" spans="1:14" hidden="1" x14ac:dyDescent="0.25">
      <c r="A804" t="s">
        <v>1239</v>
      </c>
      <c r="B804" t="s">
        <v>1289</v>
      </c>
      <c r="C804" s="1">
        <v>2.0820000000000002E-2</v>
      </c>
      <c r="D804" s="1">
        <v>1.8509999999999999E-2</v>
      </c>
      <c r="E804" s="1">
        <v>2.0820000000000002E-2</v>
      </c>
      <c r="F804" s="1">
        <v>1.8509999999999999E-2</v>
      </c>
      <c r="G804">
        <f t="shared" si="137"/>
        <v>6</v>
      </c>
      <c r="H804" t="str">
        <f t="shared" si="144"/>
        <v>USD</v>
      </c>
      <c r="I804" t="str">
        <f t="shared" si="145"/>
        <v>EDR</v>
      </c>
      <c r="J804" t="str">
        <f t="shared" si="138"/>
        <v>USDEDR</v>
      </c>
      <c r="K804" t="str">
        <f t="shared" si="139"/>
        <v>EDRUSD</v>
      </c>
      <c r="L804">
        <f t="shared" si="140"/>
        <v>0</v>
      </c>
      <c r="M804">
        <f t="shared" si="141"/>
        <v>1</v>
      </c>
      <c r="N804" t="b">
        <f t="shared" si="142"/>
        <v>1</v>
      </c>
    </row>
    <row r="805" spans="1:14" hidden="1" x14ac:dyDescent="0.25">
      <c r="A805" t="s">
        <v>1403</v>
      </c>
      <c r="B805" t="s">
        <v>1956</v>
      </c>
      <c r="C805" s="1">
        <v>16.294089840000002</v>
      </c>
      <c r="D805" s="1">
        <v>16.294089840000002</v>
      </c>
      <c r="E805" s="1">
        <v>235.45117196000001</v>
      </c>
      <c r="F805" s="1">
        <v>16.224242010000001</v>
      </c>
      <c r="G805">
        <f t="shared" si="137"/>
        <v>7</v>
      </c>
      <c r="H805" t="str">
        <f>RIGHT(B805,4)</f>
        <v>DOGE</v>
      </c>
      <c r="I805" t="str">
        <f t="shared" si="145"/>
        <v>EGC</v>
      </c>
      <c r="J805" t="str">
        <f t="shared" si="138"/>
        <v>DOGEEGC</v>
      </c>
      <c r="K805" t="str">
        <f t="shared" si="139"/>
        <v>EGCDOGE</v>
      </c>
      <c r="L805">
        <f t="shared" si="140"/>
        <v>0</v>
      </c>
      <c r="M805">
        <f t="shared" si="141"/>
        <v>1</v>
      </c>
      <c r="N805" t="b">
        <f t="shared" si="142"/>
        <v>1</v>
      </c>
    </row>
    <row r="806" spans="1:14" hidden="1" x14ac:dyDescent="0.25">
      <c r="A806" t="s">
        <v>1403</v>
      </c>
      <c r="B806" t="s">
        <v>1765</v>
      </c>
      <c r="C806" s="1">
        <v>1.015449E-2</v>
      </c>
      <c r="D806" s="1">
        <v>1.015449E-2</v>
      </c>
      <c r="E806" s="1">
        <v>1.015448E-2</v>
      </c>
      <c r="F806" s="1">
        <v>7.0932999999999999E-4</v>
      </c>
      <c r="G806">
        <f t="shared" si="137"/>
        <v>6</v>
      </c>
      <c r="H806" t="str">
        <f t="shared" ref="H806:H811" si="146">RIGHT(B806,3)</f>
        <v>LTC</v>
      </c>
      <c r="I806" t="str">
        <f t="shared" si="145"/>
        <v>EGC</v>
      </c>
      <c r="J806" t="str">
        <f t="shared" si="138"/>
        <v>LTCEGC</v>
      </c>
      <c r="K806" t="str">
        <f t="shared" si="139"/>
        <v>EGCLTC</v>
      </c>
      <c r="L806">
        <f t="shared" si="140"/>
        <v>0</v>
      </c>
      <c r="M806">
        <f t="shared" si="141"/>
        <v>1</v>
      </c>
      <c r="N806" t="b">
        <f t="shared" si="142"/>
        <v>1</v>
      </c>
    </row>
    <row r="807" spans="1:14" hidden="1" x14ac:dyDescent="0.25">
      <c r="A807" t="s">
        <v>1403</v>
      </c>
      <c r="B807" t="s">
        <v>1583</v>
      </c>
      <c r="C807" s="1">
        <v>0.5</v>
      </c>
      <c r="D807" s="1">
        <v>0.5</v>
      </c>
      <c r="E807" s="1">
        <v>0.504680432608</v>
      </c>
      <c r="F807" s="1">
        <v>1.000037E-2</v>
      </c>
      <c r="G807">
        <f t="shared" si="137"/>
        <v>6</v>
      </c>
      <c r="H807" t="str">
        <f t="shared" si="146"/>
        <v>USD</v>
      </c>
      <c r="I807" t="str">
        <f t="shared" si="145"/>
        <v>EGC</v>
      </c>
      <c r="J807" t="str">
        <f t="shared" si="138"/>
        <v>USDEGC</v>
      </c>
      <c r="K807" t="str">
        <f t="shared" si="139"/>
        <v>EGCUSD</v>
      </c>
      <c r="L807">
        <f t="shared" si="140"/>
        <v>0</v>
      </c>
      <c r="M807">
        <f t="shared" si="141"/>
        <v>1</v>
      </c>
      <c r="N807" t="b">
        <f t="shared" si="142"/>
        <v>1</v>
      </c>
    </row>
    <row r="808" spans="1:14" hidden="1" x14ac:dyDescent="0.25">
      <c r="A808" t="s">
        <v>5</v>
      </c>
      <c r="B808" t="s">
        <v>710</v>
      </c>
      <c r="C808" s="1">
        <v>2.8499999999999998E-6</v>
      </c>
      <c r="D808" s="1">
        <v>1.9099999999999999E-6</v>
      </c>
      <c r="E808" s="1">
        <v>2.8499999999999998E-6</v>
      </c>
      <c r="F808" s="1">
        <v>1.9099999999999999E-6</v>
      </c>
      <c r="G808">
        <f t="shared" si="137"/>
        <v>6</v>
      </c>
      <c r="H808" t="str">
        <f t="shared" si="146"/>
        <v>BTC</v>
      </c>
      <c r="I808" t="str">
        <f t="shared" si="145"/>
        <v>EGG</v>
      </c>
      <c r="J808" t="str">
        <f t="shared" si="138"/>
        <v>BTCEGG</v>
      </c>
      <c r="K808" t="str">
        <f t="shared" si="139"/>
        <v>EGGBTC</v>
      </c>
      <c r="L808">
        <f t="shared" si="140"/>
        <v>0</v>
      </c>
      <c r="M808">
        <f t="shared" si="141"/>
        <v>1</v>
      </c>
      <c r="N808" t="b">
        <f t="shared" si="142"/>
        <v>1</v>
      </c>
    </row>
    <row r="809" spans="1:14" hidden="1" x14ac:dyDescent="0.25">
      <c r="A809" t="s">
        <v>5</v>
      </c>
      <c r="B809" t="s">
        <v>974</v>
      </c>
      <c r="C809" s="1" t="s">
        <v>435</v>
      </c>
      <c r="D809" s="1" t="s">
        <v>356</v>
      </c>
      <c r="E809" s="1" t="s">
        <v>435</v>
      </c>
      <c r="F809" s="1" t="s">
        <v>356</v>
      </c>
      <c r="G809">
        <f t="shared" si="137"/>
        <v>6</v>
      </c>
      <c r="H809" t="str">
        <f t="shared" si="146"/>
        <v>BTC</v>
      </c>
      <c r="I809" t="str">
        <f t="shared" si="145"/>
        <v>EGO</v>
      </c>
      <c r="J809" t="str">
        <f t="shared" si="138"/>
        <v>BTCEGO</v>
      </c>
      <c r="K809" t="str">
        <f t="shared" si="139"/>
        <v>EGOBTC</v>
      </c>
      <c r="L809">
        <f t="shared" si="140"/>
        <v>0</v>
      </c>
      <c r="M809">
        <f t="shared" si="141"/>
        <v>1</v>
      </c>
      <c r="N809" t="b">
        <f t="shared" si="142"/>
        <v>1</v>
      </c>
    </row>
    <row r="810" spans="1:14" hidden="1" x14ac:dyDescent="0.25">
      <c r="A810" t="s">
        <v>5</v>
      </c>
      <c r="B810" t="s">
        <v>839</v>
      </c>
      <c r="C810" s="1" t="s">
        <v>361</v>
      </c>
      <c r="D810" s="1" t="s">
        <v>364</v>
      </c>
      <c r="E810" s="1" t="s">
        <v>361</v>
      </c>
      <c r="F810" s="1" t="s">
        <v>384</v>
      </c>
      <c r="G810">
        <f t="shared" si="137"/>
        <v>6</v>
      </c>
      <c r="H810" t="str">
        <f t="shared" si="146"/>
        <v>BTC</v>
      </c>
      <c r="I810" t="str">
        <f t="shared" si="145"/>
        <v>EKO</v>
      </c>
      <c r="J810" t="str">
        <f t="shared" si="138"/>
        <v>BTCEKO</v>
      </c>
      <c r="K810" t="str">
        <f t="shared" si="139"/>
        <v>EKOBTC</v>
      </c>
      <c r="L810">
        <f t="shared" si="140"/>
        <v>0</v>
      </c>
      <c r="M810">
        <f t="shared" si="141"/>
        <v>1</v>
      </c>
      <c r="N810" t="b">
        <f t="shared" si="142"/>
        <v>1</v>
      </c>
    </row>
    <row r="811" spans="1:14" hidden="1" x14ac:dyDescent="0.25">
      <c r="A811" t="s">
        <v>5</v>
      </c>
      <c r="B811" t="s">
        <v>749</v>
      </c>
      <c r="C811" s="1">
        <v>2.4200000000000001E-6</v>
      </c>
      <c r="D811" s="1">
        <v>2.3999999999999999E-6</v>
      </c>
      <c r="E811" s="1">
        <v>2.4200000000000001E-6</v>
      </c>
      <c r="F811" s="1">
        <v>2.3999999999999999E-6</v>
      </c>
      <c r="G811">
        <f t="shared" si="137"/>
        <v>7</v>
      </c>
      <c r="H811" t="str">
        <f t="shared" si="146"/>
        <v>BTC</v>
      </c>
      <c r="I811" t="str">
        <f>LEFT(B811,4)</f>
        <v>ELCO</v>
      </c>
      <c r="J811" t="str">
        <f t="shared" si="138"/>
        <v>BTCELCO</v>
      </c>
      <c r="K811" t="str">
        <f t="shared" si="139"/>
        <v>ELCOBTC</v>
      </c>
      <c r="L811">
        <f t="shared" si="140"/>
        <v>0</v>
      </c>
      <c r="M811">
        <f t="shared" si="141"/>
        <v>1</v>
      </c>
      <c r="N811" t="b">
        <f t="shared" si="142"/>
        <v>1</v>
      </c>
    </row>
    <row r="812" spans="1:14" hidden="1" x14ac:dyDescent="0.25">
      <c r="A812" t="s">
        <v>1403</v>
      </c>
      <c r="B812" t="s">
        <v>1957</v>
      </c>
      <c r="C812" s="1">
        <v>100</v>
      </c>
      <c r="D812" s="1">
        <v>100</v>
      </c>
      <c r="E812" s="1">
        <v>984.99999997999998</v>
      </c>
      <c r="F812" s="1">
        <v>12.998999980000001</v>
      </c>
      <c r="G812">
        <f t="shared" si="137"/>
        <v>6</v>
      </c>
      <c r="H812" t="str">
        <f>RIGHT(B812,4)</f>
        <v>DOGE</v>
      </c>
      <c r="I812" t="str">
        <f>LEFT(B812,2)</f>
        <v>EL</v>
      </c>
      <c r="J812" t="str">
        <f t="shared" si="138"/>
        <v>DOGEEL</v>
      </c>
      <c r="K812" t="str">
        <f t="shared" si="139"/>
        <v>ELDOGE</v>
      </c>
      <c r="L812">
        <f t="shared" si="140"/>
        <v>0</v>
      </c>
      <c r="M812">
        <f t="shared" si="141"/>
        <v>1</v>
      </c>
      <c r="N812" t="b">
        <f t="shared" si="142"/>
        <v>1</v>
      </c>
    </row>
    <row r="813" spans="1:14" hidden="1" x14ac:dyDescent="0.25">
      <c r="A813" t="s">
        <v>1403</v>
      </c>
      <c r="B813" t="s">
        <v>1958</v>
      </c>
      <c r="C813" s="1">
        <v>1.772</v>
      </c>
      <c r="D813" s="1">
        <v>1.772</v>
      </c>
      <c r="E813" s="1">
        <v>4</v>
      </c>
      <c r="F813" s="1">
        <v>0.20001009</v>
      </c>
      <c r="G813">
        <f t="shared" si="137"/>
        <v>7</v>
      </c>
      <c r="H813" t="str">
        <f>RIGHT(B813,4)</f>
        <v>DOGE</v>
      </c>
      <c r="I813" t="str">
        <f>LEFT(B813,3)</f>
        <v>ELE</v>
      </c>
      <c r="J813" t="str">
        <f t="shared" si="138"/>
        <v>DOGEELE</v>
      </c>
      <c r="K813" t="str">
        <f t="shared" si="139"/>
        <v>ELEDOGE</v>
      </c>
      <c r="L813">
        <f t="shared" si="140"/>
        <v>0</v>
      </c>
      <c r="M813">
        <f t="shared" si="141"/>
        <v>1</v>
      </c>
      <c r="N813" t="b">
        <f t="shared" si="142"/>
        <v>1</v>
      </c>
    </row>
    <row r="814" spans="1:14" hidden="1" x14ac:dyDescent="0.25">
      <c r="A814" t="s">
        <v>1403</v>
      </c>
      <c r="B814" t="s">
        <v>1767</v>
      </c>
      <c r="C814" s="1">
        <v>0.4</v>
      </c>
      <c r="D814" s="1">
        <v>0.4</v>
      </c>
      <c r="E814" s="1">
        <v>1.18699E-3</v>
      </c>
      <c r="F814" s="1">
        <v>5.0170000000000002E-5</v>
      </c>
      <c r="G814">
        <f t="shared" si="137"/>
        <v>6</v>
      </c>
      <c r="H814" t="str">
        <f>RIGHT(B814,3)</f>
        <v>LTC</v>
      </c>
      <c r="I814" t="str">
        <f>LEFT(B814,3)</f>
        <v>ELE</v>
      </c>
      <c r="J814" t="str">
        <f t="shared" si="138"/>
        <v>LTCELE</v>
      </c>
      <c r="K814" t="str">
        <f t="shared" si="139"/>
        <v>ELELTC</v>
      </c>
      <c r="L814">
        <f t="shared" si="140"/>
        <v>0</v>
      </c>
      <c r="M814">
        <f t="shared" si="141"/>
        <v>1</v>
      </c>
      <c r="N814" t="b">
        <f t="shared" si="142"/>
        <v>1</v>
      </c>
    </row>
    <row r="815" spans="1:14" hidden="1" x14ac:dyDescent="0.25">
      <c r="A815" t="s">
        <v>1403</v>
      </c>
      <c r="B815" t="s">
        <v>1584</v>
      </c>
      <c r="C815" s="1">
        <v>2.5206280000000001E-2</v>
      </c>
      <c r="D815" s="1">
        <v>2.5206280000000001E-2</v>
      </c>
      <c r="E815" s="1">
        <v>2.5206280000000001E-2</v>
      </c>
      <c r="F815" s="1">
        <v>3.00103E-3</v>
      </c>
      <c r="G815">
        <f t="shared" si="137"/>
        <v>6</v>
      </c>
      <c r="H815" t="str">
        <f>RIGHT(B815,3)</f>
        <v>USD</v>
      </c>
      <c r="I815" t="str">
        <f>LEFT(B815,3)</f>
        <v>ELE</v>
      </c>
      <c r="J815" t="str">
        <f t="shared" si="138"/>
        <v>USDELE</v>
      </c>
      <c r="K815" t="str">
        <f t="shared" si="139"/>
        <v>ELEUSD</v>
      </c>
      <c r="L815">
        <f t="shared" si="140"/>
        <v>0</v>
      </c>
      <c r="M815">
        <f t="shared" si="141"/>
        <v>1</v>
      </c>
      <c r="N815" t="b">
        <f t="shared" si="142"/>
        <v>1</v>
      </c>
    </row>
    <row r="816" spans="1:14" hidden="1" x14ac:dyDescent="0.25">
      <c r="A816" t="s">
        <v>1403</v>
      </c>
      <c r="B816" t="s">
        <v>1766</v>
      </c>
      <c r="C816" s="1">
        <v>2.9989999999999999E-3</v>
      </c>
      <c r="D816" s="1">
        <v>2.9989999999999999E-3</v>
      </c>
      <c r="E816" s="1">
        <v>3.2699979999999997E-2</v>
      </c>
      <c r="F816" s="1">
        <v>1.906E-5</v>
      </c>
      <c r="G816">
        <f t="shared" si="137"/>
        <v>5</v>
      </c>
      <c r="H816" t="str">
        <f>RIGHT(B816,3)</f>
        <v>LTC</v>
      </c>
      <c r="I816" t="str">
        <f>LEFT(B816,2)</f>
        <v>EL</v>
      </c>
      <c r="J816" t="str">
        <f t="shared" si="138"/>
        <v>LTCEL</v>
      </c>
      <c r="K816" t="str">
        <f t="shared" si="139"/>
        <v>ELLTC</v>
      </c>
      <c r="L816">
        <f t="shared" si="140"/>
        <v>0</v>
      </c>
      <c r="M816">
        <f t="shared" si="141"/>
        <v>1</v>
      </c>
      <c r="N816" t="b">
        <f t="shared" si="142"/>
        <v>1</v>
      </c>
    </row>
    <row r="817" spans="1:14" hidden="1" x14ac:dyDescent="0.25">
      <c r="A817" t="s">
        <v>1239</v>
      </c>
      <c r="B817" t="s">
        <v>1264</v>
      </c>
      <c r="C817" s="1">
        <v>2.2888000000000002</v>
      </c>
      <c r="D817" s="1">
        <v>1.44</v>
      </c>
      <c r="E817" s="1">
        <v>2.2888000000000002</v>
      </c>
      <c r="F817" s="1">
        <v>1.44</v>
      </c>
      <c r="G817">
        <f t="shared" si="137"/>
        <v>5</v>
      </c>
      <c r="H817" t="str">
        <f>RIGHT(B817,3)</f>
        <v>RUR</v>
      </c>
      <c r="I817" t="str">
        <f>LEFT(B817,2)</f>
        <v>EL</v>
      </c>
      <c r="J817" t="str">
        <f t="shared" si="138"/>
        <v>RUREL</v>
      </c>
      <c r="K817" t="str">
        <f t="shared" si="139"/>
        <v>ELRUR</v>
      </c>
      <c r="L817">
        <f t="shared" si="140"/>
        <v>0</v>
      </c>
      <c r="M817">
        <f t="shared" si="141"/>
        <v>1</v>
      </c>
      <c r="N817" t="b">
        <f t="shared" si="142"/>
        <v>1</v>
      </c>
    </row>
    <row r="818" spans="1:14" hidden="1" x14ac:dyDescent="0.25">
      <c r="A818" t="s">
        <v>5</v>
      </c>
      <c r="B818" t="s">
        <v>829</v>
      </c>
      <c r="C818" s="1" t="s">
        <v>384</v>
      </c>
      <c r="D818" s="1" t="s">
        <v>361</v>
      </c>
      <c r="E818" s="1" t="s">
        <v>384</v>
      </c>
      <c r="F818" s="1" t="s">
        <v>361</v>
      </c>
      <c r="G818">
        <f t="shared" si="137"/>
        <v>6</v>
      </c>
      <c r="H818" t="str">
        <f>RIGHT(B818,3)</f>
        <v>BTC</v>
      </c>
      <c r="I818" t="str">
        <f t="shared" ref="I818:I824" si="147">LEFT(B818,3)</f>
        <v>EMB</v>
      </c>
      <c r="J818" t="str">
        <f t="shared" si="138"/>
        <v>BTCEMB</v>
      </c>
      <c r="K818" t="str">
        <f t="shared" si="139"/>
        <v>EMBBTC</v>
      </c>
      <c r="L818">
        <f t="shared" si="140"/>
        <v>0</v>
      </c>
      <c r="M818">
        <f t="shared" si="141"/>
        <v>1</v>
      </c>
      <c r="N818" t="b">
        <f t="shared" si="142"/>
        <v>1</v>
      </c>
    </row>
    <row r="819" spans="1:14" hidden="1" x14ac:dyDescent="0.25">
      <c r="A819" t="s">
        <v>1239</v>
      </c>
      <c r="B819" t="s">
        <v>1244</v>
      </c>
      <c r="C819" s="1">
        <v>7.4999999999999997E-3</v>
      </c>
      <c r="D819" s="1">
        <v>5.8999999999999999E-3</v>
      </c>
      <c r="E819" s="1">
        <v>7.4999999999999997E-3</v>
      </c>
      <c r="F819" s="1">
        <v>5.8999999999999999E-3</v>
      </c>
      <c r="G819">
        <f t="shared" si="137"/>
        <v>7</v>
      </c>
      <c r="H819" t="str">
        <f>RIGHT(B819,4)</f>
        <v>DASH</v>
      </c>
      <c r="I819" t="str">
        <f t="shared" si="147"/>
        <v>EMC</v>
      </c>
      <c r="J819" t="str">
        <f t="shared" si="138"/>
        <v>DASHEMC</v>
      </c>
      <c r="K819" t="str">
        <f t="shared" si="139"/>
        <v>EMCDASH</v>
      </c>
      <c r="L819">
        <f t="shared" si="140"/>
        <v>0</v>
      </c>
      <c r="M819">
        <f t="shared" si="141"/>
        <v>1</v>
      </c>
      <c r="N819" t="b">
        <f t="shared" si="142"/>
        <v>1</v>
      </c>
    </row>
    <row r="820" spans="1:14" hidden="1" x14ac:dyDescent="0.25">
      <c r="A820" t="s">
        <v>1239</v>
      </c>
      <c r="B820" t="s">
        <v>1245</v>
      </c>
      <c r="C820" s="1">
        <v>3.9499899999999996E-3</v>
      </c>
      <c r="D820" s="1">
        <v>2.5303399999999998E-3</v>
      </c>
      <c r="E820" s="1">
        <v>3.9499899999999996E-3</v>
      </c>
      <c r="F820" s="1">
        <v>2.5303399999999998E-3</v>
      </c>
      <c r="G820">
        <f t="shared" si="137"/>
        <v>6</v>
      </c>
      <c r="H820" t="str">
        <f t="shared" ref="H820:H834" si="148">RIGHT(B820,3)</f>
        <v>ETH</v>
      </c>
      <c r="I820" t="str">
        <f t="shared" si="147"/>
        <v>EMC</v>
      </c>
      <c r="J820" t="str">
        <f t="shared" si="138"/>
        <v>ETHEMC</v>
      </c>
      <c r="K820" t="str">
        <f t="shared" si="139"/>
        <v>EMCETH</v>
      </c>
      <c r="L820">
        <f t="shared" si="140"/>
        <v>0</v>
      </c>
      <c r="M820">
        <f t="shared" si="141"/>
        <v>1</v>
      </c>
      <c r="N820" t="b">
        <f t="shared" si="142"/>
        <v>1</v>
      </c>
    </row>
    <row r="821" spans="1:14" hidden="1" x14ac:dyDescent="0.25">
      <c r="A821" t="s">
        <v>1239</v>
      </c>
      <c r="B821" t="s">
        <v>1243</v>
      </c>
      <c r="C821" s="1">
        <v>75</v>
      </c>
      <c r="D821" s="1">
        <v>61</v>
      </c>
      <c r="E821" s="1">
        <v>75</v>
      </c>
      <c r="F821" s="1">
        <v>61</v>
      </c>
      <c r="G821">
        <f t="shared" si="137"/>
        <v>6</v>
      </c>
      <c r="H821" t="str">
        <f t="shared" si="148"/>
        <v>RUR</v>
      </c>
      <c r="I821" t="str">
        <f t="shared" si="147"/>
        <v>EMC</v>
      </c>
      <c r="J821" t="str">
        <f t="shared" si="138"/>
        <v>RUREMC</v>
      </c>
      <c r="K821" t="str">
        <f t="shared" si="139"/>
        <v>EMCRUR</v>
      </c>
      <c r="L821">
        <f t="shared" si="140"/>
        <v>0</v>
      </c>
      <c r="M821">
        <f t="shared" si="141"/>
        <v>1</v>
      </c>
      <c r="N821" t="b">
        <f t="shared" si="142"/>
        <v>1</v>
      </c>
    </row>
    <row r="822" spans="1:14" hidden="1" x14ac:dyDescent="0.25">
      <c r="A822" t="s">
        <v>1239</v>
      </c>
      <c r="B822" t="s">
        <v>1242</v>
      </c>
      <c r="C822" s="1">
        <v>1.11653</v>
      </c>
      <c r="D822" s="1">
        <v>1.0649999999999999</v>
      </c>
      <c r="E822" s="1">
        <v>1.11653</v>
      </c>
      <c r="F822" s="1">
        <v>1.0649999999999999</v>
      </c>
      <c r="G822">
        <f t="shared" si="137"/>
        <v>6</v>
      </c>
      <c r="H822" t="str">
        <f t="shared" si="148"/>
        <v>USD</v>
      </c>
      <c r="I822" t="str">
        <f t="shared" si="147"/>
        <v>EMC</v>
      </c>
      <c r="J822" t="str">
        <f t="shared" si="138"/>
        <v>USDEMC</v>
      </c>
      <c r="K822" t="str">
        <f t="shared" si="139"/>
        <v>EMCUSD</v>
      </c>
      <c r="L822">
        <f t="shared" si="140"/>
        <v>0</v>
      </c>
      <c r="M822">
        <f t="shared" si="141"/>
        <v>1</v>
      </c>
      <c r="N822" t="b">
        <f t="shared" si="142"/>
        <v>1</v>
      </c>
    </row>
    <row r="823" spans="1:14" hidden="1" x14ac:dyDescent="0.25">
      <c r="A823" t="s">
        <v>1239</v>
      </c>
      <c r="B823" t="s">
        <v>1246</v>
      </c>
      <c r="C823" s="1">
        <v>4.7999989999999999E-2</v>
      </c>
      <c r="D823" s="1">
        <v>1.1000070000000001E-2</v>
      </c>
      <c r="E823" s="1">
        <v>4.7999989999999999E-2</v>
      </c>
      <c r="F823" s="1">
        <v>1.1000070000000001E-2</v>
      </c>
      <c r="G823">
        <f t="shared" si="137"/>
        <v>6</v>
      </c>
      <c r="H823" t="str">
        <f t="shared" si="148"/>
        <v>XMR</v>
      </c>
      <c r="I823" t="str">
        <f t="shared" si="147"/>
        <v>EMC</v>
      </c>
      <c r="J823" t="str">
        <f t="shared" si="138"/>
        <v>XMREMC</v>
      </c>
      <c r="K823" t="str">
        <f t="shared" si="139"/>
        <v>EMCXMR</v>
      </c>
      <c r="L823">
        <f t="shared" si="140"/>
        <v>0</v>
      </c>
      <c r="M823">
        <f t="shared" si="141"/>
        <v>1</v>
      </c>
      <c r="N823" t="b">
        <f t="shared" si="142"/>
        <v>1</v>
      </c>
    </row>
    <row r="824" spans="1:14" hidden="1" x14ac:dyDescent="0.25">
      <c r="A824" t="s">
        <v>5</v>
      </c>
      <c r="B824" t="s">
        <v>833</v>
      </c>
      <c r="C824" s="1">
        <v>6.8800000000000002E-6</v>
      </c>
      <c r="D824" s="1">
        <v>5.84E-6</v>
      </c>
      <c r="E824" s="1">
        <v>6.8800000000000002E-6</v>
      </c>
      <c r="F824" s="1">
        <v>5.84E-6</v>
      </c>
      <c r="G824">
        <f t="shared" si="137"/>
        <v>6</v>
      </c>
      <c r="H824" t="str">
        <f t="shared" si="148"/>
        <v>BTC</v>
      </c>
      <c r="I824" t="str">
        <f t="shared" si="147"/>
        <v>EMP</v>
      </c>
      <c r="J824" t="str">
        <f t="shared" si="138"/>
        <v>BTCEMP</v>
      </c>
      <c r="K824" t="str">
        <f t="shared" si="139"/>
        <v>EMPBTC</v>
      </c>
      <c r="L824">
        <f t="shared" si="140"/>
        <v>0</v>
      </c>
      <c r="M824">
        <f t="shared" si="141"/>
        <v>1</v>
      </c>
      <c r="N824" t="b">
        <f t="shared" si="142"/>
        <v>1</v>
      </c>
    </row>
    <row r="825" spans="1:14" hidden="1" x14ac:dyDescent="0.25">
      <c r="A825" t="s">
        <v>5</v>
      </c>
      <c r="B825" t="s">
        <v>828</v>
      </c>
      <c r="C825" s="1" t="s">
        <v>381</v>
      </c>
      <c r="D825" s="1" t="s">
        <v>384</v>
      </c>
      <c r="E825" s="1" t="s">
        <v>381</v>
      </c>
      <c r="F825" s="1" t="s">
        <v>384</v>
      </c>
      <c r="G825">
        <f t="shared" si="137"/>
        <v>7</v>
      </c>
      <c r="H825" t="str">
        <f t="shared" si="148"/>
        <v>BTC</v>
      </c>
      <c r="I825" t="str">
        <f>LEFT(B825,4)</f>
        <v>EMPC</v>
      </c>
      <c r="J825" t="str">
        <f t="shared" si="138"/>
        <v>BTCEMPC</v>
      </c>
      <c r="K825" t="str">
        <f t="shared" si="139"/>
        <v>EMPCBTC</v>
      </c>
      <c r="L825">
        <f t="shared" si="140"/>
        <v>0</v>
      </c>
      <c r="M825">
        <f t="shared" si="141"/>
        <v>1</v>
      </c>
      <c r="N825" t="b">
        <f t="shared" si="142"/>
        <v>1</v>
      </c>
    </row>
    <row r="826" spans="1:14" hidden="1" x14ac:dyDescent="0.25">
      <c r="A826" t="s">
        <v>5</v>
      </c>
      <c r="B826" t="s">
        <v>1205</v>
      </c>
      <c r="C826" s="1">
        <v>3.4950000000000002E-5</v>
      </c>
      <c r="D826" s="1">
        <v>2.251E-5</v>
      </c>
      <c r="E826" s="1">
        <v>3.4950000000000002E-5</v>
      </c>
      <c r="F826" s="1">
        <v>2.251E-5</v>
      </c>
      <c r="G826">
        <f t="shared" si="137"/>
        <v>6</v>
      </c>
      <c r="H826" t="str">
        <f t="shared" si="148"/>
        <v>BTC</v>
      </c>
      <c r="I826" t="str">
        <f>LEFT(B826,3)</f>
        <v>ENE</v>
      </c>
      <c r="J826" t="str">
        <f t="shared" si="138"/>
        <v>BTCENE</v>
      </c>
      <c r="K826" t="str">
        <f t="shared" si="139"/>
        <v>ENEBTC</v>
      </c>
      <c r="L826">
        <f t="shared" si="140"/>
        <v>0</v>
      </c>
      <c r="M826">
        <f t="shared" si="141"/>
        <v>1</v>
      </c>
      <c r="N826" t="b">
        <f t="shared" si="142"/>
        <v>1</v>
      </c>
    </row>
    <row r="827" spans="1:14" hidden="1" x14ac:dyDescent="0.25">
      <c r="A827" t="s">
        <v>5</v>
      </c>
      <c r="B827" t="s">
        <v>1019</v>
      </c>
      <c r="C827" s="1" t="s">
        <v>361</v>
      </c>
      <c r="D827" s="1" t="s">
        <v>362</v>
      </c>
      <c r="E827" s="1" t="s">
        <v>361</v>
      </c>
      <c r="F827" s="1" t="s">
        <v>362</v>
      </c>
      <c r="G827">
        <f t="shared" si="137"/>
        <v>8</v>
      </c>
      <c r="H827" t="str">
        <f t="shared" si="148"/>
        <v>BTC</v>
      </c>
      <c r="I827" t="str">
        <f>LEFT(B827,5)</f>
        <v>ENTER</v>
      </c>
      <c r="J827" t="str">
        <f t="shared" si="138"/>
        <v>BTCENTER</v>
      </c>
      <c r="K827" t="str">
        <f t="shared" si="139"/>
        <v>ENTERBTC</v>
      </c>
      <c r="L827">
        <f t="shared" si="140"/>
        <v>0</v>
      </c>
      <c r="M827">
        <f t="shared" si="141"/>
        <v>1</v>
      </c>
      <c r="N827" t="b">
        <f t="shared" si="142"/>
        <v>1</v>
      </c>
    </row>
    <row r="828" spans="1:14" hidden="1" x14ac:dyDescent="0.25">
      <c r="A828" t="s">
        <v>5</v>
      </c>
      <c r="B828" t="s">
        <v>721</v>
      </c>
      <c r="C828" s="1">
        <v>5.7000000000000005E-7</v>
      </c>
      <c r="D828" s="1">
        <v>4.4000000000000002E-7</v>
      </c>
      <c r="E828" s="1">
        <v>5.7000000000000005E-7</v>
      </c>
      <c r="F828" s="1">
        <v>4.4000000000000002E-7</v>
      </c>
      <c r="G828">
        <f t="shared" si="137"/>
        <v>6</v>
      </c>
      <c r="H828" t="str">
        <f t="shared" si="148"/>
        <v>BTC</v>
      </c>
      <c r="I828" t="str">
        <f>LEFT(B828,3)</f>
        <v>EOC</v>
      </c>
      <c r="J828" t="str">
        <f t="shared" si="138"/>
        <v>BTCEOC</v>
      </c>
      <c r="K828" t="str">
        <f t="shared" si="139"/>
        <v>EOCBTC</v>
      </c>
      <c r="L828">
        <f t="shared" si="140"/>
        <v>0</v>
      </c>
      <c r="M828">
        <f t="shared" si="141"/>
        <v>1</v>
      </c>
      <c r="N828" t="b">
        <f t="shared" si="142"/>
        <v>1</v>
      </c>
    </row>
    <row r="829" spans="1:14" hidden="1" x14ac:dyDescent="0.25">
      <c r="A829" t="s">
        <v>5</v>
      </c>
      <c r="B829" t="s">
        <v>822</v>
      </c>
      <c r="C829" s="1" t="s">
        <v>362</v>
      </c>
      <c r="D829" s="1" t="s">
        <v>364</v>
      </c>
      <c r="E829" s="1" t="s">
        <v>362</v>
      </c>
      <c r="F829" s="1" t="s">
        <v>362</v>
      </c>
      <c r="G829">
        <f t="shared" si="137"/>
        <v>6</v>
      </c>
      <c r="H829" t="str">
        <f t="shared" si="148"/>
        <v>BTC</v>
      </c>
      <c r="I829" t="str">
        <f>LEFT(B829,3)</f>
        <v>EPC</v>
      </c>
      <c r="J829" t="str">
        <f t="shared" si="138"/>
        <v>BTCEPC</v>
      </c>
      <c r="K829" t="str">
        <f t="shared" si="139"/>
        <v>EPCBTC</v>
      </c>
      <c r="L829">
        <f t="shared" si="140"/>
        <v>0</v>
      </c>
      <c r="M829">
        <f t="shared" si="141"/>
        <v>1</v>
      </c>
      <c r="N829" t="b">
        <f t="shared" si="142"/>
        <v>1</v>
      </c>
    </row>
    <row r="830" spans="1:14" hidden="1" x14ac:dyDescent="0.25">
      <c r="A830" t="s">
        <v>5</v>
      </c>
      <c r="B830" t="s">
        <v>1011</v>
      </c>
      <c r="C830" s="1">
        <v>1.000041E-2</v>
      </c>
      <c r="D830" s="1">
        <v>1.000035E-2</v>
      </c>
      <c r="E830" s="1">
        <v>1.14334482244431E-2</v>
      </c>
      <c r="F830" s="1">
        <v>1.000035E-2</v>
      </c>
      <c r="G830">
        <f t="shared" si="137"/>
        <v>6</v>
      </c>
      <c r="H830" t="str">
        <f t="shared" si="148"/>
        <v>BTC</v>
      </c>
      <c r="I830" t="str">
        <f>LEFT(B830,3)</f>
        <v>EPY</v>
      </c>
      <c r="J830" t="str">
        <f t="shared" si="138"/>
        <v>BTCEPY</v>
      </c>
      <c r="K830" t="str">
        <f t="shared" si="139"/>
        <v>EPYBTC</v>
      </c>
      <c r="L830">
        <f t="shared" si="140"/>
        <v>0</v>
      </c>
      <c r="M830">
        <f t="shared" si="141"/>
        <v>1</v>
      </c>
      <c r="N830" t="b">
        <f t="shared" si="142"/>
        <v>1</v>
      </c>
    </row>
    <row r="831" spans="1:14" hidden="1" x14ac:dyDescent="0.25">
      <c r="A831" t="s">
        <v>5</v>
      </c>
      <c r="B831" t="s">
        <v>447</v>
      </c>
      <c r="C831" s="1">
        <v>7.1199999999999996E-6</v>
      </c>
      <c r="D831" s="1">
        <v>6.6000000000000003E-6</v>
      </c>
      <c r="E831" s="1">
        <v>7.1199999999999996E-6</v>
      </c>
      <c r="F831" s="1">
        <v>6.6000000000000003E-6</v>
      </c>
      <c r="G831">
        <f t="shared" si="137"/>
        <v>6</v>
      </c>
      <c r="H831" t="str">
        <f t="shared" si="148"/>
        <v>BTC</v>
      </c>
      <c r="I831" t="str">
        <f>LEFT(B831,3)</f>
        <v>EQM</v>
      </c>
      <c r="J831" t="str">
        <f t="shared" si="138"/>
        <v>BTCEQM</v>
      </c>
      <c r="K831" t="str">
        <f t="shared" si="139"/>
        <v>EQMBTC</v>
      </c>
      <c r="L831">
        <f t="shared" si="140"/>
        <v>0</v>
      </c>
      <c r="M831">
        <f t="shared" si="141"/>
        <v>1</v>
      </c>
      <c r="N831" t="b">
        <f t="shared" si="142"/>
        <v>1</v>
      </c>
    </row>
    <row r="832" spans="1:14" hidden="1" x14ac:dyDescent="0.25">
      <c r="A832" t="s">
        <v>5</v>
      </c>
      <c r="B832" t="s">
        <v>1020</v>
      </c>
      <c r="C832" s="1" t="s">
        <v>384</v>
      </c>
      <c r="D832" s="1" t="s">
        <v>361</v>
      </c>
      <c r="E832" s="1" t="s">
        <v>384</v>
      </c>
      <c r="F832" s="1" t="s">
        <v>361</v>
      </c>
      <c r="G832">
        <f t="shared" si="137"/>
        <v>8</v>
      </c>
      <c r="H832" t="str">
        <f t="shared" si="148"/>
        <v>BTC</v>
      </c>
      <c r="I832" t="str">
        <f>LEFT(B832,5)</f>
        <v>EQUAL</v>
      </c>
      <c r="J832" t="str">
        <f t="shared" si="138"/>
        <v>BTCEQUAL</v>
      </c>
      <c r="K832" t="str">
        <f t="shared" si="139"/>
        <v>EQUALBTC</v>
      </c>
      <c r="L832">
        <f t="shared" si="140"/>
        <v>0</v>
      </c>
      <c r="M832">
        <f t="shared" si="141"/>
        <v>1</v>
      </c>
      <c r="N832" t="b">
        <f t="shared" si="142"/>
        <v>1</v>
      </c>
    </row>
    <row r="833" spans="1:14" hidden="1" x14ac:dyDescent="0.25">
      <c r="A833" t="s">
        <v>5</v>
      </c>
      <c r="B833" t="s">
        <v>1084</v>
      </c>
      <c r="C833" s="1" t="s">
        <v>380</v>
      </c>
      <c r="D833" s="1" t="s">
        <v>384</v>
      </c>
      <c r="E833" s="1" t="s">
        <v>380</v>
      </c>
      <c r="F833" s="1" t="s">
        <v>384</v>
      </c>
      <c r="G833">
        <f t="shared" ref="G833:G896" si="149">LEN(B833)</f>
        <v>6</v>
      </c>
      <c r="H833" t="str">
        <f t="shared" si="148"/>
        <v>BTC</v>
      </c>
      <c r="I833" t="str">
        <f t="shared" ref="I833:I842" si="150">LEFT(B833,3)</f>
        <v>ERR</v>
      </c>
      <c r="J833" t="str">
        <f t="shared" ref="J833:J896" si="151">CONCATENATE(H833,I833)</f>
        <v>BTCERR</v>
      </c>
      <c r="K833" t="str">
        <f t="shared" ref="K833:K896" si="152">CONCATENATE(I833,H833)</f>
        <v>ERRBTC</v>
      </c>
      <c r="L833">
        <f t="shared" ref="L833:L896" si="153">COUNTIF(B:B,J833)</f>
        <v>0</v>
      </c>
      <c r="M833">
        <f t="shared" ref="M833:M896" si="154">COUNTIF(B:B,K833)</f>
        <v>1</v>
      </c>
      <c r="N833" t="b">
        <f t="shared" ref="N833:N896" si="155">L833=0</f>
        <v>1</v>
      </c>
    </row>
    <row r="834" spans="1:14" hidden="1" x14ac:dyDescent="0.25">
      <c r="A834" t="s">
        <v>1403</v>
      </c>
      <c r="B834" t="s">
        <v>1441</v>
      </c>
      <c r="C834" s="1">
        <v>6.02E-6</v>
      </c>
      <c r="D834" s="1">
        <v>6.8800000000000002E-6</v>
      </c>
      <c r="E834" s="1">
        <v>6.8800000000000002E-6</v>
      </c>
      <c r="F834" s="1">
        <v>6.02E-6</v>
      </c>
      <c r="G834">
        <f t="shared" si="149"/>
        <v>6</v>
      </c>
      <c r="H834" t="str">
        <f t="shared" si="148"/>
        <v>BTC</v>
      </c>
      <c r="I834" t="str">
        <f t="shared" si="150"/>
        <v>ERY</v>
      </c>
      <c r="J834" t="str">
        <f t="shared" si="151"/>
        <v>BTCERY</v>
      </c>
      <c r="K834" t="str">
        <f t="shared" si="152"/>
        <v>ERYBTC</v>
      </c>
      <c r="L834">
        <f t="shared" si="153"/>
        <v>0</v>
      </c>
      <c r="M834">
        <f t="shared" si="154"/>
        <v>1</v>
      </c>
      <c r="N834" t="b">
        <f t="shared" si="155"/>
        <v>1</v>
      </c>
    </row>
    <row r="835" spans="1:14" hidden="1" x14ac:dyDescent="0.25">
      <c r="A835" t="s">
        <v>1403</v>
      </c>
      <c r="B835" t="s">
        <v>1959</v>
      </c>
      <c r="C835" s="1">
        <v>2.0620000900000002</v>
      </c>
      <c r="D835" s="1">
        <v>2.0620000900000002</v>
      </c>
      <c r="E835" s="1">
        <v>123.999999</v>
      </c>
      <c r="F835" s="1">
        <v>2.0620991399999999</v>
      </c>
      <c r="G835">
        <f t="shared" si="149"/>
        <v>7</v>
      </c>
      <c r="H835" t="str">
        <f>RIGHT(B835,4)</f>
        <v>DOGE</v>
      </c>
      <c r="I835" t="str">
        <f t="shared" si="150"/>
        <v>ERY</v>
      </c>
      <c r="J835" t="str">
        <f t="shared" si="151"/>
        <v>DOGEERY</v>
      </c>
      <c r="K835" t="str">
        <f t="shared" si="152"/>
        <v>ERYDOGE</v>
      </c>
      <c r="L835">
        <f t="shared" si="153"/>
        <v>0</v>
      </c>
      <c r="M835">
        <f t="shared" si="154"/>
        <v>1</v>
      </c>
      <c r="N835" t="b">
        <f t="shared" si="155"/>
        <v>1</v>
      </c>
    </row>
    <row r="836" spans="1:14" hidden="1" x14ac:dyDescent="0.25">
      <c r="A836" t="s">
        <v>1403</v>
      </c>
      <c r="B836" t="s">
        <v>1768</v>
      </c>
      <c r="C836" s="1">
        <v>0.02</v>
      </c>
      <c r="D836" s="1">
        <v>0.02</v>
      </c>
      <c r="E836" s="1">
        <v>9.9970000000000007E-3</v>
      </c>
      <c r="F836" s="1">
        <v>1.005E-5</v>
      </c>
      <c r="G836">
        <f t="shared" si="149"/>
        <v>6</v>
      </c>
      <c r="H836" t="str">
        <f>RIGHT(B836,3)</f>
        <v>LTC</v>
      </c>
      <c r="I836" t="str">
        <f t="shared" si="150"/>
        <v>ERY</v>
      </c>
      <c r="J836" t="str">
        <f t="shared" si="151"/>
        <v>LTCERY</v>
      </c>
      <c r="K836" t="str">
        <f t="shared" si="152"/>
        <v>ERYLTC</v>
      </c>
      <c r="L836">
        <f t="shared" si="153"/>
        <v>0</v>
      </c>
      <c r="M836">
        <f t="shared" si="154"/>
        <v>1</v>
      </c>
      <c r="N836" t="b">
        <f t="shared" si="155"/>
        <v>1</v>
      </c>
    </row>
    <row r="837" spans="1:14" hidden="1" x14ac:dyDescent="0.25">
      <c r="A837" t="s">
        <v>1403</v>
      </c>
      <c r="B837" t="s">
        <v>1585</v>
      </c>
      <c r="C837" s="1">
        <v>9.9899989999999994E-2</v>
      </c>
      <c r="D837" s="1">
        <v>9.9899989999999994E-2</v>
      </c>
      <c r="E837" s="1">
        <v>8.9987769999999995E-2</v>
      </c>
      <c r="F837" s="1">
        <v>1.5000009999999999E-2</v>
      </c>
      <c r="G837">
        <f t="shared" si="149"/>
        <v>6</v>
      </c>
      <c r="H837" t="str">
        <f>RIGHT(B837,3)</f>
        <v>USD</v>
      </c>
      <c r="I837" t="str">
        <f t="shared" si="150"/>
        <v>ERY</v>
      </c>
      <c r="J837" t="str">
        <f t="shared" si="151"/>
        <v>USDERY</v>
      </c>
      <c r="K837" t="str">
        <f t="shared" si="152"/>
        <v>ERYUSD</v>
      </c>
      <c r="L837">
        <f t="shared" si="153"/>
        <v>0</v>
      </c>
      <c r="M837">
        <f t="shared" si="154"/>
        <v>1</v>
      </c>
      <c r="N837" t="b">
        <f t="shared" si="155"/>
        <v>1</v>
      </c>
    </row>
    <row r="838" spans="1:14" hidden="1" x14ac:dyDescent="0.25">
      <c r="A838" t="s">
        <v>5</v>
      </c>
      <c r="B838" t="s">
        <v>815</v>
      </c>
      <c r="C838" s="1" t="s">
        <v>380</v>
      </c>
      <c r="D838" s="1" t="s">
        <v>381</v>
      </c>
      <c r="E838" s="1" t="s">
        <v>380</v>
      </c>
      <c r="F838" s="1" t="s">
        <v>381</v>
      </c>
      <c r="G838">
        <f t="shared" si="149"/>
        <v>6</v>
      </c>
      <c r="H838" t="str">
        <f>RIGHT(B838,3)</f>
        <v>BTC</v>
      </c>
      <c r="I838" t="str">
        <f t="shared" si="150"/>
        <v>ESC</v>
      </c>
      <c r="J838" t="str">
        <f t="shared" si="151"/>
        <v>BTCESC</v>
      </c>
      <c r="K838" t="str">
        <f t="shared" si="152"/>
        <v>ESCBTC</v>
      </c>
      <c r="L838">
        <f t="shared" si="153"/>
        <v>0</v>
      </c>
      <c r="M838">
        <f t="shared" si="154"/>
        <v>1</v>
      </c>
      <c r="N838" t="b">
        <f t="shared" si="155"/>
        <v>1</v>
      </c>
    </row>
    <row r="839" spans="1:14" hidden="1" x14ac:dyDescent="0.25">
      <c r="A839" t="s">
        <v>5</v>
      </c>
      <c r="B839" t="s">
        <v>1102</v>
      </c>
      <c r="C839" s="1" t="s">
        <v>362</v>
      </c>
      <c r="D839" s="1" t="s">
        <v>364</v>
      </c>
      <c r="E839" s="1" t="s">
        <v>362</v>
      </c>
      <c r="F839" s="1">
        <v>7.4000000000000001E-7</v>
      </c>
      <c r="G839">
        <f t="shared" si="149"/>
        <v>6</v>
      </c>
      <c r="H839" t="str">
        <f>RIGHT(B839,3)</f>
        <v>BTC</v>
      </c>
      <c r="I839" t="str">
        <f t="shared" si="150"/>
        <v>ESP</v>
      </c>
      <c r="J839" t="str">
        <f t="shared" si="151"/>
        <v>BTCESP</v>
      </c>
      <c r="K839" t="str">
        <f t="shared" si="152"/>
        <v>ESPBTC</v>
      </c>
      <c r="L839">
        <f t="shared" si="153"/>
        <v>0</v>
      </c>
      <c r="M839">
        <f t="shared" si="154"/>
        <v>1</v>
      </c>
      <c r="N839" t="b">
        <f t="shared" si="155"/>
        <v>1</v>
      </c>
    </row>
    <row r="840" spans="1:14" hidden="1" x14ac:dyDescent="0.25">
      <c r="A840" t="s">
        <v>1403</v>
      </c>
      <c r="B840" t="s">
        <v>1960</v>
      </c>
      <c r="C840" s="1">
        <v>19998</v>
      </c>
      <c r="D840" s="1">
        <v>19998</v>
      </c>
      <c r="E840" s="1">
        <v>21105</v>
      </c>
      <c r="F840" s="1">
        <v>3074.1445295794701</v>
      </c>
      <c r="G840">
        <f t="shared" si="149"/>
        <v>7</v>
      </c>
      <c r="H840" t="str">
        <f>RIGHT(B840,4)</f>
        <v>DOGE</v>
      </c>
      <c r="I840" t="str">
        <f t="shared" si="150"/>
        <v>ETC</v>
      </c>
      <c r="J840" t="str">
        <f t="shared" si="151"/>
        <v>DOGEETC</v>
      </c>
      <c r="K840" t="str">
        <f t="shared" si="152"/>
        <v>ETCDOGE</v>
      </c>
      <c r="L840">
        <f t="shared" si="153"/>
        <v>0</v>
      </c>
      <c r="M840">
        <f t="shared" si="154"/>
        <v>1</v>
      </c>
      <c r="N840" t="b">
        <f t="shared" si="155"/>
        <v>1</v>
      </c>
    </row>
    <row r="841" spans="1:14" hidden="1" x14ac:dyDescent="0.25">
      <c r="A841" t="s">
        <v>3</v>
      </c>
      <c r="B841" t="s">
        <v>287</v>
      </c>
      <c r="C841" s="1">
        <v>14.3</v>
      </c>
      <c r="D841" s="1">
        <v>14.164999999999999</v>
      </c>
      <c r="E841" s="1">
        <v>14.325150000000001</v>
      </c>
      <c r="F841" s="1">
        <v>14.16503</v>
      </c>
      <c r="G841">
        <f t="shared" si="149"/>
        <v>6</v>
      </c>
      <c r="H841" t="str">
        <f t="shared" ref="H841:H849" si="156">RIGHT(B841,3)</f>
        <v>EUR</v>
      </c>
      <c r="I841" t="str">
        <f t="shared" si="150"/>
        <v>ETC</v>
      </c>
      <c r="J841" t="str">
        <f t="shared" si="151"/>
        <v>EURETC</v>
      </c>
      <c r="K841" t="str">
        <f t="shared" si="152"/>
        <v>ETCEUR</v>
      </c>
      <c r="L841">
        <f t="shared" si="153"/>
        <v>0</v>
      </c>
      <c r="M841">
        <f t="shared" si="154"/>
        <v>1</v>
      </c>
      <c r="N841" t="b">
        <f t="shared" si="155"/>
        <v>1</v>
      </c>
    </row>
    <row r="842" spans="1:14" hidden="1" x14ac:dyDescent="0.25">
      <c r="A842" t="s">
        <v>1403</v>
      </c>
      <c r="B842" t="s">
        <v>1769</v>
      </c>
      <c r="C842" s="1">
        <v>0.88910999999999996</v>
      </c>
      <c r="D842" s="1">
        <v>0.88910999999999996</v>
      </c>
      <c r="E842" s="1">
        <v>0.97932064708098698</v>
      </c>
      <c r="F842" s="1">
        <v>0.40200002000000001</v>
      </c>
      <c r="G842">
        <f t="shared" si="149"/>
        <v>6</v>
      </c>
      <c r="H842" t="str">
        <f t="shared" si="156"/>
        <v>LTC</v>
      </c>
      <c r="I842" t="str">
        <f t="shared" si="150"/>
        <v>ETC</v>
      </c>
      <c r="J842" t="str">
        <f t="shared" si="151"/>
        <v>LTCETC</v>
      </c>
      <c r="K842" t="str">
        <f t="shared" si="152"/>
        <v>ETCLTC</v>
      </c>
      <c r="L842">
        <f t="shared" si="153"/>
        <v>0</v>
      </c>
      <c r="M842">
        <f t="shared" si="154"/>
        <v>1</v>
      </c>
      <c r="N842" t="b">
        <f t="shared" si="155"/>
        <v>1</v>
      </c>
    </row>
    <row r="843" spans="1:14" hidden="1" x14ac:dyDescent="0.25">
      <c r="A843" t="s">
        <v>5</v>
      </c>
      <c r="B843" t="s">
        <v>726</v>
      </c>
      <c r="C843" s="1">
        <v>100.00000000999999</v>
      </c>
      <c r="D843" s="1">
        <v>8.0000000100000008</v>
      </c>
      <c r="E843" s="1">
        <v>100.00000000999999</v>
      </c>
      <c r="F843" s="1">
        <v>6.6000000000000003E-7</v>
      </c>
      <c r="G843">
        <f t="shared" si="149"/>
        <v>7</v>
      </c>
      <c r="H843" t="str">
        <f t="shared" si="156"/>
        <v>BTC</v>
      </c>
      <c r="I843" t="str">
        <f>LEFT(B843,4)</f>
        <v>ETCO</v>
      </c>
      <c r="J843" t="str">
        <f t="shared" si="151"/>
        <v>BTCETCO</v>
      </c>
      <c r="K843" t="str">
        <f t="shared" si="152"/>
        <v>ETCOBTC</v>
      </c>
      <c r="L843">
        <f t="shared" si="153"/>
        <v>0</v>
      </c>
      <c r="M843">
        <f t="shared" si="154"/>
        <v>1</v>
      </c>
      <c r="N843" t="b">
        <f t="shared" si="155"/>
        <v>1</v>
      </c>
    </row>
    <row r="844" spans="1:14" hidden="1" x14ac:dyDescent="0.25">
      <c r="A844" t="s">
        <v>2</v>
      </c>
      <c r="B844" t="s">
        <v>257</v>
      </c>
      <c r="C844" s="1">
        <v>2.7836699999999998E-3</v>
      </c>
      <c r="D844" s="1">
        <v>2.4512399999999999E-3</v>
      </c>
      <c r="E844" s="1">
        <v>2.7836699999999998E-3</v>
      </c>
      <c r="F844" s="1">
        <v>2.4512399999999999E-3</v>
      </c>
      <c r="G844">
        <f t="shared" si="149"/>
        <v>6</v>
      </c>
      <c r="H844" t="str">
        <f t="shared" si="156"/>
        <v>1ST</v>
      </c>
      <c r="I844" t="str">
        <f t="shared" ref="I844:I859" si="157">LEFT(B844,3)</f>
        <v>ETH</v>
      </c>
      <c r="J844" t="str">
        <f t="shared" si="151"/>
        <v>1STETH</v>
      </c>
      <c r="K844" t="str">
        <f t="shared" si="152"/>
        <v>ETH1ST</v>
      </c>
      <c r="L844">
        <f t="shared" si="153"/>
        <v>0</v>
      </c>
      <c r="M844">
        <f t="shared" si="154"/>
        <v>1</v>
      </c>
      <c r="N844" t="b">
        <f t="shared" si="155"/>
        <v>1</v>
      </c>
    </row>
    <row r="845" spans="1:14" hidden="1" x14ac:dyDescent="0.25">
      <c r="A845" t="s">
        <v>2</v>
      </c>
      <c r="B845" t="s">
        <v>251</v>
      </c>
      <c r="C845" s="1">
        <v>9.4500000000000001E-3</v>
      </c>
      <c r="D845" s="1">
        <v>9.2300000000000004E-3</v>
      </c>
      <c r="E845" s="1">
        <v>9.4500000000000001E-3</v>
      </c>
      <c r="F845" s="1">
        <v>9.2300000000000004E-3</v>
      </c>
      <c r="G845">
        <f t="shared" si="149"/>
        <v>6</v>
      </c>
      <c r="H845" t="str">
        <f t="shared" si="156"/>
        <v>ANT</v>
      </c>
      <c r="I845" t="str">
        <f t="shared" si="157"/>
        <v>ETH</v>
      </c>
      <c r="J845" t="str">
        <f t="shared" si="151"/>
        <v>ANTETH</v>
      </c>
      <c r="K845" t="str">
        <f t="shared" si="152"/>
        <v>ETHANT</v>
      </c>
      <c r="L845">
        <f t="shared" si="153"/>
        <v>0</v>
      </c>
      <c r="M845">
        <f t="shared" si="154"/>
        <v>1</v>
      </c>
      <c r="N845" t="b">
        <f t="shared" si="155"/>
        <v>1</v>
      </c>
    </row>
    <row r="846" spans="1:14" hidden="1" x14ac:dyDescent="0.25">
      <c r="A846" t="s">
        <v>2</v>
      </c>
      <c r="B846" t="s">
        <v>252</v>
      </c>
      <c r="C846" s="1">
        <v>5.1937999999999995E-4</v>
      </c>
      <c r="D846" s="1">
        <v>5.1000000000000004E-4</v>
      </c>
      <c r="E846" s="1">
        <v>5.1937999999999995E-4</v>
      </c>
      <c r="F846" s="1">
        <v>5.1000000000000004E-4</v>
      </c>
      <c r="G846">
        <f t="shared" si="149"/>
        <v>6</v>
      </c>
      <c r="H846" t="str">
        <f t="shared" si="156"/>
        <v>BAT</v>
      </c>
      <c r="I846" t="str">
        <f t="shared" si="157"/>
        <v>ETH</v>
      </c>
      <c r="J846" t="str">
        <f t="shared" si="151"/>
        <v>BATETH</v>
      </c>
      <c r="K846" t="str">
        <f t="shared" si="152"/>
        <v>ETHBAT</v>
      </c>
      <c r="L846">
        <f t="shared" si="153"/>
        <v>0</v>
      </c>
      <c r="M846">
        <f t="shared" si="154"/>
        <v>1</v>
      </c>
      <c r="N846" t="b">
        <f t="shared" si="155"/>
        <v>1</v>
      </c>
    </row>
    <row r="847" spans="1:14" hidden="1" x14ac:dyDescent="0.25">
      <c r="A847" t="s">
        <v>3</v>
      </c>
      <c r="B847" t="s">
        <v>276</v>
      </c>
      <c r="C847" s="1">
        <v>416.99964</v>
      </c>
      <c r="D847" s="1">
        <v>398.83614</v>
      </c>
      <c r="E847" s="1">
        <v>416.99961000000002</v>
      </c>
      <c r="F847" s="1">
        <v>398.83616000000001</v>
      </c>
      <c r="G847">
        <f t="shared" si="149"/>
        <v>6</v>
      </c>
      <c r="H847" t="str">
        <f t="shared" si="156"/>
        <v>CAD</v>
      </c>
      <c r="I847" t="str">
        <f t="shared" si="157"/>
        <v>ETH</v>
      </c>
      <c r="J847" t="str">
        <f t="shared" si="151"/>
        <v>CADETH</v>
      </c>
      <c r="K847" t="str">
        <f t="shared" si="152"/>
        <v>ETHCAD</v>
      </c>
      <c r="L847">
        <f t="shared" si="153"/>
        <v>0</v>
      </c>
      <c r="M847">
        <f t="shared" si="154"/>
        <v>1</v>
      </c>
      <c r="N847" t="b">
        <f t="shared" si="155"/>
        <v>1</v>
      </c>
    </row>
    <row r="848" spans="1:14" hidden="1" x14ac:dyDescent="0.25">
      <c r="A848" t="s">
        <v>2</v>
      </c>
      <c r="B848" t="s">
        <v>262</v>
      </c>
      <c r="C848" s="1">
        <v>4.1899600000000004E-3</v>
      </c>
      <c r="D848" s="1">
        <v>3.90114E-3</v>
      </c>
      <c r="E848" s="1">
        <v>4.1899600000000004E-3</v>
      </c>
      <c r="F848" s="1">
        <v>3.90114E-3</v>
      </c>
      <c r="G848">
        <f t="shared" si="149"/>
        <v>6</v>
      </c>
      <c r="H848" t="str">
        <f t="shared" si="156"/>
        <v>CRB</v>
      </c>
      <c r="I848" t="str">
        <f t="shared" si="157"/>
        <v>ETH</v>
      </c>
      <c r="J848" t="str">
        <f t="shared" si="151"/>
        <v>CRBETH</v>
      </c>
      <c r="K848" t="str">
        <f t="shared" si="152"/>
        <v>ETHCRB</v>
      </c>
      <c r="L848">
        <f t="shared" si="153"/>
        <v>0</v>
      </c>
      <c r="M848">
        <f t="shared" si="154"/>
        <v>1</v>
      </c>
      <c r="N848" t="b">
        <f t="shared" si="155"/>
        <v>1</v>
      </c>
    </row>
    <row r="849" spans="1:14" hidden="1" x14ac:dyDescent="0.25">
      <c r="A849" t="s">
        <v>2</v>
      </c>
      <c r="B849" t="s">
        <v>183</v>
      </c>
      <c r="C849" s="1">
        <v>0.27996246000000002</v>
      </c>
      <c r="D849" s="1">
        <v>0.25526048000000001</v>
      </c>
      <c r="E849" s="1">
        <v>0.27996246000000002</v>
      </c>
      <c r="F849" s="1">
        <v>0.25526048000000001</v>
      </c>
      <c r="G849">
        <f t="shared" si="149"/>
        <v>6</v>
      </c>
      <c r="H849" t="str">
        <f t="shared" si="156"/>
        <v>DGD</v>
      </c>
      <c r="I849" t="str">
        <f t="shared" si="157"/>
        <v>ETH</v>
      </c>
      <c r="J849" t="str">
        <f t="shared" si="151"/>
        <v>DGDETH</v>
      </c>
      <c r="K849" t="str">
        <f t="shared" si="152"/>
        <v>ETHDGD</v>
      </c>
      <c r="L849">
        <f t="shared" si="153"/>
        <v>0</v>
      </c>
      <c r="M849">
        <f t="shared" si="154"/>
        <v>1</v>
      </c>
      <c r="N849" t="b">
        <f t="shared" si="155"/>
        <v>1</v>
      </c>
    </row>
    <row r="850" spans="1:14" hidden="1" x14ac:dyDescent="0.25">
      <c r="A850" t="s">
        <v>1403</v>
      </c>
      <c r="B850" t="s">
        <v>1961</v>
      </c>
      <c r="C850" s="1">
        <v>555500</v>
      </c>
      <c r="D850" s="1">
        <v>555500</v>
      </c>
      <c r="E850" s="1">
        <v>1661874.8085225699</v>
      </c>
      <c r="F850" s="1">
        <v>19824.017611713502</v>
      </c>
      <c r="G850">
        <f t="shared" si="149"/>
        <v>7</v>
      </c>
      <c r="H850" t="str">
        <f>RIGHT(B850,4)</f>
        <v>DOGE</v>
      </c>
      <c r="I850" t="str">
        <f t="shared" si="157"/>
        <v>ETH</v>
      </c>
      <c r="J850" t="str">
        <f t="shared" si="151"/>
        <v>DOGEETH</v>
      </c>
      <c r="K850" t="str">
        <f t="shared" si="152"/>
        <v>ETHDOGE</v>
      </c>
      <c r="L850">
        <f t="shared" si="153"/>
        <v>0</v>
      </c>
      <c r="M850">
        <f t="shared" si="154"/>
        <v>1</v>
      </c>
      <c r="N850" t="b">
        <f t="shared" si="155"/>
        <v>1</v>
      </c>
    </row>
    <row r="851" spans="1:14" hidden="1" x14ac:dyDescent="0.25">
      <c r="A851" t="s">
        <v>3</v>
      </c>
      <c r="B851" t="s">
        <v>277</v>
      </c>
      <c r="C851" s="1">
        <v>249.17097999999999</v>
      </c>
      <c r="D851" s="1">
        <v>238.00106</v>
      </c>
      <c r="E851" s="1">
        <v>243.94245000000001</v>
      </c>
      <c r="F851" s="1">
        <v>238.00128000000001</v>
      </c>
      <c r="G851">
        <f t="shared" si="149"/>
        <v>6</v>
      </c>
      <c r="H851" t="str">
        <f t="shared" ref="H851:H860" si="158">RIGHT(B851,3)</f>
        <v>GBP</v>
      </c>
      <c r="I851" t="str">
        <f t="shared" si="157"/>
        <v>ETH</v>
      </c>
      <c r="J851" t="str">
        <f t="shared" si="151"/>
        <v>GBPETH</v>
      </c>
      <c r="K851" t="str">
        <f t="shared" si="152"/>
        <v>ETHGBP</v>
      </c>
      <c r="L851">
        <f t="shared" si="153"/>
        <v>0</v>
      </c>
      <c r="M851">
        <f t="shared" si="154"/>
        <v>1</v>
      </c>
      <c r="N851" t="b">
        <f t="shared" si="155"/>
        <v>1</v>
      </c>
    </row>
    <row r="852" spans="1:14" hidden="1" x14ac:dyDescent="0.25">
      <c r="A852" t="s">
        <v>2</v>
      </c>
      <c r="B852" t="s">
        <v>232</v>
      </c>
      <c r="C852" s="1">
        <v>1.5334599999999999E-3</v>
      </c>
      <c r="D852" s="1">
        <v>1.4490799999999999E-3</v>
      </c>
      <c r="E852" s="1">
        <v>1.5334599999999999E-3</v>
      </c>
      <c r="F852" s="1">
        <v>1.4490799999999999E-3</v>
      </c>
      <c r="G852">
        <f t="shared" si="149"/>
        <v>6</v>
      </c>
      <c r="H852" t="str">
        <f t="shared" si="158"/>
        <v>GNT</v>
      </c>
      <c r="I852" t="str">
        <f t="shared" si="157"/>
        <v>ETH</v>
      </c>
      <c r="J852" t="str">
        <f t="shared" si="151"/>
        <v>GNTETH</v>
      </c>
      <c r="K852" t="str">
        <f t="shared" si="152"/>
        <v>ETHGNT</v>
      </c>
      <c r="L852">
        <f t="shared" si="153"/>
        <v>0</v>
      </c>
      <c r="M852">
        <f t="shared" si="154"/>
        <v>1</v>
      </c>
      <c r="N852" t="b">
        <f t="shared" si="155"/>
        <v>1</v>
      </c>
    </row>
    <row r="853" spans="1:14" hidden="1" x14ac:dyDescent="0.25">
      <c r="A853" t="s">
        <v>2</v>
      </c>
      <c r="B853" t="s">
        <v>248</v>
      </c>
      <c r="C853" s="1">
        <v>5.7116999999999997E-4</v>
      </c>
      <c r="D853" s="1">
        <v>5.5427999999999999E-4</v>
      </c>
      <c r="E853" s="1">
        <v>5.7116999999999997E-4</v>
      </c>
      <c r="F853" s="1">
        <v>5.5427999999999999E-4</v>
      </c>
      <c r="G853">
        <f t="shared" si="149"/>
        <v>6</v>
      </c>
      <c r="H853" t="str">
        <f t="shared" si="158"/>
        <v>HMQ</v>
      </c>
      <c r="I853" t="str">
        <f t="shared" si="157"/>
        <v>ETH</v>
      </c>
      <c r="J853" t="str">
        <f t="shared" si="151"/>
        <v>HMQETH</v>
      </c>
      <c r="K853" t="str">
        <f t="shared" si="152"/>
        <v>ETHHMQ</v>
      </c>
      <c r="L853">
        <f t="shared" si="153"/>
        <v>0</v>
      </c>
      <c r="M853">
        <f t="shared" si="154"/>
        <v>1</v>
      </c>
      <c r="N853" t="b">
        <f t="shared" si="155"/>
        <v>1</v>
      </c>
    </row>
    <row r="854" spans="1:14" hidden="1" x14ac:dyDescent="0.25">
      <c r="A854" t="s">
        <v>3</v>
      </c>
      <c r="B854" t="s">
        <v>269</v>
      </c>
      <c r="C854" s="1">
        <v>35040.19</v>
      </c>
      <c r="D854" s="1">
        <v>34200.000999999997</v>
      </c>
      <c r="E854" s="1">
        <v>35040.19</v>
      </c>
      <c r="F854" s="1">
        <v>34200.000999999997</v>
      </c>
      <c r="G854">
        <f t="shared" si="149"/>
        <v>6</v>
      </c>
      <c r="H854" t="str">
        <f t="shared" si="158"/>
        <v>JPY</v>
      </c>
      <c r="I854" t="str">
        <f t="shared" si="157"/>
        <v>ETH</v>
      </c>
      <c r="J854" t="str">
        <f t="shared" si="151"/>
        <v>JPYETH</v>
      </c>
      <c r="K854" t="str">
        <f t="shared" si="152"/>
        <v>ETHJPY</v>
      </c>
      <c r="L854">
        <f t="shared" si="153"/>
        <v>0</v>
      </c>
      <c r="M854">
        <f t="shared" si="154"/>
        <v>1</v>
      </c>
      <c r="N854" t="b">
        <f t="shared" si="155"/>
        <v>1</v>
      </c>
    </row>
    <row r="855" spans="1:14" hidden="1" x14ac:dyDescent="0.25">
      <c r="A855" t="s">
        <v>2</v>
      </c>
      <c r="B855" t="s">
        <v>241</v>
      </c>
      <c r="C855" s="1">
        <v>1.191627E-2</v>
      </c>
      <c r="D855" s="1">
        <v>1.1141109999999999E-2</v>
      </c>
      <c r="E855" s="1">
        <v>1.191627E-2</v>
      </c>
      <c r="F855" s="1">
        <v>1.1141109999999999E-2</v>
      </c>
      <c r="G855">
        <f t="shared" si="149"/>
        <v>6</v>
      </c>
      <c r="H855" t="str">
        <f t="shared" si="158"/>
        <v>LUN</v>
      </c>
      <c r="I855" t="str">
        <f t="shared" si="157"/>
        <v>ETH</v>
      </c>
      <c r="J855" t="str">
        <f t="shared" si="151"/>
        <v>LUNETH</v>
      </c>
      <c r="K855" t="str">
        <f t="shared" si="152"/>
        <v>ETHLUN</v>
      </c>
      <c r="L855">
        <f t="shared" si="153"/>
        <v>0</v>
      </c>
      <c r="M855">
        <f t="shared" si="154"/>
        <v>1</v>
      </c>
      <c r="N855" t="b">
        <f t="shared" si="155"/>
        <v>1</v>
      </c>
    </row>
    <row r="856" spans="1:14" hidden="1" x14ac:dyDescent="0.25">
      <c r="A856" t="s">
        <v>2</v>
      </c>
      <c r="B856" t="s">
        <v>260</v>
      </c>
      <c r="E856" s="1">
        <v>4.5111300000000003E-3</v>
      </c>
      <c r="F856" s="1">
        <v>5.5410000000000001E-2</v>
      </c>
      <c r="G856">
        <f t="shared" si="149"/>
        <v>6</v>
      </c>
      <c r="H856" t="str">
        <f t="shared" si="158"/>
        <v>MGO</v>
      </c>
      <c r="I856" t="str">
        <f t="shared" si="157"/>
        <v>ETH</v>
      </c>
      <c r="J856" t="str">
        <f t="shared" si="151"/>
        <v>MGOETH</v>
      </c>
      <c r="K856" t="str">
        <f t="shared" si="152"/>
        <v>ETHMGO</v>
      </c>
      <c r="L856">
        <f t="shared" si="153"/>
        <v>0</v>
      </c>
      <c r="M856">
        <f t="shared" si="154"/>
        <v>1</v>
      </c>
      <c r="N856" t="b">
        <f t="shared" si="155"/>
        <v>1</v>
      </c>
    </row>
    <row r="857" spans="1:14" hidden="1" x14ac:dyDescent="0.25">
      <c r="A857" t="s">
        <v>2</v>
      </c>
      <c r="B857" t="s">
        <v>258</v>
      </c>
      <c r="C857" s="1">
        <v>4.5111300000000003E-3</v>
      </c>
      <c r="D857" s="1">
        <v>4.4999999999999997E-3</v>
      </c>
      <c r="E857" s="1">
        <v>4.5111300000000003E-3</v>
      </c>
      <c r="F857" s="1">
        <v>4.4999999999999997E-3</v>
      </c>
      <c r="G857">
        <f t="shared" si="149"/>
        <v>6</v>
      </c>
      <c r="H857" t="str">
        <f t="shared" si="158"/>
        <v>QRL</v>
      </c>
      <c r="I857" t="str">
        <f t="shared" si="157"/>
        <v>ETH</v>
      </c>
      <c r="J857" t="str">
        <f t="shared" si="151"/>
        <v>QRLETH</v>
      </c>
      <c r="K857" t="str">
        <f t="shared" si="152"/>
        <v>ETHQRL</v>
      </c>
      <c r="L857">
        <f t="shared" si="153"/>
        <v>0</v>
      </c>
      <c r="M857">
        <f t="shared" si="154"/>
        <v>1</v>
      </c>
      <c r="N857" t="b">
        <f t="shared" si="155"/>
        <v>1</v>
      </c>
    </row>
    <row r="858" spans="1:14" hidden="1" x14ac:dyDescent="0.25">
      <c r="A858" t="s">
        <v>2</v>
      </c>
      <c r="B858" t="s">
        <v>240</v>
      </c>
      <c r="C858" s="1">
        <v>1.9926399999999999E-3</v>
      </c>
      <c r="D858" s="1">
        <v>1.8901899999999999E-3</v>
      </c>
      <c r="E858" s="1">
        <v>1.9926399999999999E-3</v>
      </c>
      <c r="F858" s="1">
        <v>1.8901899999999999E-3</v>
      </c>
      <c r="G858">
        <f t="shared" si="149"/>
        <v>6</v>
      </c>
      <c r="H858" t="str">
        <f t="shared" si="158"/>
        <v>RLC</v>
      </c>
      <c r="I858" t="str">
        <f t="shared" si="157"/>
        <v>ETH</v>
      </c>
      <c r="J858" t="str">
        <f t="shared" si="151"/>
        <v>RLCETH</v>
      </c>
      <c r="K858" t="str">
        <f t="shared" si="152"/>
        <v>ETHRLC</v>
      </c>
      <c r="L858">
        <f t="shared" si="153"/>
        <v>0</v>
      </c>
      <c r="M858">
        <f t="shared" si="154"/>
        <v>1</v>
      </c>
      <c r="N858" t="b">
        <f t="shared" si="155"/>
        <v>1</v>
      </c>
    </row>
    <row r="859" spans="1:14" hidden="1" x14ac:dyDescent="0.25">
      <c r="A859" t="s">
        <v>7</v>
      </c>
      <c r="B859" t="s">
        <v>1236</v>
      </c>
      <c r="C859" s="1">
        <v>19665.2630489</v>
      </c>
      <c r="D859" s="1">
        <v>19803.159999989999</v>
      </c>
      <c r="E859" s="1">
        <v>19515.372484061099</v>
      </c>
      <c r="F859" s="1">
        <v>19946.340155485701</v>
      </c>
      <c r="G859">
        <f t="shared" si="149"/>
        <v>6</v>
      </c>
      <c r="H859" t="str">
        <f t="shared" si="158"/>
        <v>RUB</v>
      </c>
      <c r="I859" t="str">
        <f t="shared" si="157"/>
        <v>ETH</v>
      </c>
      <c r="J859" t="str">
        <f t="shared" si="151"/>
        <v>RUBETH</v>
      </c>
      <c r="K859" t="str">
        <f t="shared" si="152"/>
        <v>ETHRUB</v>
      </c>
      <c r="L859">
        <f t="shared" si="153"/>
        <v>0</v>
      </c>
      <c r="M859">
        <f t="shared" si="154"/>
        <v>1</v>
      </c>
      <c r="N859" t="b">
        <f t="shared" si="155"/>
        <v>1</v>
      </c>
    </row>
    <row r="860" spans="1:14" hidden="1" x14ac:dyDescent="0.25">
      <c r="A860" t="s">
        <v>5</v>
      </c>
      <c r="B860" t="s">
        <v>1223</v>
      </c>
      <c r="C860" s="1">
        <v>1.3E-6</v>
      </c>
      <c r="D860" s="1">
        <v>9.1999999999999998E-7</v>
      </c>
      <c r="E860" s="1">
        <v>1.3E-6</v>
      </c>
      <c r="F860" s="1">
        <v>9.1999999999999998E-7</v>
      </c>
      <c r="G860">
        <f t="shared" si="149"/>
        <v>7</v>
      </c>
      <c r="H860" t="str">
        <f t="shared" si="158"/>
        <v>BTC</v>
      </c>
      <c r="I860" t="str">
        <f>LEFT(B860,4)</f>
        <v>ETHS</v>
      </c>
      <c r="J860" t="str">
        <f t="shared" si="151"/>
        <v>BTCETHS</v>
      </c>
      <c r="K860" t="str">
        <f t="shared" si="152"/>
        <v>ETHSBTC</v>
      </c>
      <c r="L860">
        <f t="shared" si="153"/>
        <v>0</v>
      </c>
      <c r="M860">
        <f t="shared" si="154"/>
        <v>1</v>
      </c>
      <c r="N860" t="b">
        <f t="shared" si="155"/>
        <v>1</v>
      </c>
    </row>
    <row r="861" spans="1:14" hidden="1" x14ac:dyDescent="0.25">
      <c r="A861" t="s">
        <v>2</v>
      </c>
      <c r="B861" t="s">
        <v>242</v>
      </c>
      <c r="C861" s="1">
        <v>6.4073000000000005E-4</v>
      </c>
      <c r="D861" s="1">
        <v>6.0864999999999997E-4</v>
      </c>
      <c r="E861" s="1">
        <v>6.4073000000000005E-4</v>
      </c>
      <c r="F861" s="1">
        <v>6.0864999999999997E-4</v>
      </c>
      <c r="G861">
        <f t="shared" si="149"/>
        <v>8</v>
      </c>
      <c r="H861" t="str">
        <f>RIGHT(B861,5)</f>
        <v>SNGLS</v>
      </c>
      <c r="I861" t="str">
        <f>LEFT(B861,3)</f>
        <v>ETH</v>
      </c>
      <c r="J861" t="str">
        <f t="shared" si="151"/>
        <v>SNGLSETH</v>
      </c>
      <c r="K861" t="str">
        <f t="shared" si="152"/>
        <v>ETHSNGLS</v>
      </c>
      <c r="L861">
        <f t="shared" si="153"/>
        <v>0</v>
      </c>
      <c r="M861">
        <f t="shared" si="154"/>
        <v>1</v>
      </c>
      <c r="N861" t="b">
        <f t="shared" si="155"/>
        <v>1</v>
      </c>
    </row>
    <row r="862" spans="1:14" hidden="1" x14ac:dyDescent="0.25">
      <c r="A862" t="s">
        <v>1</v>
      </c>
      <c r="B862" t="s">
        <v>69</v>
      </c>
      <c r="C862" s="1">
        <v>5.9337900000000004E-3</v>
      </c>
      <c r="D862" s="1">
        <v>5.8999999999999999E-3</v>
      </c>
      <c r="E862" s="1">
        <v>5.9337900000000004E-3</v>
      </c>
      <c r="F862" s="1">
        <v>5.8999999999999999E-3</v>
      </c>
      <c r="G862">
        <f t="shared" si="149"/>
        <v>8</v>
      </c>
      <c r="H862" t="str">
        <f>RIGHT(B862,5)</f>
        <v>STEEM</v>
      </c>
      <c r="I862" t="str">
        <f>LEFT(B862,3)</f>
        <v>ETH</v>
      </c>
      <c r="J862" t="str">
        <f t="shared" si="151"/>
        <v>STEEMETH</v>
      </c>
      <c r="K862" t="str">
        <f t="shared" si="152"/>
        <v>ETHSTEEM</v>
      </c>
      <c r="L862">
        <f t="shared" si="153"/>
        <v>0</v>
      </c>
      <c r="M862">
        <f t="shared" si="154"/>
        <v>1</v>
      </c>
      <c r="N862" t="b">
        <f t="shared" si="155"/>
        <v>1</v>
      </c>
    </row>
    <row r="863" spans="1:14" hidden="1" x14ac:dyDescent="0.25">
      <c r="A863" t="s">
        <v>2</v>
      </c>
      <c r="B863" t="s">
        <v>246</v>
      </c>
      <c r="C863" s="1">
        <v>2.6807900000000002E-3</v>
      </c>
      <c r="D863" s="1">
        <v>2.5439199999999999E-3</v>
      </c>
      <c r="E863" s="1">
        <v>2.6807900000000002E-3</v>
      </c>
      <c r="F863" s="1">
        <v>2.5439899999999999E-3</v>
      </c>
      <c r="G863">
        <f t="shared" si="149"/>
        <v>6</v>
      </c>
      <c r="H863" t="str">
        <f>RIGHT(B863,3)</f>
        <v>TKN</v>
      </c>
      <c r="I863" t="str">
        <f>LEFT(B863,3)</f>
        <v>ETH</v>
      </c>
      <c r="J863" t="str">
        <f t="shared" si="151"/>
        <v>TKNETH</v>
      </c>
      <c r="K863" t="str">
        <f t="shared" si="152"/>
        <v>ETHTKN</v>
      </c>
      <c r="L863">
        <f t="shared" si="153"/>
        <v>0</v>
      </c>
      <c r="M863">
        <f t="shared" si="154"/>
        <v>1</v>
      </c>
      <c r="N863" t="b">
        <f t="shared" si="155"/>
        <v>1</v>
      </c>
    </row>
    <row r="864" spans="1:14" hidden="1" x14ac:dyDescent="0.25">
      <c r="A864" t="s">
        <v>2</v>
      </c>
      <c r="B864" t="s">
        <v>250</v>
      </c>
      <c r="C864" s="1">
        <v>1.05974E-3</v>
      </c>
      <c r="D864" s="1">
        <v>9.803399999999999E-4</v>
      </c>
      <c r="E864" s="1">
        <v>1.05974E-3</v>
      </c>
      <c r="F864" s="1">
        <v>9.803399999999999E-4</v>
      </c>
      <c r="G864">
        <f t="shared" si="149"/>
        <v>7</v>
      </c>
      <c r="H864" t="str">
        <f>RIGHT(B864,4)</f>
        <v>TRST</v>
      </c>
      <c r="I864" t="str">
        <f>LEFT(B864,3)</f>
        <v>ETH</v>
      </c>
      <c r="J864" t="str">
        <f t="shared" si="151"/>
        <v>TRSTETH</v>
      </c>
      <c r="K864" t="str">
        <f t="shared" si="152"/>
        <v>ETHTRST</v>
      </c>
      <c r="L864">
        <f t="shared" si="153"/>
        <v>0</v>
      </c>
      <c r="M864">
        <f t="shared" si="154"/>
        <v>1</v>
      </c>
      <c r="N864" t="b">
        <f t="shared" si="155"/>
        <v>1</v>
      </c>
    </row>
    <row r="865" spans="1:14" hidden="1" x14ac:dyDescent="0.25">
      <c r="A865" t="s">
        <v>5</v>
      </c>
      <c r="B865" t="s">
        <v>797</v>
      </c>
      <c r="C865" s="1">
        <v>3.5849999999999999E-4</v>
      </c>
      <c r="D865" s="1">
        <v>2.6574999999999998E-4</v>
      </c>
      <c r="E865" s="1">
        <v>3.5849999999999999E-4</v>
      </c>
      <c r="F865" s="1">
        <v>2.6574999999999998E-4</v>
      </c>
      <c r="G865">
        <f t="shared" si="149"/>
        <v>9</v>
      </c>
      <c r="H865" t="str">
        <f>RIGHT(B865,3)</f>
        <v>BTC</v>
      </c>
      <c r="I865" t="str">
        <f>LEFT(B865,6)</f>
        <v>ETRUST</v>
      </c>
      <c r="J865" t="str">
        <f t="shared" si="151"/>
        <v>BTCETRUST</v>
      </c>
      <c r="K865" t="str">
        <f t="shared" si="152"/>
        <v>ETRUSTBTC</v>
      </c>
      <c r="L865">
        <f t="shared" si="153"/>
        <v>0</v>
      </c>
      <c r="M865">
        <f t="shared" si="154"/>
        <v>1</v>
      </c>
      <c r="N865" t="b">
        <f t="shared" si="155"/>
        <v>1</v>
      </c>
    </row>
    <row r="866" spans="1:14" hidden="1" x14ac:dyDescent="0.25">
      <c r="A866" t="s">
        <v>1403</v>
      </c>
      <c r="B866" t="s">
        <v>1442</v>
      </c>
      <c r="C866" s="1">
        <v>6.4000000000000005E-4</v>
      </c>
      <c r="D866" s="1">
        <v>1.9984400000000002E-3</v>
      </c>
      <c r="E866" s="1">
        <v>1.1000000000000001E-3</v>
      </c>
      <c r="F866" s="1">
        <v>6.4000000000000005E-4</v>
      </c>
      <c r="G866">
        <f t="shared" si="149"/>
        <v>6</v>
      </c>
      <c r="H866" t="str">
        <f>RIGHT(B866,3)</f>
        <v>BTC</v>
      </c>
      <c r="I866" t="str">
        <f>LEFT(B866,3)</f>
        <v>ETX</v>
      </c>
      <c r="J866" t="str">
        <f t="shared" si="151"/>
        <v>BTCETX</v>
      </c>
      <c r="K866" t="str">
        <f t="shared" si="152"/>
        <v>ETXBTC</v>
      </c>
      <c r="L866">
        <f t="shared" si="153"/>
        <v>0</v>
      </c>
      <c r="M866">
        <f t="shared" si="154"/>
        <v>1</v>
      </c>
      <c r="N866" t="b">
        <f t="shared" si="155"/>
        <v>1</v>
      </c>
    </row>
    <row r="867" spans="1:14" hidden="1" x14ac:dyDescent="0.25">
      <c r="A867" t="s">
        <v>1403</v>
      </c>
      <c r="B867" t="s">
        <v>1962</v>
      </c>
      <c r="C867" s="1">
        <v>0</v>
      </c>
      <c r="D867" s="1">
        <v>0</v>
      </c>
      <c r="E867" s="1">
        <v>100000</v>
      </c>
      <c r="F867" s="1">
        <v>369.00000001000001</v>
      </c>
      <c r="G867">
        <f t="shared" si="149"/>
        <v>7</v>
      </c>
      <c r="H867" t="str">
        <f>RIGHT(B867,4)</f>
        <v>DOGE</v>
      </c>
      <c r="I867" t="str">
        <f>LEFT(B867,3)</f>
        <v>ETX</v>
      </c>
      <c r="J867" t="str">
        <f t="shared" si="151"/>
        <v>DOGEETX</v>
      </c>
      <c r="K867" t="str">
        <f t="shared" si="152"/>
        <v>ETXDOGE</v>
      </c>
      <c r="L867">
        <f t="shared" si="153"/>
        <v>0</v>
      </c>
      <c r="M867">
        <f t="shared" si="154"/>
        <v>1</v>
      </c>
      <c r="N867" t="b">
        <f t="shared" si="155"/>
        <v>1</v>
      </c>
    </row>
    <row r="868" spans="1:14" hidden="1" x14ac:dyDescent="0.25">
      <c r="A868" t="s">
        <v>1403</v>
      </c>
      <c r="B868" t="s">
        <v>1770</v>
      </c>
      <c r="C868" s="1">
        <v>0</v>
      </c>
      <c r="D868" s="1">
        <v>0</v>
      </c>
      <c r="E868" s="1">
        <v>100</v>
      </c>
      <c r="F868" s="1">
        <v>2.4999999999999999E-7</v>
      </c>
      <c r="G868">
        <f t="shared" si="149"/>
        <v>6</v>
      </c>
      <c r="H868" t="str">
        <f t="shared" ref="H868:H883" si="159">RIGHT(B868,3)</f>
        <v>LTC</v>
      </c>
      <c r="I868" t="str">
        <f>LEFT(B868,3)</f>
        <v>ETX</v>
      </c>
      <c r="J868" t="str">
        <f t="shared" si="151"/>
        <v>LTCETX</v>
      </c>
      <c r="K868" t="str">
        <f t="shared" si="152"/>
        <v>ETXLTC</v>
      </c>
      <c r="L868">
        <f t="shared" si="153"/>
        <v>0</v>
      </c>
      <c r="M868">
        <f t="shared" si="154"/>
        <v>1</v>
      </c>
      <c r="N868" t="b">
        <f t="shared" si="155"/>
        <v>1</v>
      </c>
    </row>
    <row r="869" spans="1:14" hidden="1" x14ac:dyDescent="0.25">
      <c r="A869" t="s">
        <v>1403</v>
      </c>
      <c r="B869" t="s">
        <v>1586</v>
      </c>
      <c r="C869" s="1">
        <v>3.5</v>
      </c>
      <c r="D869" s="1">
        <v>3.5</v>
      </c>
      <c r="E869" s="1">
        <v>98</v>
      </c>
      <c r="F869" s="1">
        <v>1.250014E-2</v>
      </c>
      <c r="G869">
        <f t="shared" si="149"/>
        <v>6</v>
      </c>
      <c r="H869" t="str">
        <f t="shared" si="159"/>
        <v>USD</v>
      </c>
      <c r="I869" t="str">
        <f>LEFT(B869,3)</f>
        <v>ETX</v>
      </c>
      <c r="J869" t="str">
        <f t="shared" si="151"/>
        <v>USDETX</v>
      </c>
      <c r="K869" t="str">
        <f t="shared" si="152"/>
        <v>ETXUSD</v>
      </c>
      <c r="L869">
        <f t="shared" si="153"/>
        <v>0</v>
      </c>
      <c r="M869">
        <f t="shared" si="154"/>
        <v>1</v>
      </c>
      <c r="N869" t="b">
        <f t="shared" si="155"/>
        <v>1</v>
      </c>
    </row>
    <row r="870" spans="1:14" hidden="1" x14ac:dyDescent="0.25">
      <c r="A870" t="s">
        <v>5</v>
      </c>
      <c r="B870" t="s">
        <v>1127</v>
      </c>
      <c r="C870" s="1">
        <v>8.5000000000000001E-7</v>
      </c>
      <c r="D870" s="1">
        <v>6.5000000000000002E-7</v>
      </c>
      <c r="E870" s="1">
        <v>8.5000000000000001E-7</v>
      </c>
      <c r="F870" s="1">
        <v>6.5000000000000002E-7</v>
      </c>
      <c r="G870">
        <f t="shared" si="149"/>
        <v>6</v>
      </c>
      <c r="H870" t="str">
        <f t="shared" si="159"/>
        <v>BTC</v>
      </c>
      <c r="I870" t="str">
        <f>LEFT(B870,3)</f>
        <v>EUC</v>
      </c>
      <c r="J870" t="str">
        <f t="shared" si="151"/>
        <v>BTCEUC</v>
      </c>
      <c r="K870" t="str">
        <f t="shared" si="152"/>
        <v>EUCBTC</v>
      </c>
      <c r="L870">
        <f t="shared" si="153"/>
        <v>0</v>
      </c>
      <c r="M870">
        <f t="shared" si="154"/>
        <v>1</v>
      </c>
      <c r="N870" t="b">
        <f t="shared" si="155"/>
        <v>1</v>
      </c>
    </row>
    <row r="871" spans="1:14" hidden="1" x14ac:dyDescent="0.25">
      <c r="A871" t="s">
        <v>5</v>
      </c>
      <c r="B871" t="s">
        <v>930</v>
      </c>
      <c r="C871" s="1">
        <v>3.5999999999999999E-7</v>
      </c>
      <c r="D871" s="1">
        <v>3.4999999999999998E-7</v>
      </c>
      <c r="E871" s="1">
        <v>3.5999999999999999E-7</v>
      </c>
      <c r="F871" s="1">
        <v>3.4999999999999998E-7</v>
      </c>
      <c r="G871">
        <f t="shared" si="149"/>
        <v>7</v>
      </c>
      <c r="H871" t="str">
        <f t="shared" si="159"/>
        <v>BTC</v>
      </c>
      <c r="I871" t="str">
        <f>LEFT(B871,4)</f>
        <v>EURC</v>
      </c>
      <c r="J871" t="str">
        <f t="shared" si="151"/>
        <v>BTCEURC</v>
      </c>
      <c r="K871" t="str">
        <f t="shared" si="152"/>
        <v>EURCBTC</v>
      </c>
      <c r="L871">
        <f t="shared" si="153"/>
        <v>0</v>
      </c>
      <c r="M871">
        <f t="shared" si="154"/>
        <v>1</v>
      </c>
      <c r="N871" t="b">
        <f t="shared" si="155"/>
        <v>1</v>
      </c>
    </row>
    <row r="872" spans="1:14" hidden="1" x14ac:dyDescent="0.25">
      <c r="A872" t="s">
        <v>1239</v>
      </c>
      <c r="B872" t="s">
        <v>1240</v>
      </c>
      <c r="C872" s="1">
        <v>1.1200000000000001</v>
      </c>
      <c r="D872" s="1">
        <v>1.0874999999999999</v>
      </c>
      <c r="E872" s="1">
        <v>1.1200000000000001</v>
      </c>
      <c r="F872" s="1">
        <v>1.0874999999999999</v>
      </c>
      <c r="G872">
        <f t="shared" si="149"/>
        <v>6</v>
      </c>
      <c r="H872" t="str">
        <f t="shared" si="159"/>
        <v>USD</v>
      </c>
      <c r="I872" t="str">
        <f>LEFT(B872,3)</f>
        <v>EUR</v>
      </c>
      <c r="J872" t="str">
        <f t="shared" si="151"/>
        <v>USDEUR</v>
      </c>
      <c r="K872" t="str">
        <f t="shared" si="152"/>
        <v>EURUSD</v>
      </c>
      <c r="L872">
        <f t="shared" si="153"/>
        <v>0</v>
      </c>
      <c r="M872">
        <f t="shared" si="154"/>
        <v>1</v>
      </c>
      <c r="N872" t="b">
        <f t="shared" si="155"/>
        <v>1</v>
      </c>
    </row>
    <row r="873" spans="1:14" hidden="1" x14ac:dyDescent="0.25">
      <c r="A873" t="s">
        <v>5</v>
      </c>
      <c r="B873" t="s">
        <v>1186</v>
      </c>
      <c r="C873" s="1" t="s">
        <v>361</v>
      </c>
      <c r="D873" s="1" t="s">
        <v>362</v>
      </c>
      <c r="E873" s="1" t="s">
        <v>361</v>
      </c>
      <c r="F873" s="1" t="s">
        <v>362</v>
      </c>
      <c r="G873">
        <f t="shared" si="149"/>
        <v>6</v>
      </c>
      <c r="H873" t="str">
        <f t="shared" si="159"/>
        <v>BTC</v>
      </c>
      <c r="I873" t="str">
        <f>LEFT(B873,3)</f>
        <v>EVA</v>
      </c>
      <c r="J873" t="str">
        <f t="shared" si="151"/>
        <v>BTCEVA</v>
      </c>
      <c r="K873" t="str">
        <f t="shared" si="152"/>
        <v>EVABTC</v>
      </c>
      <c r="L873">
        <f t="shared" si="153"/>
        <v>0</v>
      </c>
      <c r="M873">
        <f t="shared" si="154"/>
        <v>1</v>
      </c>
      <c r="N873" t="b">
        <f t="shared" si="155"/>
        <v>1</v>
      </c>
    </row>
    <row r="874" spans="1:14" hidden="1" x14ac:dyDescent="0.25">
      <c r="A874" t="s">
        <v>5</v>
      </c>
      <c r="B874" t="s">
        <v>431</v>
      </c>
      <c r="C874" s="1">
        <v>5.4000000000000002E-7</v>
      </c>
      <c r="D874" s="1">
        <v>5.2E-7</v>
      </c>
      <c r="E874" s="1">
        <v>5.4000000000000002E-7</v>
      </c>
      <c r="F874" s="1">
        <v>5.2E-7</v>
      </c>
      <c r="G874">
        <f t="shared" si="149"/>
        <v>7</v>
      </c>
      <c r="H874" t="str">
        <f t="shared" si="159"/>
        <v>BTC</v>
      </c>
      <c r="I874" t="str">
        <f>LEFT(B874,4)</f>
        <v>EVIL</v>
      </c>
      <c r="J874" t="str">
        <f t="shared" si="151"/>
        <v>BTCEVIL</v>
      </c>
      <c r="K874" t="str">
        <f t="shared" si="152"/>
        <v>EVILBTC</v>
      </c>
      <c r="L874">
        <f t="shared" si="153"/>
        <v>0</v>
      </c>
      <c r="M874">
        <f t="shared" si="154"/>
        <v>1</v>
      </c>
      <c r="N874" t="b">
        <f t="shared" si="155"/>
        <v>1</v>
      </c>
    </row>
    <row r="875" spans="1:14" hidden="1" x14ac:dyDescent="0.25">
      <c r="A875" t="s">
        <v>5</v>
      </c>
      <c r="B875" t="s">
        <v>404</v>
      </c>
      <c r="C875" s="1">
        <v>4.0500000000000002E-5</v>
      </c>
      <c r="D875" s="1">
        <v>4.0009999999999998E-5</v>
      </c>
      <c r="E875" s="1">
        <v>4.0500000000000002E-5</v>
      </c>
      <c r="F875" s="1">
        <v>4.0009999999999998E-5</v>
      </c>
      <c r="G875">
        <f t="shared" si="149"/>
        <v>6</v>
      </c>
      <c r="H875" t="str">
        <f t="shared" si="159"/>
        <v>BTC</v>
      </c>
      <c r="I875" t="str">
        <f>LEFT(B875,3)</f>
        <v>EVO</v>
      </c>
      <c r="J875" t="str">
        <f t="shared" si="151"/>
        <v>BTCEVO</v>
      </c>
      <c r="K875" t="str">
        <f t="shared" si="152"/>
        <v>EVOBTC</v>
      </c>
      <c r="L875">
        <f t="shared" si="153"/>
        <v>0</v>
      </c>
      <c r="M875">
        <f t="shared" si="154"/>
        <v>1</v>
      </c>
      <c r="N875" t="b">
        <f t="shared" si="155"/>
        <v>1</v>
      </c>
    </row>
    <row r="876" spans="1:14" hidden="1" x14ac:dyDescent="0.25">
      <c r="A876" t="s">
        <v>5</v>
      </c>
      <c r="B876" t="s">
        <v>419</v>
      </c>
      <c r="C876" s="1">
        <v>2.2999999999999999E-7</v>
      </c>
      <c r="D876" s="1">
        <v>2.2000000000000001E-7</v>
      </c>
      <c r="E876" s="1">
        <v>2.2999999999999999E-7</v>
      </c>
      <c r="F876" s="1">
        <v>2.2000000000000001E-7</v>
      </c>
      <c r="G876">
        <f t="shared" si="149"/>
        <v>6</v>
      </c>
      <c r="H876" t="str">
        <f t="shared" si="159"/>
        <v>BTC</v>
      </c>
      <c r="I876" t="str">
        <f>LEFT(B876,3)</f>
        <v>EXB</v>
      </c>
      <c r="J876" t="str">
        <f t="shared" si="151"/>
        <v>BTCEXB</v>
      </c>
      <c r="K876" t="str">
        <f t="shared" si="152"/>
        <v>EXBBTC</v>
      </c>
      <c r="L876">
        <f t="shared" si="153"/>
        <v>0</v>
      </c>
      <c r="M876">
        <f t="shared" si="154"/>
        <v>1</v>
      </c>
      <c r="N876" t="b">
        <f t="shared" si="155"/>
        <v>1</v>
      </c>
    </row>
    <row r="877" spans="1:14" hidden="1" x14ac:dyDescent="0.25">
      <c r="A877" t="s">
        <v>5</v>
      </c>
      <c r="B877" t="s">
        <v>652</v>
      </c>
      <c r="C877" s="1" t="s">
        <v>362</v>
      </c>
      <c r="D877" s="1" t="s">
        <v>364</v>
      </c>
      <c r="E877" s="1" t="s">
        <v>362</v>
      </c>
      <c r="F877" s="1">
        <v>1.37E-6</v>
      </c>
      <c r="G877">
        <f t="shared" si="149"/>
        <v>7</v>
      </c>
      <c r="H877" t="str">
        <f t="shared" si="159"/>
        <v>BTC</v>
      </c>
      <c r="I877" t="str">
        <f>LEFT(B877,4)</f>
        <v>EXIT</v>
      </c>
      <c r="J877" t="str">
        <f t="shared" si="151"/>
        <v>BTCEXIT</v>
      </c>
      <c r="K877" t="str">
        <f t="shared" si="152"/>
        <v>EXITBTC</v>
      </c>
      <c r="L877">
        <f t="shared" si="153"/>
        <v>0</v>
      </c>
      <c r="M877">
        <f t="shared" si="154"/>
        <v>1</v>
      </c>
      <c r="N877" t="b">
        <f t="shared" si="155"/>
        <v>1</v>
      </c>
    </row>
    <row r="878" spans="1:14" hidden="1" x14ac:dyDescent="0.25">
      <c r="A878" t="s">
        <v>5</v>
      </c>
      <c r="B878" t="s">
        <v>907</v>
      </c>
      <c r="C878" s="1">
        <v>4.1500000000000001E-6</v>
      </c>
      <c r="D878" s="1" t="s">
        <v>692</v>
      </c>
      <c r="E878" s="1">
        <v>4.1500000000000001E-6</v>
      </c>
      <c r="F878" s="1" t="s">
        <v>692</v>
      </c>
      <c r="G878">
        <f t="shared" si="149"/>
        <v>6</v>
      </c>
      <c r="H878" t="str">
        <f t="shared" si="159"/>
        <v>BTC</v>
      </c>
      <c r="I878" t="str">
        <f>LEFT(B878,3)</f>
        <v>EXT</v>
      </c>
      <c r="J878" t="str">
        <f t="shared" si="151"/>
        <v>BTCEXT</v>
      </c>
      <c r="K878" t="str">
        <f t="shared" si="152"/>
        <v>EXTBTC</v>
      </c>
      <c r="L878">
        <f t="shared" si="153"/>
        <v>0</v>
      </c>
      <c r="M878">
        <f t="shared" si="154"/>
        <v>1</v>
      </c>
      <c r="N878" t="b">
        <f t="shared" si="155"/>
        <v>1</v>
      </c>
    </row>
    <row r="879" spans="1:14" hidden="1" x14ac:dyDescent="0.25">
      <c r="A879" t="s">
        <v>5</v>
      </c>
      <c r="B879" t="s">
        <v>874</v>
      </c>
      <c r="C879" s="1" t="s">
        <v>362</v>
      </c>
      <c r="D879" s="1" t="s">
        <v>364</v>
      </c>
      <c r="E879" s="1" t="s">
        <v>362</v>
      </c>
      <c r="F879" s="1">
        <v>5.8300000000000001E-6</v>
      </c>
      <c r="G879">
        <f t="shared" si="149"/>
        <v>6</v>
      </c>
      <c r="H879" t="str">
        <f t="shared" si="159"/>
        <v>BTC</v>
      </c>
      <c r="I879" t="str">
        <f>LEFT(B879,3)</f>
        <v>F16</v>
      </c>
      <c r="J879" t="str">
        <f t="shared" si="151"/>
        <v>BTCF16</v>
      </c>
      <c r="K879" t="str">
        <f t="shared" si="152"/>
        <v>F16BTC</v>
      </c>
      <c r="L879">
        <f t="shared" si="153"/>
        <v>0</v>
      </c>
      <c r="M879">
        <f t="shared" si="154"/>
        <v>1</v>
      </c>
      <c r="N879" t="b">
        <f t="shared" si="155"/>
        <v>1</v>
      </c>
    </row>
    <row r="880" spans="1:14" hidden="1" x14ac:dyDescent="0.25">
      <c r="A880" t="s">
        <v>5</v>
      </c>
      <c r="B880" t="s">
        <v>928</v>
      </c>
      <c r="C880" s="1">
        <v>3.6799999999999999E-6</v>
      </c>
      <c r="D880" s="1">
        <v>3.01E-6</v>
      </c>
      <c r="E880" s="1">
        <v>3.6799999999999999E-6</v>
      </c>
      <c r="F880" s="1">
        <v>3.01E-6</v>
      </c>
      <c r="G880">
        <f t="shared" si="149"/>
        <v>7</v>
      </c>
      <c r="H880" t="str">
        <f t="shared" si="159"/>
        <v>BTC</v>
      </c>
      <c r="I880" t="str">
        <f>LEFT(B880,4)</f>
        <v>FADE</v>
      </c>
      <c r="J880" t="str">
        <f t="shared" si="151"/>
        <v>BTCFADE</v>
      </c>
      <c r="K880" t="str">
        <f t="shared" si="152"/>
        <v>FADEBTC</v>
      </c>
      <c r="L880">
        <f t="shared" si="153"/>
        <v>0</v>
      </c>
      <c r="M880">
        <f t="shared" si="154"/>
        <v>1</v>
      </c>
      <c r="N880" t="b">
        <f t="shared" si="155"/>
        <v>1</v>
      </c>
    </row>
    <row r="881" spans="1:14" hidden="1" x14ac:dyDescent="0.25">
      <c r="A881" t="s">
        <v>5</v>
      </c>
      <c r="B881" t="s">
        <v>494</v>
      </c>
      <c r="C881" s="1" t="s">
        <v>328</v>
      </c>
      <c r="D881" s="1">
        <v>5.8900000000000004E-6</v>
      </c>
      <c r="E881" s="1" t="s">
        <v>328</v>
      </c>
      <c r="F881" s="1">
        <v>5.8900000000000004E-6</v>
      </c>
      <c r="G881">
        <f t="shared" si="149"/>
        <v>7</v>
      </c>
      <c r="H881" t="str">
        <f t="shared" si="159"/>
        <v>BTC</v>
      </c>
      <c r="I881" t="str">
        <f>LEFT(B881,4)</f>
        <v>FAZZ</v>
      </c>
      <c r="J881" t="str">
        <f t="shared" si="151"/>
        <v>BTCFAZZ</v>
      </c>
      <c r="K881" t="str">
        <f t="shared" si="152"/>
        <v>FAZZBTC</v>
      </c>
      <c r="L881">
        <f t="shared" si="153"/>
        <v>0</v>
      </c>
      <c r="M881">
        <f t="shared" si="154"/>
        <v>1</v>
      </c>
      <c r="N881" t="b">
        <f t="shared" si="155"/>
        <v>1</v>
      </c>
    </row>
    <row r="882" spans="1:14" hidden="1" x14ac:dyDescent="0.25">
      <c r="A882" t="s">
        <v>5</v>
      </c>
      <c r="B882" t="s">
        <v>990</v>
      </c>
      <c r="C882" s="1">
        <v>2.2999999999999999E-7</v>
      </c>
      <c r="D882" s="1">
        <v>2.2000000000000001E-7</v>
      </c>
      <c r="E882" s="1">
        <v>2.2999999999999999E-7</v>
      </c>
      <c r="F882" s="1">
        <v>2.2000000000000001E-7</v>
      </c>
      <c r="G882">
        <f t="shared" si="149"/>
        <v>8</v>
      </c>
      <c r="H882" t="str">
        <f t="shared" si="159"/>
        <v>BTC</v>
      </c>
      <c r="I882" t="str">
        <f>LEFT(B882,5)</f>
        <v>FCASH</v>
      </c>
      <c r="J882" t="str">
        <f t="shared" si="151"/>
        <v>BTCFCASH</v>
      </c>
      <c r="K882" t="str">
        <f t="shared" si="152"/>
        <v>FCASHBTC</v>
      </c>
      <c r="L882">
        <f t="shared" si="153"/>
        <v>0</v>
      </c>
      <c r="M882">
        <f t="shared" si="154"/>
        <v>1</v>
      </c>
      <c r="N882" t="b">
        <f t="shared" si="155"/>
        <v>1</v>
      </c>
    </row>
    <row r="883" spans="1:14" hidden="1" x14ac:dyDescent="0.25">
      <c r="A883" t="s">
        <v>1403</v>
      </c>
      <c r="B883" t="s">
        <v>1443</v>
      </c>
      <c r="C883" s="1">
        <v>9.5000000000000001E-7</v>
      </c>
      <c r="D883" s="1">
        <v>9.5000000000000001E-7</v>
      </c>
      <c r="E883" s="1">
        <v>1.0699999999999999E-6</v>
      </c>
      <c r="F883" s="1" t="s">
        <v>368</v>
      </c>
      <c r="G883">
        <f t="shared" si="149"/>
        <v>6</v>
      </c>
      <c r="H883" t="str">
        <f t="shared" si="159"/>
        <v>BTC</v>
      </c>
      <c r="I883" t="str">
        <f t="shared" ref="I883:I893" si="160">LEFT(B883,3)</f>
        <v>FCH</v>
      </c>
      <c r="J883" t="str">
        <f t="shared" si="151"/>
        <v>BTCFCH</v>
      </c>
      <c r="K883" t="str">
        <f t="shared" si="152"/>
        <v>FCHBTC</v>
      </c>
      <c r="L883">
        <f t="shared" si="153"/>
        <v>0</v>
      </c>
      <c r="M883">
        <f t="shared" si="154"/>
        <v>1</v>
      </c>
      <c r="N883" t="b">
        <f t="shared" si="155"/>
        <v>1</v>
      </c>
    </row>
    <row r="884" spans="1:14" hidden="1" x14ac:dyDescent="0.25">
      <c r="A884" t="s">
        <v>1403</v>
      </c>
      <c r="B884" t="s">
        <v>1963</v>
      </c>
      <c r="C884" s="1">
        <v>9</v>
      </c>
      <c r="D884" s="1">
        <v>9</v>
      </c>
      <c r="E884" s="1">
        <v>4.9999996900000001</v>
      </c>
      <c r="F884" s="1">
        <v>3.0000929999999999E-2</v>
      </c>
      <c r="G884">
        <f t="shared" si="149"/>
        <v>7</v>
      </c>
      <c r="H884" t="str">
        <f>RIGHT(B884,4)</f>
        <v>DOGE</v>
      </c>
      <c r="I884" t="str">
        <f t="shared" si="160"/>
        <v>FCH</v>
      </c>
      <c r="J884" t="str">
        <f t="shared" si="151"/>
        <v>DOGEFCH</v>
      </c>
      <c r="K884" t="str">
        <f t="shared" si="152"/>
        <v>FCHDOGE</v>
      </c>
      <c r="L884">
        <f t="shared" si="153"/>
        <v>0</v>
      </c>
      <c r="M884">
        <f t="shared" si="154"/>
        <v>1</v>
      </c>
      <c r="N884" t="b">
        <f t="shared" si="155"/>
        <v>1</v>
      </c>
    </row>
    <row r="885" spans="1:14" hidden="1" x14ac:dyDescent="0.25">
      <c r="A885" t="s">
        <v>1403</v>
      </c>
      <c r="B885" t="s">
        <v>1771</v>
      </c>
      <c r="C885" s="1">
        <v>1.9999000000000002E-3</v>
      </c>
      <c r="D885" s="1">
        <v>1.9999000000000002E-3</v>
      </c>
      <c r="E885" s="1">
        <v>8.9999999999999993E-3</v>
      </c>
      <c r="F885" s="1">
        <v>1.5799999999999999E-6</v>
      </c>
      <c r="G885">
        <f t="shared" si="149"/>
        <v>6</v>
      </c>
      <c r="H885" t="str">
        <f>RIGHT(B885,3)</f>
        <v>LTC</v>
      </c>
      <c r="I885" t="str">
        <f t="shared" si="160"/>
        <v>FCH</v>
      </c>
      <c r="J885" t="str">
        <f t="shared" si="151"/>
        <v>LTCFCH</v>
      </c>
      <c r="K885" t="str">
        <f t="shared" si="152"/>
        <v>FCHLTC</v>
      </c>
      <c r="L885">
        <f t="shared" si="153"/>
        <v>0</v>
      </c>
      <c r="M885">
        <f t="shared" si="154"/>
        <v>1</v>
      </c>
      <c r="N885" t="b">
        <f t="shared" si="155"/>
        <v>1</v>
      </c>
    </row>
    <row r="886" spans="1:14" hidden="1" x14ac:dyDescent="0.25">
      <c r="A886" t="s">
        <v>1403</v>
      </c>
      <c r="B886" t="s">
        <v>1587</v>
      </c>
      <c r="C886" s="1">
        <v>2.2222200000000001E-2</v>
      </c>
      <c r="D886" s="1">
        <v>2.2222200000000001E-2</v>
      </c>
      <c r="E886" s="1">
        <v>2.2202199999999998E-2</v>
      </c>
      <c r="F886" s="1">
        <v>1.0166999999999999E-4</v>
      </c>
      <c r="G886">
        <f t="shared" si="149"/>
        <v>6</v>
      </c>
      <c r="H886" t="str">
        <f>RIGHT(B886,3)</f>
        <v>USD</v>
      </c>
      <c r="I886" t="str">
        <f t="shared" si="160"/>
        <v>FCH</v>
      </c>
      <c r="J886" t="str">
        <f t="shared" si="151"/>
        <v>USDFCH</v>
      </c>
      <c r="K886" t="str">
        <f t="shared" si="152"/>
        <v>FCHUSD</v>
      </c>
      <c r="L886">
        <f t="shared" si="153"/>
        <v>0</v>
      </c>
      <c r="M886">
        <f t="shared" si="154"/>
        <v>1</v>
      </c>
      <c r="N886" t="b">
        <f t="shared" si="155"/>
        <v>1</v>
      </c>
    </row>
    <row r="887" spans="1:14" hidden="1" x14ac:dyDescent="0.25">
      <c r="A887" t="s">
        <v>4</v>
      </c>
      <c r="B887" t="s">
        <v>314</v>
      </c>
      <c r="C887" s="1">
        <v>4.3999999999999999E-5</v>
      </c>
      <c r="D887" s="1">
        <v>4.1999999999999998E-5</v>
      </c>
      <c r="E887" s="1">
        <v>4.3999999999999999E-5</v>
      </c>
      <c r="F887" s="1">
        <v>4.1999999999999998E-5</v>
      </c>
      <c r="G887">
        <f t="shared" si="149"/>
        <v>6</v>
      </c>
      <c r="H887" t="str">
        <f>RIGHT(B887,3)</f>
        <v>BTC</v>
      </c>
      <c r="I887" t="str">
        <f t="shared" si="160"/>
        <v>FCN</v>
      </c>
      <c r="J887" t="str">
        <f t="shared" si="151"/>
        <v>BTCFCN</v>
      </c>
      <c r="K887" t="str">
        <f t="shared" si="152"/>
        <v>FCNBTC</v>
      </c>
      <c r="L887">
        <f t="shared" si="153"/>
        <v>0</v>
      </c>
      <c r="M887">
        <f t="shared" si="154"/>
        <v>1</v>
      </c>
      <c r="N887" t="b">
        <f t="shared" si="155"/>
        <v>1</v>
      </c>
    </row>
    <row r="888" spans="1:14" hidden="1" x14ac:dyDescent="0.25">
      <c r="A888" t="s">
        <v>1403</v>
      </c>
      <c r="B888" t="s">
        <v>1444</v>
      </c>
      <c r="C888" s="1">
        <v>1.3E-7</v>
      </c>
      <c r="D888" s="1">
        <v>4.5999999999999999E-7</v>
      </c>
      <c r="E888" s="1" t="s">
        <v>421</v>
      </c>
      <c r="F888" s="1">
        <v>2.2999999999999999E-7</v>
      </c>
      <c r="G888">
        <f t="shared" si="149"/>
        <v>6</v>
      </c>
      <c r="H888" t="str">
        <f>RIGHT(B888,3)</f>
        <v>BTC</v>
      </c>
      <c r="I888" t="str">
        <f t="shared" si="160"/>
        <v>FCP</v>
      </c>
      <c r="J888" t="str">
        <f t="shared" si="151"/>
        <v>BTCFCP</v>
      </c>
      <c r="K888" t="str">
        <f t="shared" si="152"/>
        <v>FCPBTC</v>
      </c>
      <c r="L888">
        <f t="shared" si="153"/>
        <v>0</v>
      </c>
      <c r="M888">
        <f t="shared" si="154"/>
        <v>1</v>
      </c>
      <c r="N888" t="b">
        <f t="shared" si="155"/>
        <v>1</v>
      </c>
    </row>
    <row r="889" spans="1:14" hidden="1" x14ac:dyDescent="0.25">
      <c r="A889" t="s">
        <v>1403</v>
      </c>
      <c r="B889" t="s">
        <v>1964</v>
      </c>
      <c r="C889" s="1">
        <v>1</v>
      </c>
      <c r="D889" s="1">
        <v>1</v>
      </c>
      <c r="E889" s="1">
        <v>4.0425001099999998</v>
      </c>
      <c r="F889" s="1">
        <v>5.0003000000000005E-4</v>
      </c>
      <c r="G889">
        <f t="shared" si="149"/>
        <v>7</v>
      </c>
      <c r="H889" t="str">
        <f>RIGHT(B889,4)</f>
        <v>DOGE</v>
      </c>
      <c r="I889" t="str">
        <f t="shared" si="160"/>
        <v>FCP</v>
      </c>
      <c r="J889" t="str">
        <f t="shared" si="151"/>
        <v>DOGEFCP</v>
      </c>
      <c r="K889" t="str">
        <f t="shared" si="152"/>
        <v>FCPDOGE</v>
      </c>
      <c r="L889">
        <f t="shared" si="153"/>
        <v>0</v>
      </c>
      <c r="M889">
        <f t="shared" si="154"/>
        <v>1</v>
      </c>
      <c r="N889" t="b">
        <f t="shared" si="155"/>
        <v>1</v>
      </c>
    </row>
    <row r="890" spans="1:14" hidden="1" x14ac:dyDescent="0.25">
      <c r="A890" t="s">
        <v>1403</v>
      </c>
      <c r="B890" t="s">
        <v>1772</v>
      </c>
      <c r="C890" s="1">
        <v>0</v>
      </c>
      <c r="D890" s="1">
        <v>0</v>
      </c>
      <c r="E890" s="1">
        <v>9.9999900000000003E-3</v>
      </c>
      <c r="F890" s="1">
        <v>2.003E-5</v>
      </c>
      <c r="G890">
        <f t="shared" si="149"/>
        <v>6</v>
      </c>
      <c r="H890" t="str">
        <f t="shared" ref="H890:H896" si="161">RIGHT(B890,3)</f>
        <v>LTC</v>
      </c>
      <c r="I890" t="str">
        <f t="shared" si="160"/>
        <v>FCP</v>
      </c>
      <c r="J890" t="str">
        <f t="shared" si="151"/>
        <v>LTCFCP</v>
      </c>
      <c r="K890" t="str">
        <f t="shared" si="152"/>
        <v>FCPLTC</v>
      </c>
      <c r="L890">
        <f t="shared" si="153"/>
        <v>0</v>
      </c>
      <c r="M890">
        <f t="shared" si="154"/>
        <v>1</v>
      </c>
      <c r="N890" t="b">
        <f t="shared" si="155"/>
        <v>1</v>
      </c>
    </row>
    <row r="891" spans="1:14" hidden="1" x14ac:dyDescent="0.25">
      <c r="A891" t="s">
        <v>1403</v>
      </c>
      <c r="B891" t="s">
        <v>1588</v>
      </c>
      <c r="C891" s="1">
        <v>1.6932E-3</v>
      </c>
      <c r="D891" s="1">
        <v>1.6932E-3</v>
      </c>
      <c r="E891" s="1">
        <v>2.0398E-3</v>
      </c>
      <c r="F891" s="1">
        <v>1E-3</v>
      </c>
      <c r="G891">
        <f t="shared" si="149"/>
        <v>6</v>
      </c>
      <c r="H891" t="str">
        <f t="shared" si="161"/>
        <v>USD</v>
      </c>
      <c r="I891" t="str">
        <f t="shared" si="160"/>
        <v>FCP</v>
      </c>
      <c r="J891" t="str">
        <f t="shared" si="151"/>
        <v>USDFCP</v>
      </c>
      <c r="K891" t="str">
        <f t="shared" si="152"/>
        <v>FCPUSD</v>
      </c>
      <c r="L891">
        <f t="shared" si="153"/>
        <v>0</v>
      </c>
      <c r="M891">
        <f t="shared" si="154"/>
        <v>1</v>
      </c>
      <c r="N891" t="b">
        <f t="shared" si="155"/>
        <v>1</v>
      </c>
    </row>
    <row r="892" spans="1:14" hidden="1" x14ac:dyDescent="0.25">
      <c r="A892" t="s">
        <v>5</v>
      </c>
      <c r="B892" t="s">
        <v>593</v>
      </c>
      <c r="C892" s="1" t="s">
        <v>380</v>
      </c>
      <c r="D892" s="1" t="s">
        <v>384</v>
      </c>
      <c r="E892" s="1" t="s">
        <v>380</v>
      </c>
      <c r="F892" s="1" t="s">
        <v>384</v>
      </c>
      <c r="G892">
        <f t="shared" si="149"/>
        <v>6</v>
      </c>
      <c r="H892" t="str">
        <f t="shared" si="161"/>
        <v>BTC</v>
      </c>
      <c r="I892" t="str">
        <f t="shared" si="160"/>
        <v>FFC</v>
      </c>
      <c r="J892" t="str">
        <f t="shared" si="151"/>
        <v>BTCFFC</v>
      </c>
      <c r="K892" t="str">
        <f t="shared" si="152"/>
        <v>FFCBTC</v>
      </c>
      <c r="L892">
        <f t="shared" si="153"/>
        <v>0</v>
      </c>
      <c r="M892">
        <f t="shared" si="154"/>
        <v>1</v>
      </c>
      <c r="N892" t="b">
        <f t="shared" si="155"/>
        <v>1</v>
      </c>
    </row>
    <row r="893" spans="1:14" hidden="1" x14ac:dyDescent="0.25">
      <c r="A893" t="s">
        <v>5</v>
      </c>
      <c r="B893" t="s">
        <v>1195</v>
      </c>
      <c r="C893" s="1" t="s">
        <v>381</v>
      </c>
      <c r="D893" s="1" t="s">
        <v>361</v>
      </c>
      <c r="E893" s="1" t="s">
        <v>381</v>
      </c>
      <c r="F893" s="1" t="s">
        <v>361</v>
      </c>
      <c r="G893">
        <f t="shared" si="149"/>
        <v>6</v>
      </c>
      <c r="H893" t="str">
        <f t="shared" si="161"/>
        <v>BTC</v>
      </c>
      <c r="I893" t="str">
        <f t="shared" si="160"/>
        <v>FGZ</v>
      </c>
      <c r="J893" t="str">
        <f t="shared" si="151"/>
        <v>BTCFGZ</v>
      </c>
      <c r="K893" t="str">
        <f t="shared" si="152"/>
        <v>FGZBTC</v>
      </c>
      <c r="L893">
        <f t="shared" si="153"/>
        <v>0</v>
      </c>
      <c r="M893">
        <f t="shared" si="154"/>
        <v>1</v>
      </c>
      <c r="N893" t="b">
        <f t="shared" si="155"/>
        <v>1</v>
      </c>
    </row>
    <row r="894" spans="1:14" hidden="1" x14ac:dyDescent="0.25">
      <c r="A894" t="s">
        <v>5</v>
      </c>
      <c r="B894" t="s">
        <v>1007</v>
      </c>
      <c r="C894" s="1">
        <v>5.7000000000000005E-7</v>
      </c>
      <c r="D894" s="1">
        <v>4.0999999999999999E-7</v>
      </c>
      <c r="E894" s="1">
        <v>5.7000000000000005E-7</v>
      </c>
      <c r="F894" s="1">
        <v>4.0999999999999999E-7</v>
      </c>
      <c r="G894">
        <f t="shared" si="149"/>
        <v>7</v>
      </c>
      <c r="H894" t="str">
        <f t="shared" si="161"/>
        <v>BTC</v>
      </c>
      <c r="I894" t="str">
        <f>LEFT(B894,4)</f>
        <v>FIND</v>
      </c>
      <c r="J894" t="str">
        <f t="shared" si="151"/>
        <v>BTCFIND</v>
      </c>
      <c r="K894" t="str">
        <f t="shared" si="152"/>
        <v>FINDBTC</v>
      </c>
      <c r="L894">
        <f t="shared" si="153"/>
        <v>0</v>
      </c>
      <c r="M894">
        <f t="shared" si="154"/>
        <v>1</v>
      </c>
      <c r="N894" t="b">
        <f t="shared" si="155"/>
        <v>1</v>
      </c>
    </row>
    <row r="895" spans="1:14" hidden="1" x14ac:dyDescent="0.25">
      <c r="A895" t="s">
        <v>5</v>
      </c>
      <c r="B895" t="s">
        <v>736</v>
      </c>
      <c r="C895" s="1">
        <v>2.9964E-4</v>
      </c>
      <c r="D895" s="1">
        <v>1.2600999999999999E-4</v>
      </c>
      <c r="E895" s="1">
        <v>2.9964920199999998E-4</v>
      </c>
      <c r="F895" s="1">
        <v>1.2600999999999999E-4</v>
      </c>
      <c r="G895">
        <f t="shared" si="149"/>
        <v>7</v>
      </c>
      <c r="H895" t="str">
        <f t="shared" si="161"/>
        <v>BTC</v>
      </c>
      <c r="I895" t="str">
        <f>LEFT(B895,4)</f>
        <v>FIRE</v>
      </c>
      <c r="J895" t="str">
        <f t="shared" si="151"/>
        <v>BTCFIRE</v>
      </c>
      <c r="K895" t="str">
        <f t="shared" si="152"/>
        <v>FIREBTC</v>
      </c>
      <c r="L895">
        <f t="shared" si="153"/>
        <v>0</v>
      </c>
      <c r="M895">
        <f t="shared" si="154"/>
        <v>1</v>
      </c>
      <c r="N895" t="b">
        <f t="shared" si="155"/>
        <v>1</v>
      </c>
    </row>
    <row r="896" spans="1:14" hidden="1" x14ac:dyDescent="0.25">
      <c r="A896" t="s">
        <v>1403</v>
      </c>
      <c r="B896" t="s">
        <v>1445</v>
      </c>
      <c r="C896" s="1">
        <v>7.7000000000000004E-7</v>
      </c>
      <c r="D896" s="1">
        <v>8.1999999999999998E-7</v>
      </c>
      <c r="E896" s="1">
        <v>8.8000000000000004E-7</v>
      </c>
      <c r="F896" s="1">
        <v>7.7000000000000004E-7</v>
      </c>
      <c r="G896">
        <f t="shared" si="149"/>
        <v>8</v>
      </c>
      <c r="H896" t="str">
        <f t="shared" si="161"/>
        <v>BTC</v>
      </c>
      <c r="I896" t="str">
        <f>LEFT(B896,5)</f>
        <v>FIRST</v>
      </c>
      <c r="J896" t="str">
        <f t="shared" si="151"/>
        <v>BTCFIRST</v>
      </c>
      <c r="K896" t="str">
        <f t="shared" si="152"/>
        <v>FIRSTBTC</v>
      </c>
      <c r="L896">
        <f t="shared" si="153"/>
        <v>0</v>
      </c>
      <c r="M896">
        <f t="shared" si="154"/>
        <v>1</v>
      </c>
      <c r="N896" t="b">
        <f t="shared" si="155"/>
        <v>1</v>
      </c>
    </row>
    <row r="897" spans="1:14" hidden="1" x14ac:dyDescent="0.25">
      <c r="A897" t="s">
        <v>1403</v>
      </c>
      <c r="B897" t="s">
        <v>1965</v>
      </c>
      <c r="C897" s="1">
        <v>5.9999998999999997</v>
      </c>
      <c r="D897" s="1">
        <v>5.9999998999999997</v>
      </c>
      <c r="E897" s="1">
        <v>5.9999998999999997</v>
      </c>
      <c r="F897" s="1">
        <v>0.19900002999999999</v>
      </c>
      <c r="G897">
        <f t="shared" ref="G897:G960" si="162">LEN(B897)</f>
        <v>9</v>
      </c>
      <c r="H897" t="str">
        <f>RIGHT(B897,4)</f>
        <v>DOGE</v>
      </c>
      <c r="I897" t="str">
        <f>LEFT(B897,5)</f>
        <v>FIRST</v>
      </c>
      <c r="J897" t="str">
        <f t="shared" ref="J897:J960" si="163">CONCATENATE(H897,I897)</f>
        <v>DOGEFIRST</v>
      </c>
      <c r="K897" t="str">
        <f t="shared" ref="K897:K960" si="164">CONCATENATE(I897,H897)</f>
        <v>FIRSTDOGE</v>
      </c>
      <c r="L897">
        <f t="shared" ref="L897:L960" si="165">COUNTIF(B:B,J897)</f>
        <v>0</v>
      </c>
      <c r="M897">
        <f t="shared" ref="M897:M960" si="166">COUNTIF(B:B,K897)</f>
        <v>1</v>
      </c>
      <c r="N897" t="b">
        <f t="shared" ref="N897:N960" si="167">L897=0</f>
        <v>1</v>
      </c>
    </row>
    <row r="898" spans="1:14" hidden="1" x14ac:dyDescent="0.25">
      <c r="A898" t="s">
        <v>1403</v>
      </c>
      <c r="B898" t="s">
        <v>1773</v>
      </c>
      <c r="C898" s="1">
        <v>0</v>
      </c>
      <c r="D898" s="1">
        <v>0</v>
      </c>
      <c r="E898" s="1">
        <v>9.8999998500000004</v>
      </c>
      <c r="F898" s="1">
        <v>1.4999999999999999E-7</v>
      </c>
      <c r="G898">
        <f t="shared" si="162"/>
        <v>8</v>
      </c>
      <c r="H898" t="str">
        <f>RIGHT(B898,3)</f>
        <v>LTC</v>
      </c>
      <c r="I898" t="str">
        <f>LEFT(B898,5)</f>
        <v>FIRST</v>
      </c>
      <c r="J898" t="str">
        <f t="shared" si="163"/>
        <v>LTCFIRST</v>
      </c>
      <c r="K898" t="str">
        <f t="shared" si="164"/>
        <v>FIRSTLTC</v>
      </c>
      <c r="L898">
        <f t="shared" si="165"/>
        <v>0</v>
      </c>
      <c r="M898">
        <f t="shared" si="166"/>
        <v>1</v>
      </c>
      <c r="N898" t="b">
        <f t="shared" si="167"/>
        <v>1</v>
      </c>
    </row>
    <row r="899" spans="1:14" hidden="1" x14ac:dyDescent="0.25">
      <c r="A899" t="s">
        <v>1403</v>
      </c>
      <c r="B899" t="s">
        <v>1589</v>
      </c>
      <c r="C899" s="1">
        <v>4.9000000000000002E-2</v>
      </c>
      <c r="D899" s="1">
        <v>4.9000000000000002E-2</v>
      </c>
      <c r="E899" s="1">
        <v>0.69999577000000002</v>
      </c>
      <c r="F899" s="1">
        <v>4.1399999999999997E-5</v>
      </c>
      <c r="G899">
        <f t="shared" si="162"/>
        <v>8</v>
      </c>
      <c r="H899" t="str">
        <f>RIGHT(B899,3)</f>
        <v>USD</v>
      </c>
      <c r="I899" t="str">
        <f>LEFT(B899,5)</f>
        <v>FIRST</v>
      </c>
      <c r="J899" t="str">
        <f t="shared" si="163"/>
        <v>USDFIRST</v>
      </c>
      <c r="K899" t="str">
        <f t="shared" si="164"/>
        <v>FIRSTUSD</v>
      </c>
      <c r="L899">
        <f t="shared" si="165"/>
        <v>0</v>
      </c>
      <c r="M899">
        <f t="shared" si="166"/>
        <v>1</v>
      </c>
      <c r="N899" t="b">
        <f t="shared" si="167"/>
        <v>1</v>
      </c>
    </row>
    <row r="900" spans="1:14" hidden="1" x14ac:dyDescent="0.25">
      <c r="A900" t="s">
        <v>5</v>
      </c>
      <c r="B900" t="s">
        <v>471</v>
      </c>
      <c r="C900" s="1" t="s">
        <v>435</v>
      </c>
      <c r="D900" s="1" t="s">
        <v>356</v>
      </c>
      <c r="E900" s="1" t="s">
        <v>435</v>
      </c>
      <c r="F900" s="1" t="s">
        <v>356</v>
      </c>
      <c r="G900">
        <f t="shared" si="162"/>
        <v>7</v>
      </c>
      <c r="H900" t="str">
        <f>RIGHT(B900,3)</f>
        <v>BTC</v>
      </c>
      <c r="I900" t="str">
        <f>LEFT(B900,4)</f>
        <v>FIST</v>
      </c>
      <c r="J900" t="str">
        <f t="shared" si="163"/>
        <v>BTCFIST</v>
      </c>
      <c r="K900" t="str">
        <f t="shared" si="164"/>
        <v>FISTBTC</v>
      </c>
      <c r="L900">
        <f t="shared" si="165"/>
        <v>0</v>
      </c>
      <c r="M900">
        <f t="shared" si="166"/>
        <v>1</v>
      </c>
      <c r="N900" t="b">
        <f t="shared" si="167"/>
        <v>1</v>
      </c>
    </row>
    <row r="901" spans="1:14" hidden="1" x14ac:dyDescent="0.25">
      <c r="A901" t="s">
        <v>1403</v>
      </c>
      <c r="B901" t="s">
        <v>1446</v>
      </c>
      <c r="C901" s="1">
        <v>1.4000000000000001E-7</v>
      </c>
      <c r="D901" s="1">
        <v>2.4999999999999999E-7</v>
      </c>
      <c r="E901" s="1">
        <v>2.4999999999999999E-7</v>
      </c>
      <c r="F901" s="1">
        <v>1.6E-7</v>
      </c>
      <c r="G901">
        <f t="shared" si="162"/>
        <v>6</v>
      </c>
      <c r="H901" t="str">
        <f>RIGHT(B901,3)</f>
        <v>BTC</v>
      </c>
      <c r="I901" t="str">
        <f t="shared" ref="I901:I907" si="168">LEFT(B901,3)</f>
        <v>FIT</v>
      </c>
      <c r="J901" t="str">
        <f t="shared" si="163"/>
        <v>BTCFIT</v>
      </c>
      <c r="K901" t="str">
        <f t="shared" si="164"/>
        <v>FITBTC</v>
      </c>
      <c r="L901">
        <f t="shared" si="165"/>
        <v>0</v>
      </c>
      <c r="M901">
        <f t="shared" si="166"/>
        <v>1</v>
      </c>
      <c r="N901" t="b">
        <f t="shared" si="167"/>
        <v>1</v>
      </c>
    </row>
    <row r="902" spans="1:14" hidden="1" x14ac:dyDescent="0.25">
      <c r="A902" t="s">
        <v>1403</v>
      </c>
      <c r="B902" t="s">
        <v>1966</v>
      </c>
      <c r="C902" s="1">
        <v>0.02</v>
      </c>
      <c r="D902" s="1">
        <v>0.02</v>
      </c>
      <c r="E902" s="1">
        <v>0.89999996999999998</v>
      </c>
      <c r="F902" s="1">
        <v>3.9E-2</v>
      </c>
      <c r="G902">
        <f t="shared" si="162"/>
        <v>7</v>
      </c>
      <c r="H902" t="str">
        <f>RIGHT(B902,4)</f>
        <v>DOGE</v>
      </c>
      <c r="I902" t="str">
        <f t="shared" si="168"/>
        <v>FIT</v>
      </c>
      <c r="J902" t="str">
        <f t="shared" si="163"/>
        <v>DOGEFIT</v>
      </c>
      <c r="K902" t="str">
        <f t="shared" si="164"/>
        <v>FITDOGE</v>
      </c>
      <c r="L902">
        <f t="shared" si="165"/>
        <v>0</v>
      </c>
      <c r="M902">
        <f t="shared" si="166"/>
        <v>1</v>
      </c>
      <c r="N902" t="b">
        <f t="shared" si="167"/>
        <v>1</v>
      </c>
    </row>
    <row r="903" spans="1:14" hidden="1" x14ac:dyDescent="0.25">
      <c r="A903" t="s">
        <v>1403</v>
      </c>
      <c r="B903" t="s">
        <v>1774</v>
      </c>
      <c r="C903" s="1">
        <v>1.1012E-4</v>
      </c>
      <c r="D903" s="1">
        <v>1.1012E-4</v>
      </c>
      <c r="E903" s="1">
        <v>8.7399000000000005E-4</v>
      </c>
      <c r="F903" s="1" t="s">
        <v>355</v>
      </c>
      <c r="G903">
        <f t="shared" si="162"/>
        <v>6</v>
      </c>
      <c r="H903" t="str">
        <f>RIGHT(B903,3)</f>
        <v>LTC</v>
      </c>
      <c r="I903" t="str">
        <f t="shared" si="168"/>
        <v>FIT</v>
      </c>
      <c r="J903" t="str">
        <f t="shared" si="163"/>
        <v>LTCFIT</v>
      </c>
      <c r="K903" t="str">
        <f t="shared" si="164"/>
        <v>FITLTC</v>
      </c>
      <c r="L903">
        <f t="shared" si="165"/>
        <v>0</v>
      </c>
      <c r="M903">
        <f t="shared" si="166"/>
        <v>1</v>
      </c>
      <c r="N903" t="b">
        <f t="shared" si="167"/>
        <v>1</v>
      </c>
    </row>
    <row r="904" spans="1:14" hidden="1" x14ac:dyDescent="0.25">
      <c r="A904" t="s">
        <v>1403</v>
      </c>
      <c r="B904" t="s">
        <v>1590</v>
      </c>
      <c r="C904" s="1">
        <v>2E-3</v>
      </c>
      <c r="D904" s="1">
        <v>2E-3</v>
      </c>
      <c r="E904" s="1">
        <v>4.9776899999999999E-3</v>
      </c>
      <c r="F904" s="1">
        <v>5.57E-6</v>
      </c>
      <c r="G904">
        <f t="shared" si="162"/>
        <v>6</v>
      </c>
      <c r="H904" t="str">
        <f>RIGHT(B904,3)</f>
        <v>USD</v>
      </c>
      <c r="I904" t="str">
        <f t="shared" si="168"/>
        <v>FIT</v>
      </c>
      <c r="J904" t="str">
        <f t="shared" si="163"/>
        <v>USDFIT</v>
      </c>
      <c r="K904" t="str">
        <f t="shared" si="164"/>
        <v>FITUSD</v>
      </c>
      <c r="L904">
        <f t="shared" si="165"/>
        <v>0</v>
      </c>
      <c r="M904">
        <f t="shared" si="166"/>
        <v>1</v>
      </c>
      <c r="N904" t="b">
        <f t="shared" si="167"/>
        <v>1</v>
      </c>
    </row>
    <row r="905" spans="1:14" hidden="1" x14ac:dyDescent="0.25">
      <c r="A905" t="s">
        <v>1403</v>
      </c>
      <c r="B905" t="s">
        <v>1967</v>
      </c>
      <c r="C905" s="1">
        <v>1.000001E-2</v>
      </c>
      <c r="D905" s="1">
        <v>0.998</v>
      </c>
      <c r="E905" s="1">
        <v>0.99799998999999995</v>
      </c>
      <c r="F905" s="1">
        <v>0.22256999999999999</v>
      </c>
      <c r="G905">
        <f t="shared" si="162"/>
        <v>7</v>
      </c>
      <c r="H905" t="str">
        <f>RIGHT(B905,4)</f>
        <v>DOGE</v>
      </c>
      <c r="I905" t="str">
        <f t="shared" si="168"/>
        <v>FJC</v>
      </c>
      <c r="J905" t="str">
        <f t="shared" si="163"/>
        <v>DOGEFJC</v>
      </c>
      <c r="K905" t="str">
        <f t="shared" si="164"/>
        <v>FJCDOGE</v>
      </c>
      <c r="L905">
        <f t="shared" si="165"/>
        <v>0</v>
      </c>
      <c r="M905">
        <f t="shared" si="166"/>
        <v>1</v>
      </c>
      <c r="N905" t="b">
        <f t="shared" si="167"/>
        <v>1</v>
      </c>
    </row>
    <row r="906" spans="1:14" hidden="1" x14ac:dyDescent="0.25">
      <c r="A906" t="s">
        <v>1403</v>
      </c>
      <c r="B906" t="s">
        <v>1775</v>
      </c>
      <c r="C906" s="1">
        <v>8.7000000000000003E-7</v>
      </c>
      <c r="D906" s="1">
        <v>1.9887E-4</v>
      </c>
      <c r="E906" s="1">
        <v>1.9887E-4</v>
      </c>
      <c r="F906" s="1">
        <v>1.611E-5</v>
      </c>
      <c r="G906">
        <f t="shared" si="162"/>
        <v>6</v>
      </c>
      <c r="H906" t="str">
        <f t="shared" ref="H906:H931" si="169">RIGHT(B906,3)</f>
        <v>LTC</v>
      </c>
      <c r="I906" t="str">
        <f t="shared" si="168"/>
        <v>FJC</v>
      </c>
      <c r="J906" t="str">
        <f t="shared" si="163"/>
        <v>LTCFJC</v>
      </c>
      <c r="K906" t="str">
        <f t="shared" si="164"/>
        <v>FJCLTC</v>
      </c>
      <c r="L906">
        <f t="shared" si="165"/>
        <v>0</v>
      </c>
      <c r="M906">
        <f t="shared" si="166"/>
        <v>1</v>
      </c>
      <c r="N906" t="b">
        <f t="shared" si="167"/>
        <v>1</v>
      </c>
    </row>
    <row r="907" spans="1:14" hidden="1" x14ac:dyDescent="0.25">
      <c r="A907" t="s">
        <v>1403</v>
      </c>
      <c r="B907" t="s">
        <v>1591</v>
      </c>
      <c r="C907" s="1">
        <v>2.777E-3</v>
      </c>
      <c r="D907" s="1">
        <v>2.777E-3</v>
      </c>
      <c r="E907" s="1">
        <v>2.777E-3</v>
      </c>
      <c r="F907" s="1">
        <v>1E-3</v>
      </c>
      <c r="G907">
        <f t="shared" si="162"/>
        <v>6</v>
      </c>
      <c r="H907" t="str">
        <f t="shared" si="169"/>
        <v>USD</v>
      </c>
      <c r="I907" t="str">
        <f t="shared" si="168"/>
        <v>FJC</v>
      </c>
      <c r="J907" t="str">
        <f t="shared" si="163"/>
        <v>USDFJC</v>
      </c>
      <c r="K907" t="str">
        <f t="shared" si="164"/>
        <v>FJCUSD</v>
      </c>
      <c r="L907">
        <f t="shared" si="165"/>
        <v>0</v>
      </c>
      <c r="M907">
        <f t="shared" si="166"/>
        <v>1</v>
      </c>
      <c r="N907" t="b">
        <f t="shared" si="167"/>
        <v>1</v>
      </c>
    </row>
    <row r="908" spans="1:14" hidden="1" x14ac:dyDescent="0.25">
      <c r="A908" t="s">
        <v>5</v>
      </c>
      <c r="B908" t="s">
        <v>939</v>
      </c>
      <c r="C908" s="1" t="s">
        <v>401</v>
      </c>
      <c r="D908" s="1" t="s">
        <v>421</v>
      </c>
      <c r="E908" s="1" t="s">
        <v>401</v>
      </c>
      <c r="F908" s="1" t="s">
        <v>421</v>
      </c>
      <c r="G908">
        <f t="shared" si="162"/>
        <v>7</v>
      </c>
      <c r="H908" t="str">
        <f t="shared" si="169"/>
        <v>BTC</v>
      </c>
      <c r="I908" t="str">
        <f>LEFT(B908,4)</f>
        <v>FLVR</v>
      </c>
      <c r="J908" t="str">
        <f t="shared" si="163"/>
        <v>BTCFLVR</v>
      </c>
      <c r="K908" t="str">
        <f t="shared" si="164"/>
        <v>FLVRBTC</v>
      </c>
      <c r="L908">
        <f t="shared" si="165"/>
        <v>0</v>
      </c>
      <c r="M908">
        <f t="shared" si="166"/>
        <v>1</v>
      </c>
      <c r="N908" t="b">
        <f t="shared" si="167"/>
        <v>1</v>
      </c>
    </row>
    <row r="909" spans="1:14" hidden="1" x14ac:dyDescent="0.25">
      <c r="A909" t="s">
        <v>5</v>
      </c>
      <c r="B909" t="s">
        <v>411</v>
      </c>
      <c r="C909" s="1">
        <v>8.2999999999999999E-7</v>
      </c>
      <c r="D909" s="1">
        <v>6.7999999999999995E-7</v>
      </c>
      <c r="E909" s="1">
        <v>8.2999999999999999E-7</v>
      </c>
      <c r="F909" s="1">
        <v>6.7999999999999995E-7</v>
      </c>
      <c r="G909">
        <f t="shared" si="162"/>
        <v>6</v>
      </c>
      <c r="H909" t="str">
        <f t="shared" si="169"/>
        <v>BTC</v>
      </c>
      <c r="I909" t="str">
        <f>LEFT(B909,3)</f>
        <v>FLX</v>
      </c>
      <c r="J909" t="str">
        <f t="shared" si="163"/>
        <v>BTCFLX</v>
      </c>
      <c r="K909" t="str">
        <f t="shared" si="164"/>
        <v>FLXBTC</v>
      </c>
      <c r="L909">
        <f t="shared" si="165"/>
        <v>0</v>
      </c>
      <c r="M909">
        <f t="shared" si="166"/>
        <v>1</v>
      </c>
      <c r="N909" t="b">
        <f t="shared" si="167"/>
        <v>1</v>
      </c>
    </row>
    <row r="910" spans="1:14" hidden="1" x14ac:dyDescent="0.25">
      <c r="A910" t="s">
        <v>5</v>
      </c>
      <c r="B910" t="s">
        <v>895</v>
      </c>
      <c r="C910" s="1">
        <v>2.6094999999999997E-4</v>
      </c>
      <c r="D910" s="1">
        <v>2.1100000000000001E-4</v>
      </c>
      <c r="E910" s="1">
        <v>2.6094999999999997E-4</v>
      </c>
      <c r="F910" s="1">
        <v>2.1100000000000001E-4</v>
      </c>
      <c r="G910">
        <f t="shared" si="162"/>
        <v>6</v>
      </c>
      <c r="H910" t="str">
        <f t="shared" si="169"/>
        <v>BTC</v>
      </c>
      <c r="I910" t="str">
        <f>LEFT(B910,3)</f>
        <v>FLY</v>
      </c>
      <c r="J910" t="str">
        <f t="shared" si="163"/>
        <v>BTCFLY</v>
      </c>
      <c r="K910" t="str">
        <f t="shared" si="164"/>
        <v>FLYBTC</v>
      </c>
      <c r="L910">
        <f t="shared" si="165"/>
        <v>0</v>
      </c>
      <c r="M910">
        <f t="shared" si="166"/>
        <v>1</v>
      </c>
      <c r="N910" t="b">
        <f t="shared" si="167"/>
        <v>1</v>
      </c>
    </row>
    <row r="911" spans="1:14" hidden="1" x14ac:dyDescent="0.25">
      <c r="A911" t="s">
        <v>1239</v>
      </c>
      <c r="B911" t="s">
        <v>1401</v>
      </c>
      <c r="C911" s="1">
        <v>3.6239999999999999E-5</v>
      </c>
      <c r="D911" s="1">
        <v>3.6149999999999998E-5</v>
      </c>
      <c r="E911" s="1">
        <v>3.6239999999999999E-5</v>
      </c>
      <c r="F911" s="1">
        <v>3.6149999999999998E-5</v>
      </c>
      <c r="G911">
        <f t="shared" si="162"/>
        <v>6</v>
      </c>
      <c r="H911" t="str">
        <f t="shared" si="169"/>
        <v>BTC</v>
      </c>
      <c r="I911" t="str">
        <f>LEFT(B911,3)</f>
        <v>FNC</v>
      </c>
      <c r="J911" t="str">
        <f t="shared" si="163"/>
        <v>BTCFNC</v>
      </c>
      <c r="K911" t="str">
        <f t="shared" si="164"/>
        <v>FNCBTC</v>
      </c>
      <c r="L911">
        <f t="shared" si="165"/>
        <v>0</v>
      </c>
      <c r="M911">
        <f t="shared" si="166"/>
        <v>1</v>
      </c>
      <c r="N911" t="b">
        <f t="shared" si="167"/>
        <v>1</v>
      </c>
    </row>
    <row r="912" spans="1:14" hidden="1" x14ac:dyDescent="0.25">
      <c r="A912" t="s">
        <v>1239</v>
      </c>
      <c r="B912" t="s">
        <v>1402</v>
      </c>
      <c r="C912" s="1">
        <v>8.0000000000000004E-4</v>
      </c>
      <c r="D912" s="1">
        <v>8.0099999999999995E-6</v>
      </c>
      <c r="E912" s="1">
        <v>8.0000000000000004E-4</v>
      </c>
      <c r="F912" s="1">
        <v>8.0099999999999995E-6</v>
      </c>
      <c r="G912">
        <f t="shared" si="162"/>
        <v>6</v>
      </c>
      <c r="H912" t="str">
        <f t="shared" si="169"/>
        <v>ETH</v>
      </c>
      <c r="I912" t="str">
        <f>LEFT(B912,3)</f>
        <v>FNC</v>
      </c>
      <c r="J912" t="str">
        <f t="shared" si="163"/>
        <v>ETHFNC</v>
      </c>
      <c r="K912" t="str">
        <f t="shared" si="164"/>
        <v>FNCETH</v>
      </c>
      <c r="L912">
        <f t="shared" si="165"/>
        <v>0</v>
      </c>
      <c r="M912">
        <f t="shared" si="166"/>
        <v>1</v>
      </c>
      <c r="N912" t="b">
        <f t="shared" si="167"/>
        <v>1</v>
      </c>
    </row>
    <row r="913" spans="1:14" hidden="1" x14ac:dyDescent="0.25">
      <c r="A913" t="s">
        <v>1239</v>
      </c>
      <c r="B913" t="s">
        <v>1400</v>
      </c>
      <c r="C913" s="1">
        <v>0.104</v>
      </c>
      <c r="D913" s="1">
        <v>4.0009999999999997E-2</v>
      </c>
      <c r="E913" s="1">
        <v>0.104</v>
      </c>
      <c r="F913" s="1">
        <v>4.0009999999999997E-2</v>
      </c>
      <c r="G913">
        <f t="shared" si="162"/>
        <v>6</v>
      </c>
      <c r="H913" t="str">
        <f t="shared" si="169"/>
        <v>USD</v>
      </c>
      <c r="I913" t="str">
        <f>LEFT(B913,3)</f>
        <v>FNC</v>
      </c>
      <c r="J913" t="str">
        <f t="shared" si="163"/>
        <v>USDFNC</v>
      </c>
      <c r="K913" t="str">
        <f t="shared" si="164"/>
        <v>FNCUSD</v>
      </c>
      <c r="L913">
        <f t="shared" si="165"/>
        <v>0</v>
      </c>
      <c r="M913">
        <f t="shared" si="166"/>
        <v>1</v>
      </c>
      <c r="N913" t="b">
        <f t="shared" si="167"/>
        <v>1</v>
      </c>
    </row>
    <row r="914" spans="1:14" hidden="1" x14ac:dyDescent="0.25">
      <c r="A914" t="s">
        <v>5</v>
      </c>
      <c r="B914" t="s">
        <v>1154</v>
      </c>
      <c r="C914" s="1" t="s">
        <v>540</v>
      </c>
      <c r="D914" s="1" t="s">
        <v>356</v>
      </c>
      <c r="E914" s="1" t="s">
        <v>540</v>
      </c>
      <c r="F914" s="1" t="s">
        <v>356</v>
      </c>
      <c r="G914">
        <f t="shared" si="162"/>
        <v>7</v>
      </c>
      <c r="H914" t="str">
        <f t="shared" si="169"/>
        <v>BTC</v>
      </c>
      <c r="I914" t="str">
        <f>LEFT(B914,4)</f>
        <v>FONZ</v>
      </c>
      <c r="J914" t="str">
        <f t="shared" si="163"/>
        <v>BTCFONZ</v>
      </c>
      <c r="K914" t="str">
        <f t="shared" si="164"/>
        <v>FONZBTC</v>
      </c>
      <c r="L914">
        <f t="shared" si="165"/>
        <v>0</v>
      </c>
      <c r="M914">
        <f t="shared" si="166"/>
        <v>1</v>
      </c>
      <c r="N914" t="b">
        <f t="shared" si="167"/>
        <v>1</v>
      </c>
    </row>
    <row r="915" spans="1:14" hidden="1" x14ac:dyDescent="0.25">
      <c r="A915" t="s">
        <v>5</v>
      </c>
      <c r="B915" t="s">
        <v>601</v>
      </c>
      <c r="C915" s="1" t="s">
        <v>384</v>
      </c>
      <c r="D915" s="1" t="s">
        <v>362</v>
      </c>
      <c r="E915" s="1" t="s">
        <v>384</v>
      </c>
      <c r="F915" s="1" t="s">
        <v>362</v>
      </c>
      <c r="G915">
        <f t="shared" si="162"/>
        <v>8</v>
      </c>
      <c r="H915" t="str">
        <f t="shared" si="169"/>
        <v>BTC</v>
      </c>
      <c r="I915" t="str">
        <f>LEFT(B915,5)</f>
        <v>FOREX</v>
      </c>
      <c r="J915" t="str">
        <f t="shared" si="163"/>
        <v>BTCFOREX</v>
      </c>
      <c r="K915" t="str">
        <f t="shared" si="164"/>
        <v>FOREXBTC</v>
      </c>
      <c r="L915">
        <f t="shared" si="165"/>
        <v>0</v>
      </c>
      <c r="M915">
        <f t="shared" si="166"/>
        <v>1</v>
      </c>
      <c r="N915" t="b">
        <f t="shared" si="167"/>
        <v>1</v>
      </c>
    </row>
    <row r="916" spans="1:14" hidden="1" x14ac:dyDescent="0.25">
      <c r="A916" t="s">
        <v>1239</v>
      </c>
      <c r="B916" t="s">
        <v>1391</v>
      </c>
      <c r="C916" s="1">
        <v>6.4899994999999997</v>
      </c>
      <c r="D916" s="1">
        <v>5.7300003500000001</v>
      </c>
      <c r="E916" s="1">
        <v>6.4899994999999997</v>
      </c>
      <c r="F916" s="1">
        <v>5.7300003500000001</v>
      </c>
      <c r="G916">
        <f t="shared" si="162"/>
        <v>11</v>
      </c>
      <c r="H916" t="str">
        <f t="shared" si="169"/>
        <v>BTC</v>
      </c>
      <c r="I916" t="str">
        <f>LEFT(B916,8)</f>
        <v>FORTYTWO</v>
      </c>
      <c r="J916" t="str">
        <f t="shared" si="163"/>
        <v>BTCFORTYTWO</v>
      </c>
      <c r="K916" t="str">
        <f t="shared" si="164"/>
        <v>FORTYTWOBTC</v>
      </c>
      <c r="L916">
        <f t="shared" si="165"/>
        <v>0</v>
      </c>
      <c r="M916">
        <f t="shared" si="166"/>
        <v>1</v>
      </c>
      <c r="N916" t="b">
        <f t="shared" si="167"/>
        <v>1</v>
      </c>
    </row>
    <row r="917" spans="1:14" hidden="1" x14ac:dyDescent="0.25">
      <c r="A917" t="s">
        <v>1239</v>
      </c>
      <c r="B917" t="s">
        <v>1392</v>
      </c>
      <c r="C917" s="1">
        <v>55.95</v>
      </c>
      <c r="D917" s="1">
        <v>29.456387660000001</v>
      </c>
      <c r="E917" s="1">
        <v>55.95</v>
      </c>
      <c r="F917" s="1">
        <v>29.456387660000001</v>
      </c>
      <c r="G917">
        <f t="shared" si="162"/>
        <v>11</v>
      </c>
      <c r="H917" t="str">
        <f t="shared" si="169"/>
        <v>ETH</v>
      </c>
      <c r="I917" t="str">
        <f>LEFT(B917,8)</f>
        <v>FORTYTWO</v>
      </c>
      <c r="J917" t="str">
        <f t="shared" si="163"/>
        <v>ETHFORTYTWO</v>
      </c>
      <c r="K917" t="str">
        <f t="shared" si="164"/>
        <v>FORTYTWOETH</v>
      </c>
      <c r="L917">
        <f t="shared" si="165"/>
        <v>0</v>
      </c>
      <c r="M917">
        <f t="shared" si="166"/>
        <v>1</v>
      </c>
      <c r="N917" t="b">
        <f t="shared" si="167"/>
        <v>1</v>
      </c>
    </row>
    <row r="918" spans="1:14" hidden="1" x14ac:dyDescent="0.25">
      <c r="A918" t="s">
        <v>1239</v>
      </c>
      <c r="B918" t="s">
        <v>1390</v>
      </c>
      <c r="C918" s="1">
        <v>19500</v>
      </c>
      <c r="D918" s="1">
        <v>13520</v>
      </c>
      <c r="E918" s="1">
        <v>19500</v>
      </c>
      <c r="F918" s="1">
        <v>13520</v>
      </c>
      <c r="G918">
        <f t="shared" si="162"/>
        <v>11</v>
      </c>
      <c r="H918" t="str">
        <f t="shared" si="169"/>
        <v>USD</v>
      </c>
      <c r="I918" t="str">
        <f>LEFT(B918,8)</f>
        <v>FORTYTWO</v>
      </c>
      <c r="J918" t="str">
        <f t="shared" si="163"/>
        <v>USDFORTYTWO</v>
      </c>
      <c r="K918" t="str">
        <f t="shared" si="164"/>
        <v>FORTYTWOUSD</v>
      </c>
      <c r="L918">
        <f t="shared" si="165"/>
        <v>0</v>
      </c>
      <c r="M918">
        <f t="shared" si="166"/>
        <v>1</v>
      </c>
      <c r="N918" t="b">
        <f t="shared" si="167"/>
        <v>1</v>
      </c>
    </row>
    <row r="919" spans="1:14" hidden="1" x14ac:dyDescent="0.25">
      <c r="A919" t="s">
        <v>5</v>
      </c>
      <c r="B919" t="s">
        <v>600</v>
      </c>
      <c r="C919" s="1">
        <v>5.8499999999999999E-6</v>
      </c>
      <c r="D919" s="1">
        <v>3.8199999999999998E-6</v>
      </c>
      <c r="E919" s="1">
        <v>5.8499999999999999E-6</v>
      </c>
      <c r="F919" s="1">
        <v>3.8199999999999998E-6</v>
      </c>
      <c r="G919">
        <f t="shared" si="162"/>
        <v>7</v>
      </c>
      <c r="H919" t="str">
        <f t="shared" si="169"/>
        <v>BTC</v>
      </c>
      <c r="I919" t="str">
        <f>LEFT(B919,4)</f>
        <v>FRDC</v>
      </c>
      <c r="J919" t="str">
        <f t="shared" si="163"/>
        <v>BTCFRDC</v>
      </c>
      <c r="K919" t="str">
        <f t="shared" si="164"/>
        <v>FRDCBTC</v>
      </c>
      <c r="L919">
        <f t="shared" si="165"/>
        <v>0</v>
      </c>
      <c r="M919">
        <f t="shared" si="166"/>
        <v>1</v>
      </c>
      <c r="N919" t="b">
        <f t="shared" si="167"/>
        <v>1</v>
      </c>
    </row>
    <row r="920" spans="1:14" hidden="1" x14ac:dyDescent="0.25">
      <c r="A920" t="s">
        <v>5</v>
      </c>
      <c r="B920" t="s">
        <v>492</v>
      </c>
      <c r="C920" s="1" t="s">
        <v>356</v>
      </c>
      <c r="D920" s="1" t="s">
        <v>381</v>
      </c>
      <c r="E920" s="1" t="s">
        <v>356</v>
      </c>
      <c r="F920" s="1" t="s">
        <v>381</v>
      </c>
      <c r="G920">
        <f t="shared" si="162"/>
        <v>6</v>
      </c>
      <c r="H920" t="str">
        <f t="shared" si="169"/>
        <v>BTC</v>
      </c>
      <c r="I920" t="str">
        <f>LEFT(B920,3)</f>
        <v>FRE</v>
      </c>
      <c r="J920" t="str">
        <f t="shared" si="163"/>
        <v>BTCFRE</v>
      </c>
      <c r="K920" t="str">
        <f t="shared" si="164"/>
        <v>FREBTC</v>
      </c>
      <c r="L920">
        <f t="shared" si="165"/>
        <v>0</v>
      </c>
      <c r="M920">
        <f t="shared" si="166"/>
        <v>1</v>
      </c>
      <c r="N920" t="b">
        <f t="shared" si="167"/>
        <v>1</v>
      </c>
    </row>
    <row r="921" spans="1:14" hidden="1" x14ac:dyDescent="0.25">
      <c r="A921" t="s">
        <v>5</v>
      </c>
      <c r="B921" t="s">
        <v>718</v>
      </c>
      <c r="C921" s="1" t="s">
        <v>719</v>
      </c>
      <c r="D921" s="1">
        <v>3.0300000000000001E-5</v>
      </c>
      <c r="E921" s="1" t="s">
        <v>719</v>
      </c>
      <c r="F921" s="1">
        <v>3.0300000000000001E-5</v>
      </c>
      <c r="G921">
        <f t="shared" si="162"/>
        <v>6</v>
      </c>
      <c r="H921" t="str">
        <f t="shared" si="169"/>
        <v>BTC</v>
      </c>
      <c r="I921" t="str">
        <f>LEFT(B921,3)</f>
        <v>FRK</v>
      </c>
      <c r="J921" t="str">
        <f t="shared" si="163"/>
        <v>BTCFRK</v>
      </c>
      <c r="K921" t="str">
        <f t="shared" si="164"/>
        <v>FRKBTC</v>
      </c>
      <c r="L921">
        <f t="shared" si="165"/>
        <v>0</v>
      </c>
      <c r="M921">
        <f t="shared" si="166"/>
        <v>1</v>
      </c>
      <c r="N921" t="b">
        <f t="shared" si="167"/>
        <v>1</v>
      </c>
    </row>
    <row r="922" spans="1:14" hidden="1" x14ac:dyDescent="0.25">
      <c r="A922" t="s">
        <v>5</v>
      </c>
      <c r="B922" t="s">
        <v>999</v>
      </c>
      <c r="C922" s="1">
        <v>2.6190000000000002E-5</v>
      </c>
      <c r="D922" s="1">
        <v>1.696E-5</v>
      </c>
      <c r="E922" s="1">
        <v>2.6190000000000002E-5</v>
      </c>
      <c r="F922" s="1">
        <v>1.696E-5</v>
      </c>
      <c r="G922">
        <f t="shared" si="162"/>
        <v>6</v>
      </c>
      <c r="H922" t="str">
        <f t="shared" si="169"/>
        <v>BTC</v>
      </c>
      <c r="I922" t="str">
        <f>LEFT(B922,3)</f>
        <v>FRN</v>
      </c>
      <c r="J922" t="str">
        <f t="shared" si="163"/>
        <v>BTCFRN</v>
      </c>
      <c r="K922" t="str">
        <f t="shared" si="164"/>
        <v>FRNBTC</v>
      </c>
      <c r="L922">
        <f t="shared" si="165"/>
        <v>0</v>
      </c>
      <c r="M922">
        <f t="shared" si="166"/>
        <v>1</v>
      </c>
      <c r="N922" t="b">
        <f t="shared" si="167"/>
        <v>1</v>
      </c>
    </row>
    <row r="923" spans="1:14" hidden="1" x14ac:dyDescent="0.25">
      <c r="A923" t="s">
        <v>5</v>
      </c>
      <c r="B923" t="s">
        <v>1217</v>
      </c>
      <c r="C923" s="1">
        <v>3.3999999999999997E-7</v>
      </c>
      <c r="D923" s="1" t="s">
        <v>374</v>
      </c>
      <c r="E923" s="1">
        <v>3.3999999999999997E-7</v>
      </c>
      <c r="F923" s="1" t="s">
        <v>374</v>
      </c>
      <c r="G923">
        <f t="shared" si="162"/>
        <v>7</v>
      </c>
      <c r="H923" t="str">
        <f t="shared" si="169"/>
        <v>BTC</v>
      </c>
      <c r="I923" t="str">
        <f>LEFT(B923,4)</f>
        <v>FRWC</v>
      </c>
      <c r="J923" t="str">
        <f t="shared" si="163"/>
        <v>BTCFRWC</v>
      </c>
      <c r="K923" t="str">
        <f t="shared" si="164"/>
        <v>FRWCBTC</v>
      </c>
      <c r="L923">
        <f t="shared" si="165"/>
        <v>0</v>
      </c>
      <c r="M923">
        <f t="shared" si="166"/>
        <v>1</v>
      </c>
      <c r="N923" t="b">
        <f t="shared" si="167"/>
        <v>1</v>
      </c>
    </row>
    <row r="924" spans="1:14" hidden="1" x14ac:dyDescent="0.25">
      <c r="A924" t="s">
        <v>5</v>
      </c>
      <c r="B924" t="s">
        <v>750</v>
      </c>
      <c r="C924" s="1">
        <v>9.9000000000000005E-7</v>
      </c>
      <c r="D924" s="1">
        <v>8.0999999999999997E-7</v>
      </c>
      <c r="E924" s="1">
        <v>9.9000000000000005E-7</v>
      </c>
      <c r="F924" s="1">
        <v>8.0999999999999997E-7</v>
      </c>
      <c r="G924">
        <f t="shared" si="162"/>
        <v>6</v>
      </c>
      <c r="H924" t="str">
        <f t="shared" si="169"/>
        <v>BTC</v>
      </c>
      <c r="I924" t="str">
        <f>LEFT(B924,3)</f>
        <v>FSN</v>
      </c>
      <c r="J924" t="str">
        <f t="shared" si="163"/>
        <v>BTCFSN</v>
      </c>
      <c r="K924" t="str">
        <f t="shared" si="164"/>
        <v>FSNBTC</v>
      </c>
      <c r="L924">
        <f t="shared" si="165"/>
        <v>0</v>
      </c>
      <c r="M924">
        <f t="shared" si="166"/>
        <v>1</v>
      </c>
      <c r="N924" t="b">
        <f t="shared" si="167"/>
        <v>1</v>
      </c>
    </row>
    <row r="925" spans="1:14" hidden="1" x14ac:dyDescent="0.25">
      <c r="A925" t="s">
        <v>1239</v>
      </c>
      <c r="B925" t="s">
        <v>1251</v>
      </c>
      <c r="C925" s="1">
        <v>1.81E-6</v>
      </c>
      <c r="D925" s="1">
        <v>1.57E-6</v>
      </c>
      <c r="E925" s="1">
        <v>1.81E-6</v>
      </c>
      <c r="F925" s="1">
        <v>1.57E-6</v>
      </c>
      <c r="G925">
        <f t="shared" si="162"/>
        <v>6</v>
      </c>
      <c r="H925" t="str">
        <f t="shared" si="169"/>
        <v>BTC</v>
      </c>
      <c r="I925" t="str">
        <f>LEFT(B925,3)</f>
        <v>FST</v>
      </c>
      <c r="J925" t="str">
        <f t="shared" si="163"/>
        <v>BTCFST</v>
      </c>
      <c r="K925" t="str">
        <f t="shared" si="164"/>
        <v>FSTBTC</v>
      </c>
      <c r="L925">
        <f t="shared" si="165"/>
        <v>0</v>
      </c>
      <c r="M925">
        <f t="shared" si="166"/>
        <v>1</v>
      </c>
      <c r="N925" t="b">
        <f t="shared" si="167"/>
        <v>1</v>
      </c>
    </row>
    <row r="926" spans="1:14" hidden="1" x14ac:dyDescent="0.25">
      <c r="A926" t="s">
        <v>1239</v>
      </c>
      <c r="B926" t="s">
        <v>1250</v>
      </c>
      <c r="C926" s="1">
        <v>4.8599999999999997E-3</v>
      </c>
      <c r="D926" s="1">
        <v>4.3E-3</v>
      </c>
      <c r="E926" s="1">
        <v>4.8599999999999997E-3</v>
      </c>
      <c r="F926" s="1">
        <v>4.3E-3</v>
      </c>
      <c r="G926">
        <f t="shared" si="162"/>
        <v>6</v>
      </c>
      <c r="H926" t="str">
        <f t="shared" si="169"/>
        <v>USD</v>
      </c>
      <c r="I926" t="str">
        <f>LEFT(B926,3)</f>
        <v>FST</v>
      </c>
      <c r="J926" t="str">
        <f t="shared" si="163"/>
        <v>USDFST</v>
      </c>
      <c r="K926" t="str">
        <f t="shared" si="164"/>
        <v>FSTUSD</v>
      </c>
      <c r="L926">
        <f t="shared" si="165"/>
        <v>0</v>
      </c>
      <c r="M926">
        <f t="shared" si="166"/>
        <v>1</v>
      </c>
      <c r="N926" t="b">
        <f t="shared" si="167"/>
        <v>1</v>
      </c>
    </row>
    <row r="927" spans="1:14" hidden="1" x14ac:dyDescent="0.25">
      <c r="A927" t="s">
        <v>1239</v>
      </c>
      <c r="B927" t="s">
        <v>1355</v>
      </c>
      <c r="C927" s="1">
        <v>7.9889999999999996E-5</v>
      </c>
      <c r="D927" s="1">
        <v>7.3159999999999997E-5</v>
      </c>
      <c r="E927" s="1">
        <v>7.9889999999999996E-5</v>
      </c>
      <c r="F927" s="1">
        <v>7.3159999999999997E-5</v>
      </c>
      <c r="G927">
        <f t="shared" si="162"/>
        <v>7</v>
      </c>
      <c r="H927" t="str">
        <f t="shared" si="169"/>
        <v>BTC</v>
      </c>
      <c r="I927" t="str">
        <f t="shared" ref="I927:I935" si="170">LEFT(B927,4)</f>
        <v>FUNC</v>
      </c>
      <c r="J927" t="str">
        <f t="shared" si="163"/>
        <v>BTCFUNC</v>
      </c>
      <c r="K927" t="str">
        <f t="shared" si="164"/>
        <v>FUNCBTC</v>
      </c>
      <c r="L927">
        <f t="shared" si="165"/>
        <v>0</v>
      </c>
      <c r="M927">
        <f t="shared" si="166"/>
        <v>1</v>
      </c>
      <c r="N927" t="b">
        <f t="shared" si="167"/>
        <v>1</v>
      </c>
    </row>
    <row r="928" spans="1:14" hidden="1" x14ac:dyDescent="0.25">
      <c r="A928" t="s">
        <v>1239</v>
      </c>
      <c r="B928" t="s">
        <v>1356</v>
      </c>
      <c r="C928" s="1">
        <v>1.1930300000000001E-3</v>
      </c>
      <c r="D928" s="1">
        <v>2.2217999999999999E-4</v>
      </c>
      <c r="E928" s="1">
        <v>1.1930300000000001E-3</v>
      </c>
      <c r="F928" s="1">
        <v>2.2217999999999999E-4</v>
      </c>
      <c r="G928">
        <f t="shared" si="162"/>
        <v>7</v>
      </c>
      <c r="H928" t="str">
        <f t="shared" si="169"/>
        <v>ETH</v>
      </c>
      <c r="I928" t="str">
        <f t="shared" si="170"/>
        <v>FUNC</v>
      </c>
      <c r="J928" t="str">
        <f t="shared" si="163"/>
        <v>ETHFUNC</v>
      </c>
      <c r="K928" t="str">
        <f t="shared" si="164"/>
        <v>FUNCETH</v>
      </c>
      <c r="L928">
        <f t="shared" si="165"/>
        <v>0</v>
      </c>
      <c r="M928">
        <f t="shared" si="166"/>
        <v>1</v>
      </c>
      <c r="N928" t="b">
        <f t="shared" si="167"/>
        <v>1</v>
      </c>
    </row>
    <row r="929" spans="1:14" hidden="1" x14ac:dyDescent="0.25">
      <c r="A929" t="s">
        <v>1239</v>
      </c>
      <c r="B929" t="s">
        <v>1354</v>
      </c>
      <c r="C929" s="1">
        <v>0.28998000000000002</v>
      </c>
      <c r="D929" s="1">
        <v>0.11124000000000001</v>
      </c>
      <c r="E929" s="1">
        <v>0.28998000000000002</v>
      </c>
      <c r="F929" s="1">
        <v>0.11124000000000001</v>
      </c>
      <c r="G929">
        <f t="shared" si="162"/>
        <v>7</v>
      </c>
      <c r="H929" t="str">
        <f t="shared" si="169"/>
        <v>USD</v>
      </c>
      <c r="I929" t="str">
        <f t="shared" si="170"/>
        <v>FUNC</v>
      </c>
      <c r="J929" t="str">
        <f t="shared" si="163"/>
        <v>USDFUNC</v>
      </c>
      <c r="K929" t="str">
        <f t="shared" si="164"/>
        <v>FUNCUSD</v>
      </c>
      <c r="L929">
        <f t="shared" si="165"/>
        <v>0</v>
      </c>
      <c r="M929">
        <f t="shared" si="166"/>
        <v>1</v>
      </c>
      <c r="N929" t="b">
        <f t="shared" si="167"/>
        <v>1</v>
      </c>
    </row>
    <row r="930" spans="1:14" hidden="1" x14ac:dyDescent="0.25">
      <c r="A930" t="s">
        <v>5</v>
      </c>
      <c r="B930" t="s">
        <v>1161</v>
      </c>
      <c r="C930" s="1">
        <v>2.9996999999999999E-4</v>
      </c>
      <c r="D930" s="1">
        <v>2.1000000000000001E-4</v>
      </c>
      <c r="E930" s="1">
        <v>2.9996999999999999E-4</v>
      </c>
      <c r="F930" s="1">
        <v>2.1000000000000001E-4</v>
      </c>
      <c r="G930">
        <f t="shared" si="162"/>
        <v>7</v>
      </c>
      <c r="H930" t="str">
        <f t="shared" si="169"/>
        <v>BTC</v>
      </c>
      <c r="I930" t="str">
        <f t="shared" si="170"/>
        <v>FURY</v>
      </c>
      <c r="J930" t="str">
        <f t="shared" si="163"/>
        <v>BTCFURY</v>
      </c>
      <c r="K930" t="str">
        <f t="shared" si="164"/>
        <v>FURYBTC</v>
      </c>
      <c r="L930">
        <f t="shared" si="165"/>
        <v>0</v>
      </c>
      <c r="M930">
        <f t="shared" si="166"/>
        <v>1</v>
      </c>
      <c r="N930" t="b">
        <f t="shared" si="167"/>
        <v>1</v>
      </c>
    </row>
    <row r="931" spans="1:14" hidden="1" x14ac:dyDescent="0.25">
      <c r="A931" t="s">
        <v>1403</v>
      </c>
      <c r="B931" t="s">
        <v>1447</v>
      </c>
      <c r="C931" s="1">
        <v>1.6999999999999999E-7</v>
      </c>
      <c r="D931" s="1">
        <v>2.4999999999999999E-7</v>
      </c>
      <c r="E931" s="1">
        <v>2.4999999999999999E-7</v>
      </c>
      <c r="F931" s="1">
        <v>1.6999999999999999E-7</v>
      </c>
      <c r="G931">
        <f t="shared" si="162"/>
        <v>7</v>
      </c>
      <c r="H931" t="str">
        <f t="shared" si="169"/>
        <v>BTC</v>
      </c>
      <c r="I931" t="str">
        <f t="shared" si="170"/>
        <v>FUTC</v>
      </c>
      <c r="J931" t="str">
        <f t="shared" si="163"/>
        <v>BTCFUTC</v>
      </c>
      <c r="K931" t="str">
        <f t="shared" si="164"/>
        <v>FUTCBTC</v>
      </c>
      <c r="L931">
        <f t="shared" si="165"/>
        <v>0</v>
      </c>
      <c r="M931">
        <f t="shared" si="166"/>
        <v>1</v>
      </c>
      <c r="N931" t="b">
        <f t="shared" si="167"/>
        <v>1</v>
      </c>
    </row>
    <row r="932" spans="1:14" hidden="1" x14ac:dyDescent="0.25">
      <c r="A932" t="s">
        <v>1403</v>
      </c>
      <c r="B932" t="s">
        <v>1968</v>
      </c>
      <c r="C932" s="1">
        <v>3.9999899800000001</v>
      </c>
      <c r="D932" s="1">
        <v>3.9999899800000001</v>
      </c>
      <c r="E932" s="1">
        <v>3.9787799599999998</v>
      </c>
      <c r="F932" s="1">
        <v>0.10000025999999999</v>
      </c>
      <c r="G932">
        <f t="shared" si="162"/>
        <v>8</v>
      </c>
      <c r="H932" t="str">
        <f>RIGHT(B932,4)</f>
        <v>DOGE</v>
      </c>
      <c r="I932" t="str">
        <f t="shared" si="170"/>
        <v>FUTC</v>
      </c>
      <c r="J932" t="str">
        <f t="shared" si="163"/>
        <v>DOGEFUTC</v>
      </c>
      <c r="K932" t="str">
        <f t="shared" si="164"/>
        <v>FUTCDOGE</v>
      </c>
      <c r="L932">
        <f t="shared" si="165"/>
        <v>0</v>
      </c>
      <c r="M932">
        <f t="shared" si="166"/>
        <v>1</v>
      </c>
      <c r="N932" t="b">
        <f t="shared" si="167"/>
        <v>1</v>
      </c>
    </row>
    <row r="933" spans="1:14" hidden="1" x14ac:dyDescent="0.25">
      <c r="A933" t="s">
        <v>1403</v>
      </c>
      <c r="B933" t="s">
        <v>1776</v>
      </c>
      <c r="C933" s="1" t="s">
        <v>311</v>
      </c>
      <c r="D933" s="1" t="s">
        <v>311</v>
      </c>
      <c r="E933" s="1">
        <v>1.18895E-3</v>
      </c>
      <c r="F933" s="1">
        <v>7.2699999999999999E-6</v>
      </c>
      <c r="G933">
        <f t="shared" si="162"/>
        <v>7</v>
      </c>
      <c r="H933" t="str">
        <f>RIGHT(B933,3)</f>
        <v>LTC</v>
      </c>
      <c r="I933" t="str">
        <f t="shared" si="170"/>
        <v>FUTC</v>
      </c>
      <c r="J933" t="str">
        <f t="shared" si="163"/>
        <v>LTCFUTC</v>
      </c>
      <c r="K933" t="str">
        <f t="shared" si="164"/>
        <v>FUTCLTC</v>
      </c>
      <c r="L933">
        <f t="shared" si="165"/>
        <v>0</v>
      </c>
      <c r="M933">
        <f t="shared" si="166"/>
        <v>1</v>
      </c>
      <c r="N933" t="b">
        <f t="shared" si="167"/>
        <v>1</v>
      </c>
    </row>
    <row r="934" spans="1:14" hidden="1" x14ac:dyDescent="0.25">
      <c r="A934" t="s">
        <v>1403</v>
      </c>
      <c r="B934" t="s">
        <v>1592</v>
      </c>
      <c r="C934" s="1">
        <v>1.17E-2</v>
      </c>
      <c r="D934" s="1">
        <v>1.17E-2</v>
      </c>
      <c r="E934" s="1">
        <v>1.1699950000000001E-2</v>
      </c>
      <c r="F934" s="1">
        <v>1.8495999999999999E-4</v>
      </c>
      <c r="G934">
        <f t="shared" si="162"/>
        <v>7</v>
      </c>
      <c r="H934" t="str">
        <f>RIGHT(B934,3)</f>
        <v>USD</v>
      </c>
      <c r="I934" t="str">
        <f t="shared" si="170"/>
        <v>FUTC</v>
      </c>
      <c r="J934" t="str">
        <f t="shared" si="163"/>
        <v>USDFUTC</v>
      </c>
      <c r="K934" t="str">
        <f t="shared" si="164"/>
        <v>FUTCUSD</v>
      </c>
      <c r="L934">
        <f t="shared" si="165"/>
        <v>0</v>
      </c>
      <c r="M934">
        <f t="shared" si="166"/>
        <v>1</v>
      </c>
      <c r="N934" t="b">
        <f t="shared" si="167"/>
        <v>1</v>
      </c>
    </row>
    <row r="935" spans="1:14" hidden="1" x14ac:dyDescent="0.25">
      <c r="A935" t="s">
        <v>5</v>
      </c>
      <c r="B935" t="s">
        <v>1036</v>
      </c>
      <c r="C935" s="1">
        <v>1.0899999999999999E-6</v>
      </c>
      <c r="D935" s="1">
        <v>8.8999999999999995E-7</v>
      </c>
      <c r="E935" s="1">
        <v>1.0899999999999999E-6</v>
      </c>
      <c r="F935" s="1">
        <v>8.8999999999999995E-7</v>
      </c>
      <c r="G935">
        <f t="shared" si="162"/>
        <v>7</v>
      </c>
      <c r="H935" t="str">
        <f>RIGHT(B935,3)</f>
        <v>BTC</v>
      </c>
      <c r="I935" t="str">
        <f t="shared" si="170"/>
        <v>FUZZ</v>
      </c>
      <c r="J935" t="str">
        <f t="shared" si="163"/>
        <v>BTCFUZZ</v>
      </c>
      <c r="K935" t="str">
        <f t="shared" si="164"/>
        <v>FUZZBTC</v>
      </c>
      <c r="L935">
        <f t="shared" si="165"/>
        <v>0</v>
      </c>
      <c r="M935">
        <f t="shared" si="166"/>
        <v>1</v>
      </c>
      <c r="N935" t="b">
        <f t="shared" si="167"/>
        <v>1</v>
      </c>
    </row>
    <row r="936" spans="1:14" hidden="1" x14ac:dyDescent="0.25">
      <c r="A936" t="s">
        <v>5</v>
      </c>
      <c r="B936" t="s">
        <v>859</v>
      </c>
      <c r="C936" s="1" t="s">
        <v>361</v>
      </c>
      <c r="D936" s="1" t="s">
        <v>362</v>
      </c>
      <c r="E936" s="1" t="s">
        <v>361</v>
      </c>
      <c r="F936" s="1" t="s">
        <v>362</v>
      </c>
      <c r="G936">
        <f t="shared" si="162"/>
        <v>5</v>
      </c>
      <c r="H936" t="str">
        <f>RIGHT(B936,3)</f>
        <v>BTC</v>
      </c>
      <c r="I936" t="str">
        <f>LEFT(B936,2)</f>
        <v>FX</v>
      </c>
      <c r="J936" t="str">
        <f t="shared" si="163"/>
        <v>BTCFX</v>
      </c>
      <c r="K936" t="str">
        <f t="shared" si="164"/>
        <v>FXBTC</v>
      </c>
      <c r="L936">
        <f t="shared" si="165"/>
        <v>0</v>
      </c>
      <c r="M936">
        <f t="shared" si="166"/>
        <v>1</v>
      </c>
      <c r="N936" t="b">
        <f t="shared" si="167"/>
        <v>1</v>
      </c>
    </row>
    <row r="937" spans="1:14" hidden="1" x14ac:dyDescent="0.25">
      <c r="A937" t="s">
        <v>1403</v>
      </c>
      <c r="B937" t="s">
        <v>1448</v>
      </c>
      <c r="C937" s="1" t="s">
        <v>368</v>
      </c>
      <c r="D937" s="1">
        <v>4.8999999999999997E-7</v>
      </c>
      <c r="E937" s="1">
        <v>4.8999999999999997E-7</v>
      </c>
      <c r="F937" s="1">
        <v>4.0999999999999999E-7</v>
      </c>
      <c r="G937">
        <f t="shared" si="162"/>
        <v>8</v>
      </c>
      <c r="H937" t="str">
        <f>RIGHT(B937,3)</f>
        <v>BTC</v>
      </c>
      <c r="I937" t="str">
        <f>LEFT(B937,5)</f>
        <v>G1TAO</v>
      </c>
      <c r="J937" t="str">
        <f t="shared" si="163"/>
        <v>BTCG1TAO</v>
      </c>
      <c r="K937" t="str">
        <f t="shared" si="164"/>
        <v>G1TAOBTC</v>
      </c>
      <c r="L937">
        <f t="shared" si="165"/>
        <v>0</v>
      </c>
      <c r="M937">
        <f t="shared" si="166"/>
        <v>1</v>
      </c>
      <c r="N937" t="b">
        <f t="shared" si="167"/>
        <v>1</v>
      </c>
    </row>
    <row r="938" spans="1:14" hidden="1" x14ac:dyDescent="0.25">
      <c r="A938" t="s">
        <v>1403</v>
      </c>
      <c r="B938" t="s">
        <v>1969</v>
      </c>
      <c r="C938" s="1">
        <v>9.98</v>
      </c>
      <c r="D938" s="1">
        <v>9.98</v>
      </c>
      <c r="E938" s="1">
        <v>9.99999985</v>
      </c>
      <c r="F938" s="1">
        <v>0.17856412999999999</v>
      </c>
      <c r="G938">
        <f t="shared" si="162"/>
        <v>9</v>
      </c>
      <c r="H938" t="str">
        <f>RIGHT(B938,4)</f>
        <v>DOGE</v>
      </c>
      <c r="I938" t="str">
        <f>LEFT(B938,5)</f>
        <v>G1TAO</v>
      </c>
      <c r="J938" t="str">
        <f t="shared" si="163"/>
        <v>DOGEG1TAO</v>
      </c>
      <c r="K938" t="str">
        <f t="shared" si="164"/>
        <v>G1TAODOGE</v>
      </c>
      <c r="L938">
        <f t="shared" si="165"/>
        <v>0</v>
      </c>
      <c r="M938">
        <f t="shared" si="166"/>
        <v>1</v>
      </c>
      <c r="N938" t="b">
        <f t="shared" si="167"/>
        <v>1</v>
      </c>
    </row>
    <row r="939" spans="1:14" hidden="1" x14ac:dyDescent="0.25">
      <c r="A939" t="s">
        <v>1403</v>
      </c>
      <c r="B939" t="s">
        <v>1777</v>
      </c>
      <c r="C939" s="1">
        <v>0</v>
      </c>
      <c r="D939" s="1">
        <v>0</v>
      </c>
      <c r="E939" s="1">
        <v>3.8999400000000002E-3</v>
      </c>
      <c r="F939" s="1">
        <v>3.3000000000000002E-7</v>
      </c>
      <c r="G939">
        <f t="shared" si="162"/>
        <v>8</v>
      </c>
      <c r="H939" t="str">
        <f>RIGHT(B939,3)</f>
        <v>LTC</v>
      </c>
      <c r="I939" t="str">
        <f>LEFT(B939,5)</f>
        <v>G1TAO</v>
      </c>
      <c r="J939" t="str">
        <f t="shared" si="163"/>
        <v>LTCG1TAO</v>
      </c>
      <c r="K939" t="str">
        <f t="shared" si="164"/>
        <v>G1TAOLTC</v>
      </c>
      <c r="L939">
        <f t="shared" si="165"/>
        <v>0</v>
      </c>
      <c r="M939">
        <f t="shared" si="166"/>
        <v>1</v>
      </c>
      <c r="N939" t="b">
        <f t="shared" si="167"/>
        <v>1</v>
      </c>
    </row>
    <row r="940" spans="1:14" hidden="1" x14ac:dyDescent="0.25">
      <c r="A940" t="s">
        <v>1403</v>
      </c>
      <c r="B940" t="s">
        <v>1593</v>
      </c>
      <c r="C940" s="1">
        <v>0.12999999000000001</v>
      </c>
      <c r="D940" s="1">
        <v>0.12999999000000001</v>
      </c>
      <c r="E940" s="1">
        <v>1.277994E-2</v>
      </c>
      <c r="F940" s="1">
        <v>2.001E-5</v>
      </c>
      <c r="G940">
        <f t="shared" si="162"/>
        <v>8</v>
      </c>
      <c r="H940" t="str">
        <f>RIGHT(B940,3)</f>
        <v>USD</v>
      </c>
      <c r="I940" t="str">
        <f>LEFT(B940,5)</f>
        <v>G1TAO</v>
      </c>
      <c r="J940" t="str">
        <f t="shared" si="163"/>
        <v>USDG1TAO</v>
      </c>
      <c r="K940" t="str">
        <f t="shared" si="164"/>
        <v>G1TAOUSD</v>
      </c>
      <c r="L940">
        <f t="shared" si="165"/>
        <v>0</v>
      </c>
      <c r="M940">
        <f t="shared" si="166"/>
        <v>1</v>
      </c>
      <c r="N940" t="b">
        <f t="shared" si="167"/>
        <v>1</v>
      </c>
    </row>
    <row r="941" spans="1:14" hidden="1" x14ac:dyDescent="0.25">
      <c r="A941" t="s">
        <v>1403</v>
      </c>
      <c r="B941" t="s">
        <v>1435</v>
      </c>
      <c r="C941" s="1">
        <v>1.6999999999999999E-7</v>
      </c>
      <c r="D941" s="1">
        <v>2.8000000000000002E-7</v>
      </c>
      <c r="E941" s="1" t="s">
        <v>368</v>
      </c>
      <c r="F941" s="1">
        <v>1.6999999999999999E-7</v>
      </c>
      <c r="G941">
        <f t="shared" si="162"/>
        <v>7</v>
      </c>
      <c r="H941" t="str">
        <f>RIGHT(B941,3)</f>
        <v>BTC</v>
      </c>
      <c r="I941" t="str">
        <f>LEFT(B941,4)</f>
        <v>GABC</v>
      </c>
      <c r="J941" t="str">
        <f t="shared" si="163"/>
        <v>BTCGABC</v>
      </c>
      <c r="K941" t="str">
        <f t="shared" si="164"/>
        <v>GABCBTC</v>
      </c>
      <c r="L941">
        <f t="shared" si="165"/>
        <v>0</v>
      </c>
      <c r="M941">
        <f t="shared" si="166"/>
        <v>1</v>
      </c>
      <c r="N941" t="b">
        <f t="shared" si="167"/>
        <v>1</v>
      </c>
    </row>
    <row r="942" spans="1:14" hidden="1" x14ac:dyDescent="0.25">
      <c r="A942" t="s">
        <v>1403</v>
      </c>
      <c r="B942" t="s">
        <v>1949</v>
      </c>
      <c r="C942" s="1">
        <v>0.120944</v>
      </c>
      <c r="D942" s="1">
        <v>0.120944</v>
      </c>
      <c r="E942" s="1">
        <v>6.8</v>
      </c>
      <c r="F942" s="1">
        <v>1.4892E-4</v>
      </c>
      <c r="G942">
        <f t="shared" si="162"/>
        <v>8</v>
      </c>
      <c r="H942" t="str">
        <f>RIGHT(B942,4)</f>
        <v>DOGE</v>
      </c>
      <c r="I942" t="str">
        <f>LEFT(B942,4)</f>
        <v>GABC</v>
      </c>
      <c r="J942" t="str">
        <f t="shared" si="163"/>
        <v>DOGEGABC</v>
      </c>
      <c r="K942" t="str">
        <f t="shared" si="164"/>
        <v>GABCDOGE</v>
      </c>
      <c r="L942">
        <f t="shared" si="165"/>
        <v>0</v>
      </c>
      <c r="M942">
        <f t="shared" si="166"/>
        <v>1</v>
      </c>
      <c r="N942" t="b">
        <f t="shared" si="167"/>
        <v>1</v>
      </c>
    </row>
    <row r="943" spans="1:14" hidden="1" x14ac:dyDescent="0.25">
      <c r="A943" t="s">
        <v>1403</v>
      </c>
      <c r="B943" t="s">
        <v>1758</v>
      </c>
      <c r="C943" s="1" t="s">
        <v>1003</v>
      </c>
      <c r="D943" s="1" t="s">
        <v>1003</v>
      </c>
      <c r="E943" s="1">
        <v>5.4999939999999997E-2</v>
      </c>
      <c r="F943" s="1" t="s">
        <v>435</v>
      </c>
      <c r="G943">
        <f t="shared" si="162"/>
        <v>7</v>
      </c>
      <c r="H943" t="str">
        <f>RIGHT(B943,3)</f>
        <v>LTC</v>
      </c>
      <c r="I943" t="str">
        <f>LEFT(B943,4)</f>
        <v>GABC</v>
      </c>
      <c r="J943" t="str">
        <f t="shared" si="163"/>
        <v>LTCGABC</v>
      </c>
      <c r="K943" t="str">
        <f t="shared" si="164"/>
        <v>GABCLTC</v>
      </c>
      <c r="L943">
        <f t="shared" si="165"/>
        <v>0</v>
      </c>
      <c r="M943">
        <f t="shared" si="166"/>
        <v>1</v>
      </c>
      <c r="N943" t="b">
        <f t="shared" si="167"/>
        <v>1</v>
      </c>
    </row>
    <row r="944" spans="1:14" hidden="1" x14ac:dyDescent="0.25">
      <c r="A944" t="s">
        <v>1403</v>
      </c>
      <c r="B944" t="s">
        <v>1576</v>
      </c>
      <c r="C944" s="1">
        <v>2.222E-2</v>
      </c>
      <c r="D944" s="1">
        <v>2.222E-2</v>
      </c>
      <c r="E944" s="1">
        <v>2.221998E-2</v>
      </c>
      <c r="F944" s="1">
        <v>1.02E-6</v>
      </c>
      <c r="G944">
        <f t="shared" si="162"/>
        <v>7</v>
      </c>
      <c r="H944" t="str">
        <f>RIGHT(B944,3)</f>
        <v>USD</v>
      </c>
      <c r="I944" t="str">
        <f>LEFT(B944,4)</f>
        <v>GABC</v>
      </c>
      <c r="J944" t="str">
        <f t="shared" si="163"/>
        <v>USDGABC</v>
      </c>
      <c r="K944" t="str">
        <f t="shared" si="164"/>
        <v>GABCUSD</v>
      </c>
      <c r="L944">
        <f t="shared" si="165"/>
        <v>0</v>
      </c>
      <c r="M944">
        <f t="shared" si="166"/>
        <v>1</v>
      </c>
      <c r="N944" t="b">
        <f t="shared" si="167"/>
        <v>1</v>
      </c>
    </row>
    <row r="945" spans="1:14" hidden="1" x14ac:dyDescent="0.25">
      <c r="A945" t="s">
        <v>1403</v>
      </c>
      <c r="B945" t="s">
        <v>1437</v>
      </c>
      <c r="C945" s="1" t="s">
        <v>362</v>
      </c>
      <c r="D945" s="1" t="s">
        <v>361</v>
      </c>
      <c r="E945" s="1" t="s">
        <v>361</v>
      </c>
      <c r="F945" s="1" t="s">
        <v>362</v>
      </c>
      <c r="G945">
        <f t="shared" si="162"/>
        <v>6</v>
      </c>
      <c r="H945" t="str">
        <f>RIGHT(B945,3)</f>
        <v>BTC</v>
      </c>
      <c r="I945" t="str">
        <f>LEFT(B945,3)</f>
        <v>GAC</v>
      </c>
      <c r="J945" t="str">
        <f t="shared" si="163"/>
        <v>BTCGAC</v>
      </c>
      <c r="K945" t="str">
        <f t="shared" si="164"/>
        <v>GACBTC</v>
      </c>
      <c r="L945">
        <f t="shared" si="165"/>
        <v>0</v>
      </c>
      <c r="M945">
        <f t="shared" si="166"/>
        <v>1</v>
      </c>
      <c r="N945" t="b">
        <f t="shared" si="167"/>
        <v>1</v>
      </c>
    </row>
    <row r="946" spans="1:14" hidden="1" x14ac:dyDescent="0.25">
      <c r="A946" t="s">
        <v>1403</v>
      </c>
      <c r="B946" t="s">
        <v>1436</v>
      </c>
      <c r="C946" s="1">
        <v>1.4999999999999999E-7</v>
      </c>
      <c r="D946" s="1" t="s">
        <v>421</v>
      </c>
      <c r="E946" s="1">
        <v>3.9000000000000002E-7</v>
      </c>
      <c r="F946" s="1">
        <v>1.4999999999999999E-7</v>
      </c>
      <c r="G946">
        <f t="shared" si="162"/>
        <v>7</v>
      </c>
      <c r="H946" t="str">
        <f>RIGHT(B946,3)</f>
        <v>BTC</v>
      </c>
      <c r="I946" t="str">
        <f>LEFT(B946,4)</f>
        <v>GACC</v>
      </c>
      <c r="J946" t="str">
        <f t="shared" si="163"/>
        <v>BTCGACC</v>
      </c>
      <c r="K946" t="str">
        <f t="shared" si="164"/>
        <v>GACCBTC</v>
      </c>
      <c r="L946">
        <f t="shared" si="165"/>
        <v>0</v>
      </c>
      <c r="M946">
        <f t="shared" si="166"/>
        <v>1</v>
      </c>
      <c r="N946" t="b">
        <f t="shared" si="167"/>
        <v>1</v>
      </c>
    </row>
    <row r="947" spans="1:14" hidden="1" x14ac:dyDescent="0.25">
      <c r="A947" t="s">
        <v>1403</v>
      </c>
      <c r="B947" t="s">
        <v>1950</v>
      </c>
      <c r="C947" s="1">
        <v>1.78</v>
      </c>
      <c r="D947" s="1">
        <v>1.78</v>
      </c>
      <c r="E947" s="1">
        <v>1.79</v>
      </c>
      <c r="F947" s="1">
        <v>2.5100020000000001E-2</v>
      </c>
      <c r="G947">
        <f t="shared" si="162"/>
        <v>8</v>
      </c>
      <c r="H947" t="str">
        <f>RIGHT(B947,4)</f>
        <v>DOGE</v>
      </c>
      <c r="I947" t="str">
        <f>LEFT(B947,4)</f>
        <v>GACC</v>
      </c>
      <c r="J947" t="str">
        <f t="shared" si="163"/>
        <v>DOGEGACC</v>
      </c>
      <c r="K947" t="str">
        <f t="shared" si="164"/>
        <v>GACCDOGE</v>
      </c>
      <c r="L947">
        <f t="shared" si="165"/>
        <v>0</v>
      </c>
      <c r="M947">
        <f t="shared" si="166"/>
        <v>1</v>
      </c>
      <c r="N947" t="b">
        <f t="shared" si="167"/>
        <v>1</v>
      </c>
    </row>
    <row r="948" spans="1:14" hidden="1" x14ac:dyDescent="0.25">
      <c r="A948" t="s">
        <v>1403</v>
      </c>
      <c r="B948" t="s">
        <v>1759</v>
      </c>
      <c r="C948" s="1">
        <v>9.7900000000000005E-4</v>
      </c>
      <c r="D948" s="1">
        <v>9.7900000000000005E-4</v>
      </c>
      <c r="E948" s="1">
        <v>9.7900000000000005E-4</v>
      </c>
      <c r="F948" s="1" t="s">
        <v>384</v>
      </c>
      <c r="G948">
        <f t="shared" si="162"/>
        <v>7</v>
      </c>
      <c r="H948" t="str">
        <f>RIGHT(B948,3)</f>
        <v>LTC</v>
      </c>
      <c r="I948" t="str">
        <f>LEFT(B948,4)</f>
        <v>GACC</v>
      </c>
      <c r="J948" t="str">
        <f t="shared" si="163"/>
        <v>LTCGACC</v>
      </c>
      <c r="K948" t="str">
        <f t="shared" si="164"/>
        <v>GACCLTC</v>
      </c>
      <c r="L948">
        <f t="shared" si="165"/>
        <v>0</v>
      </c>
      <c r="M948">
        <f t="shared" si="166"/>
        <v>1</v>
      </c>
      <c r="N948" t="b">
        <f t="shared" si="167"/>
        <v>1</v>
      </c>
    </row>
    <row r="949" spans="1:14" hidden="1" x14ac:dyDescent="0.25">
      <c r="A949" t="s">
        <v>1403</v>
      </c>
      <c r="B949" t="s">
        <v>1577</v>
      </c>
      <c r="C949" s="1">
        <v>0</v>
      </c>
      <c r="D949" s="1">
        <v>0</v>
      </c>
      <c r="E949" s="1">
        <v>1.29E-2</v>
      </c>
      <c r="F949" s="1">
        <v>1.0100000000000001E-6</v>
      </c>
      <c r="G949">
        <f t="shared" si="162"/>
        <v>7</v>
      </c>
      <c r="H949" t="str">
        <f>RIGHT(B949,3)</f>
        <v>USD</v>
      </c>
      <c r="I949" t="str">
        <f>LEFT(B949,4)</f>
        <v>GACC</v>
      </c>
      <c r="J949" t="str">
        <f t="shared" si="163"/>
        <v>USDGACC</v>
      </c>
      <c r="K949" t="str">
        <f t="shared" si="164"/>
        <v>GACCUSD</v>
      </c>
      <c r="L949">
        <f t="shared" si="165"/>
        <v>0</v>
      </c>
      <c r="M949">
        <f t="shared" si="166"/>
        <v>1</v>
      </c>
      <c r="N949" t="b">
        <f t="shared" si="167"/>
        <v>1</v>
      </c>
    </row>
    <row r="950" spans="1:14" hidden="1" x14ac:dyDescent="0.25">
      <c r="A950" t="s">
        <v>1403</v>
      </c>
      <c r="B950" t="s">
        <v>1951</v>
      </c>
      <c r="C950" s="1">
        <v>0.79999989999999999</v>
      </c>
      <c r="D950" s="1">
        <v>0.79999989999999999</v>
      </c>
      <c r="E950" s="1">
        <v>0.6</v>
      </c>
      <c r="F950" s="1">
        <v>4.9999900000000002E-3</v>
      </c>
      <c r="G950">
        <f t="shared" si="162"/>
        <v>7</v>
      </c>
      <c r="H950" t="str">
        <f>RIGHT(B950,4)</f>
        <v>DOGE</v>
      </c>
      <c r="I950" t="str">
        <f>LEFT(B950,3)</f>
        <v>GAC</v>
      </c>
      <c r="J950" t="str">
        <f t="shared" si="163"/>
        <v>DOGEGAC</v>
      </c>
      <c r="K950" t="str">
        <f t="shared" si="164"/>
        <v>GACDOGE</v>
      </c>
      <c r="L950">
        <f t="shared" si="165"/>
        <v>0</v>
      </c>
      <c r="M950">
        <f t="shared" si="166"/>
        <v>1</v>
      </c>
      <c r="N950" t="b">
        <f t="shared" si="167"/>
        <v>1</v>
      </c>
    </row>
    <row r="951" spans="1:14" hidden="1" x14ac:dyDescent="0.25">
      <c r="A951" t="s">
        <v>1403</v>
      </c>
      <c r="B951" t="s">
        <v>1760</v>
      </c>
      <c r="C951" s="1">
        <v>1.99E-3</v>
      </c>
      <c r="D951" s="1">
        <v>1.99E-3</v>
      </c>
      <c r="E951" s="1">
        <v>3.7939359999999999E-4</v>
      </c>
      <c r="F951" s="1">
        <v>1.1000000000000001E-7</v>
      </c>
      <c r="G951">
        <f t="shared" si="162"/>
        <v>6</v>
      </c>
      <c r="H951" t="str">
        <f>RIGHT(B951,3)</f>
        <v>LTC</v>
      </c>
      <c r="I951" t="str">
        <f>LEFT(B951,3)</f>
        <v>GAC</v>
      </c>
      <c r="J951" t="str">
        <f t="shared" si="163"/>
        <v>LTCGAC</v>
      </c>
      <c r="K951" t="str">
        <f t="shared" si="164"/>
        <v>GACLTC</v>
      </c>
      <c r="L951">
        <f t="shared" si="165"/>
        <v>0</v>
      </c>
      <c r="M951">
        <f t="shared" si="166"/>
        <v>1</v>
      </c>
      <c r="N951" t="b">
        <f t="shared" si="167"/>
        <v>1</v>
      </c>
    </row>
    <row r="952" spans="1:14" hidden="1" x14ac:dyDescent="0.25">
      <c r="A952" t="s">
        <v>1403</v>
      </c>
      <c r="B952" t="s">
        <v>1578</v>
      </c>
      <c r="C952" s="1">
        <v>2.0100000000000001E-5</v>
      </c>
      <c r="D952" s="1">
        <v>2.0100000000000001E-5</v>
      </c>
      <c r="E952" s="1">
        <v>2.2100000000000001E-4</v>
      </c>
      <c r="F952" s="1">
        <v>2.0109999999999999E-5</v>
      </c>
      <c r="G952">
        <f t="shared" si="162"/>
        <v>6</v>
      </c>
      <c r="H952" t="str">
        <f>RIGHT(B952,3)</f>
        <v>USD</v>
      </c>
      <c r="I952" t="str">
        <f>LEFT(B952,3)</f>
        <v>GAC</v>
      </c>
      <c r="J952" t="str">
        <f t="shared" si="163"/>
        <v>USDGAC</v>
      </c>
      <c r="K952" t="str">
        <f t="shared" si="164"/>
        <v>GACUSD</v>
      </c>
      <c r="L952">
        <f t="shared" si="165"/>
        <v>0</v>
      </c>
      <c r="M952">
        <f t="shared" si="166"/>
        <v>1</v>
      </c>
      <c r="N952" t="b">
        <f t="shared" si="167"/>
        <v>1</v>
      </c>
    </row>
    <row r="953" spans="1:14" hidden="1" x14ac:dyDescent="0.25">
      <c r="A953" t="s">
        <v>5</v>
      </c>
      <c r="B953" t="s">
        <v>1080</v>
      </c>
      <c r="C953" s="1">
        <v>1.9000000000000001E-7</v>
      </c>
      <c r="D953" s="1">
        <v>1.6E-7</v>
      </c>
      <c r="E953" s="1">
        <v>1.9000000000000001E-7</v>
      </c>
      <c r="F953" s="1">
        <v>1.6E-7</v>
      </c>
      <c r="G953">
        <f t="shared" si="162"/>
        <v>7</v>
      </c>
      <c r="H953" t="str">
        <f>RIGHT(B953,3)</f>
        <v>BTC</v>
      </c>
      <c r="I953" t="str">
        <f t="shared" ref="I953:I958" si="171">LEFT(B953,4)</f>
        <v>GAIN</v>
      </c>
      <c r="J953" t="str">
        <f t="shared" si="163"/>
        <v>BTCGAIN</v>
      </c>
      <c r="K953" t="str">
        <f t="shared" si="164"/>
        <v>GAINBTC</v>
      </c>
      <c r="L953">
        <f t="shared" si="165"/>
        <v>0</v>
      </c>
      <c r="M953">
        <f t="shared" si="166"/>
        <v>1</v>
      </c>
      <c r="N953" t="b">
        <f t="shared" si="167"/>
        <v>1</v>
      </c>
    </row>
    <row r="954" spans="1:14" hidden="1" x14ac:dyDescent="0.25">
      <c r="A954" t="s">
        <v>5</v>
      </c>
      <c r="B954" t="s">
        <v>408</v>
      </c>
      <c r="C954" s="1">
        <v>7.7000000000000004E-7</v>
      </c>
      <c r="D954" s="1" t="s">
        <v>409</v>
      </c>
      <c r="E954" s="1">
        <v>7.7000000000000004E-7</v>
      </c>
      <c r="F954" s="1" t="s">
        <v>409</v>
      </c>
      <c r="G954">
        <f t="shared" si="162"/>
        <v>7</v>
      </c>
      <c r="H954" t="str">
        <f>RIGHT(B954,3)</f>
        <v>BTC</v>
      </c>
      <c r="I954" t="str">
        <f t="shared" si="171"/>
        <v>GAKH</v>
      </c>
      <c r="J954" t="str">
        <f t="shared" si="163"/>
        <v>BTCGAKH</v>
      </c>
      <c r="K954" t="str">
        <f t="shared" si="164"/>
        <v>GAKHBTC</v>
      </c>
      <c r="L954">
        <f t="shared" si="165"/>
        <v>0</v>
      </c>
      <c r="M954">
        <f t="shared" si="166"/>
        <v>1</v>
      </c>
      <c r="N954" t="b">
        <f t="shared" si="167"/>
        <v>1</v>
      </c>
    </row>
    <row r="955" spans="1:14" hidden="1" x14ac:dyDescent="0.25">
      <c r="A955" t="s">
        <v>1403</v>
      </c>
      <c r="B955" t="s">
        <v>1449</v>
      </c>
      <c r="C955" s="1">
        <v>1.7770000000000001E-5</v>
      </c>
      <c r="D955" s="1" t="s">
        <v>84</v>
      </c>
      <c r="E955" s="1">
        <v>4.9990000000000001E-5</v>
      </c>
      <c r="F955" s="1">
        <v>3.2209999999999998E-5</v>
      </c>
      <c r="G955">
        <f t="shared" si="162"/>
        <v>7</v>
      </c>
      <c r="H955" t="str">
        <f>RIGHT(B955,3)</f>
        <v>BTC</v>
      </c>
      <c r="I955" t="str">
        <f t="shared" si="171"/>
        <v>GARY</v>
      </c>
      <c r="J955" t="str">
        <f t="shared" si="163"/>
        <v>BTCGARY</v>
      </c>
      <c r="K955" t="str">
        <f t="shared" si="164"/>
        <v>GARYBTC</v>
      </c>
      <c r="L955">
        <f t="shared" si="165"/>
        <v>0</v>
      </c>
      <c r="M955">
        <f t="shared" si="166"/>
        <v>1</v>
      </c>
      <c r="N955" t="b">
        <f t="shared" si="167"/>
        <v>1</v>
      </c>
    </row>
    <row r="956" spans="1:14" hidden="1" x14ac:dyDescent="0.25">
      <c r="A956" t="s">
        <v>1403</v>
      </c>
      <c r="B956" t="s">
        <v>1970</v>
      </c>
      <c r="C956" s="1">
        <v>598</v>
      </c>
      <c r="D956" s="1">
        <v>598</v>
      </c>
      <c r="E956" s="1">
        <v>5004</v>
      </c>
      <c r="F956" s="1">
        <v>2.000008E-2</v>
      </c>
      <c r="G956">
        <f t="shared" si="162"/>
        <v>8</v>
      </c>
      <c r="H956" t="str">
        <f>RIGHT(B956,4)</f>
        <v>DOGE</v>
      </c>
      <c r="I956" t="str">
        <f t="shared" si="171"/>
        <v>GARY</v>
      </c>
      <c r="J956" t="str">
        <f t="shared" si="163"/>
        <v>DOGEGARY</v>
      </c>
      <c r="K956" t="str">
        <f t="shared" si="164"/>
        <v>GARYDOGE</v>
      </c>
      <c r="L956">
        <f t="shared" si="165"/>
        <v>0</v>
      </c>
      <c r="M956">
        <f t="shared" si="166"/>
        <v>1</v>
      </c>
      <c r="N956" t="b">
        <f t="shared" si="167"/>
        <v>1</v>
      </c>
    </row>
    <row r="957" spans="1:14" hidden="1" x14ac:dyDescent="0.25">
      <c r="A957" t="s">
        <v>1403</v>
      </c>
      <c r="B957" t="s">
        <v>1778</v>
      </c>
      <c r="C957" s="1">
        <v>0</v>
      </c>
      <c r="D957" s="1">
        <v>0</v>
      </c>
      <c r="E957" s="1">
        <v>1</v>
      </c>
      <c r="F957" s="1">
        <v>1.1000000000000001E-7</v>
      </c>
      <c r="G957">
        <f t="shared" si="162"/>
        <v>7</v>
      </c>
      <c r="H957" t="str">
        <f>RIGHT(B957,3)</f>
        <v>LTC</v>
      </c>
      <c r="I957" t="str">
        <f t="shared" si="171"/>
        <v>GARY</v>
      </c>
      <c r="J957" t="str">
        <f t="shared" si="163"/>
        <v>LTCGARY</v>
      </c>
      <c r="K957" t="str">
        <f t="shared" si="164"/>
        <v>GARYLTC</v>
      </c>
      <c r="L957">
        <f t="shared" si="165"/>
        <v>0</v>
      </c>
      <c r="M957">
        <f t="shared" si="166"/>
        <v>1</v>
      </c>
      <c r="N957" t="b">
        <f t="shared" si="167"/>
        <v>1</v>
      </c>
    </row>
    <row r="958" spans="1:14" hidden="1" x14ac:dyDescent="0.25">
      <c r="A958" t="s">
        <v>1403</v>
      </c>
      <c r="B958" t="s">
        <v>1594</v>
      </c>
      <c r="C958" s="1">
        <v>5.0502020000000002E-2</v>
      </c>
      <c r="D958" s="1">
        <v>5.0502020000000002E-2</v>
      </c>
      <c r="E958" s="1">
        <v>0.51050202</v>
      </c>
      <c r="F958" s="1">
        <v>1.0502040000000001E-2</v>
      </c>
      <c r="G958">
        <f t="shared" si="162"/>
        <v>7</v>
      </c>
      <c r="H958" t="str">
        <f>RIGHT(B958,3)</f>
        <v>USD</v>
      </c>
      <c r="I958" t="str">
        <f t="shared" si="171"/>
        <v>GARY</v>
      </c>
      <c r="J958" t="str">
        <f t="shared" si="163"/>
        <v>USDGARY</v>
      </c>
      <c r="K958" t="str">
        <f t="shared" si="164"/>
        <v>GARYUSD</v>
      </c>
      <c r="L958">
        <f t="shared" si="165"/>
        <v>0</v>
      </c>
      <c r="M958">
        <f t="shared" si="166"/>
        <v>1</v>
      </c>
      <c r="N958" t="b">
        <f t="shared" si="167"/>
        <v>1</v>
      </c>
    </row>
    <row r="959" spans="1:14" hidden="1" x14ac:dyDescent="0.25">
      <c r="A959" t="s">
        <v>1403</v>
      </c>
      <c r="B959" t="s">
        <v>1450</v>
      </c>
      <c r="C959" s="1">
        <v>2.74E-6</v>
      </c>
      <c r="D959" s="1">
        <v>3.4800000000000001E-6</v>
      </c>
      <c r="E959" s="1">
        <v>3.4599999999999999E-6</v>
      </c>
      <c r="F959" s="1">
        <v>2.74E-6</v>
      </c>
      <c r="G959">
        <f t="shared" si="162"/>
        <v>6</v>
      </c>
      <c r="H959" t="str">
        <f>RIGHT(B959,3)</f>
        <v>BTC</v>
      </c>
      <c r="I959" t="str">
        <f>LEFT(B959,3)</f>
        <v>GBC</v>
      </c>
      <c r="J959" t="str">
        <f t="shared" si="163"/>
        <v>BTCGBC</v>
      </c>
      <c r="K959" t="str">
        <f t="shared" si="164"/>
        <v>GBCBTC</v>
      </c>
      <c r="L959">
        <f t="shared" si="165"/>
        <v>0</v>
      </c>
      <c r="M959">
        <f t="shared" si="166"/>
        <v>1</v>
      </c>
      <c r="N959" t="b">
        <f t="shared" si="167"/>
        <v>1</v>
      </c>
    </row>
    <row r="960" spans="1:14" hidden="1" x14ac:dyDescent="0.25">
      <c r="A960" t="s">
        <v>1403</v>
      </c>
      <c r="B960" t="s">
        <v>1972</v>
      </c>
      <c r="C960" s="1">
        <v>50</v>
      </c>
      <c r="D960" s="1">
        <v>50</v>
      </c>
      <c r="E960" s="1">
        <v>119</v>
      </c>
      <c r="F960" s="1">
        <v>0.50000022</v>
      </c>
      <c r="G960">
        <f t="shared" si="162"/>
        <v>7</v>
      </c>
      <c r="H960" t="str">
        <f>RIGHT(B960,4)</f>
        <v>DOGE</v>
      </c>
      <c r="I960" t="str">
        <f>LEFT(B960,3)</f>
        <v>GBC</v>
      </c>
      <c r="J960" t="str">
        <f t="shared" si="163"/>
        <v>DOGEGBC</v>
      </c>
      <c r="K960" t="str">
        <f t="shared" si="164"/>
        <v>GBCDOGE</v>
      </c>
      <c r="L960">
        <f t="shared" si="165"/>
        <v>0</v>
      </c>
      <c r="M960">
        <f t="shared" si="166"/>
        <v>1</v>
      </c>
      <c r="N960" t="b">
        <f t="shared" si="167"/>
        <v>1</v>
      </c>
    </row>
    <row r="961" spans="1:14" hidden="1" x14ac:dyDescent="0.25">
      <c r="A961" t="s">
        <v>1403</v>
      </c>
      <c r="B961" t="s">
        <v>1780</v>
      </c>
      <c r="C961" s="1">
        <v>2.5000000000000001E-3</v>
      </c>
      <c r="D961" s="1">
        <v>2.5000000000000001E-3</v>
      </c>
      <c r="E961" s="1">
        <v>9.9999900000000003E-3</v>
      </c>
      <c r="F961" s="1">
        <v>9.5000000000000001E-7</v>
      </c>
      <c r="G961">
        <f t="shared" ref="G961:G1024" si="172">LEN(B961)</f>
        <v>6</v>
      </c>
      <c r="H961" t="str">
        <f>RIGHT(B961,3)</f>
        <v>LTC</v>
      </c>
      <c r="I961" t="str">
        <f>LEFT(B961,3)</f>
        <v>GBC</v>
      </c>
      <c r="J961" t="str">
        <f t="shared" ref="J961:J1024" si="173">CONCATENATE(H961,I961)</f>
        <v>LTCGBC</v>
      </c>
      <c r="K961" t="str">
        <f t="shared" ref="K961:K1024" si="174">CONCATENATE(I961,H961)</f>
        <v>GBCLTC</v>
      </c>
      <c r="L961">
        <f t="shared" ref="L961:L1024" si="175">COUNTIF(B:B,J961)</f>
        <v>0</v>
      </c>
      <c r="M961">
        <f t="shared" ref="M961:M1024" si="176">COUNTIF(B:B,K961)</f>
        <v>1</v>
      </c>
      <c r="N961" t="b">
        <f t="shared" ref="N961:N1024" si="177">L961=0</f>
        <v>1</v>
      </c>
    </row>
    <row r="962" spans="1:14" hidden="1" x14ac:dyDescent="0.25">
      <c r="A962" t="s">
        <v>1403</v>
      </c>
      <c r="B962" t="s">
        <v>1596</v>
      </c>
      <c r="C962" s="1">
        <v>7.5995939999999998E-2</v>
      </c>
      <c r="D962" s="1">
        <v>7.5995939999999998E-2</v>
      </c>
      <c r="E962" s="1">
        <v>7.5555490000000003E-2</v>
      </c>
      <c r="F962" s="1">
        <v>2.0081E-4</v>
      </c>
      <c r="G962">
        <f t="shared" si="172"/>
        <v>6</v>
      </c>
      <c r="H962" t="str">
        <f>RIGHT(B962,3)</f>
        <v>USD</v>
      </c>
      <c r="I962" t="str">
        <f>LEFT(B962,3)</f>
        <v>GBC</v>
      </c>
      <c r="J962" t="str">
        <f t="shared" si="173"/>
        <v>USDGBC</v>
      </c>
      <c r="K962" t="str">
        <f t="shared" si="174"/>
        <v>GBCUSD</v>
      </c>
      <c r="L962">
        <f t="shared" si="175"/>
        <v>0</v>
      </c>
      <c r="M962">
        <f t="shared" si="176"/>
        <v>1</v>
      </c>
      <c r="N962" t="b">
        <f t="shared" si="177"/>
        <v>1</v>
      </c>
    </row>
    <row r="963" spans="1:14" hidden="1" x14ac:dyDescent="0.25">
      <c r="A963" t="s">
        <v>1403</v>
      </c>
      <c r="B963" t="s">
        <v>1971</v>
      </c>
      <c r="C963" s="1">
        <v>3.5256308399999998</v>
      </c>
      <c r="D963" s="1">
        <v>3.5256308399999998</v>
      </c>
      <c r="E963" s="1">
        <v>413.58604647999999</v>
      </c>
      <c r="F963" s="1">
        <v>3.3688800200000002</v>
      </c>
      <c r="G963">
        <f t="shared" si="172"/>
        <v>6</v>
      </c>
      <c r="H963" t="str">
        <f>RIGHT(B963,4)</f>
        <v>DOGE</v>
      </c>
      <c r="I963" t="str">
        <f>LEFT(B963,2)</f>
        <v>GB</v>
      </c>
      <c r="J963" t="str">
        <f t="shared" si="173"/>
        <v>DOGEGB</v>
      </c>
      <c r="K963" t="str">
        <f t="shared" si="174"/>
        <v>GBDOGE</v>
      </c>
      <c r="L963">
        <f t="shared" si="175"/>
        <v>0</v>
      </c>
      <c r="M963">
        <f t="shared" si="176"/>
        <v>1</v>
      </c>
      <c r="N963" t="b">
        <f t="shared" si="177"/>
        <v>1</v>
      </c>
    </row>
    <row r="964" spans="1:14" hidden="1" x14ac:dyDescent="0.25">
      <c r="A964" t="s">
        <v>5</v>
      </c>
      <c r="B964" t="s">
        <v>427</v>
      </c>
      <c r="C964" s="1">
        <v>3.7E-7</v>
      </c>
      <c r="D964" s="1">
        <v>3.5999999999999999E-7</v>
      </c>
      <c r="E964" s="1">
        <v>3.7E-7</v>
      </c>
      <c r="F964" s="1">
        <v>3.5999999999999999E-7</v>
      </c>
      <c r="G964">
        <f t="shared" si="172"/>
        <v>7</v>
      </c>
      <c r="H964" t="str">
        <f>RIGHT(B964,3)</f>
        <v>BTC</v>
      </c>
      <c r="I964" t="str">
        <f>LEFT(B964,4)</f>
        <v>GBIT</v>
      </c>
      <c r="J964" t="str">
        <f t="shared" si="173"/>
        <v>BTCGBIT</v>
      </c>
      <c r="K964" t="str">
        <f t="shared" si="174"/>
        <v>GBITBTC</v>
      </c>
      <c r="L964">
        <f t="shared" si="175"/>
        <v>0</v>
      </c>
      <c r="M964">
        <f t="shared" si="176"/>
        <v>1</v>
      </c>
      <c r="N964" t="b">
        <f t="shared" si="177"/>
        <v>1</v>
      </c>
    </row>
    <row r="965" spans="1:14" hidden="1" x14ac:dyDescent="0.25">
      <c r="A965" t="s">
        <v>1403</v>
      </c>
      <c r="B965" t="s">
        <v>1779</v>
      </c>
      <c r="C965" s="1">
        <v>2E-3</v>
      </c>
      <c r="D965" s="1">
        <v>2E-3</v>
      </c>
      <c r="E965" s="1">
        <v>1.8663799999999999E-3</v>
      </c>
      <c r="F965" s="1">
        <v>3.0001000000000002E-4</v>
      </c>
      <c r="G965">
        <f t="shared" si="172"/>
        <v>5</v>
      </c>
      <c r="H965" t="str">
        <f>RIGHT(B965,3)</f>
        <v>LTC</v>
      </c>
      <c r="I965" t="str">
        <f>LEFT(B965,2)</f>
        <v>GB</v>
      </c>
      <c r="J965" t="str">
        <f t="shared" si="173"/>
        <v>LTCGB</v>
      </c>
      <c r="K965" t="str">
        <f t="shared" si="174"/>
        <v>GBLTC</v>
      </c>
      <c r="L965">
        <f t="shared" si="175"/>
        <v>0</v>
      </c>
      <c r="M965">
        <f t="shared" si="176"/>
        <v>1</v>
      </c>
      <c r="N965" t="b">
        <f t="shared" si="177"/>
        <v>1</v>
      </c>
    </row>
    <row r="966" spans="1:14" hidden="1" x14ac:dyDescent="0.25">
      <c r="A966" t="s">
        <v>1403</v>
      </c>
      <c r="B966" t="s">
        <v>1451</v>
      </c>
      <c r="C966" s="1" t="s">
        <v>362</v>
      </c>
      <c r="D966" s="1" t="s">
        <v>361</v>
      </c>
      <c r="E966" s="1" t="s">
        <v>361</v>
      </c>
      <c r="F966" s="1" t="s">
        <v>362</v>
      </c>
      <c r="G966">
        <f t="shared" si="172"/>
        <v>7</v>
      </c>
      <c r="H966" t="str">
        <f>RIGHT(B966,3)</f>
        <v>BTC</v>
      </c>
      <c r="I966" t="str">
        <f>LEFT(B966,4)</f>
        <v>GBRC</v>
      </c>
      <c r="J966" t="str">
        <f t="shared" si="173"/>
        <v>BTCGBRC</v>
      </c>
      <c r="K966" t="str">
        <f t="shared" si="174"/>
        <v>GBRCBTC</v>
      </c>
      <c r="L966">
        <f t="shared" si="175"/>
        <v>0</v>
      </c>
      <c r="M966">
        <f t="shared" si="176"/>
        <v>1</v>
      </c>
      <c r="N966" t="b">
        <f t="shared" si="177"/>
        <v>1</v>
      </c>
    </row>
    <row r="967" spans="1:14" hidden="1" x14ac:dyDescent="0.25">
      <c r="A967" t="s">
        <v>1403</v>
      </c>
      <c r="B967" t="s">
        <v>1973</v>
      </c>
      <c r="C967" s="1">
        <v>7.0000000000000007E-2</v>
      </c>
      <c r="D967" s="1">
        <v>7.0000000000000007E-2</v>
      </c>
      <c r="E967" s="1">
        <v>6.9000000000000006E-2</v>
      </c>
      <c r="F967" s="1">
        <v>1.0162000000000001E-4</v>
      </c>
      <c r="G967">
        <f t="shared" si="172"/>
        <v>8</v>
      </c>
      <c r="H967" t="str">
        <f>RIGHT(B967,4)</f>
        <v>DOGE</v>
      </c>
      <c r="I967" t="str">
        <f>LEFT(B967,4)</f>
        <v>GBRC</v>
      </c>
      <c r="J967" t="str">
        <f t="shared" si="173"/>
        <v>DOGEGBRC</v>
      </c>
      <c r="K967" t="str">
        <f t="shared" si="174"/>
        <v>GBRCDOGE</v>
      </c>
      <c r="L967">
        <f t="shared" si="175"/>
        <v>0</v>
      </c>
      <c r="M967">
        <f t="shared" si="176"/>
        <v>1</v>
      </c>
      <c r="N967" t="b">
        <f t="shared" si="177"/>
        <v>1</v>
      </c>
    </row>
    <row r="968" spans="1:14" hidden="1" x14ac:dyDescent="0.25">
      <c r="A968" t="s">
        <v>1403</v>
      </c>
      <c r="B968" t="s">
        <v>1781</v>
      </c>
      <c r="C968" s="1">
        <v>7.7760000000000001E-5</v>
      </c>
      <c r="D968" s="1">
        <v>7.7760000000000001E-5</v>
      </c>
      <c r="E968" s="1">
        <v>7.7620000000000006E-5</v>
      </c>
      <c r="F968" s="1" t="s">
        <v>381</v>
      </c>
      <c r="G968">
        <f t="shared" si="172"/>
        <v>7</v>
      </c>
      <c r="H968" t="str">
        <f t="shared" ref="H968:H980" si="178">RIGHT(B968,3)</f>
        <v>LTC</v>
      </c>
      <c r="I968" t="str">
        <f>LEFT(B968,4)</f>
        <v>GBRC</v>
      </c>
      <c r="J968" t="str">
        <f t="shared" si="173"/>
        <v>LTCGBRC</v>
      </c>
      <c r="K968" t="str">
        <f t="shared" si="174"/>
        <v>GBRCLTC</v>
      </c>
      <c r="L968">
        <f t="shared" si="175"/>
        <v>0</v>
      </c>
      <c r="M968">
        <f t="shared" si="176"/>
        <v>1</v>
      </c>
      <c r="N968" t="b">
        <f t="shared" si="177"/>
        <v>1</v>
      </c>
    </row>
    <row r="969" spans="1:14" hidden="1" x14ac:dyDescent="0.25">
      <c r="A969" t="s">
        <v>1403</v>
      </c>
      <c r="B969" t="s">
        <v>1597</v>
      </c>
      <c r="C969" s="1">
        <v>9.9900000000000002E-5</v>
      </c>
      <c r="D969" s="1">
        <v>9.9900000000000002E-5</v>
      </c>
      <c r="E969" s="1">
        <v>4.99E-5</v>
      </c>
      <c r="F969" s="1">
        <v>2.34E-6</v>
      </c>
      <c r="G969">
        <f t="shared" si="172"/>
        <v>7</v>
      </c>
      <c r="H969" t="str">
        <f t="shared" si="178"/>
        <v>USD</v>
      </c>
      <c r="I969" t="str">
        <f>LEFT(B969,4)</f>
        <v>GBRC</v>
      </c>
      <c r="J969" t="str">
        <f t="shared" si="173"/>
        <v>USDGBRC</v>
      </c>
      <c r="K969" t="str">
        <f t="shared" si="174"/>
        <v>GBRCUSD</v>
      </c>
      <c r="L969">
        <f t="shared" si="175"/>
        <v>0</v>
      </c>
      <c r="M969">
        <f t="shared" si="176"/>
        <v>1</v>
      </c>
      <c r="N969" t="b">
        <f t="shared" si="177"/>
        <v>1</v>
      </c>
    </row>
    <row r="970" spans="1:14" hidden="1" x14ac:dyDescent="0.25">
      <c r="A970" t="s">
        <v>5</v>
      </c>
      <c r="B970" t="s">
        <v>947</v>
      </c>
      <c r="C970" s="1">
        <v>3.4999999999999998E-7</v>
      </c>
      <c r="D970" s="1">
        <v>3.3999999999999997E-7</v>
      </c>
      <c r="E970" s="1">
        <v>3.4999999999999998E-7</v>
      </c>
      <c r="F970" s="1">
        <v>3.3999999999999997E-7</v>
      </c>
      <c r="G970">
        <f t="shared" si="172"/>
        <v>6</v>
      </c>
      <c r="H970" t="str">
        <f t="shared" si="178"/>
        <v>BTC</v>
      </c>
      <c r="I970" t="str">
        <f>LEFT(B970,3)</f>
        <v>GBT</v>
      </c>
      <c r="J970" t="str">
        <f t="shared" si="173"/>
        <v>BTCGBT</v>
      </c>
      <c r="K970" t="str">
        <f t="shared" si="174"/>
        <v>GBTBTC</v>
      </c>
      <c r="L970">
        <f t="shared" si="175"/>
        <v>0</v>
      </c>
      <c r="M970">
        <f t="shared" si="176"/>
        <v>1</v>
      </c>
      <c r="N970" t="b">
        <f t="shared" si="177"/>
        <v>1</v>
      </c>
    </row>
    <row r="971" spans="1:14" hidden="1" x14ac:dyDescent="0.25">
      <c r="A971" t="s">
        <v>1403</v>
      </c>
      <c r="B971" t="s">
        <v>1595</v>
      </c>
      <c r="C971" s="1">
        <v>0.24208162999999999</v>
      </c>
      <c r="D971" s="1">
        <v>0.24208162999999999</v>
      </c>
      <c r="E971" s="1">
        <v>0.24208162</v>
      </c>
      <c r="F971" s="1">
        <v>5.1007300000000004E-3</v>
      </c>
      <c r="G971">
        <f t="shared" si="172"/>
        <v>5</v>
      </c>
      <c r="H971" t="str">
        <f t="shared" si="178"/>
        <v>USD</v>
      </c>
      <c r="I971" t="str">
        <f>LEFT(B971,2)</f>
        <v>GB</v>
      </c>
      <c r="J971" t="str">
        <f t="shared" si="173"/>
        <v>USDGB</v>
      </c>
      <c r="K971" t="str">
        <f t="shared" si="174"/>
        <v>GBUSD</v>
      </c>
      <c r="L971">
        <f t="shared" si="175"/>
        <v>0</v>
      </c>
      <c r="M971">
        <f t="shared" si="176"/>
        <v>1</v>
      </c>
      <c r="N971" t="b">
        <f t="shared" si="177"/>
        <v>1</v>
      </c>
    </row>
    <row r="972" spans="1:14" hidden="1" x14ac:dyDescent="0.25">
      <c r="A972" t="s">
        <v>5</v>
      </c>
      <c r="B972" t="s">
        <v>757</v>
      </c>
      <c r="C972" s="1">
        <v>2.3999999999999998E-7</v>
      </c>
      <c r="D972" s="1" t="s">
        <v>368</v>
      </c>
      <c r="E972" s="1">
        <v>2.3999999999999998E-7</v>
      </c>
      <c r="F972" s="1" t="s">
        <v>368</v>
      </c>
      <c r="G972">
        <f t="shared" si="172"/>
        <v>6</v>
      </c>
      <c r="H972" t="str">
        <f t="shared" si="178"/>
        <v>BTC</v>
      </c>
      <c r="I972" t="str">
        <f>LEFT(B972,3)</f>
        <v>GCC</v>
      </c>
      <c r="J972" t="str">
        <f t="shared" si="173"/>
        <v>BTCGCC</v>
      </c>
      <c r="K972" t="str">
        <f t="shared" si="174"/>
        <v>GCCBTC</v>
      </c>
      <c r="L972">
        <f t="shared" si="175"/>
        <v>0</v>
      </c>
      <c r="M972">
        <f t="shared" si="176"/>
        <v>1</v>
      </c>
      <c r="N972" t="b">
        <f t="shared" si="177"/>
        <v>1</v>
      </c>
    </row>
    <row r="973" spans="1:14" hidden="1" x14ac:dyDescent="0.25">
      <c r="A973" t="s">
        <v>5</v>
      </c>
      <c r="B973" t="s">
        <v>558</v>
      </c>
      <c r="C973" s="1">
        <v>7.17E-6</v>
      </c>
      <c r="D973" s="1">
        <v>6.6900000000000003E-6</v>
      </c>
      <c r="E973" s="1">
        <v>7.17E-6</v>
      </c>
      <c r="F973" s="1">
        <v>6.6900000000000003E-6</v>
      </c>
      <c r="G973">
        <f t="shared" si="172"/>
        <v>5</v>
      </c>
      <c r="H973" t="str">
        <f t="shared" si="178"/>
        <v>BTC</v>
      </c>
      <c r="I973" t="str">
        <f>LEFT(B973,2)</f>
        <v>GE</v>
      </c>
      <c r="J973" t="str">
        <f t="shared" si="173"/>
        <v>BTCGE</v>
      </c>
      <c r="K973" t="str">
        <f t="shared" si="174"/>
        <v>GEBTC</v>
      </c>
      <c r="L973">
        <f t="shared" si="175"/>
        <v>0</v>
      </c>
      <c r="M973">
        <f t="shared" si="176"/>
        <v>1</v>
      </c>
      <c r="N973" t="b">
        <f t="shared" si="177"/>
        <v>1</v>
      </c>
    </row>
    <row r="974" spans="1:14" hidden="1" x14ac:dyDescent="0.25">
      <c r="A974" t="s">
        <v>5</v>
      </c>
      <c r="B974" t="s">
        <v>519</v>
      </c>
      <c r="C974" s="1">
        <v>7.0999999999999998E-7</v>
      </c>
      <c r="D974" s="1" t="s">
        <v>520</v>
      </c>
      <c r="E974" s="1">
        <v>7.0999999999999998E-7</v>
      </c>
      <c r="F974" s="1" t="s">
        <v>520</v>
      </c>
      <c r="G974">
        <f t="shared" si="172"/>
        <v>6</v>
      </c>
      <c r="H974" t="str">
        <f t="shared" si="178"/>
        <v>BTC</v>
      </c>
      <c r="I974" t="str">
        <f>LEFT(B974,3)</f>
        <v>GEN</v>
      </c>
      <c r="J974" t="str">
        <f t="shared" si="173"/>
        <v>BTCGEN</v>
      </c>
      <c r="K974" t="str">
        <f t="shared" si="174"/>
        <v>GENBTC</v>
      </c>
      <c r="L974">
        <f t="shared" si="175"/>
        <v>0</v>
      </c>
      <c r="M974">
        <f t="shared" si="176"/>
        <v>1</v>
      </c>
      <c r="N974" t="b">
        <f t="shared" si="177"/>
        <v>1</v>
      </c>
    </row>
    <row r="975" spans="1:14" hidden="1" x14ac:dyDescent="0.25">
      <c r="A975" t="s">
        <v>5</v>
      </c>
      <c r="B975" t="s">
        <v>973</v>
      </c>
      <c r="C975" s="1">
        <v>3.8000000000000001E-7</v>
      </c>
      <c r="D975" s="1">
        <v>3.2000000000000001E-7</v>
      </c>
      <c r="E975" s="1">
        <v>3.8000000000000001E-7</v>
      </c>
      <c r="F975" s="1">
        <v>3.2000000000000001E-7</v>
      </c>
      <c r="G975">
        <f t="shared" si="172"/>
        <v>7</v>
      </c>
      <c r="H975" t="str">
        <f t="shared" si="178"/>
        <v>BTC</v>
      </c>
      <c r="I975" t="str">
        <f>LEFT(B975,4)</f>
        <v>GENE</v>
      </c>
      <c r="J975" t="str">
        <f t="shared" si="173"/>
        <v>BTCGENE</v>
      </c>
      <c r="K975" t="str">
        <f t="shared" si="174"/>
        <v>GENEBTC</v>
      </c>
      <c r="L975">
        <f t="shared" si="175"/>
        <v>0</v>
      </c>
      <c r="M975">
        <f t="shared" si="176"/>
        <v>1</v>
      </c>
      <c r="N975" t="b">
        <f t="shared" si="177"/>
        <v>1</v>
      </c>
    </row>
    <row r="976" spans="1:14" hidden="1" x14ac:dyDescent="0.25">
      <c r="A976" t="s">
        <v>5</v>
      </c>
      <c r="B976" t="s">
        <v>614</v>
      </c>
      <c r="C976" s="1" t="s">
        <v>361</v>
      </c>
      <c r="D976" s="1" t="s">
        <v>362</v>
      </c>
      <c r="E976" s="1" t="s">
        <v>361</v>
      </c>
      <c r="F976" s="1" t="s">
        <v>362</v>
      </c>
      <c r="G976">
        <f t="shared" si="172"/>
        <v>9</v>
      </c>
      <c r="H976" t="str">
        <f t="shared" si="178"/>
        <v>BTC</v>
      </c>
      <c r="I976" t="str">
        <f>LEFT(B976,6)</f>
        <v>GENIUS</v>
      </c>
      <c r="J976" t="str">
        <f t="shared" si="173"/>
        <v>BTCGENIUS</v>
      </c>
      <c r="K976" t="str">
        <f t="shared" si="174"/>
        <v>GENIUSBTC</v>
      </c>
      <c r="L976">
        <f t="shared" si="175"/>
        <v>0</v>
      </c>
      <c r="M976">
        <f t="shared" si="176"/>
        <v>1</v>
      </c>
      <c r="N976" t="b">
        <f t="shared" si="177"/>
        <v>1</v>
      </c>
    </row>
    <row r="977" spans="1:14" hidden="1" x14ac:dyDescent="0.25">
      <c r="A977" t="s">
        <v>5</v>
      </c>
      <c r="B977" t="s">
        <v>619</v>
      </c>
      <c r="C977" s="1">
        <v>2.1E-7</v>
      </c>
      <c r="D977" s="1" t="s">
        <v>368</v>
      </c>
      <c r="E977" s="1">
        <v>2.1E-7</v>
      </c>
      <c r="F977" s="1" t="s">
        <v>368</v>
      </c>
      <c r="G977">
        <f t="shared" si="172"/>
        <v>7</v>
      </c>
      <c r="H977" t="str">
        <f t="shared" si="178"/>
        <v>BTC</v>
      </c>
      <c r="I977" t="str">
        <f>LEFT(B977,4)</f>
        <v>GIFT</v>
      </c>
      <c r="J977" t="str">
        <f t="shared" si="173"/>
        <v>BTCGIFT</v>
      </c>
      <c r="K977" t="str">
        <f t="shared" si="174"/>
        <v>GIFTBTC</v>
      </c>
      <c r="L977">
        <f t="shared" si="175"/>
        <v>0</v>
      </c>
      <c r="M977">
        <f t="shared" si="176"/>
        <v>1</v>
      </c>
      <c r="N977" t="b">
        <f t="shared" si="177"/>
        <v>1</v>
      </c>
    </row>
    <row r="978" spans="1:14" hidden="1" x14ac:dyDescent="0.25">
      <c r="A978" t="s">
        <v>5</v>
      </c>
      <c r="B978" t="s">
        <v>526</v>
      </c>
      <c r="C978" s="1">
        <v>8.8699999999999998E-6</v>
      </c>
      <c r="D978" s="1">
        <v>7.8099999999999998E-6</v>
      </c>
      <c r="E978" s="1">
        <v>8.8699999999999998E-6</v>
      </c>
      <c r="F978" s="1">
        <v>7.8099999999999998E-6</v>
      </c>
      <c r="G978">
        <f t="shared" si="172"/>
        <v>6</v>
      </c>
      <c r="H978" t="str">
        <f t="shared" si="178"/>
        <v>BTC</v>
      </c>
      <c r="I978" t="str">
        <f t="shared" ref="I978:I984" si="179">LEFT(B978,3)</f>
        <v>GIG</v>
      </c>
      <c r="J978" t="str">
        <f t="shared" si="173"/>
        <v>BTCGIG</v>
      </c>
      <c r="K978" t="str">
        <f t="shared" si="174"/>
        <v>GIGBTC</v>
      </c>
      <c r="L978">
        <f t="shared" si="175"/>
        <v>0</v>
      </c>
      <c r="M978">
        <f t="shared" si="176"/>
        <v>1</v>
      </c>
      <c r="N978" t="b">
        <f t="shared" si="177"/>
        <v>1</v>
      </c>
    </row>
    <row r="979" spans="1:14" hidden="1" x14ac:dyDescent="0.25">
      <c r="A979" t="s">
        <v>5</v>
      </c>
      <c r="B979" t="s">
        <v>812</v>
      </c>
      <c r="C979" s="1" t="s">
        <v>435</v>
      </c>
      <c r="D979" s="1" t="s">
        <v>356</v>
      </c>
      <c r="E979" s="1" t="s">
        <v>435</v>
      </c>
      <c r="F979" s="1" t="s">
        <v>356</v>
      </c>
      <c r="G979">
        <f t="shared" si="172"/>
        <v>6</v>
      </c>
      <c r="H979" t="str">
        <f t="shared" si="178"/>
        <v>BTC</v>
      </c>
      <c r="I979" t="str">
        <f t="shared" si="179"/>
        <v>GIZ</v>
      </c>
      <c r="J979" t="str">
        <f t="shared" si="173"/>
        <v>BTCGIZ</v>
      </c>
      <c r="K979" t="str">
        <f t="shared" si="174"/>
        <v>GIZBTC</v>
      </c>
      <c r="L979">
        <f t="shared" si="175"/>
        <v>0</v>
      </c>
      <c r="M979">
        <f t="shared" si="176"/>
        <v>1</v>
      </c>
      <c r="N979" t="b">
        <f t="shared" si="177"/>
        <v>1</v>
      </c>
    </row>
    <row r="980" spans="1:14" hidden="1" x14ac:dyDescent="0.25">
      <c r="A980" t="s">
        <v>5</v>
      </c>
      <c r="B980" t="s">
        <v>572</v>
      </c>
      <c r="C980" s="1">
        <v>8.8699999999999998E-6</v>
      </c>
      <c r="D980" s="1">
        <v>5.0499999999999999E-6</v>
      </c>
      <c r="E980" s="1">
        <v>8.8699999999999998E-6</v>
      </c>
      <c r="F980" s="1">
        <v>5.0499999999999999E-6</v>
      </c>
      <c r="G980">
        <f t="shared" si="172"/>
        <v>6</v>
      </c>
      <c r="H980" t="str">
        <f t="shared" si="178"/>
        <v>BTC</v>
      </c>
      <c r="I980" t="str">
        <f t="shared" si="179"/>
        <v>GLC</v>
      </c>
      <c r="J980" t="str">
        <f t="shared" si="173"/>
        <v>BTCGLC</v>
      </c>
      <c r="K980" t="str">
        <f t="shared" si="174"/>
        <v>GLCBTC</v>
      </c>
      <c r="L980">
        <f t="shared" si="175"/>
        <v>0</v>
      </c>
      <c r="M980">
        <f t="shared" si="176"/>
        <v>1</v>
      </c>
      <c r="N980" t="b">
        <f t="shared" si="177"/>
        <v>1</v>
      </c>
    </row>
    <row r="981" spans="1:14" hidden="1" x14ac:dyDescent="0.25">
      <c r="A981" t="s">
        <v>1403</v>
      </c>
      <c r="B981" t="s">
        <v>1974</v>
      </c>
      <c r="C981" s="1">
        <v>45.022887789999999</v>
      </c>
      <c r="D981" s="1">
        <v>45.022887789999999</v>
      </c>
      <c r="E981" s="1">
        <v>55</v>
      </c>
      <c r="F981" s="1">
        <v>10.60105239</v>
      </c>
      <c r="G981">
        <f t="shared" si="172"/>
        <v>7</v>
      </c>
      <c r="H981" t="str">
        <f>RIGHT(B981,4)</f>
        <v>DOGE</v>
      </c>
      <c r="I981" t="str">
        <f t="shared" si="179"/>
        <v>GLD</v>
      </c>
      <c r="J981" t="str">
        <f t="shared" si="173"/>
        <v>DOGEGLD</v>
      </c>
      <c r="K981" t="str">
        <f t="shared" si="174"/>
        <v>GLDDOGE</v>
      </c>
      <c r="L981">
        <f t="shared" si="175"/>
        <v>0</v>
      </c>
      <c r="M981">
        <f t="shared" si="176"/>
        <v>1</v>
      </c>
      <c r="N981" t="b">
        <f t="shared" si="177"/>
        <v>1</v>
      </c>
    </row>
    <row r="982" spans="1:14" hidden="1" x14ac:dyDescent="0.25">
      <c r="A982" t="s">
        <v>1403</v>
      </c>
      <c r="B982" t="s">
        <v>1782</v>
      </c>
      <c r="C982" s="1">
        <v>2.9999930000000001E-2</v>
      </c>
      <c r="D982" s="1">
        <v>2.9999930000000001E-2</v>
      </c>
      <c r="E982" s="1">
        <v>2.88836025355792E-2</v>
      </c>
      <c r="F982" s="1">
        <v>9.802700000000001E-4</v>
      </c>
      <c r="G982">
        <f t="shared" si="172"/>
        <v>6</v>
      </c>
      <c r="H982" t="str">
        <f>RIGHT(B982,3)</f>
        <v>LTC</v>
      </c>
      <c r="I982" t="str">
        <f t="shared" si="179"/>
        <v>GLD</v>
      </c>
      <c r="J982" t="str">
        <f t="shared" si="173"/>
        <v>LTCGLD</v>
      </c>
      <c r="K982" t="str">
        <f t="shared" si="174"/>
        <v>GLDLTC</v>
      </c>
      <c r="L982">
        <f t="shared" si="175"/>
        <v>0</v>
      </c>
      <c r="M982">
        <f t="shared" si="176"/>
        <v>1</v>
      </c>
      <c r="N982" t="b">
        <f t="shared" si="177"/>
        <v>1</v>
      </c>
    </row>
    <row r="983" spans="1:14" hidden="1" x14ac:dyDescent="0.25">
      <c r="A983" t="s">
        <v>1403</v>
      </c>
      <c r="B983" t="s">
        <v>1598</v>
      </c>
      <c r="C983" s="1">
        <v>0.13</v>
      </c>
      <c r="D983" s="1">
        <v>0.13</v>
      </c>
      <c r="E983" s="1">
        <v>0.13</v>
      </c>
      <c r="F983" s="1">
        <v>7.0000000000000001E-3</v>
      </c>
      <c r="G983">
        <f t="shared" si="172"/>
        <v>6</v>
      </c>
      <c r="H983" t="str">
        <f>RIGHT(B983,3)</f>
        <v>USD</v>
      </c>
      <c r="I983" t="str">
        <f t="shared" si="179"/>
        <v>GLD</v>
      </c>
      <c r="J983" t="str">
        <f t="shared" si="173"/>
        <v>USDGLD</v>
      </c>
      <c r="K983" t="str">
        <f t="shared" si="174"/>
        <v>GLDUSD</v>
      </c>
      <c r="L983">
        <f t="shared" si="175"/>
        <v>0</v>
      </c>
      <c r="M983">
        <f t="shared" si="176"/>
        <v>1</v>
      </c>
      <c r="N983" t="b">
        <f t="shared" si="177"/>
        <v>1</v>
      </c>
    </row>
    <row r="984" spans="1:14" hidden="1" x14ac:dyDescent="0.25">
      <c r="A984" t="s">
        <v>5</v>
      </c>
      <c r="B984" t="s">
        <v>455</v>
      </c>
      <c r="C984" s="1" t="s">
        <v>361</v>
      </c>
      <c r="D984" s="1" t="s">
        <v>362</v>
      </c>
      <c r="E984" s="1" t="s">
        <v>361</v>
      </c>
      <c r="F984" s="1" t="s">
        <v>362</v>
      </c>
      <c r="G984">
        <f t="shared" si="172"/>
        <v>6</v>
      </c>
      <c r="H984" t="str">
        <f>RIGHT(B984,3)</f>
        <v>BTC</v>
      </c>
      <c r="I984" t="str">
        <f t="shared" si="179"/>
        <v>GLO</v>
      </c>
      <c r="J984" t="str">
        <f t="shared" si="173"/>
        <v>BTCGLO</v>
      </c>
      <c r="K984" t="str">
        <f t="shared" si="174"/>
        <v>GLOBTC</v>
      </c>
      <c r="L984">
        <f t="shared" si="175"/>
        <v>0</v>
      </c>
      <c r="M984">
        <f t="shared" si="176"/>
        <v>1</v>
      </c>
      <c r="N984" t="b">
        <f t="shared" si="177"/>
        <v>1</v>
      </c>
    </row>
    <row r="985" spans="1:14" hidden="1" x14ac:dyDescent="0.25">
      <c r="A985" t="s">
        <v>1403</v>
      </c>
      <c r="B985" t="s">
        <v>1453</v>
      </c>
      <c r="C985" s="1">
        <v>1.4999999999999999E-4</v>
      </c>
      <c r="D985" s="1">
        <v>1.5327E-4</v>
      </c>
      <c r="E985" s="1">
        <v>1.5313999999999999E-4</v>
      </c>
      <c r="F985" s="1">
        <v>1.2999999999999999E-4</v>
      </c>
      <c r="G985">
        <f t="shared" si="172"/>
        <v>7</v>
      </c>
      <c r="H985" t="str">
        <f>RIGHT(B985,3)</f>
        <v>BTC</v>
      </c>
      <c r="I985" t="str">
        <f>LEFT(B985,4)</f>
        <v>GLTC</v>
      </c>
      <c r="J985" t="str">
        <f t="shared" si="173"/>
        <v>BTCGLTC</v>
      </c>
      <c r="K985" t="str">
        <f t="shared" si="174"/>
        <v>GLTCBTC</v>
      </c>
      <c r="L985">
        <f t="shared" si="175"/>
        <v>0</v>
      </c>
      <c r="M985">
        <f t="shared" si="176"/>
        <v>1</v>
      </c>
      <c r="N985" t="b">
        <f t="shared" si="177"/>
        <v>1</v>
      </c>
    </row>
    <row r="986" spans="1:14" hidden="1" x14ac:dyDescent="0.25">
      <c r="A986" t="s">
        <v>1403</v>
      </c>
      <c r="B986" t="s">
        <v>1975</v>
      </c>
      <c r="C986" s="1">
        <v>2.1478999999999999</v>
      </c>
      <c r="D986" s="1">
        <v>2.1478999999999999</v>
      </c>
      <c r="E986" s="1">
        <v>9899991.9999999907</v>
      </c>
      <c r="F986" s="1">
        <v>1.000003E-2</v>
      </c>
      <c r="G986">
        <f t="shared" si="172"/>
        <v>8</v>
      </c>
      <c r="H986" t="str">
        <f>RIGHT(B986,4)</f>
        <v>DOGE</v>
      </c>
      <c r="I986" t="str">
        <f>LEFT(B986,4)</f>
        <v>GLTC</v>
      </c>
      <c r="J986" t="str">
        <f t="shared" si="173"/>
        <v>DOGEGLTC</v>
      </c>
      <c r="K986" t="str">
        <f t="shared" si="174"/>
        <v>GLTCDOGE</v>
      </c>
      <c r="L986">
        <f t="shared" si="175"/>
        <v>0</v>
      </c>
      <c r="M986">
        <f t="shared" si="176"/>
        <v>1</v>
      </c>
      <c r="N986" t="b">
        <f t="shared" si="177"/>
        <v>1</v>
      </c>
    </row>
    <row r="987" spans="1:14" hidden="1" x14ac:dyDescent="0.25">
      <c r="A987" t="s">
        <v>1403</v>
      </c>
      <c r="B987" t="s">
        <v>1783</v>
      </c>
      <c r="C987" s="1">
        <v>0</v>
      </c>
      <c r="D987" s="1">
        <v>0</v>
      </c>
      <c r="E987" s="1">
        <v>9.9999996400000004</v>
      </c>
      <c r="F987" s="1">
        <v>1.46E-6</v>
      </c>
      <c r="G987">
        <f t="shared" si="172"/>
        <v>7</v>
      </c>
      <c r="H987" t="str">
        <f t="shared" ref="H987:H992" si="180">RIGHT(B987,3)</f>
        <v>LTC</v>
      </c>
      <c r="I987" t="str">
        <f>LEFT(B987,4)</f>
        <v>GLTC</v>
      </c>
      <c r="J987" t="str">
        <f t="shared" si="173"/>
        <v>LTCGLTC</v>
      </c>
      <c r="K987" t="str">
        <f t="shared" si="174"/>
        <v>GLTCLTC</v>
      </c>
      <c r="L987">
        <f t="shared" si="175"/>
        <v>0</v>
      </c>
      <c r="M987">
        <f t="shared" si="176"/>
        <v>1</v>
      </c>
      <c r="N987" t="b">
        <f t="shared" si="177"/>
        <v>1</v>
      </c>
    </row>
    <row r="988" spans="1:14" hidden="1" x14ac:dyDescent="0.25">
      <c r="A988" t="s">
        <v>1403</v>
      </c>
      <c r="B988" t="s">
        <v>1599</v>
      </c>
      <c r="C988" s="1">
        <v>0</v>
      </c>
      <c r="D988" s="1">
        <v>0</v>
      </c>
      <c r="E988" s="1">
        <v>9.9990000000000006</v>
      </c>
      <c r="F988" s="1">
        <v>5.0021400000000004E-3</v>
      </c>
      <c r="G988">
        <f t="shared" si="172"/>
        <v>7</v>
      </c>
      <c r="H988" t="str">
        <f t="shared" si="180"/>
        <v>USD</v>
      </c>
      <c r="I988" t="str">
        <f>LEFT(B988,4)</f>
        <v>GLTC</v>
      </c>
      <c r="J988" t="str">
        <f t="shared" si="173"/>
        <v>USDGLTC</v>
      </c>
      <c r="K988" t="str">
        <f t="shared" si="174"/>
        <v>GLTCUSD</v>
      </c>
      <c r="L988">
        <f t="shared" si="175"/>
        <v>0</v>
      </c>
      <c r="M988">
        <f t="shared" si="176"/>
        <v>1</v>
      </c>
      <c r="N988" t="b">
        <f t="shared" si="177"/>
        <v>1</v>
      </c>
    </row>
    <row r="989" spans="1:14" hidden="1" x14ac:dyDescent="0.25">
      <c r="A989" t="s">
        <v>5</v>
      </c>
      <c r="B989" t="s">
        <v>876</v>
      </c>
      <c r="C989" s="1">
        <v>6.3E-7</v>
      </c>
      <c r="D989" s="1">
        <v>4.4000000000000002E-7</v>
      </c>
      <c r="E989" s="1">
        <v>6.3E-7</v>
      </c>
      <c r="F989" s="1">
        <v>4.4000000000000002E-7</v>
      </c>
      <c r="G989">
        <f t="shared" si="172"/>
        <v>8</v>
      </c>
      <c r="H989" t="str">
        <f t="shared" si="180"/>
        <v>BTC</v>
      </c>
      <c r="I989" t="str">
        <f>LEFT(B989,5)</f>
        <v>GLUCK</v>
      </c>
      <c r="J989" t="str">
        <f t="shared" si="173"/>
        <v>BTCGLUCK</v>
      </c>
      <c r="K989" t="str">
        <f t="shared" si="174"/>
        <v>GLUCKBTC</v>
      </c>
      <c r="L989">
        <f t="shared" si="175"/>
        <v>0</v>
      </c>
      <c r="M989">
        <f t="shared" si="176"/>
        <v>1</v>
      </c>
      <c r="N989" t="b">
        <f t="shared" si="177"/>
        <v>1</v>
      </c>
    </row>
    <row r="990" spans="1:14" hidden="1" x14ac:dyDescent="0.25">
      <c r="A990" t="s">
        <v>5</v>
      </c>
      <c r="B990" t="s">
        <v>1157</v>
      </c>
      <c r="C990" s="1">
        <v>1.8989999999999999E-5</v>
      </c>
      <c r="D990" s="1" t="s">
        <v>1158</v>
      </c>
      <c r="E990" s="1">
        <v>1.8989999999999999E-5</v>
      </c>
      <c r="F990" s="1" t="s">
        <v>1158</v>
      </c>
      <c r="G990">
        <f t="shared" si="172"/>
        <v>7</v>
      </c>
      <c r="H990" t="str">
        <f t="shared" si="180"/>
        <v>BTC</v>
      </c>
      <c r="I990" t="str">
        <f>LEFT(B990,4)</f>
        <v>GMCX</v>
      </c>
      <c r="J990" t="str">
        <f t="shared" si="173"/>
        <v>BTCGMCX</v>
      </c>
      <c r="K990" t="str">
        <f t="shared" si="174"/>
        <v>GMCXBTC</v>
      </c>
      <c r="L990">
        <f t="shared" si="175"/>
        <v>0</v>
      </c>
      <c r="M990">
        <f t="shared" si="176"/>
        <v>1</v>
      </c>
      <c r="N990" t="b">
        <f t="shared" si="177"/>
        <v>1</v>
      </c>
    </row>
    <row r="991" spans="1:14" hidden="1" x14ac:dyDescent="0.25">
      <c r="A991" t="s">
        <v>5</v>
      </c>
      <c r="B991" t="s">
        <v>1041</v>
      </c>
      <c r="C991" s="1">
        <v>1.11E-6</v>
      </c>
      <c r="D991" s="1">
        <v>9.1999999999999998E-7</v>
      </c>
      <c r="E991" s="1">
        <v>1.11E-6</v>
      </c>
      <c r="F991" s="1">
        <v>9.1999999999999998E-7</v>
      </c>
      <c r="G991">
        <f t="shared" si="172"/>
        <v>6</v>
      </c>
      <c r="H991" t="str">
        <f t="shared" si="180"/>
        <v>BTC</v>
      </c>
      <c r="I991" t="str">
        <f t="shared" ref="I991:I997" si="181">LEFT(B991,3)</f>
        <v>GML</v>
      </c>
      <c r="J991" t="str">
        <f t="shared" si="173"/>
        <v>BTCGML</v>
      </c>
      <c r="K991" t="str">
        <f t="shared" si="174"/>
        <v>GMLBTC</v>
      </c>
      <c r="L991">
        <f t="shared" si="175"/>
        <v>0</v>
      </c>
      <c r="M991">
        <f t="shared" si="176"/>
        <v>1</v>
      </c>
      <c r="N991" t="b">
        <f t="shared" si="177"/>
        <v>1</v>
      </c>
    </row>
    <row r="992" spans="1:14" hidden="1" x14ac:dyDescent="0.25">
      <c r="A992" t="s">
        <v>1403</v>
      </c>
      <c r="B992" t="s">
        <v>1454</v>
      </c>
      <c r="C992" s="1">
        <v>1.4000000000000001E-7</v>
      </c>
      <c r="D992" s="1" t="s">
        <v>368</v>
      </c>
      <c r="E992" s="1" t="s">
        <v>368</v>
      </c>
      <c r="F992" s="1">
        <v>1.3E-7</v>
      </c>
      <c r="G992">
        <f t="shared" si="172"/>
        <v>6</v>
      </c>
      <c r="H992" t="str">
        <f t="shared" si="180"/>
        <v>BTC</v>
      </c>
      <c r="I992" t="str">
        <f t="shared" si="181"/>
        <v>GMX</v>
      </c>
      <c r="J992" t="str">
        <f t="shared" si="173"/>
        <v>BTCGMX</v>
      </c>
      <c r="K992" t="str">
        <f t="shared" si="174"/>
        <v>GMXBTC</v>
      </c>
      <c r="L992">
        <f t="shared" si="175"/>
        <v>0</v>
      </c>
      <c r="M992">
        <f t="shared" si="176"/>
        <v>1</v>
      </c>
      <c r="N992" t="b">
        <f t="shared" si="177"/>
        <v>1</v>
      </c>
    </row>
    <row r="993" spans="1:14" hidden="1" x14ac:dyDescent="0.25">
      <c r="A993" t="s">
        <v>1403</v>
      </c>
      <c r="B993" t="s">
        <v>1976</v>
      </c>
      <c r="C993" s="1">
        <v>1.5889999800000001</v>
      </c>
      <c r="D993" s="1">
        <v>1.5889999800000001</v>
      </c>
      <c r="E993" s="1">
        <v>1.5889998999999999</v>
      </c>
      <c r="F993" s="1">
        <v>6.4000319999999999E-2</v>
      </c>
      <c r="G993">
        <f t="shared" si="172"/>
        <v>7</v>
      </c>
      <c r="H993" t="str">
        <f>RIGHT(B993,4)</f>
        <v>DOGE</v>
      </c>
      <c r="I993" t="str">
        <f t="shared" si="181"/>
        <v>GMX</v>
      </c>
      <c r="J993" t="str">
        <f t="shared" si="173"/>
        <v>DOGEGMX</v>
      </c>
      <c r="K993" t="str">
        <f t="shared" si="174"/>
        <v>GMXDOGE</v>
      </c>
      <c r="L993">
        <f t="shared" si="175"/>
        <v>0</v>
      </c>
      <c r="M993">
        <f t="shared" si="176"/>
        <v>1</v>
      </c>
      <c r="N993" t="b">
        <f t="shared" si="177"/>
        <v>1</v>
      </c>
    </row>
    <row r="994" spans="1:14" hidden="1" x14ac:dyDescent="0.25">
      <c r="A994" t="s">
        <v>1403</v>
      </c>
      <c r="B994" t="s">
        <v>1784</v>
      </c>
      <c r="C994" s="1">
        <v>0</v>
      </c>
      <c r="D994" s="1">
        <v>0</v>
      </c>
      <c r="E994" s="1">
        <v>4.7990000000000003E-3</v>
      </c>
      <c r="F994" s="1">
        <v>1.6999999999999999E-7</v>
      </c>
      <c r="G994">
        <f t="shared" si="172"/>
        <v>6</v>
      </c>
      <c r="H994" t="str">
        <f t="shared" ref="H994:H1006" si="182">RIGHT(B994,3)</f>
        <v>LTC</v>
      </c>
      <c r="I994" t="str">
        <f t="shared" si="181"/>
        <v>GMX</v>
      </c>
      <c r="J994" t="str">
        <f t="shared" si="173"/>
        <v>LTCGMX</v>
      </c>
      <c r="K994" t="str">
        <f t="shared" si="174"/>
        <v>GMXLTC</v>
      </c>
      <c r="L994">
        <f t="shared" si="175"/>
        <v>0</v>
      </c>
      <c r="M994">
        <f t="shared" si="176"/>
        <v>1</v>
      </c>
      <c r="N994" t="b">
        <f t="shared" si="177"/>
        <v>1</v>
      </c>
    </row>
    <row r="995" spans="1:14" hidden="1" x14ac:dyDescent="0.25">
      <c r="A995" t="s">
        <v>1403</v>
      </c>
      <c r="B995" t="s">
        <v>1600</v>
      </c>
      <c r="C995" s="1">
        <v>4.9889000000000001E-3</v>
      </c>
      <c r="D995" s="1">
        <v>4.9889000000000001E-3</v>
      </c>
      <c r="E995" s="1">
        <v>4.7999999999999996E-3</v>
      </c>
      <c r="F995" s="1">
        <v>3.3369999999999998E-4</v>
      </c>
      <c r="G995">
        <f t="shared" si="172"/>
        <v>6</v>
      </c>
      <c r="H995" t="str">
        <f t="shared" si="182"/>
        <v>USD</v>
      </c>
      <c r="I995" t="str">
        <f t="shared" si="181"/>
        <v>GMX</v>
      </c>
      <c r="J995" t="str">
        <f t="shared" si="173"/>
        <v>USDGMX</v>
      </c>
      <c r="K995" t="str">
        <f t="shared" si="174"/>
        <v>GMXUSD</v>
      </c>
      <c r="L995">
        <f t="shared" si="175"/>
        <v>0</v>
      </c>
      <c r="M995">
        <f t="shared" si="176"/>
        <v>1</v>
      </c>
      <c r="N995" t="b">
        <f t="shared" si="177"/>
        <v>1</v>
      </c>
    </row>
    <row r="996" spans="1:14" hidden="1" x14ac:dyDescent="0.25">
      <c r="A996" t="s">
        <v>3</v>
      </c>
      <c r="B996" t="s">
        <v>265</v>
      </c>
      <c r="C996" s="1">
        <v>194.52964</v>
      </c>
      <c r="D996" s="1">
        <v>193.00003000000001</v>
      </c>
      <c r="E996" s="1">
        <v>194.52964</v>
      </c>
      <c r="F996" s="1">
        <v>193</v>
      </c>
      <c r="G996">
        <f t="shared" si="172"/>
        <v>6</v>
      </c>
      <c r="H996" t="str">
        <f t="shared" si="182"/>
        <v>EUR</v>
      </c>
      <c r="I996" t="str">
        <f t="shared" si="181"/>
        <v>GNO</v>
      </c>
      <c r="J996" t="str">
        <f t="shared" si="173"/>
        <v>EURGNO</v>
      </c>
      <c r="K996" t="str">
        <f t="shared" si="174"/>
        <v>GNOEUR</v>
      </c>
      <c r="L996">
        <f t="shared" si="175"/>
        <v>0</v>
      </c>
      <c r="M996">
        <f t="shared" si="176"/>
        <v>1</v>
      </c>
      <c r="N996" t="b">
        <f t="shared" si="177"/>
        <v>1</v>
      </c>
    </row>
    <row r="997" spans="1:14" hidden="1" x14ac:dyDescent="0.25">
      <c r="A997" t="s">
        <v>3</v>
      </c>
      <c r="B997" t="s">
        <v>296</v>
      </c>
      <c r="C997" s="1">
        <v>215.77126000000001</v>
      </c>
      <c r="D997" s="1">
        <v>213.55283</v>
      </c>
      <c r="E997" s="1">
        <v>215.77126000000001</v>
      </c>
      <c r="F997" s="1">
        <v>213.55288999999999</v>
      </c>
      <c r="G997">
        <f t="shared" si="172"/>
        <v>6</v>
      </c>
      <c r="H997" t="str">
        <f t="shared" si="182"/>
        <v>USD</v>
      </c>
      <c r="I997" t="str">
        <f t="shared" si="181"/>
        <v>GNO</v>
      </c>
      <c r="J997" t="str">
        <f t="shared" si="173"/>
        <v>USDGNO</v>
      </c>
      <c r="K997" t="str">
        <f t="shared" si="174"/>
        <v>GNOUSD</v>
      </c>
      <c r="L997">
        <f t="shared" si="175"/>
        <v>0</v>
      </c>
      <c r="M997">
        <f t="shared" si="176"/>
        <v>1</v>
      </c>
      <c r="N997" t="b">
        <f t="shared" si="177"/>
        <v>1</v>
      </c>
    </row>
    <row r="998" spans="1:14" hidden="1" x14ac:dyDescent="0.25">
      <c r="A998" t="s">
        <v>5</v>
      </c>
      <c r="B998" t="s">
        <v>993</v>
      </c>
      <c r="C998" s="1">
        <v>4.2E-7</v>
      </c>
      <c r="D998" s="1">
        <v>3.7E-7</v>
      </c>
      <c r="E998" s="1">
        <v>4.2E-7</v>
      </c>
      <c r="F998" s="1">
        <v>3.7E-7</v>
      </c>
      <c r="G998">
        <f t="shared" si="172"/>
        <v>7</v>
      </c>
      <c r="H998" t="str">
        <f t="shared" si="182"/>
        <v>BTC</v>
      </c>
      <c r="I998" t="str">
        <f>LEFT(B998,4)</f>
        <v>GOAT</v>
      </c>
      <c r="J998" t="str">
        <f t="shared" si="173"/>
        <v>BTCGOAT</v>
      </c>
      <c r="K998" t="str">
        <f t="shared" si="174"/>
        <v>GOATBTC</v>
      </c>
      <c r="L998">
        <f t="shared" si="175"/>
        <v>0</v>
      </c>
      <c r="M998">
        <f t="shared" si="176"/>
        <v>1</v>
      </c>
      <c r="N998" t="b">
        <f t="shared" si="177"/>
        <v>1</v>
      </c>
    </row>
    <row r="999" spans="1:14" hidden="1" x14ac:dyDescent="0.25">
      <c r="A999" t="s">
        <v>5</v>
      </c>
      <c r="B999" t="s">
        <v>696</v>
      </c>
      <c r="C999" s="1" t="s">
        <v>364</v>
      </c>
      <c r="D999" s="1">
        <v>1.00004158</v>
      </c>
      <c r="E999" s="1">
        <v>1.4749800000000001E-3</v>
      </c>
      <c r="F999" s="1">
        <v>0.21692364583730001</v>
      </c>
      <c r="G999">
        <f t="shared" si="172"/>
        <v>5</v>
      </c>
      <c r="H999" t="str">
        <f t="shared" si="182"/>
        <v>BTC</v>
      </c>
      <c r="I999" t="str">
        <f>LEFT(B999,2)</f>
        <v>GO</v>
      </c>
      <c r="J999" t="str">
        <f t="shared" si="173"/>
        <v>BTCGO</v>
      </c>
      <c r="K999" t="str">
        <f t="shared" si="174"/>
        <v>GOBTC</v>
      </c>
      <c r="L999">
        <f t="shared" si="175"/>
        <v>0</v>
      </c>
      <c r="M999">
        <f t="shared" si="176"/>
        <v>1</v>
      </c>
      <c r="N999" t="b">
        <f t="shared" si="177"/>
        <v>1</v>
      </c>
    </row>
    <row r="1000" spans="1:14" hidden="1" x14ac:dyDescent="0.25">
      <c r="A1000" t="s">
        <v>5</v>
      </c>
      <c r="B1000" t="s">
        <v>1065</v>
      </c>
      <c r="C1000" s="1" t="s">
        <v>384</v>
      </c>
      <c r="D1000" s="1" t="s">
        <v>361</v>
      </c>
      <c r="E1000" s="1" t="s">
        <v>384</v>
      </c>
      <c r="F1000" s="1" t="s">
        <v>361</v>
      </c>
      <c r="G1000">
        <f t="shared" si="172"/>
        <v>7</v>
      </c>
      <c r="H1000" t="str">
        <f t="shared" si="182"/>
        <v>BTC</v>
      </c>
      <c r="I1000" t="str">
        <f>LEFT(B1000,4)</f>
        <v>GOON</v>
      </c>
      <c r="J1000" t="str">
        <f t="shared" si="173"/>
        <v>BTCGOON</v>
      </c>
      <c r="K1000" t="str">
        <f t="shared" si="174"/>
        <v>GOONBTC</v>
      </c>
      <c r="L1000">
        <f t="shared" si="175"/>
        <v>0</v>
      </c>
      <c r="M1000">
        <f t="shared" si="176"/>
        <v>1</v>
      </c>
      <c r="N1000" t="b">
        <f t="shared" si="177"/>
        <v>1</v>
      </c>
    </row>
    <row r="1001" spans="1:14" hidden="1" x14ac:dyDescent="0.25">
      <c r="A1001" t="s">
        <v>5</v>
      </c>
      <c r="B1001" t="s">
        <v>1031</v>
      </c>
      <c r="C1001" s="1" t="s">
        <v>381</v>
      </c>
      <c r="D1001" s="1" t="s">
        <v>384</v>
      </c>
      <c r="E1001" s="1" t="s">
        <v>381</v>
      </c>
      <c r="F1001" s="1" t="s">
        <v>384</v>
      </c>
      <c r="G1001">
        <f t="shared" si="172"/>
        <v>6</v>
      </c>
      <c r="H1001" t="str">
        <f t="shared" si="182"/>
        <v>BTC</v>
      </c>
      <c r="I1001" t="str">
        <f>LEFT(B1001,3)</f>
        <v>GOT</v>
      </c>
      <c r="J1001" t="str">
        <f t="shared" si="173"/>
        <v>BTCGOT</v>
      </c>
      <c r="K1001" t="str">
        <f t="shared" si="174"/>
        <v>GOTBTC</v>
      </c>
      <c r="L1001">
        <f t="shared" si="175"/>
        <v>0</v>
      </c>
      <c r="M1001">
        <f t="shared" si="176"/>
        <v>1</v>
      </c>
      <c r="N1001" t="b">
        <f t="shared" si="177"/>
        <v>1</v>
      </c>
    </row>
    <row r="1002" spans="1:14" hidden="1" x14ac:dyDescent="0.25">
      <c r="A1002" t="s">
        <v>5</v>
      </c>
      <c r="B1002" t="s">
        <v>1198</v>
      </c>
      <c r="C1002" s="1" t="s">
        <v>362</v>
      </c>
      <c r="D1002" s="1" t="s">
        <v>364</v>
      </c>
      <c r="E1002" s="1" t="s">
        <v>362</v>
      </c>
      <c r="F1002" s="1">
        <v>1.3E-7</v>
      </c>
      <c r="G1002">
        <f t="shared" si="172"/>
        <v>7</v>
      </c>
      <c r="H1002" t="str">
        <f t="shared" si="182"/>
        <v>BTC</v>
      </c>
      <c r="I1002" t="str">
        <f>LEFT(B1002,4)</f>
        <v>GOTX</v>
      </c>
      <c r="J1002" t="str">
        <f t="shared" si="173"/>
        <v>BTCGOTX</v>
      </c>
      <c r="K1002" t="str">
        <f t="shared" si="174"/>
        <v>GOTXBTC</v>
      </c>
      <c r="L1002">
        <f t="shared" si="175"/>
        <v>0</v>
      </c>
      <c r="M1002">
        <f t="shared" si="176"/>
        <v>1</v>
      </c>
      <c r="N1002" t="b">
        <f t="shared" si="177"/>
        <v>1</v>
      </c>
    </row>
    <row r="1003" spans="1:14" hidden="1" x14ac:dyDescent="0.25">
      <c r="A1003" t="s">
        <v>5</v>
      </c>
      <c r="B1003" t="s">
        <v>886</v>
      </c>
      <c r="C1003" s="1">
        <v>2.3810000000000001E-5</v>
      </c>
      <c r="D1003" s="1">
        <v>1.9530000000000001E-5</v>
      </c>
      <c r="E1003" s="1">
        <v>2.3810000000000001E-5</v>
      </c>
      <c r="F1003" s="1">
        <v>1.9530000000000001E-5</v>
      </c>
      <c r="G1003">
        <f t="shared" si="172"/>
        <v>5</v>
      </c>
      <c r="H1003" t="str">
        <f t="shared" si="182"/>
        <v>BTC</v>
      </c>
      <c r="I1003" t="str">
        <f>LEFT(B1003,2)</f>
        <v>GP</v>
      </c>
      <c r="J1003" t="str">
        <f t="shared" si="173"/>
        <v>BTCGP</v>
      </c>
      <c r="K1003" t="str">
        <f t="shared" si="174"/>
        <v>GPBTC</v>
      </c>
      <c r="L1003">
        <f t="shared" si="175"/>
        <v>0</v>
      </c>
      <c r="M1003">
        <f t="shared" si="176"/>
        <v>1</v>
      </c>
      <c r="N1003" t="b">
        <f t="shared" si="177"/>
        <v>1</v>
      </c>
    </row>
    <row r="1004" spans="1:14" hidden="1" x14ac:dyDescent="0.25">
      <c r="A1004" t="s">
        <v>5</v>
      </c>
      <c r="B1004" t="s">
        <v>1089</v>
      </c>
      <c r="C1004" s="1">
        <v>2.8999999999999998E-7</v>
      </c>
      <c r="D1004" s="1">
        <v>2.4999999999999999E-7</v>
      </c>
      <c r="E1004" s="1">
        <v>2.8999999999999998E-7</v>
      </c>
      <c r="F1004" s="1">
        <v>2.4999999999999999E-7</v>
      </c>
      <c r="G1004">
        <f t="shared" si="172"/>
        <v>6</v>
      </c>
      <c r="H1004" t="str">
        <f t="shared" si="182"/>
        <v>BTC</v>
      </c>
      <c r="I1004" t="str">
        <f>LEFT(B1004,3)</f>
        <v>GPU</v>
      </c>
      <c r="J1004" t="str">
        <f t="shared" si="173"/>
        <v>BTCGPU</v>
      </c>
      <c r="K1004" t="str">
        <f t="shared" si="174"/>
        <v>GPUBTC</v>
      </c>
      <c r="L1004">
        <f t="shared" si="175"/>
        <v>0</v>
      </c>
      <c r="M1004">
        <f t="shared" si="176"/>
        <v>1</v>
      </c>
      <c r="N1004" t="b">
        <f t="shared" si="177"/>
        <v>1</v>
      </c>
    </row>
    <row r="1005" spans="1:14" hidden="1" x14ac:dyDescent="0.25">
      <c r="A1005" t="s">
        <v>5</v>
      </c>
      <c r="B1005" t="s">
        <v>948</v>
      </c>
      <c r="C1005" s="1" t="s">
        <v>435</v>
      </c>
      <c r="D1005" s="1" t="s">
        <v>380</v>
      </c>
      <c r="E1005" s="1" t="s">
        <v>435</v>
      </c>
      <c r="F1005" s="1" t="s">
        <v>380</v>
      </c>
      <c r="G1005">
        <f t="shared" si="172"/>
        <v>7</v>
      </c>
      <c r="H1005" t="str">
        <f t="shared" si="182"/>
        <v>BTC</v>
      </c>
      <c r="I1005" t="str">
        <f>LEFT(B1005,4)</f>
        <v>GRAM</v>
      </c>
      <c r="J1005" t="str">
        <f t="shared" si="173"/>
        <v>BTCGRAM</v>
      </c>
      <c r="K1005" t="str">
        <f t="shared" si="174"/>
        <v>GRAMBTC</v>
      </c>
      <c r="L1005">
        <f t="shared" si="175"/>
        <v>0</v>
      </c>
      <c r="M1005">
        <f t="shared" si="176"/>
        <v>1</v>
      </c>
      <c r="N1005" t="b">
        <f t="shared" si="177"/>
        <v>1</v>
      </c>
    </row>
    <row r="1006" spans="1:14" hidden="1" x14ac:dyDescent="0.25">
      <c r="A1006" t="s">
        <v>5</v>
      </c>
      <c r="B1006" t="s">
        <v>731</v>
      </c>
      <c r="C1006" s="1">
        <v>5.219E-5</v>
      </c>
      <c r="D1006" s="1">
        <v>3.6000000000000001E-5</v>
      </c>
      <c r="E1006" s="1">
        <v>5.219E-5</v>
      </c>
      <c r="F1006" s="1">
        <v>3.6000000000000001E-5</v>
      </c>
      <c r="G1006">
        <f t="shared" si="172"/>
        <v>7</v>
      </c>
      <c r="H1006" t="str">
        <f t="shared" si="182"/>
        <v>BTC</v>
      </c>
      <c r="I1006" t="str">
        <f>LEFT(B1006,4)</f>
        <v>GRAV</v>
      </c>
      <c r="J1006" t="str">
        <f t="shared" si="173"/>
        <v>BTCGRAV</v>
      </c>
      <c r="K1006" t="str">
        <f t="shared" si="174"/>
        <v>GRAVBTC</v>
      </c>
      <c r="L1006">
        <f t="shared" si="175"/>
        <v>0</v>
      </c>
      <c r="M1006">
        <f t="shared" si="176"/>
        <v>1</v>
      </c>
      <c r="N1006" t="b">
        <f t="shared" si="177"/>
        <v>1</v>
      </c>
    </row>
    <row r="1007" spans="1:14" hidden="1" x14ac:dyDescent="0.25">
      <c r="A1007" t="s">
        <v>1403</v>
      </c>
      <c r="B1007" t="s">
        <v>1977</v>
      </c>
      <c r="C1007" s="1">
        <v>20.000000010000001</v>
      </c>
      <c r="D1007" s="1">
        <v>99.999999990000006</v>
      </c>
      <c r="E1007" s="1">
        <v>78</v>
      </c>
      <c r="F1007" s="1">
        <v>20.100000000000001</v>
      </c>
      <c r="G1007">
        <f t="shared" si="172"/>
        <v>7</v>
      </c>
      <c r="H1007" t="str">
        <f>RIGHT(B1007,4)</f>
        <v>DOGE</v>
      </c>
      <c r="I1007" t="str">
        <f>LEFT(B1007,3)</f>
        <v>GRC</v>
      </c>
      <c r="J1007" t="str">
        <f t="shared" si="173"/>
        <v>DOGEGRC</v>
      </c>
      <c r="K1007" t="str">
        <f t="shared" si="174"/>
        <v>GRCDOGE</v>
      </c>
      <c r="L1007">
        <f t="shared" si="175"/>
        <v>0</v>
      </c>
      <c r="M1007">
        <f t="shared" si="176"/>
        <v>1</v>
      </c>
      <c r="N1007" t="b">
        <f t="shared" si="177"/>
        <v>1</v>
      </c>
    </row>
    <row r="1008" spans="1:14" hidden="1" x14ac:dyDescent="0.25">
      <c r="A1008" t="s">
        <v>1403</v>
      </c>
      <c r="B1008" t="s">
        <v>1785</v>
      </c>
      <c r="C1008" s="1">
        <v>6.2001000000000005E-4</v>
      </c>
      <c r="D1008" s="1">
        <v>3.9960000000000004E-3</v>
      </c>
      <c r="E1008" s="1">
        <v>6.9899899999999997E-3</v>
      </c>
      <c r="F1008" s="1">
        <v>1.00001E-3</v>
      </c>
      <c r="G1008">
        <f t="shared" si="172"/>
        <v>6</v>
      </c>
      <c r="H1008" t="str">
        <f t="shared" ref="H1008:H1021" si="183">RIGHT(B1008,3)</f>
        <v>LTC</v>
      </c>
      <c r="I1008" t="str">
        <f>LEFT(B1008,3)</f>
        <v>GRC</v>
      </c>
      <c r="J1008" t="str">
        <f t="shared" si="173"/>
        <v>LTCGRC</v>
      </c>
      <c r="K1008" t="str">
        <f t="shared" si="174"/>
        <v>GRCLTC</v>
      </c>
      <c r="L1008">
        <f t="shared" si="175"/>
        <v>0</v>
      </c>
      <c r="M1008">
        <f t="shared" si="176"/>
        <v>1</v>
      </c>
      <c r="N1008" t="b">
        <f t="shared" si="177"/>
        <v>1</v>
      </c>
    </row>
    <row r="1009" spans="1:14" hidden="1" x14ac:dyDescent="0.25">
      <c r="A1009" t="s">
        <v>1403</v>
      </c>
      <c r="B1009" t="s">
        <v>1601</v>
      </c>
      <c r="C1009" s="1">
        <v>2E-3</v>
      </c>
      <c r="D1009" s="1">
        <v>8.4000000000000005E-2</v>
      </c>
      <c r="E1009" s="1">
        <v>8.8999999999999996E-2</v>
      </c>
      <c r="F1009" s="1">
        <v>7.2999999999999995E-2</v>
      </c>
      <c r="G1009">
        <f t="shared" si="172"/>
        <v>6</v>
      </c>
      <c r="H1009" t="str">
        <f t="shared" si="183"/>
        <v>USD</v>
      </c>
      <c r="I1009" t="str">
        <f>LEFT(B1009,3)</f>
        <v>GRC</v>
      </c>
      <c r="J1009" t="str">
        <f t="shared" si="173"/>
        <v>USDGRC</v>
      </c>
      <c r="K1009" t="str">
        <f t="shared" si="174"/>
        <v>GRCUSD</v>
      </c>
      <c r="L1009">
        <f t="shared" si="175"/>
        <v>0</v>
      </c>
      <c r="M1009">
        <f t="shared" si="176"/>
        <v>1</v>
      </c>
      <c r="N1009" t="b">
        <f t="shared" si="177"/>
        <v>1</v>
      </c>
    </row>
    <row r="1010" spans="1:14" hidden="1" x14ac:dyDescent="0.25">
      <c r="A1010" t="s">
        <v>5</v>
      </c>
      <c r="B1010" t="s">
        <v>375</v>
      </c>
      <c r="C1010" s="1">
        <v>1.4000000000000001E-7</v>
      </c>
      <c r="D1010" s="1">
        <v>1.1999999999999999E-7</v>
      </c>
      <c r="E1010" s="1">
        <v>1.4000000000000001E-7</v>
      </c>
      <c r="F1010" s="1">
        <v>1.1999999999999999E-7</v>
      </c>
      <c r="G1010">
        <f t="shared" si="172"/>
        <v>6</v>
      </c>
      <c r="H1010" t="str">
        <f t="shared" si="183"/>
        <v>BTC</v>
      </c>
      <c r="I1010" t="str">
        <f>LEFT(B1010,3)</f>
        <v>GRE</v>
      </c>
      <c r="J1010" t="str">
        <f t="shared" si="173"/>
        <v>BTCGRE</v>
      </c>
      <c r="K1010" t="str">
        <f t="shared" si="174"/>
        <v>GREBTC</v>
      </c>
      <c r="L1010">
        <f t="shared" si="175"/>
        <v>0</v>
      </c>
      <c r="M1010">
        <f t="shared" si="176"/>
        <v>1</v>
      </c>
      <c r="N1010" t="b">
        <f t="shared" si="177"/>
        <v>1</v>
      </c>
    </row>
    <row r="1011" spans="1:14" hidden="1" x14ac:dyDescent="0.25">
      <c r="A1011" t="s">
        <v>5</v>
      </c>
      <c r="B1011" t="s">
        <v>497</v>
      </c>
      <c r="C1011" s="1">
        <v>7.5000000000000002E-7</v>
      </c>
      <c r="D1011" s="1">
        <v>6.7999999999999995E-7</v>
      </c>
      <c r="E1011" s="1">
        <v>7.5000000000000002E-7</v>
      </c>
      <c r="F1011" s="1">
        <v>6.7999999999999995E-7</v>
      </c>
      <c r="G1011">
        <f t="shared" si="172"/>
        <v>8</v>
      </c>
      <c r="H1011" t="str">
        <f t="shared" si="183"/>
        <v>BTC</v>
      </c>
      <c r="I1011" t="str">
        <f>LEFT(B1011,5)</f>
        <v>GREED</v>
      </c>
      <c r="J1011" t="str">
        <f t="shared" si="173"/>
        <v>BTCGREED</v>
      </c>
      <c r="K1011" t="str">
        <f t="shared" si="174"/>
        <v>GREEDBTC</v>
      </c>
      <c r="L1011">
        <f t="shared" si="175"/>
        <v>0</v>
      </c>
      <c r="M1011">
        <f t="shared" si="176"/>
        <v>1</v>
      </c>
      <c r="N1011" t="b">
        <f t="shared" si="177"/>
        <v>1</v>
      </c>
    </row>
    <row r="1012" spans="1:14" hidden="1" x14ac:dyDescent="0.25">
      <c r="A1012" t="s">
        <v>5</v>
      </c>
      <c r="B1012" t="s">
        <v>824</v>
      </c>
      <c r="C1012" s="1">
        <v>3.9500000000000003E-6</v>
      </c>
      <c r="D1012" s="1">
        <v>2.7499999999999999E-6</v>
      </c>
      <c r="E1012" s="1">
        <v>3.9500000000000003E-6</v>
      </c>
      <c r="F1012" s="1">
        <v>2.7499999999999999E-6</v>
      </c>
      <c r="G1012">
        <f t="shared" si="172"/>
        <v>9</v>
      </c>
      <c r="H1012" t="str">
        <f t="shared" si="183"/>
        <v>BTC</v>
      </c>
      <c r="I1012" t="str">
        <f>LEFT(B1012,6)</f>
        <v>GREENF</v>
      </c>
      <c r="J1012" t="str">
        <f t="shared" si="173"/>
        <v>BTCGREENF</v>
      </c>
      <c r="K1012" t="str">
        <f t="shared" si="174"/>
        <v>GREENFBTC</v>
      </c>
      <c r="L1012">
        <f t="shared" si="175"/>
        <v>0</v>
      </c>
      <c r="M1012">
        <f t="shared" si="176"/>
        <v>1</v>
      </c>
      <c r="N1012" t="b">
        <f t="shared" si="177"/>
        <v>1</v>
      </c>
    </row>
    <row r="1013" spans="1:14" hidden="1" x14ac:dyDescent="0.25">
      <c r="A1013" t="s">
        <v>5</v>
      </c>
      <c r="B1013" t="s">
        <v>1101</v>
      </c>
      <c r="C1013" s="1">
        <v>1.19E-6</v>
      </c>
      <c r="D1013" s="1">
        <v>7.4000000000000001E-7</v>
      </c>
      <c r="E1013" s="1">
        <v>1.19E-6</v>
      </c>
      <c r="F1013" s="1">
        <v>7.4000000000000001E-7</v>
      </c>
      <c r="G1013">
        <f t="shared" si="172"/>
        <v>9</v>
      </c>
      <c r="H1013" t="str">
        <f t="shared" si="183"/>
        <v>BTC</v>
      </c>
      <c r="I1013" t="str">
        <f>LEFT(B1013,6)</f>
        <v>GREXIT</v>
      </c>
      <c r="J1013" t="str">
        <f t="shared" si="173"/>
        <v>BTCGREXIT</v>
      </c>
      <c r="K1013" t="str">
        <f t="shared" si="174"/>
        <v>GREXITBTC</v>
      </c>
      <c r="L1013">
        <f t="shared" si="175"/>
        <v>0</v>
      </c>
      <c r="M1013">
        <f t="shared" si="176"/>
        <v>1</v>
      </c>
      <c r="N1013" t="b">
        <f t="shared" si="177"/>
        <v>1</v>
      </c>
    </row>
    <row r="1014" spans="1:14" hidden="1" x14ac:dyDescent="0.25">
      <c r="A1014" t="s">
        <v>5</v>
      </c>
      <c r="B1014" t="s">
        <v>578</v>
      </c>
      <c r="C1014" s="1">
        <v>1.68E-6</v>
      </c>
      <c r="D1014" s="1">
        <v>1.19E-6</v>
      </c>
      <c r="E1014" s="1">
        <v>1.68E-6</v>
      </c>
      <c r="F1014" s="1">
        <v>1.19E-6</v>
      </c>
      <c r="G1014">
        <f t="shared" si="172"/>
        <v>6</v>
      </c>
      <c r="H1014" t="str">
        <f t="shared" si="183"/>
        <v>BTC</v>
      </c>
      <c r="I1014" t="str">
        <f>LEFT(B1014,3)</f>
        <v>GRF</v>
      </c>
      <c r="J1014" t="str">
        <f t="shared" si="173"/>
        <v>BTCGRF</v>
      </c>
      <c r="K1014" t="str">
        <f t="shared" si="174"/>
        <v>GRFBTC</v>
      </c>
      <c r="L1014">
        <f t="shared" si="175"/>
        <v>0</v>
      </c>
      <c r="M1014">
        <f t="shared" si="176"/>
        <v>1</v>
      </c>
      <c r="N1014" t="b">
        <f t="shared" si="177"/>
        <v>1</v>
      </c>
    </row>
    <row r="1015" spans="1:14" hidden="1" x14ac:dyDescent="0.25">
      <c r="A1015" t="s">
        <v>5</v>
      </c>
      <c r="B1015" t="s">
        <v>1194</v>
      </c>
      <c r="C1015" s="1">
        <v>1.136E-5</v>
      </c>
      <c r="D1015" s="1">
        <v>8.5399999999999996E-6</v>
      </c>
      <c r="E1015" s="1">
        <v>1.136E-5</v>
      </c>
      <c r="F1015" s="1">
        <v>8.5399999999999996E-6</v>
      </c>
      <c r="G1015">
        <f t="shared" si="172"/>
        <v>7</v>
      </c>
      <c r="H1015" t="str">
        <f t="shared" si="183"/>
        <v>BTC</v>
      </c>
      <c r="I1015" t="str">
        <f>LEFT(B1015,4)</f>
        <v>GROW</v>
      </c>
      <c r="J1015" t="str">
        <f t="shared" si="173"/>
        <v>BTCGROW</v>
      </c>
      <c r="K1015" t="str">
        <f t="shared" si="174"/>
        <v>GROWBTC</v>
      </c>
      <c r="L1015">
        <f t="shared" si="175"/>
        <v>0</v>
      </c>
      <c r="M1015">
        <f t="shared" si="176"/>
        <v>1</v>
      </c>
      <c r="N1015" t="b">
        <f t="shared" si="177"/>
        <v>1</v>
      </c>
    </row>
    <row r="1016" spans="1:14" hidden="1" x14ac:dyDescent="0.25">
      <c r="A1016" t="s">
        <v>5</v>
      </c>
      <c r="B1016" t="s">
        <v>758</v>
      </c>
      <c r="C1016" s="1">
        <v>1.46E-6</v>
      </c>
      <c r="D1016" s="1">
        <v>1.3400000000000001E-6</v>
      </c>
      <c r="E1016" s="1">
        <v>1.46E-6</v>
      </c>
      <c r="F1016" s="1">
        <v>1.3400000000000001E-6</v>
      </c>
      <c r="G1016">
        <f t="shared" si="172"/>
        <v>6</v>
      </c>
      <c r="H1016" t="str">
        <f t="shared" si="183"/>
        <v>BTC</v>
      </c>
      <c r="I1016" t="str">
        <f>LEFT(B1016,3)</f>
        <v>GSM</v>
      </c>
      <c r="J1016" t="str">
        <f t="shared" si="173"/>
        <v>BTCGSM</v>
      </c>
      <c r="K1016" t="str">
        <f t="shared" si="174"/>
        <v>GSMBTC</v>
      </c>
      <c r="L1016">
        <f t="shared" si="175"/>
        <v>0</v>
      </c>
      <c r="M1016">
        <f t="shared" si="176"/>
        <v>1</v>
      </c>
      <c r="N1016" t="b">
        <f t="shared" si="177"/>
        <v>1</v>
      </c>
    </row>
    <row r="1017" spans="1:14" hidden="1" x14ac:dyDescent="0.25">
      <c r="A1017" t="s">
        <v>5</v>
      </c>
      <c r="B1017" t="s">
        <v>903</v>
      </c>
      <c r="C1017" s="1">
        <v>7.7800000000000001E-6</v>
      </c>
      <c r="D1017" s="1">
        <v>6.5400000000000001E-6</v>
      </c>
      <c r="E1017" s="1">
        <v>7.7800000000000001E-6</v>
      </c>
      <c r="F1017" s="1">
        <v>6.5400000000000001E-6</v>
      </c>
      <c r="G1017">
        <f t="shared" si="172"/>
        <v>6</v>
      </c>
      <c r="H1017" t="str">
        <f t="shared" si="183"/>
        <v>BTC</v>
      </c>
      <c r="I1017" t="str">
        <f>LEFT(B1017,3)</f>
        <v>GSX</v>
      </c>
      <c r="J1017" t="str">
        <f t="shared" si="173"/>
        <v>BTCGSX</v>
      </c>
      <c r="K1017" t="str">
        <f t="shared" si="174"/>
        <v>GSXBTC</v>
      </c>
      <c r="L1017">
        <f t="shared" si="175"/>
        <v>0</v>
      </c>
      <c r="M1017">
        <f t="shared" si="176"/>
        <v>1</v>
      </c>
      <c r="N1017" t="b">
        <f t="shared" si="177"/>
        <v>1</v>
      </c>
    </row>
    <row r="1018" spans="1:14" hidden="1" x14ac:dyDescent="0.25">
      <c r="A1018" t="s">
        <v>5</v>
      </c>
      <c r="B1018" t="s">
        <v>480</v>
      </c>
      <c r="C1018" s="1">
        <v>1.165E-5</v>
      </c>
      <c r="D1018" s="1">
        <v>6.4999999999999996E-6</v>
      </c>
      <c r="E1018" s="1">
        <v>1.165E-5</v>
      </c>
      <c r="F1018" s="1">
        <v>6.4999999999999996E-6</v>
      </c>
      <c r="G1018">
        <f t="shared" si="172"/>
        <v>6</v>
      </c>
      <c r="H1018" t="str">
        <f t="shared" si="183"/>
        <v>BTC</v>
      </c>
      <c r="I1018" t="str">
        <f>LEFT(B1018,3)</f>
        <v>GSY</v>
      </c>
      <c r="J1018" t="str">
        <f t="shared" si="173"/>
        <v>BTCGSY</v>
      </c>
      <c r="K1018" t="str">
        <f t="shared" si="174"/>
        <v>GSYBTC</v>
      </c>
      <c r="L1018">
        <f t="shared" si="175"/>
        <v>0</v>
      </c>
      <c r="M1018">
        <f t="shared" si="176"/>
        <v>1</v>
      </c>
      <c r="N1018" t="b">
        <f t="shared" si="177"/>
        <v>1</v>
      </c>
    </row>
    <row r="1019" spans="1:14" hidden="1" x14ac:dyDescent="0.25">
      <c r="A1019" t="s">
        <v>5</v>
      </c>
      <c r="B1019" t="s">
        <v>716</v>
      </c>
      <c r="C1019" s="1" t="s">
        <v>361</v>
      </c>
      <c r="D1019" s="1" t="s">
        <v>362</v>
      </c>
      <c r="E1019" s="1" t="s">
        <v>361</v>
      </c>
      <c r="F1019" s="1" t="s">
        <v>362</v>
      </c>
      <c r="G1019">
        <f t="shared" si="172"/>
        <v>5</v>
      </c>
      <c r="H1019" t="str">
        <f t="shared" si="183"/>
        <v>BTC</v>
      </c>
      <c r="I1019" t="str">
        <f>LEFT(B1019,2)</f>
        <v>GT</v>
      </c>
      <c r="J1019" t="str">
        <f t="shared" si="173"/>
        <v>BTCGT</v>
      </c>
      <c r="K1019" t="str">
        <f t="shared" si="174"/>
        <v>GTBTC</v>
      </c>
      <c r="L1019">
        <f t="shared" si="175"/>
        <v>0</v>
      </c>
      <c r="M1019">
        <f t="shared" si="176"/>
        <v>1</v>
      </c>
      <c r="N1019" t="b">
        <f t="shared" si="177"/>
        <v>1</v>
      </c>
    </row>
    <row r="1020" spans="1:14" hidden="1" x14ac:dyDescent="0.25">
      <c r="A1020" t="s">
        <v>5</v>
      </c>
      <c r="B1020" t="s">
        <v>1175</v>
      </c>
      <c r="C1020" s="1">
        <v>5.6899999999999997E-6</v>
      </c>
      <c r="D1020" s="1">
        <v>3.6100000000000002E-6</v>
      </c>
      <c r="E1020" s="1">
        <v>5.6899999999999997E-6</v>
      </c>
      <c r="F1020" s="1">
        <v>3.6100000000000002E-6</v>
      </c>
      <c r="G1020">
        <f t="shared" si="172"/>
        <v>7</v>
      </c>
      <c r="H1020" t="str">
        <f t="shared" si="183"/>
        <v>BTC</v>
      </c>
      <c r="I1020" t="str">
        <f>LEFT(B1020,4)</f>
        <v>GTFO</v>
      </c>
      <c r="J1020" t="str">
        <f t="shared" si="173"/>
        <v>BTCGTFO</v>
      </c>
      <c r="K1020" t="str">
        <f t="shared" si="174"/>
        <v>GTFOBTC</v>
      </c>
      <c r="L1020">
        <f t="shared" si="175"/>
        <v>0</v>
      </c>
      <c r="M1020">
        <f t="shared" si="176"/>
        <v>1</v>
      </c>
      <c r="N1020" t="b">
        <f t="shared" si="177"/>
        <v>1</v>
      </c>
    </row>
    <row r="1021" spans="1:14" hidden="1" x14ac:dyDescent="0.25">
      <c r="A1021" t="s">
        <v>1403</v>
      </c>
      <c r="B1021" t="s">
        <v>1456</v>
      </c>
      <c r="C1021" s="1">
        <v>9.0299999999999998E-3</v>
      </c>
      <c r="D1021" s="1">
        <v>8.9990000000000001E-3</v>
      </c>
      <c r="E1021" s="1">
        <v>8.9990000000000001E-3</v>
      </c>
      <c r="F1021" s="1">
        <v>8.8299999999999993E-3</v>
      </c>
      <c r="G1021">
        <f t="shared" si="172"/>
        <v>6</v>
      </c>
      <c r="H1021" t="str">
        <f t="shared" si="183"/>
        <v>BTC</v>
      </c>
      <c r="I1021" t="str">
        <f t="shared" ref="I1021:I1026" si="184">LEFT(B1021,3)</f>
        <v>GUC</v>
      </c>
      <c r="J1021" t="str">
        <f t="shared" si="173"/>
        <v>BTCGUC</v>
      </c>
      <c r="K1021" t="str">
        <f t="shared" si="174"/>
        <v>GUCBTC</v>
      </c>
      <c r="L1021">
        <f t="shared" si="175"/>
        <v>0</v>
      </c>
      <c r="M1021">
        <f t="shared" si="176"/>
        <v>1</v>
      </c>
      <c r="N1021" t="b">
        <f t="shared" si="177"/>
        <v>1</v>
      </c>
    </row>
    <row r="1022" spans="1:14" hidden="1" x14ac:dyDescent="0.25">
      <c r="A1022" t="s">
        <v>1403</v>
      </c>
      <c r="B1022" t="s">
        <v>1978</v>
      </c>
      <c r="C1022" s="1">
        <v>1050.00000006</v>
      </c>
      <c r="D1022" s="1">
        <v>1050.00000006</v>
      </c>
      <c r="E1022" s="1">
        <v>999950.00000005995</v>
      </c>
      <c r="F1022" s="1">
        <v>11.03000056</v>
      </c>
      <c r="G1022">
        <f t="shared" si="172"/>
        <v>7</v>
      </c>
      <c r="H1022" t="str">
        <f>RIGHT(B1022,4)</f>
        <v>DOGE</v>
      </c>
      <c r="I1022" t="str">
        <f t="shared" si="184"/>
        <v>GUC</v>
      </c>
      <c r="J1022" t="str">
        <f t="shared" si="173"/>
        <v>DOGEGUC</v>
      </c>
      <c r="K1022" t="str">
        <f t="shared" si="174"/>
        <v>GUCDOGE</v>
      </c>
      <c r="L1022">
        <f t="shared" si="175"/>
        <v>0</v>
      </c>
      <c r="M1022">
        <f t="shared" si="176"/>
        <v>1</v>
      </c>
      <c r="N1022" t="b">
        <f t="shared" si="177"/>
        <v>1</v>
      </c>
    </row>
    <row r="1023" spans="1:14" hidden="1" x14ac:dyDescent="0.25">
      <c r="A1023" t="s">
        <v>1403</v>
      </c>
      <c r="B1023" t="s">
        <v>1786</v>
      </c>
      <c r="C1023" s="1">
        <v>0</v>
      </c>
      <c r="D1023" s="1">
        <v>0</v>
      </c>
      <c r="E1023" s="1">
        <v>102.99999997</v>
      </c>
      <c r="F1023" s="1">
        <v>1.000003E-2</v>
      </c>
      <c r="G1023">
        <f t="shared" si="172"/>
        <v>6</v>
      </c>
      <c r="H1023" t="str">
        <f t="shared" ref="H1023:H1030" si="185">RIGHT(B1023,3)</f>
        <v>LTC</v>
      </c>
      <c r="I1023" t="str">
        <f t="shared" si="184"/>
        <v>GUC</v>
      </c>
      <c r="J1023" t="str">
        <f t="shared" si="173"/>
        <v>LTCGUC</v>
      </c>
      <c r="K1023" t="str">
        <f t="shared" si="174"/>
        <v>GUCLTC</v>
      </c>
      <c r="L1023">
        <f t="shared" si="175"/>
        <v>0</v>
      </c>
      <c r="M1023">
        <f t="shared" si="176"/>
        <v>1</v>
      </c>
      <c r="N1023" t="b">
        <f t="shared" si="177"/>
        <v>1</v>
      </c>
    </row>
    <row r="1024" spans="1:14" hidden="1" x14ac:dyDescent="0.25">
      <c r="A1024" t="s">
        <v>1403</v>
      </c>
      <c r="B1024" t="s">
        <v>1602</v>
      </c>
      <c r="C1024" s="1">
        <v>10</v>
      </c>
      <c r="D1024" s="1">
        <v>10</v>
      </c>
      <c r="E1024" s="1">
        <v>1041</v>
      </c>
      <c r="F1024" s="1">
        <v>0.50001108999999999</v>
      </c>
      <c r="G1024">
        <f t="shared" si="172"/>
        <v>6</v>
      </c>
      <c r="H1024" t="str">
        <f t="shared" si="185"/>
        <v>USD</v>
      </c>
      <c r="I1024" t="str">
        <f t="shared" si="184"/>
        <v>GUC</v>
      </c>
      <c r="J1024" t="str">
        <f t="shared" si="173"/>
        <v>USDGUC</v>
      </c>
      <c r="K1024" t="str">
        <f t="shared" si="174"/>
        <v>GUCUSD</v>
      </c>
      <c r="L1024">
        <f t="shared" si="175"/>
        <v>0</v>
      </c>
      <c r="M1024">
        <f t="shared" si="176"/>
        <v>1</v>
      </c>
      <c r="N1024" t="b">
        <f t="shared" si="177"/>
        <v>1</v>
      </c>
    </row>
    <row r="1025" spans="1:14" hidden="1" x14ac:dyDescent="0.25">
      <c r="A1025" t="s">
        <v>5</v>
      </c>
      <c r="B1025" t="s">
        <v>804</v>
      </c>
      <c r="C1025" s="1">
        <v>8.5000000000000001E-7</v>
      </c>
      <c r="D1025" s="1">
        <v>8.4E-7</v>
      </c>
      <c r="E1025" s="1">
        <v>8.5000000000000001E-7</v>
      </c>
      <c r="F1025" s="1">
        <v>8.4E-7</v>
      </c>
      <c r="G1025">
        <f t="shared" ref="G1025:G1088" si="186">LEN(B1025)</f>
        <v>6</v>
      </c>
      <c r="H1025" t="str">
        <f t="shared" si="185"/>
        <v>BTC</v>
      </c>
      <c r="I1025" t="str">
        <f t="shared" si="184"/>
        <v>GUM</v>
      </c>
      <c r="J1025" t="str">
        <f t="shared" ref="J1025:J1088" si="187">CONCATENATE(H1025,I1025)</f>
        <v>BTCGUM</v>
      </c>
      <c r="K1025" t="str">
        <f t="shared" ref="K1025:K1088" si="188">CONCATENATE(I1025,H1025)</f>
        <v>GUMBTC</v>
      </c>
      <c r="L1025">
        <f t="shared" ref="L1025:L1088" si="189">COUNTIF(B:B,J1025)</f>
        <v>0</v>
      </c>
      <c r="M1025">
        <f t="shared" ref="M1025:M1088" si="190">COUNTIF(B:B,K1025)</f>
        <v>1</v>
      </c>
      <c r="N1025" t="b">
        <f t="shared" ref="N1025:N1088" si="191">L1025=0</f>
        <v>1</v>
      </c>
    </row>
    <row r="1026" spans="1:14" hidden="1" x14ac:dyDescent="0.25">
      <c r="A1026" t="s">
        <v>1239</v>
      </c>
      <c r="B1026" t="s">
        <v>1277</v>
      </c>
      <c r="C1026" s="1">
        <v>7.25E-6</v>
      </c>
      <c r="D1026" s="1">
        <v>4.8899999999999998E-6</v>
      </c>
      <c r="E1026" s="1">
        <v>7.25E-6</v>
      </c>
      <c r="F1026" s="1">
        <v>4.8899999999999998E-6</v>
      </c>
      <c r="G1026">
        <f t="shared" si="186"/>
        <v>6</v>
      </c>
      <c r="H1026" t="str">
        <f t="shared" si="185"/>
        <v>BTC</v>
      </c>
      <c r="I1026" t="str">
        <f t="shared" si="184"/>
        <v>GYC</v>
      </c>
      <c r="J1026" t="str">
        <f t="shared" si="187"/>
        <v>BTCGYC</v>
      </c>
      <c r="K1026" t="str">
        <f t="shared" si="188"/>
        <v>GYCBTC</v>
      </c>
      <c r="L1026">
        <f t="shared" si="189"/>
        <v>0</v>
      </c>
      <c r="M1026">
        <f t="shared" si="190"/>
        <v>1</v>
      </c>
      <c r="N1026" t="b">
        <f t="shared" si="191"/>
        <v>1</v>
      </c>
    </row>
    <row r="1027" spans="1:14" hidden="1" x14ac:dyDescent="0.25">
      <c r="A1027" t="s">
        <v>5</v>
      </c>
      <c r="B1027" t="s">
        <v>1147</v>
      </c>
      <c r="C1027" s="1" t="s">
        <v>381</v>
      </c>
      <c r="D1027" s="1" t="s">
        <v>384</v>
      </c>
      <c r="E1027" s="1" t="s">
        <v>381</v>
      </c>
      <c r="F1027" s="1" t="s">
        <v>384</v>
      </c>
      <c r="G1027">
        <f t="shared" si="186"/>
        <v>8</v>
      </c>
      <c r="H1027" t="str">
        <f t="shared" si="185"/>
        <v>BTC</v>
      </c>
      <c r="I1027" t="str">
        <f>LEFT(B1027,5)</f>
        <v>HALLO</v>
      </c>
      <c r="J1027" t="str">
        <f t="shared" si="187"/>
        <v>BTCHALLO</v>
      </c>
      <c r="K1027" t="str">
        <f t="shared" si="188"/>
        <v>HALLOBTC</v>
      </c>
      <c r="L1027">
        <f t="shared" si="189"/>
        <v>0</v>
      </c>
      <c r="M1027">
        <f t="shared" si="190"/>
        <v>1</v>
      </c>
      <c r="N1027" t="b">
        <f t="shared" si="191"/>
        <v>1</v>
      </c>
    </row>
    <row r="1028" spans="1:14" hidden="1" x14ac:dyDescent="0.25">
      <c r="A1028" t="s">
        <v>5</v>
      </c>
      <c r="B1028" t="s">
        <v>958</v>
      </c>
      <c r="C1028" s="1" t="s">
        <v>329</v>
      </c>
      <c r="D1028" s="1">
        <v>1.68E-6</v>
      </c>
      <c r="E1028" s="1" t="s">
        <v>329</v>
      </c>
      <c r="F1028" s="1">
        <v>1.68E-6</v>
      </c>
      <c r="G1028">
        <f t="shared" si="186"/>
        <v>7</v>
      </c>
      <c r="H1028" t="str">
        <f t="shared" si="185"/>
        <v>BTC</v>
      </c>
      <c r="I1028" t="str">
        <f>LEFT(B1028,4)</f>
        <v>HAMS</v>
      </c>
      <c r="J1028" t="str">
        <f t="shared" si="187"/>
        <v>BTCHAMS</v>
      </c>
      <c r="K1028" t="str">
        <f t="shared" si="188"/>
        <v>HAMSBTC</v>
      </c>
      <c r="L1028">
        <f t="shared" si="189"/>
        <v>0</v>
      </c>
      <c r="M1028">
        <f t="shared" si="190"/>
        <v>1</v>
      </c>
      <c r="N1028" t="b">
        <f t="shared" si="191"/>
        <v>1</v>
      </c>
    </row>
    <row r="1029" spans="1:14" hidden="1" x14ac:dyDescent="0.25">
      <c r="A1029" t="s">
        <v>5</v>
      </c>
      <c r="B1029" t="s">
        <v>501</v>
      </c>
      <c r="C1029" s="1">
        <v>1.5999999999999999E-6</v>
      </c>
      <c r="D1029" s="1">
        <v>1.5200000000000001E-6</v>
      </c>
      <c r="E1029" s="1">
        <v>1.5999999999999999E-6</v>
      </c>
      <c r="F1029" s="1">
        <v>1.5200000000000001E-6</v>
      </c>
      <c r="G1029">
        <f t="shared" si="186"/>
        <v>7</v>
      </c>
      <c r="H1029" t="str">
        <f t="shared" si="185"/>
        <v>BTC</v>
      </c>
      <c r="I1029" t="str">
        <f>LEFT(B1029,4)</f>
        <v>HAWK</v>
      </c>
      <c r="J1029" t="str">
        <f t="shared" si="187"/>
        <v>BTCHAWK</v>
      </c>
      <c r="K1029" t="str">
        <f t="shared" si="188"/>
        <v>HAWKBTC</v>
      </c>
      <c r="L1029">
        <f t="shared" si="189"/>
        <v>0</v>
      </c>
      <c r="M1029">
        <f t="shared" si="190"/>
        <v>1</v>
      </c>
      <c r="N1029" t="b">
        <f t="shared" si="191"/>
        <v>1</v>
      </c>
    </row>
    <row r="1030" spans="1:14" hidden="1" x14ac:dyDescent="0.25">
      <c r="A1030" t="s">
        <v>5</v>
      </c>
      <c r="B1030" t="s">
        <v>1110</v>
      </c>
      <c r="C1030" s="1" t="s">
        <v>528</v>
      </c>
      <c r="D1030" s="1" t="s">
        <v>403</v>
      </c>
      <c r="E1030" s="1" t="s">
        <v>528</v>
      </c>
      <c r="F1030" s="1" t="s">
        <v>403</v>
      </c>
      <c r="G1030">
        <f t="shared" si="186"/>
        <v>7</v>
      </c>
      <c r="H1030" t="str">
        <f t="shared" si="185"/>
        <v>BTC</v>
      </c>
      <c r="I1030" t="str">
        <f>LEFT(B1030,4)</f>
        <v>HAZE</v>
      </c>
      <c r="J1030" t="str">
        <f t="shared" si="187"/>
        <v>BTCHAZE</v>
      </c>
      <c r="K1030" t="str">
        <f t="shared" si="188"/>
        <v>HAZEBTC</v>
      </c>
      <c r="L1030">
        <f t="shared" si="189"/>
        <v>0</v>
      </c>
      <c r="M1030">
        <f t="shared" si="190"/>
        <v>1</v>
      </c>
      <c r="N1030" t="b">
        <f t="shared" si="191"/>
        <v>1</v>
      </c>
    </row>
    <row r="1031" spans="1:14" hidden="1" x14ac:dyDescent="0.25">
      <c r="A1031" t="s">
        <v>1403</v>
      </c>
      <c r="B1031" t="s">
        <v>1980</v>
      </c>
      <c r="C1031" s="1">
        <v>1.0100001300000001</v>
      </c>
      <c r="D1031" s="1">
        <v>1.0100001300000001</v>
      </c>
      <c r="E1031" s="1">
        <v>0.98999899999999996</v>
      </c>
      <c r="F1031" s="1">
        <v>1.200008E-2</v>
      </c>
      <c r="G1031">
        <f t="shared" si="186"/>
        <v>7</v>
      </c>
      <c r="H1031" t="str">
        <f>RIGHT(B1031,4)</f>
        <v>DOGE</v>
      </c>
      <c r="I1031" t="str">
        <f>LEFT(B1031,3)</f>
        <v>HCC</v>
      </c>
      <c r="J1031" t="str">
        <f t="shared" si="187"/>
        <v>DOGEHCC</v>
      </c>
      <c r="K1031" t="str">
        <f t="shared" si="188"/>
        <v>HCCDOGE</v>
      </c>
      <c r="L1031">
        <f t="shared" si="189"/>
        <v>0</v>
      </c>
      <c r="M1031">
        <f t="shared" si="190"/>
        <v>1</v>
      </c>
      <c r="N1031" t="b">
        <f t="shared" si="191"/>
        <v>1</v>
      </c>
    </row>
    <row r="1032" spans="1:14" hidden="1" x14ac:dyDescent="0.25">
      <c r="A1032" t="s">
        <v>1403</v>
      </c>
      <c r="B1032" t="s">
        <v>1788</v>
      </c>
      <c r="C1032" s="1">
        <v>4.2400000000000001E-4</v>
      </c>
      <c r="D1032" s="1">
        <v>4.2400000000000001E-4</v>
      </c>
      <c r="E1032" s="1">
        <v>4.1795999999999999E-4</v>
      </c>
      <c r="F1032" s="1">
        <v>2.2000000000000001E-7</v>
      </c>
      <c r="G1032">
        <f t="shared" si="186"/>
        <v>6</v>
      </c>
      <c r="H1032" t="str">
        <f>RIGHT(B1032,3)</f>
        <v>LTC</v>
      </c>
      <c r="I1032" t="str">
        <f>LEFT(B1032,3)</f>
        <v>HCC</v>
      </c>
      <c r="J1032" t="str">
        <f t="shared" si="187"/>
        <v>LTCHCC</v>
      </c>
      <c r="K1032" t="str">
        <f t="shared" si="188"/>
        <v>HCCLTC</v>
      </c>
      <c r="L1032">
        <f t="shared" si="189"/>
        <v>0</v>
      </c>
      <c r="M1032">
        <f t="shared" si="190"/>
        <v>1</v>
      </c>
      <c r="N1032" t="b">
        <f t="shared" si="191"/>
        <v>1</v>
      </c>
    </row>
    <row r="1033" spans="1:14" hidden="1" x14ac:dyDescent="0.25">
      <c r="A1033" t="s">
        <v>1403</v>
      </c>
      <c r="B1033" t="s">
        <v>1604</v>
      </c>
      <c r="C1033" s="1">
        <v>1.8E-3</v>
      </c>
      <c r="D1033" s="1">
        <v>1.8E-3</v>
      </c>
      <c r="E1033" s="1">
        <v>1.5E-3</v>
      </c>
      <c r="F1033" s="1">
        <v>1.9040999999999999E-4</v>
      </c>
      <c r="G1033">
        <f t="shared" si="186"/>
        <v>6</v>
      </c>
      <c r="H1033" t="str">
        <f>RIGHT(B1033,3)</f>
        <v>USD</v>
      </c>
      <c r="I1033" t="str">
        <f>LEFT(B1033,3)</f>
        <v>HCC</v>
      </c>
      <c r="J1033" t="str">
        <f t="shared" si="187"/>
        <v>USDHCC</v>
      </c>
      <c r="K1033" t="str">
        <f t="shared" si="188"/>
        <v>HCCUSD</v>
      </c>
      <c r="L1033">
        <f t="shared" si="189"/>
        <v>0</v>
      </c>
      <c r="M1033">
        <f t="shared" si="190"/>
        <v>1</v>
      </c>
      <c r="N1033" t="b">
        <f t="shared" si="191"/>
        <v>1</v>
      </c>
    </row>
    <row r="1034" spans="1:14" hidden="1" x14ac:dyDescent="0.25">
      <c r="A1034" t="s">
        <v>1403</v>
      </c>
      <c r="B1034" t="s">
        <v>1457</v>
      </c>
      <c r="C1034" s="1">
        <v>1.2501999999999999E-4</v>
      </c>
      <c r="D1034" s="1">
        <v>1.4797000000000001E-4</v>
      </c>
      <c r="E1034" s="1">
        <v>1.4796000000000001E-4</v>
      </c>
      <c r="F1034" s="1">
        <v>1.2502999999999999E-4</v>
      </c>
      <c r="G1034">
        <f t="shared" si="186"/>
        <v>7</v>
      </c>
      <c r="H1034" t="str">
        <f>RIGHT(B1034,3)</f>
        <v>BTC</v>
      </c>
      <c r="I1034" t="str">
        <f t="shared" ref="I1034:I1039" si="192">LEFT(B1034,4)</f>
        <v>HEAT</v>
      </c>
      <c r="J1034" t="str">
        <f t="shared" si="187"/>
        <v>BTCHEAT</v>
      </c>
      <c r="K1034" t="str">
        <f t="shared" si="188"/>
        <v>HEATBTC</v>
      </c>
      <c r="L1034">
        <f t="shared" si="189"/>
        <v>0</v>
      </c>
      <c r="M1034">
        <f t="shared" si="190"/>
        <v>1</v>
      </c>
      <c r="N1034" t="b">
        <f t="shared" si="191"/>
        <v>1</v>
      </c>
    </row>
    <row r="1035" spans="1:14" hidden="1" x14ac:dyDescent="0.25">
      <c r="A1035" t="s">
        <v>1403</v>
      </c>
      <c r="B1035" t="s">
        <v>1979</v>
      </c>
      <c r="C1035" s="1">
        <v>115</v>
      </c>
      <c r="D1035" s="1">
        <v>115</v>
      </c>
      <c r="E1035" s="1">
        <v>115</v>
      </c>
      <c r="F1035" s="1">
        <v>106.41338349</v>
      </c>
      <c r="G1035">
        <f t="shared" si="186"/>
        <v>8</v>
      </c>
      <c r="H1035" t="str">
        <f>RIGHT(B1035,4)</f>
        <v>DOGE</v>
      </c>
      <c r="I1035" t="str">
        <f t="shared" si="192"/>
        <v>HEAT</v>
      </c>
      <c r="J1035" t="str">
        <f t="shared" si="187"/>
        <v>DOGEHEAT</v>
      </c>
      <c r="K1035" t="str">
        <f t="shared" si="188"/>
        <v>HEATDOGE</v>
      </c>
      <c r="L1035">
        <f t="shared" si="189"/>
        <v>0</v>
      </c>
      <c r="M1035">
        <f t="shared" si="190"/>
        <v>1</v>
      </c>
      <c r="N1035" t="b">
        <f t="shared" si="191"/>
        <v>1</v>
      </c>
    </row>
    <row r="1036" spans="1:14" hidden="1" x14ac:dyDescent="0.25">
      <c r="A1036" t="s">
        <v>1403</v>
      </c>
      <c r="B1036" t="s">
        <v>1787</v>
      </c>
      <c r="C1036" s="1">
        <v>1.385714E-2</v>
      </c>
      <c r="D1036" s="1">
        <v>1.385714E-2</v>
      </c>
      <c r="E1036" s="1">
        <v>1.385714E-2</v>
      </c>
      <c r="F1036" s="1">
        <v>8.3971400000000009E-3</v>
      </c>
      <c r="G1036">
        <f t="shared" si="186"/>
        <v>7</v>
      </c>
      <c r="H1036" t="str">
        <f t="shared" ref="H1036:H1041" si="193">RIGHT(B1036,3)</f>
        <v>LTC</v>
      </c>
      <c r="I1036" t="str">
        <f t="shared" si="192"/>
        <v>HEAT</v>
      </c>
      <c r="J1036" t="str">
        <f t="shared" si="187"/>
        <v>LTCHEAT</v>
      </c>
      <c r="K1036" t="str">
        <f t="shared" si="188"/>
        <v>HEATLTC</v>
      </c>
      <c r="L1036">
        <f t="shared" si="189"/>
        <v>0</v>
      </c>
      <c r="M1036">
        <f t="shared" si="190"/>
        <v>1</v>
      </c>
      <c r="N1036" t="b">
        <f t="shared" si="191"/>
        <v>1</v>
      </c>
    </row>
    <row r="1037" spans="1:14" hidden="1" x14ac:dyDescent="0.25">
      <c r="A1037" t="s">
        <v>1403</v>
      </c>
      <c r="B1037" t="s">
        <v>1603</v>
      </c>
      <c r="C1037" s="1">
        <v>0.52</v>
      </c>
      <c r="D1037" s="1">
        <v>0.52</v>
      </c>
      <c r="E1037" s="1">
        <v>0.45</v>
      </c>
      <c r="F1037" s="1">
        <v>0.32400000000000001</v>
      </c>
      <c r="G1037">
        <f t="shared" si="186"/>
        <v>7</v>
      </c>
      <c r="H1037" t="str">
        <f t="shared" si="193"/>
        <v>USD</v>
      </c>
      <c r="I1037" t="str">
        <f t="shared" si="192"/>
        <v>HEAT</v>
      </c>
      <c r="J1037" t="str">
        <f t="shared" si="187"/>
        <v>USDHEAT</v>
      </c>
      <c r="K1037" t="str">
        <f t="shared" si="188"/>
        <v>HEATUSD</v>
      </c>
      <c r="L1037">
        <f t="shared" si="189"/>
        <v>0</v>
      </c>
      <c r="M1037">
        <f t="shared" si="190"/>
        <v>1</v>
      </c>
      <c r="N1037" t="b">
        <f t="shared" si="191"/>
        <v>1</v>
      </c>
    </row>
    <row r="1038" spans="1:14" hidden="1" x14ac:dyDescent="0.25">
      <c r="A1038" t="s">
        <v>5</v>
      </c>
      <c r="B1038" t="s">
        <v>514</v>
      </c>
      <c r="C1038" s="1">
        <v>5.5000000000000003E-7</v>
      </c>
      <c r="D1038" s="1" t="s">
        <v>401</v>
      </c>
      <c r="E1038" s="1">
        <v>5.5000000000000003E-7</v>
      </c>
      <c r="F1038" s="1" t="s">
        <v>401</v>
      </c>
      <c r="G1038">
        <f t="shared" si="186"/>
        <v>7</v>
      </c>
      <c r="H1038" t="str">
        <f t="shared" si="193"/>
        <v>BTC</v>
      </c>
      <c r="I1038" t="str">
        <f t="shared" si="192"/>
        <v>HEDG</v>
      </c>
      <c r="J1038" t="str">
        <f t="shared" si="187"/>
        <v>BTCHEDG</v>
      </c>
      <c r="K1038" t="str">
        <f t="shared" si="188"/>
        <v>HEDGBTC</v>
      </c>
      <c r="L1038">
        <f t="shared" si="189"/>
        <v>0</v>
      </c>
      <c r="M1038">
        <f t="shared" si="190"/>
        <v>1</v>
      </c>
      <c r="N1038" t="b">
        <f t="shared" si="191"/>
        <v>1</v>
      </c>
    </row>
    <row r="1039" spans="1:14" hidden="1" x14ac:dyDescent="0.25">
      <c r="A1039" t="s">
        <v>5</v>
      </c>
      <c r="B1039" t="s">
        <v>661</v>
      </c>
      <c r="C1039" s="1" t="s">
        <v>374</v>
      </c>
      <c r="D1039" s="1" t="s">
        <v>368</v>
      </c>
      <c r="E1039" s="1" t="s">
        <v>374</v>
      </c>
      <c r="F1039" s="1" t="s">
        <v>368</v>
      </c>
      <c r="G1039">
        <f t="shared" si="186"/>
        <v>7</v>
      </c>
      <c r="H1039" t="str">
        <f t="shared" si="193"/>
        <v>BTC</v>
      </c>
      <c r="I1039" t="str">
        <f t="shared" si="192"/>
        <v>HEEL</v>
      </c>
      <c r="J1039" t="str">
        <f t="shared" si="187"/>
        <v>BTCHEEL</v>
      </c>
      <c r="K1039" t="str">
        <f t="shared" si="188"/>
        <v>HEELBTC</v>
      </c>
      <c r="L1039">
        <f t="shared" si="189"/>
        <v>0</v>
      </c>
      <c r="M1039">
        <f t="shared" si="190"/>
        <v>1</v>
      </c>
      <c r="N1039" t="b">
        <f t="shared" si="191"/>
        <v>1</v>
      </c>
    </row>
    <row r="1040" spans="1:14" hidden="1" x14ac:dyDescent="0.25">
      <c r="A1040" t="s">
        <v>5</v>
      </c>
      <c r="B1040" t="s">
        <v>740</v>
      </c>
      <c r="C1040" s="1" t="s">
        <v>362</v>
      </c>
      <c r="D1040" s="1" t="s">
        <v>364</v>
      </c>
      <c r="E1040" s="1" t="s">
        <v>362</v>
      </c>
      <c r="F1040" s="1">
        <v>1.19E-6</v>
      </c>
      <c r="G1040">
        <f t="shared" si="186"/>
        <v>8</v>
      </c>
      <c r="H1040" t="str">
        <f t="shared" si="193"/>
        <v>BTC</v>
      </c>
      <c r="I1040" t="str">
        <f>LEFT(B1040,5)</f>
        <v>HIFUN</v>
      </c>
      <c r="J1040" t="str">
        <f t="shared" si="187"/>
        <v>BTCHIFUN</v>
      </c>
      <c r="K1040" t="str">
        <f t="shared" si="188"/>
        <v>HIFUNBTC</v>
      </c>
      <c r="L1040">
        <f t="shared" si="189"/>
        <v>0</v>
      </c>
      <c r="M1040">
        <f t="shared" si="190"/>
        <v>1</v>
      </c>
      <c r="N1040" t="b">
        <f t="shared" si="191"/>
        <v>1</v>
      </c>
    </row>
    <row r="1041" spans="1:14" hidden="1" x14ac:dyDescent="0.25">
      <c r="A1041" t="s">
        <v>1403</v>
      </c>
      <c r="B1041" t="s">
        <v>1458</v>
      </c>
      <c r="C1041" s="1" t="s">
        <v>362</v>
      </c>
      <c r="D1041" s="1" t="s">
        <v>362</v>
      </c>
      <c r="E1041" s="1" t="s">
        <v>362</v>
      </c>
      <c r="F1041" s="1" t="s">
        <v>362</v>
      </c>
      <c r="G1041">
        <f t="shared" si="186"/>
        <v>7</v>
      </c>
      <c r="H1041" t="str">
        <f t="shared" si="193"/>
        <v>BTC</v>
      </c>
      <c r="I1041" t="str">
        <f>LEFT(B1041,4)</f>
        <v>HILL</v>
      </c>
      <c r="J1041" t="str">
        <f t="shared" si="187"/>
        <v>BTCHILL</v>
      </c>
      <c r="K1041" t="str">
        <f t="shared" si="188"/>
        <v>HILLBTC</v>
      </c>
      <c r="L1041">
        <f t="shared" si="189"/>
        <v>0</v>
      </c>
      <c r="M1041">
        <f t="shared" si="190"/>
        <v>1</v>
      </c>
      <c r="N1041" t="b">
        <f t="shared" si="191"/>
        <v>1</v>
      </c>
    </row>
    <row r="1042" spans="1:14" hidden="1" x14ac:dyDescent="0.25">
      <c r="A1042" t="s">
        <v>1403</v>
      </c>
      <c r="B1042" t="s">
        <v>1981</v>
      </c>
      <c r="C1042" s="1">
        <v>1.458514E-2</v>
      </c>
      <c r="D1042" s="1">
        <v>1.458514E-2</v>
      </c>
      <c r="E1042" s="1">
        <v>1.458514E-2</v>
      </c>
      <c r="F1042" s="1">
        <v>2.5200000000000001E-3</v>
      </c>
      <c r="G1042">
        <f t="shared" si="186"/>
        <v>8</v>
      </c>
      <c r="H1042" t="str">
        <f>RIGHT(B1042,4)</f>
        <v>DOGE</v>
      </c>
      <c r="I1042" t="str">
        <f>LEFT(B1042,4)</f>
        <v>HILL</v>
      </c>
      <c r="J1042" t="str">
        <f t="shared" si="187"/>
        <v>DOGEHILL</v>
      </c>
      <c r="K1042" t="str">
        <f t="shared" si="188"/>
        <v>HILLDOGE</v>
      </c>
      <c r="L1042">
        <f t="shared" si="189"/>
        <v>0</v>
      </c>
      <c r="M1042">
        <f t="shared" si="190"/>
        <v>1</v>
      </c>
      <c r="N1042" t="b">
        <f t="shared" si="191"/>
        <v>1</v>
      </c>
    </row>
    <row r="1043" spans="1:14" hidden="1" x14ac:dyDescent="0.25">
      <c r="A1043" t="s">
        <v>1403</v>
      </c>
      <c r="B1043" t="s">
        <v>1789</v>
      </c>
      <c r="C1043" s="1" t="s">
        <v>528</v>
      </c>
      <c r="D1043" s="1" t="s">
        <v>528</v>
      </c>
      <c r="E1043" s="1">
        <v>9.9499999999999996E-6</v>
      </c>
      <c r="F1043" s="1">
        <v>2.4999999999999999E-7</v>
      </c>
      <c r="G1043">
        <f t="shared" si="186"/>
        <v>7</v>
      </c>
      <c r="H1043" t="str">
        <f t="shared" ref="H1043:H1053" si="194">RIGHT(B1043,3)</f>
        <v>LTC</v>
      </c>
      <c r="I1043" t="str">
        <f>LEFT(B1043,4)</f>
        <v>HILL</v>
      </c>
      <c r="J1043" t="str">
        <f t="shared" si="187"/>
        <v>LTCHILL</v>
      </c>
      <c r="K1043" t="str">
        <f t="shared" si="188"/>
        <v>HILLLTC</v>
      </c>
      <c r="L1043">
        <f t="shared" si="189"/>
        <v>0</v>
      </c>
      <c r="M1043">
        <f t="shared" si="190"/>
        <v>1</v>
      </c>
      <c r="N1043" t="b">
        <f t="shared" si="191"/>
        <v>1</v>
      </c>
    </row>
    <row r="1044" spans="1:14" hidden="1" x14ac:dyDescent="0.25">
      <c r="A1044" t="s">
        <v>1403</v>
      </c>
      <c r="B1044" t="s">
        <v>1605</v>
      </c>
      <c r="C1044" s="1">
        <v>2.0149999999999999E-5</v>
      </c>
      <c r="D1044" s="1">
        <v>2.0149999999999999E-5</v>
      </c>
      <c r="E1044" s="1">
        <v>1.2E-4</v>
      </c>
      <c r="F1044" s="1">
        <v>1.702E-5</v>
      </c>
      <c r="G1044">
        <f t="shared" si="186"/>
        <v>7</v>
      </c>
      <c r="H1044" t="str">
        <f t="shared" si="194"/>
        <v>USD</v>
      </c>
      <c r="I1044" t="str">
        <f>LEFT(B1044,4)</f>
        <v>HILL</v>
      </c>
      <c r="J1044" t="str">
        <f t="shared" si="187"/>
        <v>USDHILL</v>
      </c>
      <c r="K1044" t="str">
        <f t="shared" si="188"/>
        <v>HILLUSD</v>
      </c>
      <c r="L1044">
        <f t="shared" si="189"/>
        <v>0</v>
      </c>
      <c r="M1044">
        <f t="shared" si="190"/>
        <v>1</v>
      </c>
      <c r="N1044" t="b">
        <f t="shared" si="191"/>
        <v>1</v>
      </c>
    </row>
    <row r="1045" spans="1:14" hidden="1" x14ac:dyDescent="0.25">
      <c r="A1045" t="s">
        <v>5</v>
      </c>
      <c r="B1045" t="s">
        <v>1115</v>
      </c>
      <c r="C1045" s="1">
        <v>2.1500000000000002E-6</v>
      </c>
      <c r="D1045" s="1">
        <v>2.0700000000000001E-6</v>
      </c>
      <c r="E1045" s="1">
        <v>2.1500000000000002E-6</v>
      </c>
      <c r="F1045" s="1">
        <v>2.0700000000000001E-6</v>
      </c>
      <c r="G1045">
        <f t="shared" si="186"/>
        <v>7</v>
      </c>
      <c r="H1045" t="str">
        <f t="shared" si="194"/>
        <v>BTC</v>
      </c>
      <c r="I1045" t="str">
        <f>LEFT(B1045,4)</f>
        <v>HIRE</v>
      </c>
      <c r="J1045" t="str">
        <f t="shared" si="187"/>
        <v>BTCHIRE</v>
      </c>
      <c r="K1045" t="str">
        <f t="shared" si="188"/>
        <v>HIREBTC</v>
      </c>
      <c r="L1045">
        <f t="shared" si="189"/>
        <v>0</v>
      </c>
      <c r="M1045">
        <f t="shared" si="190"/>
        <v>1</v>
      </c>
      <c r="N1045" t="b">
        <f t="shared" si="191"/>
        <v>1</v>
      </c>
    </row>
    <row r="1046" spans="1:14" hidden="1" x14ac:dyDescent="0.25">
      <c r="A1046" t="s">
        <v>5</v>
      </c>
      <c r="B1046" t="s">
        <v>561</v>
      </c>
      <c r="C1046" s="1" t="s">
        <v>381</v>
      </c>
      <c r="D1046" s="1" t="s">
        <v>384</v>
      </c>
      <c r="E1046" s="1" t="s">
        <v>381</v>
      </c>
      <c r="F1046" s="1" t="s">
        <v>384</v>
      </c>
      <c r="G1046">
        <f t="shared" si="186"/>
        <v>6</v>
      </c>
      <c r="H1046" t="str">
        <f t="shared" si="194"/>
        <v>BTC</v>
      </c>
      <c r="I1046" t="str">
        <f>LEFT(B1046,3)</f>
        <v>HMP</v>
      </c>
      <c r="J1046" t="str">
        <f t="shared" si="187"/>
        <v>BTCHMP</v>
      </c>
      <c r="K1046" t="str">
        <f t="shared" si="188"/>
        <v>HMPBTC</v>
      </c>
      <c r="L1046">
        <f t="shared" si="189"/>
        <v>0</v>
      </c>
      <c r="M1046">
        <f t="shared" si="190"/>
        <v>1</v>
      </c>
      <c r="N1046" t="b">
        <f t="shared" si="191"/>
        <v>1</v>
      </c>
    </row>
    <row r="1047" spans="1:14" hidden="1" x14ac:dyDescent="0.25">
      <c r="A1047" t="s">
        <v>1239</v>
      </c>
      <c r="B1047" t="s">
        <v>1265</v>
      </c>
      <c r="C1047" s="1">
        <v>2.8700000000000001E-6</v>
      </c>
      <c r="D1047" s="1">
        <v>2.4899999999999999E-6</v>
      </c>
      <c r="E1047" s="1">
        <v>2.8700000000000001E-6</v>
      </c>
      <c r="F1047" s="1">
        <v>2.48E-6</v>
      </c>
      <c r="G1047">
        <f t="shared" si="186"/>
        <v>6</v>
      </c>
      <c r="H1047" t="str">
        <f t="shared" si="194"/>
        <v>BTC</v>
      </c>
      <c r="I1047" t="str">
        <f>LEFT(B1047,3)</f>
        <v>HNC</v>
      </c>
      <c r="J1047" t="str">
        <f t="shared" si="187"/>
        <v>BTCHNC</v>
      </c>
      <c r="K1047" t="str">
        <f t="shared" si="188"/>
        <v>HNCBTC</v>
      </c>
      <c r="L1047">
        <f t="shared" si="189"/>
        <v>0</v>
      </c>
      <c r="M1047">
        <f t="shared" si="190"/>
        <v>1</v>
      </c>
      <c r="N1047" t="b">
        <f t="shared" si="191"/>
        <v>1</v>
      </c>
    </row>
    <row r="1048" spans="1:14" hidden="1" x14ac:dyDescent="0.25">
      <c r="A1048" t="s">
        <v>5</v>
      </c>
      <c r="B1048" t="s">
        <v>761</v>
      </c>
      <c r="C1048" s="1">
        <v>1.7E-6</v>
      </c>
      <c r="D1048" s="1">
        <v>1.6899999999999999E-6</v>
      </c>
      <c r="E1048" s="1">
        <v>1.7E-6</v>
      </c>
      <c r="F1048" s="1">
        <v>1.6899999999999999E-6</v>
      </c>
      <c r="G1048">
        <f t="shared" si="186"/>
        <v>7</v>
      </c>
      <c r="H1048" t="str">
        <f t="shared" si="194"/>
        <v>BTC</v>
      </c>
      <c r="I1048" t="str">
        <f>LEFT(B1048,4)</f>
        <v>HODL</v>
      </c>
      <c r="J1048" t="str">
        <f t="shared" si="187"/>
        <v>BTCHODL</v>
      </c>
      <c r="K1048" t="str">
        <f t="shared" si="188"/>
        <v>HODLBTC</v>
      </c>
      <c r="L1048">
        <f t="shared" si="189"/>
        <v>0</v>
      </c>
      <c r="M1048">
        <f t="shared" si="190"/>
        <v>1</v>
      </c>
      <c r="N1048" t="b">
        <f t="shared" si="191"/>
        <v>1</v>
      </c>
    </row>
    <row r="1049" spans="1:14" hidden="1" x14ac:dyDescent="0.25">
      <c r="A1049" t="s">
        <v>5</v>
      </c>
      <c r="B1049" t="s">
        <v>676</v>
      </c>
      <c r="C1049" s="1">
        <v>3.977E-5</v>
      </c>
      <c r="D1049" s="1">
        <v>3.6949999999999997E-5</v>
      </c>
      <c r="E1049" s="1">
        <v>3.977E-5</v>
      </c>
      <c r="F1049" s="1">
        <v>3.6949999999999997E-5</v>
      </c>
      <c r="G1049">
        <f t="shared" si="186"/>
        <v>6</v>
      </c>
      <c r="H1049" t="str">
        <f t="shared" si="194"/>
        <v>BTC</v>
      </c>
      <c r="I1049" t="str">
        <f>LEFT(B1049,3)</f>
        <v>HPC</v>
      </c>
      <c r="J1049" t="str">
        <f t="shared" si="187"/>
        <v>BTCHPC</v>
      </c>
      <c r="K1049" t="str">
        <f t="shared" si="188"/>
        <v>HPCBTC</v>
      </c>
      <c r="L1049">
        <f t="shared" si="189"/>
        <v>0</v>
      </c>
      <c r="M1049">
        <f t="shared" si="190"/>
        <v>1</v>
      </c>
      <c r="N1049" t="b">
        <f t="shared" si="191"/>
        <v>1</v>
      </c>
    </row>
    <row r="1050" spans="1:14" hidden="1" x14ac:dyDescent="0.25">
      <c r="A1050" t="s">
        <v>5</v>
      </c>
      <c r="B1050" t="s">
        <v>1018</v>
      </c>
      <c r="C1050" s="1">
        <v>1.19E-6</v>
      </c>
      <c r="D1050" s="1">
        <v>1.02E-6</v>
      </c>
      <c r="E1050" s="1">
        <v>1.19E-6</v>
      </c>
      <c r="F1050" s="1">
        <v>1.02E-6</v>
      </c>
      <c r="G1050">
        <f t="shared" si="186"/>
        <v>6</v>
      </c>
      <c r="H1050" t="str">
        <f t="shared" si="194"/>
        <v>BTC</v>
      </c>
      <c r="I1050" t="str">
        <f>LEFT(B1050,3)</f>
        <v>HSP</v>
      </c>
      <c r="J1050" t="str">
        <f t="shared" si="187"/>
        <v>BTCHSP</v>
      </c>
      <c r="K1050" t="str">
        <f t="shared" si="188"/>
        <v>HSPBTC</v>
      </c>
      <c r="L1050">
        <f t="shared" si="189"/>
        <v>0</v>
      </c>
      <c r="M1050">
        <f t="shared" si="190"/>
        <v>1</v>
      </c>
      <c r="N1050" t="b">
        <f t="shared" si="191"/>
        <v>1</v>
      </c>
    </row>
    <row r="1051" spans="1:14" hidden="1" x14ac:dyDescent="0.25">
      <c r="A1051" t="s">
        <v>5</v>
      </c>
      <c r="B1051" t="s">
        <v>1014</v>
      </c>
      <c r="C1051" s="1" t="s">
        <v>361</v>
      </c>
      <c r="D1051" s="1" t="s">
        <v>362</v>
      </c>
      <c r="E1051" s="1" t="s">
        <v>361</v>
      </c>
      <c r="F1051" s="1" t="s">
        <v>362</v>
      </c>
      <c r="G1051">
        <f t="shared" si="186"/>
        <v>6</v>
      </c>
      <c r="H1051" t="str">
        <f t="shared" si="194"/>
        <v>BTC</v>
      </c>
      <c r="I1051" t="str">
        <f>LEFT(B1051,3)</f>
        <v>HTC</v>
      </c>
      <c r="J1051" t="str">
        <f t="shared" si="187"/>
        <v>BTCHTC</v>
      </c>
      <c r="K1051" t="str">
        <f t="shared" si="188"/>
        <v>HTCBTC</v>
      </c>
      <c r="L1051">
        <f t="shared" si="189"/>
        <v>0</v>
      </c>
      <c r="M1051">
        <f t="shared" si="190"/>
        <v>1</v>
      </c>
      <c r="N1051" t="b">
        <f t="shared" si="191"/>
        <v>1</v>
      </c>
    </row>
    <row r="1052" spans="1:14" hidden="1" x14ac:dyDescent="0.25">
      <c r="A1052" t="s">
        <v>5</v>
      </c>
      <c r="B1052" t="s">
        <v>1083</v>
      </c>
      <c r="C1052" s="1" t="s">
        <v>361</v>
      </c>
      <c r="D1052" s="1" t="s">
        <v>362</v>
      </c>
      <c r="E1052" s="1" t="s">
        <v>361</v>
      </c>
      <c r="F1052" s="1" t="s">
        <v>362</v>
      </c>
      <c r="G1052">
        <f t="shared" si="186"/>
        <v>8</v>
      </c>
      <c r="H1052" t="str">
        <f t="shared" si="194"/>
        <v>BTC</v>
      </c>
      <c r="I1052" t="str">
        <f>LEFT(B1052,5)</f>
        <v>HTML5</v>
      </c>
      <c r="J1052" t="str">
        <f t="shared" si="187"/>
        <v>BTCHTML5</v>
      </c>
      <c r="K1052" t="str">
        <f t="shared" si="188"/>
        <v>HTML5BTC</v>
      </c>
      <c r="L1052">
        <f t="shared" si="189"/>
        <v>0</v>
      </c>
      <c r="M1052">
        <f t="shared" si="190"/>
        <v>1</v>
      </c>
      <c r="N1052" t="b">
        <f t="shared" si="191"/>
        <v>1</v>
      </c>
    </row>
    <row r="1053" spans="1:14" hidden="1" x14ac:dyDescent="0.25">
      <c r="A1053" t="s">
        <v>1403</v>
      </c>
      <c r="B1053" t="s">
        <v>1459</v>
      </c>
      <c r="C1053" s="1" t="s">
        <v>362</v>
      </c>
      <c r="D1053" s="1" t="s">
        <v>362</v>
      </c>
      <c r="E1053" s="1" t="s">
        <v>362</v>
      </c>
      <c r="F1053" s="1" t="s">
        <v>362</v>
      </c>
      <c r="G1053">
        <f t="shared" si="186"/>
        <v>6</v>
      </c>
      <c r="H1053" t="str">
        <f t="shared" si="194"/>
        <v>BTC</v>
      </c>
      <c r="I1053" t="str">
        <f>LEFT(B1053,3)</f>
        <v>HTS</v>
      </c>
      <c r="J1053" t="str">
        <f t="shared" si="187"/>
        <v>BTCHTS</v>
      </c>
      <c r="K1053" t="str">
        <f t="shared" si="188"/>
        <v>HTSBTC</v>
      </c>
      <c r="L1053">
        <f t="shared" si="189"/>
        <v>0</v>
      </c>
      <c r="M1053">
        <f t="shared" si="190"/>
        <v>1</v>
      </c>
      <c r="N1053" t="b">
        <f t="shared" si="191"/>
        <v>1</v>
      </c>
    </row>
    <row r="1054" spans="1:14" hidden="1" x14ac:dyDescent="0.25">
      <c r="A1054" t="s">
        <v>1403</v>
      </c>
      <c r="B1054" t="s">
        <v>1982</v>
      </c>
      <c r="C1054" s="1">
        <v>8.9990000000000001E-2</v>
      </c>
      <c r="D1054" s="1">
        <v>8.9990000000000001E-2</v>
      </c>
      <c r="E1054" s="1">
        <v>8.9989990000000006E-2</v>
      </c>
      <c r="F1054" s="1">
        <v>4.4999999999999997E-3</v>
      </c>
      <c r="G1054">
        <f t="shared" si="186"/>
        <v>7</v>
      </c>
      <c r="H1054" t="str">
        <f>RIGHT(B1054,4)</f>
        <v>DOGE</v>
      </c>
      <c r="I1054" t="str">
        <f>LEFT(B1054,3)</f>
        <v>HTS</v>
      </c>
      <c r="J1054" t="str">
        <f t="shared" si="187"/>
        <v>DOGEHTS</v>
      </c>
      <c r="K1054" t="str">
        <f t="shared" si="188"/>
        <v>HTSDOGE</v>
      </c>
      <c r="L1054">
        <f t="shared" si="189"/>
        <v>0</v>
      </c>
      <c r="M1054">
        <f t="shared" si="190"/>
        <v>1</v>
      </c>
      <c r="N1054" t="b">
        <f t="shared" si="191"/>
        <v>1</v>
      </c>
    </row>
    <row r="1055" spans="1:14" hidden="1" x14ac:dyDescent="0.25">
      <c r="A1055" t="s">
        <v>1403</v>
      </c>
      <c r="B1055" t="s">
        <v>1790</v>
      </c>
      <c r="C1055" s="1">
        <v>2.8798000000000002E-4</v>
      </c>
      <c r="D1055" s="1">
        <v>2.8798000000000002E-4</v>
      </c>
      <c r="E1055" s="1" t="s">
        <v>96</v>
      </c>
      <c r="F1055" s="1">
        <v>5.0999999999999999E-7</v>
      </c>
      <c r="G1055">
        <f t="shared" si="186"/>
        <v>6</v>
      </c>
      <c r="H1055" t="str">
        <f>RIGHT(B1055,3)</f>
        <v>LTC</v>
      </c>
      <c r="I1055" t="str">
        <f>LEFT(B1055,3)</f>
        <v>HTS</v>
      </c>
      <c r="J1055" t="str">
        <f t="shared" si="187"/>
        <v>LTCHTS</v>
      </c>
      <c r="K1055" t="str">
        <f t="shared" si="188"/>
        <v>HTSLTC</v>
      </c>
      <c r="L1055">
        <f t="shared" si="189"/>
        <v>0</v>
      </c>
      <c r="M1055">
        <f t="shared" si="190"/>
        <v>1</v>
      </c>
      <c r="N1055" t="b">
        <f t="shared" si="191"/>
        <v>1</v>
      </c>
    </row>
    <row r="1056" spans="1:14" hidden="1" x14ac:dyDescent="0.25">
      <c r="A1056" t="s">
        <v>1403</v>
      </c>
      <c r="B1056" t="s">
        <v>1606</v>
      </c>
      <c r="C1056" s="1">
        <v>3.4539999999999998E-5</v>
      </c>
      <c r="D1056" s="1">
        <v>3.4539999999999998E-5</v>
      </c>
      <c r="E1056" s="1">
        <v>3.7920000000000003E-5</v>
      </c>
      <c r="F1056" s="1">
        <v>5.31E-6</v>
      </c>
      <c r="G1056">
        <f t="shared" si="186"/>
        <v>6</v>
      </c>
      <c r="H1056" t="str">
        <f>RIGHT(B1056,3)</f>
        <v>USD</v>
      </c>
      <c r="I1056" t="str">
        <f>LEFT(B1056,3)</f>
        <v>HTS</v>
      </c>
      <c r="J1056" t="str">
        <f t="shared" si="187"/>
        <v>USDHTS</v>
      </c>
      <c r="K1056" t="str">
        <f t="shared" si="188"/>
        <v>HTSUSD</v>
      </c>
      <c r="L1056">
        <f t="shared" si="189"/>
        <v>0</v>
      </c>
      <c r="M1056">
        <f t="shared" si="190"/>
        <v>1</v>
      </c>
      <c r="N1056" t="b">
        <f t="shared" si="191"/>
        <v>1</v>
      </c>
    </row>
    <row r="1057" spans="1:14" hidden="1" x14ac:dyDescent="0.25">
      <c r="A1057" t="s">
        <v>5</v>
      </c>
      <c r="B1057" t="s">
        <v>571</v>
      </c>
      <c r="C1057" s="1">
        <v>2.61E-6</v>
      </c>
      <c r="D1057" s="1">
        <v>1.61E-6</v>
      </c>
      <c r="E1057" s="1">
        <v>2.61E-6</v>
      </c>
      <c r="F1057" s="1">
        <v>1.61E-6</v>
      </c>
      <c r="G1057">
        <f t="shared" si="186"/>
        <v>7</v>
      </c>
      <c r="H1057" t="str">
        <f>RIGHT(B1057,3)</f>
        <v>BTC</v>
      </c>
      <c r="I1057" t="str">
        <f>LEFT(B1057,4)</f>
        <v>HVCO</v>
      </c>
      <c r="J1057" t="str">
        <f t="shared" si="187"/>
        <v>BTCHVCO</v>
      </c>
      <c r="K1057" t="str">
        <f t="shared" si="188"/>
        <v>HVCOBTC</v>
      </c>
      <c r="L1057">
        <f t="shared" si="189"/>
        <v>0</v>
      </c>
      <c r="M1057">
        <f t="shared" si="190"/>
        <v>1</v>
      </c>
      <c r="N1057" t="b">
        <f t="shared" si="191"/>
        <v>1</v>
      </c>
    </row>
    <row r="1058" spans="1:14" hidden="1" x14ac:dyDescent="0.25">
      <c r="A1058" t="s">
        <v>1403</v>
      </c>
      <c r="B1058" t="s">
        <v>1983</v>
      </c>
      <c r="C1058" s="1">
        <v>6.68</v>
      </c>
      <c r="D1058" s="1">
        <v>6.68</v>
      </c>
      <c r="E1058" s="1">
        <v>649.99999994999996</v>
      </c>
      <c r="F1058" s="1">
        <v>1.0002399999999999E-3</v>
      </c>
      <c r="G1058">
        <f t="shared" si="186"/>
        <v>7</v>
      </c>
      <c r="H1058" t="str">
        <f>RIGHT(B1058,4)</f>
        <v>DOGE</v>
      </c>
      <c r="I1058" t="str">
        <f>LEFT(B1058,3)</f>
        <v>HXX</v>
      </c>
      <c r="J1058" t="str">
        <f t="shared" si="187"/>
        <v>DOGEHXX</v>
      </c>
      <c r="K1058" t="str">
        <f t="shared" si="188"/>
        <v>HXXDOGE</v>
      </c>
      <c r="L1058">
        <f t="shared" si="189"/>
        <v>0</v>
      </c>
      <c r="M1058">
        <f t="shared" si="190"/>
        <v>1</v>
      </c>
      <c r="N1058" t="b">
        <f t="shared" si="191"/>
        <v>1</v>
      </c>
    </row>
    <row r="1059" spans="1:14" hidden="1" x14ac:dyDescent="0.25">
      <c r="A1059" t="s">
        <v>1403</v>
      </c>
      <c r="B1059" t="s">
        <v>1791</v>
      </c>
      <c r="C1059" s="1">
        <v>0</v>
      </c>
      <c r="D1059" s="1">
        <v>0</v>
      </c>
      <c r="E1059" s="1">
        <v>0.32299994999999998</v>
      </c>
      <c r="F1059" s="1">
        <v>1.0005000000000001E-4</v>
      </c>
      <c r="G1059">
        <f t="shared" si="186"/>
        <v>6</v>
      </c>
      <c r="H1059" t="str">
        <f>RIGHT(B1059,3)</f>
        <v>LTC</v>
      </c>
      <c r="I1059" t="str">
        <f>LEFT(B1059,3)</f>
        <v>HXX</v>
      </c>
      <c r="J1059" t="str">
        <f t="shared" si="187"/>
        <v>LTCHXX</v>
      </c>
      <c r="K1059" t="str">
        <f t="shared" si="188"/>
        <v>HXXLTC</v>
      </c>
      <c r="L1059">
        <f t="shared" si="189"/>
        <v>0</v>
      </c>
      <c r="M1059">
        <f t="shared" si="190"/>
        <v>1</v>
      </c>
      <c r="N1059" t="b">
        <f t="shared" si="191"/>
        <v>1</v>
      </c>
    </row>
    <row r="1060" spans="1:14" hidden="1" x14ac:dyDescent="0.25">
      <c r="A1060" t="s">
        <v>1403</v>
      </c>
      <c r="B1060" t="s">
        <v>1607</v>
      </c>
      <c r="C1060" s="1">
        <v>0.8</v>
      </c>
      <c r="D1060" s="1">
        <v>0.8</v>
      </c>
      <c r="E1060" s="1">
        <v>0.32374998999999999</v>
      </c>
      <c r="F1060" s="1">
        <v>1.2820100000000001E-3</v>
      </c>
      <c r="G1060">
        <f t="shared" si="186"/>
        <v>6</v>
      </c>
      <c r="H1060" t="str">
        <f>RIGHT(B1060,3)</f>
        <v>USD</v>
      </c>
      <c r="I1060" t="str">
        <f>LEFT(B1060,3)</f>
        <v>HXX</v>
      </c>
      <c r="J1060" t="str">
        <f t="shared" si="187"/>
        <v>USDHXX</v>
      </c>
      <c r="K1060" t="str">
        <f t="shared" si="188"/>
        <v>HXXUSD</v>
      </c>
      <c r="L1060">
        <f t="shared" si="189"/>
        <v>0</v>
      </c>
      <c r="M1060">
        <f t="shared" si="190"/>
        <v>1</v>
      </c>
      <c r="N1060" t="b">
        <f t="shared" si="191"/>
        <v>1</v>
      </c>
    </row>
    <row r="1061" spans="1:14" hidden="1" x14ac:dyDescent="0.25">
      <c r="A1061" t="s">
        <v>5</v>
      </c>
      <c r="B1061" t="s">
        <v>929</v>
      </c>
      <c r="C1061" s="1">
        <v>1.4300000000000001E-6</v>
      </c>
      <c r="D1061" s="1">
        <v>1.1000000000000001E-6</v>
      </c>
      <c r="E1061" s="1">
        <v>1.4300000000000001E-6</v>
      </c>
      <c r="F1061" s="1">
        <v>1.1000000000000001E-6</v>
      </c>
      <c r="G1061">
        <f t="shared" si="186"/>
        <v>6</v>
      </c>
      <c r="H1061" t="str">
        <f>RIGHT(B1061,3)</f>
        <v>BTC</v>
      </c>
      <c r="I1061" t="str">
        <f>LEFT(B1061,3)</f>
        <v>HZT</v>
      </c>
      <c r="J1061" t="str">
        <f t="shared" si="187"/>
        <v>BTCHZT</v>
      </c>
      <c r="K1061" t="str">
        <f t="shared" si="188"/>
        <v>HZTBTC</v>
      </c>
      <c r="L1061">
        <f t="shared" si="189"/>
        <v>0</v>
      </c>
      <c r="M1061">
        <f t="shared" si="190"/>
        <v>1</v>
      </c>
      <c r="N1061" t="b">
        <f t="shared" si="191"/>
        <v>1</v>
      </c>
    </row>
    <row r="1062" spans="1:14" hidden="1" x14ac:dyDescent="0.25">
      <c r="A1062" t="s">
        <v>5</v>
      </c>
      <c r="B1062" t="s">
        <v>922</v>
      </c>
      <c r="C1062" s="1">
        <v>1.0499999999999999E-6</v>
      </c>
      <c r="D1062" s="1">
        <v>8.2999999999999999E-7</v>
      </c>
      <c r="E1062" s="1">
        <v>1.0499999999999999E-6</v>
      </c>
      <c r="F1062" s="1">
        <v>8.2999999999999999E-7</v>
      </c>
      <c r="G1062">
        <f t="shared" si="186"/>
        <v>8</v>
      </c>
      <c r="H1062" t="str">
        <f>RIGHT(B1062,3)</f>
        <v>BTC</v>
      </c>
      <c r="I1062" t="str">
        <f>LEFT(B1062,5)</f>
        <v>IBANK</v>
      </c>
      <c r="J1062" t="str">
        <f t="shared" si="187"/>
        <v>BTCIBANK</v>
      </c>
      <c r="K1062" t="str">
        <f t="shared" si="188"/>
        <v>IBANKBTC</v>
      </c>
      <c r="L1062">
        <f t="shared" si="189"/>
        <v>0</v>
      </c>
      <c r="M1062">
        <f t="shared" si="190"/>
        <v>1</v>
      </c>
      <c r="N1062" t="b">
        <f t="shared" si="191"/>
        <v>1</v>
      </c>
    </row>
    <row r="1063" spans="1:14" hidden="1" x14ac:dyDescent="0.25">
      <c r="A1063" t="s">
        <v>1403</v>
      </c>
      <c r="B1063" t="s">
        <v>1460</v>
      </c>
      <c r="C1063" s="1" t="s">
        <v>362</v>
      </c>
      <c r="D1063" s="1" t="s">
        <v>361</v>
      </c>
      <c r="E1063" s="1" t="s">
        <v>361</v>
      </c>
      <c r="F1063" s="1" t="s">
        <v>361</v>
      </c>
      <c r="G1063">
        <f t="shared" si="186"/>
        <v>6</v>
      </c>
      <c r="H1063" t="str">
        <f>RIGHT(B1063,3)</f>
        <v>BTC</v>
      </c>
      <c r="I1063" t="str">
        <f>LEFT(B1063,3)</f>
        <v>IBC</v>
      </c>
      <c r="J1063" t="str">
        <f t="shared" si="187"/>
        <v>BTCIBC</v>
      </c>
      <c r="K1063" t="str">
        <f t="shared" si="188"/>
        <v>IBCBTC</v>
      </c>
      <c r="L1063">
        <f t="shared" si="189"/>
        <v>0</v>
      </c>
      <c r="M1063">
        <f t="shared" si="190"/>
        <v>1</v>
      </c>
      <c r="N1063" t="b">
        <f t="shared" si="191"/>
        <v>1</v>
      </c>
    </row>
    <row r="1064" spans="1:14" hidden="1" x14ac:dyDescent="0.25">
      <c r="A1064" t="s">
        <v>1403</v>
      </c>
      <c r="B1064" t="s">
        <v>1984</v>
      </c>
      <c r="C1064" s="1">
        <v>6.8599999999999994E-2</v>
      </c>
      <c r="D1064" s="1">
        <v>6.8599999999999994E-2</v>
      </c>
      <c r="E1064" s="1">
        <v>5.5555430000000003E-2</v>
      </c>
      <c r="F1064" s="1">
        <v>1.0100199999999999E-3</v>
      </c>
      <c r="G1064">
        <f t="shared" si="186"/>
        <v>7</v>
      </c>
      <c r="H1064" t="str">
        <f>RIGHT(B1064,4)</f>
        <v>DOGE</v>
      </c>
      <c r="I1064" t="str">
        <f>LEFT(B1064,3)</f>
        <v>IBC</v>
      </c>
      <c r="J1064" t="str">
        <f t="shared" si="187"/>
        <v>DOGEIBC</v>
      </c>
      <c r="K1064" t="str">
        <f t="shared" si="188"/>
        <v>IBCDOGE</v>
      </c>
      <c r="L1064">
        <f t="shared" si="189"/>
        <v>0</v>
      </c>
      <c r="M1064">
        <f t="shared" si="190"/>
        <v>1</v>
      </c>
      <c r="N1064" t="b">
        <f t="shared" si="191"/>
        <v>1</v>
      </c>
    </row>
    <row r="1065" spans="1:14" hidden="1" x14ac:dyDescent="0.25">
      <c r="A1065" t="s">
        <v>1403</v>
      </c>
      <c r="B1065" t="s">
        <v>1792</v>
      </c>
      <c r="C1065" s="1">
        <v>3.3330000000000001E-5</v>
      </c>
      <c r="D1065" s="1">
        <v>3.3330000000000001E-5</v>
      </c>
      <c r="E1065" s="1">
        <v>9.9899999999999992E-6</v>
      </c>
      <c r="F1065" s="1" t="s">
        <v>381</v>
      </c>
      <c r="G1065">
        <f t="shared" si="186"/>
        <v>6</v>
      </c>
      <c r="H1065" t="str">
        <f t="shared" ref="H1065:H1074" si="195">RIGHT(B1065,3)</f>
        <v>LTC</v>
      </c>
      <c r="I1065" t="str">
        <f>LEFT(B1065,3)</f>
        <v>IBC</v>
      </c>
      <c r="J1065" t="str">
        <f t="shared" si="187"/>
        <v>LTCIBC</v>
      </c>
      <c r="K1065" t="str">
        <f t="shared" si="188"/>
        <v>IBCLTC</v>
      </c>
      <c r="L1065">
        <f t="shared" si="189"/>
        <v>0</v>
      </c>
      <c r="M1065">
        <f t="shared" si="190"/>
        <v>1</v>
      </c>
      <c r="N1065" t="b">
        <f t="shared" si="191"/>
        <v>1</v>
      </c>
    </row>
    <row r="1066" spans="1:14" hidden="1" x14ac:dyDescent="0.25">
      <c r="A1066" t="s">
        <v>1403</v>
      </c>
      <c r="B1066" t="s">
        <v>1608</v>
      </c>
      <c r="C1066" s="1">
        <v>2.9969999999999999E-5</v>
      </c>
      <c r="D1066" s="1">
        <v>2.9969999999999999E-5</v>
      </c>
      <c r="E1066" s="1">
        <v>4.2209999999999997E-5</v>
      </c>
      <c r="F1066" s="1">
        <v>2.5000000000000001E-5</v>
      </c>
      <c r="G1066">
        <f t="shared" si="186"/>
        <v>6</v>
      </c>
      <c r="H1066" t="str">
        <f t="shared" si="195"/>
        <v>USD</v>
      </c>
      <c r="I1066" t="str">
        <f>LEFT(B1066,3)</f>
        <v>IBC</v>
      </c>
      <c r="J1066" t="str">
        <f t="shared" si="187"/>
        <v>USDIBC</v>
      </c>
      <c r="K1066" t="str">
        <f t="shared" si="188"/>
        <v>IBCUSD</v>
      </c>
      <c r="L1066">
        <f t="shared" si="189"/>
        <v>0</v>
      </c>
      <c r="M1066">
        <f t="shared" si="190"/>
        <v>1</v>
      </c>
      <c r="N1066" t="b">
        <f t="shared" si="191"/>
        <v>1</v>
      </c>
    </row>
    <row r="1067" spans="1:14" hidden="1" x14ac:dyDescent="0.25">
      <c r="A1067" t="s">
        <v>5</v>
      </c>
      <c r="B1067" t="s">
        <v>889</v>
      </c>
      <c r="C1067" s="1">
        <v>1.1999999999999999E-7</v>
      </c>
      <c r="D1067" s="1">
        <v>1.1000000000000001E-7</v>
      </c>
      <c r="E1067" s="1">
        <v>1.1999999999999999E-7</v>
      </c>
      <c r="F1067" s="1">
        <v>1.1000000000000001E-7</v>
      </c>
      <c r="G1067">
        <f t="shared" si="186"/>
        <v>8</v>
      </c>
      <c r="H1067" t="str">
        <f t="shared" si="195"/>
        <v>BTC</v>
      </c>
      <c r="I1067" t="str">
        <f>LEFT(B1067,5)</f>
        <v>IBITS</v>
      </c>
      <c r="J1067" t="str">
        <f t="shared" si="187"/>
        <v>BTCIBITS</v>
      </c>
      <c r="K1067" t="str">
        <f t="shared" si="188"/>
        <v>IBITSBTC</v>
      </c>
      <c r="L1067">
        <f t="shared" si="189"/>
        <v>0</v>
      </c>
      <c r="M1067">
        <f t="shared" si="190"/>
        <v>1</v>
      </c>
      <c r="N1067" t="b">
        <f t="shared" si="191"/>
        <v>1</v>
      </c>
    </row>
    <row r="1068" spans="1:14" hidden="1" x14ac:dyDescent="0.25">
      <c r="A1068" t="s">
        <v>5</v>
      </c>
      <c r="B1068" t="s">
        <v>689</v>
      </c>
      <c r="C1068" s="1">
        <v>2.3499999999999999E-6</v>
      </c>
      <c r="D1068" s="1">
        <v>2.2400000000000002E-6</v>
      </c>
      <c r="E1068" s="1">
        <v>2.3499999999999999E-6</v>
      </c>
      <c r="F1068" s="1">
        <v>2.2400000000000002E-6</v>
      </c>
      <c r="G1068">
        <f t="shared" si="186"/>
        <v>8</v>
      </c>
      <c r="H1068" t="str">
        <f t="shared" si="195"/>
        <v>BTC</v>
      </c>
      <c r="I1068" t="str">
        <f>LEFT(B1068,5)</f>
        <v>ICASH</v>
      </c>
      <c r="J1068" t="str">
        <f t="shared" si="187"/>
        <v>BTCICASH</v>
      </c>
      <c r="K1068" t="str">
        <f t="shared" si="188"/>
        <v>ICASHBTC</v>
      </c>
      <c r="L1068">
        <f t="shared" si="189"/>
        <v>0</v>
      </c>
      <c r="M1068">
        <f t="shared" si="190"/>
        <v>1</v>
      </c>
      <c r="N1068" t="b">
        <f t="shared" si="191"/>
        <v>1</v>
      </c>
    </row>
    <row r="1069" spans="1:14" hidden="1" x14ac:dyDescent="0.25">
      <c r="A1069" t="s">
        <v>3</v>
      </c>
      <c r="B1069" t="s">
        <v>289</v>
      </c>
      <c r="C1069" s="1">
        <v>5.8300000000000001E-3</v>
      </c>
      <c r="D1069" s="1">
        <v>5.7999999999999996E-3</v>
      </c>
      <c r="E1069" s="1">
        <v>5.8300000000000001E-3</v>
      </c>
      <c r="F1069" s="1">
        <v>5.8100000000000001E-3</v>
      </c>
      <c r="G1069">
        <f t="shared" si="186"/>
        <v>6</v>
      </c>
      <c r="H1069" t="str">
        <f t="shared" si="195"/>
        <v>ETH</v>
      </c>
      <c r="I1069" t="str">
        <f>LEFT(B1069,3)</f>
        <v>ICN</v>
      </c>
      <c r="J1069" t="str">
        <f t="shared" si="187"/>
        <v>ETHICN</v>
      </c>
      <c r="K1069" t="str">
        <f t="shared" si="188"/>
        <v>ICNETH</v>
      </c>
      <c r="L1069">
        <f t="shared" si="189"/>
        <v>0</v>
      </c>
      <c r="M1069">
        <f t="shared" si="190"/>
        <v>1</v>
      </c>
      <c r="N1069" t="b">
        <f t="shared" si="191"/>
        <v>1</v>
      </c>
    </row>
    <row r="1070" spans="1:14" hidden="1" x14ac:dyDescent="0.25">
      <c r="A1070" t="s">
        <v>5</v>
      </c>
      <c r="B1070" t="s">
        <v>714</v>
      </c>
      <c r="C1070" s="1" t="s">
        <v>401</v>
      </c>
      <c r="D1070" s="1">
        <v>4.8999999999999997E-7</v>
      </c>
      <c r="E1070" s="1" t="s">
        <v>401</v>
      </c>
      <c r="F1070" s="1">
        <v>4.8999999999999997E-7</v>
      </c>
      <c r="G1070">
        <f t="shared" si="186"/>
        <v>7</v>
      </c>
      <c r="H1070" t="str">
        <f t="shared" si="195"/>
        <v>BTC</v>
      </c>
      <c r="I1070" t="str">
        <f>LEFT(B1070,4)</f>
        <v>ICOB</v>
      </c>
      <c r="J1070" t="str">
        <f t="shared" si="187"/>
        <v>BTCICOB</v>
      </c>
      <c r="K1070" t="str">
        <f t="shared" si="188"/>
        <v>ICOBBTC</v>
      </c>
      <c r="L1070">
        <f t="shared" si="189"/>
        <v>0</v>
      </c>
      <c r="M1070">
        <f t="shared" si="190"/>
        <v>1</v>
      </c>
      <c r="N1070" t="b">
        <f t="shared" si="191"/>
        <v>1</v>
      </c>
    </row>
    <row r="1071" spans="1:14" hidden="1" x14ac:dyDescent="0.25">
      <c r="A1071" t="s">
        <v>5</v>
      </c>
      <c r="B1071" t="s">
        <v>1122</v>
      </c>
      <c r="C1071" s="1">
        <v>5.9900000000000002E-6</v>
      </c>
      <c r="D1071" s="1">
        <v>5.0799999999999996E-6</v>
      </c>
      <c r="E1071" s="1">
        <v>5.9900000000000002E-6</v>
      </c>
      <c r="F1071" s="1">
        <v>5.0799999999999996E-6</v>
      </c>
      <c r="G1071">
        <f t="shared" si="186"/>
        <v>7</v>
      </c>
      <c r="H1071" t="str">
        <f t="shared" si="195"/>
        <v>BTC</v>
      </c>
      <c r="I1071" t="str">
        <f>LEFT(B1071,4)</f>
        <v>ICON</v>
      </c>
      <c r="J1071" t="str">
        <f t="shared" si="187"/>
        <v>BTCICON</v>
      </c>
      <c r="K1071" t="str">
        <f t="shared" si="188"/>
        <v>ICONBTC</v>
      </c>
      <c r="L1071">
        <f t="shared" si="189"/>
        <v>0</v>
      </c>
      <c r="M1071">
        <f t="shared" si="190"/>
        <v>1</v>
      </c>
      <c r="N1071" t="b">
        <f t="shared" si="191"/>
        <v>1</v>
      </c>
    </row>
    <row r="1072" spans="1:14" hidden="1" x14ac:dyDescent="0.25">
      <c r="A1072" t="s">
        <v>5</v>
      </c>
      <c r="B1072" t="s">
        <v>393</v>
      </c>
      <c r="C1072" s="1">
        <v>5.75E-6</v>
      </c>
      <c r="D1072" s="1">
        <v>5.48E-6</v>
      </c>
      <c r="E1072" s="1">
        <v>5.75E-6</v>
      </c>
      <c r="F1072" s="1">
        <v>5.48E-6</v>
      </c>
      <c r="G1072">
        <f t="shared" si="186"/>
        <v>6</v>
      </c>
      <c r="H1072" t="str">
        <f t="shared" si="195"/>
        <v>BTC</v>
      </c>
      <c r="I1072" t="str">
        <f>LEFT(B1072,3)</f>
        <v>IEC</v>
      </c>
      <c r="J1072" t="str">
        <f t="shared" si="187"/>
        <v>BTCIEC</v>
      </c>
      <c r="K1072" t="str">
        <f t="shared" si="188"/>
        <v>IECBTC</v>
      </c>
      <c r="L1072">
        <f t="shared" si="189"/>
        <v>0</v>
      </c>
      <c r="M1072">
        <f t="shared" si="190"/>
        <v>1</v>
      </c>
      <c r="N1072" t="b">
        <f t="shared" si="191"/>
        <v>1</v>
      </c>
    </row>
    <row r="1073" spans="1:14" hidden="1" x14ac:dyDescent="0.25">
      <c r="A1073" t="s">
        <v>5</v>
      </c>
      <c r="B1073" t="s">
        <v>1149</v>
      </c>
      <c r="C1073" s="1" t="s">
        <v>384</v>
      </c>
      <c r="D1073" s="1" t="s">
        <v>361</v>
      </c>
      <c r="E1073" s="1" t="s">
        <v>384</v>
      </c>
      <c r="F1073" s="1" t="s">
        <v>361</v>
      </c>
      <c r="G1073">
        <f t="shared" si="186"/>
        <v>7</v>
      </c>
      <c r="H1073" t="str">
        <f t="shared" si="195"/>
        <v>BTC</v>
      </c>
      <c r="I1073" t="str">
        <f>LEFT(B1073,4)</f>
        <v>IFLT</v>
      </c>
      <c r="J1073" t="str">
        <f t="shared" si="187"/>
        <v>BTCIFLT</v>
      </c>
      <c r="K1073" t="str">
        <f t="shared" si="188"/>
        <v>IFLTBTC</v>
      </c>
      <c r="L1073">
        <f t="shared" si="189"/>
        <v>0</v>
      </c>
      <c r="M1073">
        <f t="shared" si="190"/>
        <v>1</v>
      </c>
      <c r="N1073" t="b">
        <f t="shared" si="191"/>
        <v>1</v>
      </c>
    </row>
    <row r="1074" spans="1:14" hidden="1" x14ac:dyDescent="0.25">
      <c r="A1074" t="s">
        <v>1403</v>
      </c>
      <c r="B1074" t="s">
        <v>1461</v>
      </c>
      <c r="C1074" s="1">
        <v>5.9500000000000003E-5</v>
      </c>
      <c r="D1074" s="1">
        <v>7.1879999999999996E-5</v>
      </c>
      <c r="E1074" s="1">
        <v>6.9989999999999999E-5</v>
      </c>
      <c r="F1074" s="1" t="s">
        <v>1013</v>
      </c>
      <c r="G1074">
        <f t="shared" si="186"/>
        <v>6</v>
      </c>
      <c r="H1074" t="str">
        <f t="shared" si="195"/>
        <v>BTC</v>
      </c>
      <c r="I1074" t="str">
        <f>LEFT(B1074,3)</f>
        <v>ILC</v>
      </c>
      <c r="J1074" t="str">
        <f t="shared" si="187"/>
        <v>BTCILC</v>
      </c>
      <c r="K1074" t="str">
        <f t="shared" si="188"/>
        <v>ILCBTC</v>
      </c>
      <c r="L1074">
        <f t="shared" si="189"/>
        <v>0</v>
      </c>
      <c r="M1074">
        <f t="shared" si="190"/>
        <v>1</v>
      </c>
      <c r="N1074" t="b">
        <f t="shared" si="191"/>
        <v>1</v>
      </c>
    </row>
    <row r="1075" spans="1:14" hidden="1" x14ac:dyDescent="0.25">
      <c r="A1075" t="s">
        <v>1403</v>
      </c>
      <c r="B1075" t="s">
        <v>1985</v>
      </c>
      <c r="C1075" s="1">
        <v>297</v>
      </c>
      <c r="D1075" s="1">
        <v>297</v>
      </c>
      <c r="E1075" s="1">
        <v>297</v>
      </c>
      <c r="F1075" s="1">
        <v>10.000110230000001</v>
      </c>
      <c r="G1075">
        <f t="shared" si="186"/>
        <v>7</v>
      </c>
      <c r="H1075" t="str">
        <f>RIGHT(B1075,4)</f>
        <v>DOGE</v>
      </c>
      <c r="I1075" t="str">
        <f>LEFT(B1075,3)</f>
        <v>ILC</v>
      </c>
      <c r="J1075" t="str">
        <f t="shared" si="187"/>
        <v>DOGEILC</v>
      </c>
      <c r="K1075" t="str">
        <f t="shared" si="188"/>
        <v>ILCDOGE</v>
      </c>
      <c r="L1075">
        <f t="shared" si="189"/>
        <v>0</v>
      </c>
      <c r="M1075">
        <f t="shared" si="190"/>
        <v>1</v>
      </c>
      <c r="N1075" t="b">
        <f t="shared" si="191"/>
        <v>1</v>
      </c>
    </row>
    <row r="1076" spans="1:14" hidden="1" x14ac:dyDescent="0.25">
      <c r="A1076" t="s">
        <v>1403</v>
      </c>
      <c r="B1076" t="s">
        <v>1793</v>
      </c>
      <c r="C1076" s="1">
        <v>0.06</v>
      </c>
      <c r="D1076" s="1">
        <v>0.06</v>
      </c>
      <c r="E1076" s="1">
        <v>5.9999980000000001E-2</v>
      </c>
      <c r="F1076" s="1">
        <v>5.7000000000000005E-7</v>
      </c>
      <c r="G1076">
        <f t="shared" si="186"/>
        <v>6</v>
      </c>
      <c r="H1076" t="str">
        <f t="shared" ref="H1076:H1088" si="196">RIGHT(B1076,3)</f>
        <v>LTC</v>
      </c>
      <c r="I1076" t="str">
        <f>LEFT(B1076,3)</f>
        <v>ILC</v>
      </c>
      <c r="J1076" t="str">
        <f t="shared" si="187"/>
        <v>LTCILC</v>
      </c>
      <c r="K1076" t="str">
        <f t="shared" si="188"/>
        <v>ILCLTC</v>
      </c>
      <c r="L1076">
        <f t="shared" si="189"/>
        <v>0</v>
      </c>
      <c r="M1076">
        <f t="shared" si="190"/>
        <v>1</v>
      </c>
      <c r="N1076" t="b">
        <f t="shared" si="191"/>
        <v>1</v>
      </c>
    </row>
    <row r="1077" spans="1:14" hidden="1" x14ac:dyDescent="0.25">
      <c r="A1077" t="s">
        <v>1403</v>
      </c>
      <c r="B1077" t="s">
        <v>1609</v>
      </c>
      <c r="C1077" s="1">
        <v>0.27400000000000002</v>
      </c>
      <c r="D1077" s="1">
        <v>0.27400000000000002</v>
      </c>
      <c r="E1077" s="1">
        <v>0.2499999</v>
      </c>
      <c r="F1077" s="1">
        <v>0.10110044</v>
      </c>
      <c r="G1077">
        <f t="shared" si="186"/>
        <v>6</v>
      </c>
      <c r="H1077" t="str">
        <f t="shared" si="196"/>
        <v>USD</v>
      </c>
      <c r="I1077" t="str">
        <f>LEFT(B1077,3)</f>
        <v>ILC</v>
      </c>
      <c r="J1077" t="str">
        <f t="shared" si="187"/>
        <v>USDILC</v>
      </c>
      <c r="K1077" t="str">
        <f t="shared" si="188"/>
        <v>ILCUSD</v>
      </c>
      <c r="L1077">
        <f t="shared" si="189"/>
        <v>0</v>
      </c>
      <c r="M1077">
        <f t="shared" si="190"/>
        <v>1</v>
      </c>
      <c r="N1077" t="b">
        <f t="shared" si="191"/>
        <v>1</v>
      </c>
    </row>
    <row r="1078" spans="1:14" hidden="1" x14ac:dyDescent="0.25">
      <c r="A1078" t="s">
        <v>5</v>
      </c>
      <c r="B1078" t="s">
        <v>759</v>
      </c>
      <c r="C1078" s="1">
        <v>2.1E-7</v>
      </c>
      <c r="D1078" s="1">
        <v>1.6E-7</v>
      </c>
      <c r="E1078" s="1">
        <v>2.1E-7</v>
      </c>
      <c r="F1078" s="1">
        <v>1.6E-7</v>
      </c>
      <c r="G1078">
        <f t="shared" si="186"/>
        <v>6</v>
      </c>
      <c r="H1078" t="str">
        <f t="shared" si="196"/>
        <v>BTC</v>
      </c>
      <c r="I1078" t="str">
        <f>LEFT(B1078,3)</f>
        <v>ILM</v>
      </c>
      <c r="J1078" t="str">
        <f t="shared" si="187"/>
        <v>BTCILM</v>
      </c>
      <c r="K1078" t="str">
        <f t="shared" si="188"/>
        <v>ILMBTC</v>
      </c>
      <c r="L1078">
        <f t="shared" si="189"/>
        <v>0</v>
      </c>
      <c r="M1078">
        <f t="shared" si="190"/>
        <v>1</v>
      </c>
      <c r="N1078" t="b">
        <f t="shared" si="191"/>
        <v>1</v>
      </c>
    </row>
    <row r="1079" spans="1:14" hidden="1" x14ac:dyDescent="0.25">
      <c r="A1079" t="s">
        <v>5</v>
      </c>
      <c r="B1079" t="s">
        <v>850</v>
      </c>
      <c r="C1079" s="1">
        <v>2.2000000000000001E-7</v>
      </c>
      <c r="D1079" s="1">
        <v>1.6E-7</v>
      </c>
      <c r="E1079" s="1">
        <v>2.2000000000000001E-7</v>
      </c>
      <c r="F1079" s="1">
        <v>1.6E-7</v>
      </c>
      <c r="G1079">
        <f t="shared" si="186"/>
        <v>7</v>
      </c>
      <c r="H1079" t="str">
        <f t="shared" si="196"/>
        <v>BTC</v>
      </c>
      <c r="I1079" t="str">
        <f>LEFT(B1079,4)</f>
        <v>IMPS</v>
      </c>
      <c r="J1079" t="str">
        <f t="shared" si="187"/>
        <v>BTCIMPS</v>
      </c>
      <c r="K1079" t="str">
        <f t="shared" si="188"/>
        <v>IMPSBTC</v>
      </c>
      <c r="L1079">
        <f t="shared" si="189"/>
        <v>0</v>
      </c>
      <c r="M1079">
        <f t="shared" si="190"/>
        <v>1</v>
      </c>
      <c r="N1079" t="b">
        <f t="shared" si="191"/>
        <v>1</v>
      </c>
    </row>
    <row r="1080" spans="1:14" hidden="1" x14ac:dyDescent="0.25">
      <c r="A1080" t="s">
        <v>5</v>
      </c>
      <c r="B1080" t="s">
        <v>788</v>
      </c>
      <c r="C1080" s="1">
        <v>3.01E-6</v>
      </c>
      <c r="D1080" s="1">
        <v>1.66E-6</v>
      </c>
      <c r="E1080" s="1">
        <v>3.01E-6</v>
      </c>
      <c r="F1080" s="1">
        <v>1.66E-6</v>
      </c>
      <c r="G1080">
        <f t="shared" si="186"/>
        <v>6</v>
      </c>
      <c r="H1080" t="str">
        <f t="shared" si="196"/>
        <v>BTC</v>
      </c>
      <c r="I1080" t="str">
        <f>LEFT(B1080,3)</f>
        <v>IMS</v>
      </c>
      <c r="J1080" t="str">
        <f t="shared" si="187"/>
        <v>BTCIMS</v>
      </c>
      <c r="K1080" t="str">
        <f t="shared" si="188"/>
        <v>IMSBTC</v>
      </c>
      <c r="L1080">
        <f t="shared" si="189"/>
        <v>0</v>
      </c>
      <c r="M1080">
        <f t="shared" si="190"/>
        <v>1</v>
      </c>
      <c r="N1080" t="b">
        <f t="shared" si="191"/>
        <v>1</v>
      </c>
    </row>
    <row r="1081" spans="1:14" hidden="1" x14ac:dyDescent="0.25">
      <c r="A1081" t="s">
        <v>5</v>
      </c>
      <c r="B1081" t="s">
        <v>598</v>
      </c>
      <c r="C1081" s="1" t="s">
        <v>381</v>
      </c>
      <c r="D1081" s="1" t="s">
        <v>384</v>
      </c>
      <c r="E1081" s="1" t="s">
        <v>381</v>
      </c>
      <c r="F1081" s="1" t="s">
        <v>384</v>
      </c>
      <c r="G1081">
        <f t="shared" si="186"/>
        <v>5</v>
      </c>
      <c r="H1081" t="str">
        <f t="shared" si="196"/>
        <v>BTC</v>
      </c>
      <c r="I1081" t="str">
        <f>LEFT(B1081,2)</f>
        <v>IN</v>
      </c>
      <c r="J1081" t="str">
        <f t="shared" si="187"/>
        <v>BTCIN</v>
      </c>
      <c r="K1081" t="str">
        <f t="shared" si="188"/>
        <v>INBTC</v>
      </c>
      <c r="L1081">
        <f t="shared" si="189"/>
        <v>0</v>
      </c>
      <c r="M1081">
        <f t="shared" si="190"/>
        <v>1</v>
      </c>
      <c r="N1081" t="b">
        <f t="shared" si="191"/>
        <v>1</v>
      </c>
    </row>
    <row r="1082" spans="1:14" hidden="1" x14ac:dyDescent="0.25">
      <c r="A1082" t="s">
        <v>5</v>
      </c>
      <c r="B1082" t="s">
        <v>1032</v>
      </c>
      <c r="C1082" s="1">
        <v>8.8999999999999995E-7</v>
      </c>
      <c r="D1082" s="1">
        <v>6.7000000000000004E-7</v>
      </c>
      <c r="E1082" s="1">
        <v>8.8999999999999995E-7</v>
      </c>
      <c r="F1082" s="1">
        <v>6.7000000000000004E-7</v>
      </c>
      <c r="G1082">
        <f t="shared" si="186"/>
        <v>6</v>
      </c>
      <c r="H1082" t="str">
        <f t="shared" si="196"/>
        <v>BTC</v>
      </c>
      <c r="I1082" t="str">
        <f>LEFT(B1082,3)</f>
        <v>INC</v>
      </c>
      <c r="J1082" t="str">
        <f t="shared" si="187"/>
        <v>BTCINC</v>
      </c>
      <c r="K1082" t="str">
        <f t="shared" si="188"/>
        <v>INCBTC</v>
      </c>
      <c r="L1082">
        <f t="shared" si="189"/>
        <v>0</v>
      </c>
      <c r="M1082">
        <f t="shared" si="190"/>
        <v>1</v>
      </c>
      <c r="N1082" t="b">
        <f t="shared" si="191"/>
        <v>1</v>
      </c>
    </row>
    <row r="1083" spans="1:14" hidden="1" x14ac:dyDescent="0.25">
      <c r="A1083" t="s">
        <v>5</v>
      </c>
      <c r="B1083" t="s">
        <v>985</v>
      </c>
      <c r="C1083" s="1">
        <v>1.7799999999999999E-6</v>
      </c>
      <c r="D1083" s="1">
        <v>1.2500000000000001E-6</v>
      </c>
      <c r="E1083" s="1">
        <v>1.7799999999999999E-6</v>
      </c>
      <c r="F1083" s="1">
        <v>1.2500000000000001E-6</v>
      </c>
      <c r="G1083">
        <f t="shared" si="186"/>
        <v>7</v>
      </c>
      <c r="H1083" t="str">
        <f t="shared" si="196"/>
        <v>BTC</v>
      </c>
      <c r="I1083" t="str">
        <f>LEFT(B1083,4)</f>
        <v>INCP</v>
      </c>
      <c r="J1083" t="str">
        <f t="shared" si="187"/>
        <v>BTCINCP</v>
      </c>
      <c r="K1083" t="str">
        <f t="shared" si="188"/>
        <v>INCPBTC</v>
      </c>
      <c r="L1083">
        <f t="shared" si="189"/>
        <v>0</v>
      </c>
      <c r="M1083">
        <f t="shared" si="190"/>
        <v>1</v>
      </c>
      <c r="N1083" t="b">
        <f t="shared" si="191"/>
        <v>1</v>
      </c>
    </row>
    <row r="1084" spans="1:14" hidden="1" x14ac:dyDescent="0.25">
      <c r="A1084" t="s">
        <v>5</v>
      </c>
      <c r="B1084" t="s">
        <v>504</v>
      </c>
      <c r="C1084" s="1">
        <v>3.0380000000000001E-5</v>
      </c>
      <c r="D1084" s="1">
        <v>2.853E-5</v>
      </c>
      <c r="E1084" s="1">
        <v>3.0380000000000001E-5</v>
      </c>
      <c r="F1084" s="1">
        <v>2.853E-5</v>
      </c>
      <c r="G1084">
        <f t="shared" si="186"/>
        <v>9</v>
      </c>
      <c r="H1084" t="str">
        <f t="shared" si="196"/>
        <v>BTC</v>
      </c>
      <c r="I1084" t="str">
        <f>LEFT(B1084,6)</f>
        <v>INSANE</v>
      </c>
      <c r="J1084" t="str">
        <f t="shared" si="187"/>
        <v>BTCINSANE</v>
      </c>
      <c r="K1084" t="str">
        <f t="shared" si="188"/>
        <v>INSANEBTC</v>
      </c>
      <c r="L1084">
        <f t="shared" si="189"/>
        <v>0</v>
      </c>
      <c r="M1084">
        <f t="shared" si="190"/>
        <v>1</v>
      </c>
      <c r="N1084" t="b">
        <f t="shared" si="191"/>
        <v>1</v>
      </c>
    </row>
    <row r="1085" spans="1:14" hidden="1" x14ac:dyDescent="0.25">
      <c r="A1085" t="s">
        <v>1239</v>
      </c>
      <c r="B1085" t="s">
        <v>1394</v>
      </c>
      <c r="C1085" s="1">
        <v>4.2339999999999998E-5</v>
      </c>
      <c r="D1085" s="1">
        <v>3.004E-5</v>
      </c>
      <c r="E1085" s="1">
        <v>4.2339999999999998E-5</v>
      </c>
      <c r="F1085" s="1">
        <v>3.004E-5</v>
      </c>
      <c r="G1085">
        <f t="shared" si="186"/>
        <v>7</v>
      </c>
      <c r="H1085" t="str">
        <f t="shared" si="196"/>
        <v>BTC</v>
      </c>
      <c r="I1085" t="str">
        <f>LEFT(B1085,4)</f>
        <v>INSN</v>
      </c>
      <c r="J1085" t="str">
        <f t="shared" si="187"/>
        <v>BTCINSN</v>
      </c>
      <c r="K1085" t="str">
        <f t="shared" si="188"/>
        <v>INSNBTC</v>
      </c>
      <c r="L1085">
        <f t="shared" si="189"/>
        <v>0</v>
      </c>
      <c r="M1085">
        <f t="shared" si="190"/>
        <v>1</v>
      </c>
      <c r="N1085" t="b">
        <f t="shared" si="191"/>
        <v>1</v>
      </c>
    </row>
    <row r="1086" spans="1:14" hidden="1" x14ac:dyDescent="0.25">
      <c r="A1086" t="s">
        <v>1239</v>
      </c>
      <c r="B1086" t="s">
        <v>1395</v>
      </c>
      <c r="C1086" s="1">
        <v>2.9001E-4</v>
      </c>
      <c r="D1086" s="1">
        <v>2.5001E-4</v>
      </c>
      <c r="E1086" s="1">
        <v>2.9001E-4</v>
      </c>
      <c r="F1086" s="1">
        <v>2.5001E-4</v>
      </c>
      <c r="G1086">
        <f t="shared" si="186"/>
        <v>7</v>
      </c>
      <c r="H1086" t="str">
        <f t="shared" si="196"/>
        <v>ETH</v>
      </c>
      <c r="I1086" t="str">
        <f>LEFT(B1086,4)</f>
        <v>INSN</v>
      </c>
      <c r="J1086" t="str">
        <f t="shared" si="187"/>
        <v>ETHINSN</v>
      </c>
      <c r="K1086" t="str">
        <f t="shared" si="188"/>
        <v>INSNETH</v>
      </c>
      <c r="L1086">
        <f t="shared" si="189"/>
        <v>0</v>
      </c>
      <c r="M1086">
        <f t="shared" si="190"/>
        <v>1</v>
      </c>
      <c r="N1086" t="b">
        <f t="shared" si="191"/>
        <v>1</v>
      </c>
    </row>
    <row r="1087" spans="1:14" hidden="1" x14ac:dyDescent="0.25">
      <c r="A1087" t="s">
        <v>1239</v>
      </c>
      <c r="B1087" t="s">
        <v>1393</v>
      </c>
      <c r="C1087" s="1">
        <v>0.12318</v>
      </c>
      <c r="D1087" s="1">
        <v>9.0200000000000002E-2</v>
      </c>
      <c r="E1087" s="1">
        <v>0.12318</v>
      </c>
      <c r="F1087" s="1">
        <v>9.0200000000000002E-2</v>
      </c>
      <c r="G1087">
        <f t="shared" si="186"/>
        <v>7</v>
      </c>
      <c r="H1087" t="str">
        <f t="shared" si="196"/>
        <v>USD</v>
      </c>
      <c r="I1087" t="str">
        <f>LEFT(B1087,4)</f>
        <v>INSN</v>
      </c>
      <c r="J1087" t="str">
        <f t="shared" si="187"/>
        <v>USDINSN</v>
      </c>
      <c r="K1087" t="str">
        <f t="shared" si="188"/>
        <v>INSNUSD</v>
      </c>
      <c r="L1087">
        <f t="shared" si="189"/>
        <v>0</v>
      </c>
      <c r="M1087">
        <f t="shared" si="190"/>
        <v>1</v>
      </c>
      <c r="N1087" t="b">
        <f t="shared" si="191"/>
        <v>1</v>
      </c>
    </row>
    <row r="1088" spans="1:14" hidden="1" x14ac:dyDescent="0.25">
      <c r="A1088" t="s">
        <v>5</v>
      </c>
      <c r="B1088" t="s">
        <v>615</v>
      </c>
      <c r="C1088" s="1" t="s">
        <v>381</v>
      </c>
      <c r="D1088" s="1" t="s">
        <v>384</v>
      </c>
      <c r="E1088" s="1" t="s">
        <v>381</v>
      </c>
      <c r="F1088" s="1" t="s">
        <v>384</v>
      </c>
      <c r="G1088">
        <f t="shared" si="186"/>
        <v>6</v>
      </c>
      <c r="H1088" t="str">
        <f t="shared" si="196"/>
        <v>BTC</v>
      </c>
      <c r="I1088" t="str">
        <f t="shared" ref="I1088:I1103" si="197">LEFT(B1088,3)</f>
        <v>INV</v>
      </c>
      <c r="J1088" t="str">
        <f t="shared" si="187"/>
        <v>BTCINV</v>
      </c>
      <c r="K1088" t="str">
        <f t="shared" si="188"/>
        <v>INVBTC</v>
      </c>
      <c r="L1088">
        <f t="shared" si="189"/>
        <v>0</v>
      </c>
      <c r="M1088">
        <f t="shared" si="190"/>
        <v>1</v>
      </c>
      <c r="N1088" t="b">
        <f t="shared" si="191"/>
        <v>1</v>
      </c>
    </row>
    <row r="1089" spans="1:14" hidden="1" x14ac:dyDescent="0.25">
      <c r="A1089" t="s">
        <v>1403</v>
      </c>
      <c r="B1089" t="s">
        <v>1986</v>
      </c>
      <c r="C1089" s="1">
        <v>0</v>
      </c>
      <c r="D1089" s="1">
        <v>0</v>
      </c>
      <c r="E1089" s="1">
        <v>0</v>
      </c>
      <c r="F1089" s="1">
        <v>5.2400005600000004</v>
      </c>
      <c r="G1089">
        <f t="shared" ref="G1089:G1152" si="198">LEN(B1089)</f>
        <v>7</v>
      </c>
      <c r="H1089" t="str">
        <f>RIGHT(B1089,4)</f>
        <v>DOGE</v>
      </c>
      <c r="I1089" t="str">
        <f t="shared" si="197"/>
        <v>IOP</v>
      </c>
      <c r="J1089" t="str">
        <f t="shared" ref="J1089:J1152" si="199">CONCATENATE(H1089,I1089)</f>
        <v>DOGEIOP</v>
      </c>
      <c r="K1089" t="str">
        <f t="shared" ref="K1089:K1152" si="200">CONCATENATE(I1089,H1089)</f>
        <v>IOPDOGE</v>
      </c>
      <c r="L1089">
        <f t="shared" ref="L1089:L1152" si="201">COUNTIF(B:B,J1089)</f>
        <v>0</v>
      </c>
      <c r="M1089">
        <f t="shared" ref="M1089:M1152" si="202">COUNTIF(B:B,K1089)</f>
        <v>1</v>
      </c>
      <c r="N1089" t="b">
        <f t="shared" ref="N1089:N1152" si="203">L1089=0</f>
        <v>1</v>
      </c>
    </row>
    <row r="1090" spans="1:14" hidden="1" x14ac:dyDescent="0.25">
      <c r="A1090" t="s">
        <v>1403</v>
      </c>
      <c r="B1090" t="s">
        <v>1794</v>
      </c>
      <c r="C1090" s="1">
        <v>0</v>
      </c>
      <c r="D1090" s="1">
        <v>0</v>
      </c>
      <c r="E1090" s="1">
        <v>0</v>
      </c>
      <c r="F1090" s="1">
        <v>1.000116E-2</v>
      </c>
      <c r="G1090">
        <f t="shared" si="198"/>
        <v>6</v>
      </c>
      <c r="H1090" t="str">
        <f>RIGHT(B1090,3)</f>
        <v>LTC</v>
      </c>
      <c r="I1090" t="str">
        <f t="shared" si="197"/>
        <v>IOP</v>
      </c>
      <c r="J1090" t="str">
        <f t="shared" si="199"/>
        <v>LTCIOP</v>
      </c>
      <c r="K1090" t="str">
        <f t="shared" si="200"/>
        <v>IOPLTC</v>
      </c>
      <c r="L1090">
        <f t="shared" si="201"/>
        <v>0</v>
      </c>
      <c r="M1090">
        <f t="shared" si="202"/>
        <v>1</v>
      </c>
      <c r="N1090" t="b">
        <f t="shared" si="203"/>
        <v>1</v>
      </c>
    </row>
    <row r="1091" spans="1:14" hidden="1" x14ac:dyDescent="0.25">
      <c r="A1091" t="s">
        <v>1403</v>
      </c>
      <c r="B1091" t="s">
        <v>1610</v>
      </c>
      <c r="C1091" s="1">
        <v>3.5</v>
      </c>
      <c r="D1091" s="1">
        <v>3.5</v>
      </c>
      <c r="E1091" s="1">
        <v>994.99999961667504</v>
      </c>
      <c r="F1091" s="1">
        <v>5.0001440000000001E-2</v>
      </c>
      <c r="G1091">
        <f t="shared" si="198"/>
        <v>6</v>
      </c>
      <c r="H1091" t="str">
        <f>RIGHT(B1091,3)</f>
        <v>USD</v>
      </c>
      <c r="I1091" t="str">
        <f t="shared" si="197"/>
        <v>IOP</v>
      </c>
      <c r="J1091" t="str">
        <f t="shared" si="199"/>
        <v>USDIOP</v>
      </c>
      <c r="K1091" t="str">
        <f t="shared" si="200"/>
        <v>IOPUSD</v>
      </c>
      <c r="L1091">
        <f t="shared" si="201"/>
        <v>0</v>
      </c>
      <c r="M1091">
        <f t="shared" si="202"/>
        <v>1</v>
      </c>
      <c r="N1091" t="b">
        <f t="shared" si="203"/>
        <v>1</v>
      </c>
    </row>
    <row r="1092" spans="1:14" hidden="1" x14ac:dyDescent="0.25">
      <c r="A1092" t="s">
        <v>27</v>
      </c>
      <c r="B1092" t="s">
        <v>43</v>
      </c>
      <c r="C1092" s="1">
        <v>1.6396E-4</v>
      </c>
      <c r="D1092" s="1">
        <v>1.5901000000000001E-4</v>
      </c>
      <c r="E1092" s="1">
        <v>1.6396E-4</v>
      </c>
      <c r="F1092" s="1">
        <v>1.5901000000000001E-4</v>
      </c>
      <c r="G1092">
        <f t="shared" si="198"/>
        <v>6</v>
      </c>
      <c r="H1092" t="str">
        <f>RIGHT(B1092,3)</f>
        <v>BTC</v>
      </c>
      <c r="I1092" t="str">
        <f t="shared" si="197"/>
        <v>IOT</v>
      </c>
      <c r="J1092" t="str">
        <f t="shared" si="199"/>
        <v>BTCIOT</v>
      </c>
      <c r="K1092" t="str">
        <f t="shared" si="200"/>
        <v>IOTBTC</v>
      </c>
      <c r="L1092">
        <f t="shared" si="201"/>
        <v>0</v>
      </c>
      <c r="M1092">
        <f t="shared" si="202"/>
        <v>1</v>
      </c>
      <c r="N1092" t="b">
        <f t="shared" si="203"/>
        <v>1</v>
      </c>
    </row>
    <row r="1093" spans="1:14" hidden="1" x14ac:dyDescent="0.25">
      <c r="A1093" t="s">
        <v>27</v>
      </c>
      <c r="B1093" t="s">
        <v>42</v>
      </c>
      <c r="C1093" s="1">
        <v>0.36309000000000002</v>
      </c>
      <c r="D1093" s="1">
        <v>0.36009999999999998</v>
      </c>
      <c r="E1093" s="1">
        <v>0.36309000000000002</v>
      </c>
      <c r="F1093" s="1">
        <v>0.36009999999999998</v>
      </c>
      <c r="G1093">
        <f t="shared" si="198"/>
        <v>6</v>
      </c>
      <c r="H1093" t="str">
        <f>RIGHT(B1093,3)</f>
        <v>USD</v>
      </c>
      <c r="I1093" t="str">
        <f t="shared" si="197"/>
        <v>IOT</v>
      </c>
      <c r="J1093" t="str">
        <f t="shared" si="199"/>
        <v>USDIOT</v>
      </c>
      <c r="K1093" t="str">
        <f t="shared" si="200"/>
        <v>IOTUSD</v>
      </c>
      <c r="L1093">
        <f t="shared" si="201"/>
        <v>0</v>
      </c>
      <c r="M1093">
        <f t="shared" si="202"/>
        <v>1</v>
      </c>
      <c r="N1093" t="b">
        <f t="shared" si="203"/>
        <v>1</v>
      </c>
    </row>
    <row r="1094" spans="1:14" hidden="1" x14ac:dyDescent="0.25">
      <c r="A1094" t="s">
        <v>1403</v>
      </c>
      <c r="B1094" t="s">
        <v>1987</v>
      </c>
      <c r="C1094" s="1">
        <v>51</v>
      </c>
      <c r="D1094" s="1">
        <v>9999999</v>
      </c>
      <c r="E1094" s="1">
        <v>9000</v>
      </c>
      <c r="F1094" s="1">
        <v>4.11000005</v>
      </c>
      <c r="G1094">
        <f t="shared" si="198"/>
        <v>7</v>
      </c>
      <c r="H1094" t="str">
        <f>RIGHT(B1094,4)</f>
        <v>DOGE</v>
      </c>
      <c r="I1094" t="str">
        <f t="shared" si="197"/>
        <v>ISL</v>
      </c>
      <c r="J1094" t="str">
        <f t="shared" si="199"/>
        <v>DOGEISL</v>
      </c>
      <c r="K1094" t="str">
        <f t="shared" si="200"/>
        <v>ISLDOGE</v>
      </c>
      <c r="L1094">
        <f t="shared" si="201"/>
        <v>0</v>
      </c>
      <c r="M1094">
        <f t="shared" si="202"/>
        <v>1</v>
      </c>
      <c r="N1094" t="b">
        <f t="shared" si="203"/>
        <v>1</v>
      </c>
    </row>
    <row r="1095" spans="1:14" hidden="1" x14ac:dyDescent="0.25">
      <c r="A1095" t="s">
        <v>1403</v>
      </c>
      <c r="B1095" t="s">
        <v>1795</v>
      </c>
      <c r="C1095" s="1">
        <v>9999.9999000000007</v>
      </c>
      <c r="D1095" s="1">
        <v>9999.9999000000007</v>
      </c>
      <c r="E1095" s="1">
        <v>0.99999998999999995</v>
      </c>
      <c r="F1095" s="1">
        <v>1.009E-5</v>
      </c>
      <c r="G1095">
        <f t="shared" si="198"/>
        <v>6</v>
      </c>
      <c r="H1095" t="str">
        <f>RIGHT(B1095,3)</f>
        <v>LTC</v>
      </c>
      <c r="I1095" t="str">
        <f t="shared" si="197"/>
        <v>ISL</v>
      </c>
      <c r="J1095" t="str">
        <f t="shared" si="199"/>
        <v>LTCISL</v>
      </c>
      <c r="K1095" t="str">
        <f t="shared" si="200"/>
        <v>ISLLTC</v>
      </c>
      <c r="L1095">
        <f t="shared" si="201"/>
        <v>0</v>
      </c>
      <c r="M1095">
        <f t="shared" si="202"/>
        <v>1</v>
      </c>
      <c r="N1095" t="b">
        <f t="shared" si="203"/>
        <v>1</v>
      </c>
    </row>
    <row r="1096" spans="1:14" hidden="1" x14ac:dyDescent="0.25">
      <c r="A1096" t="s">
        <v>1403</v>
      </c>
      <c r="B1096" t="s">
        <v>1611</v>
      </c>
      <c r="C1096" s="1">
        <v>0.6</v>
      </c>
      <c r="D1096" s="1">
        <v>0.6</v>
      </c>
      <c r="E1096" s="1">
        <v>0.1</v>
      </c>
      <c r="F1096" s="1">
        <v>1.0275E-4</v>
      </c>
      <c r="G1096">
        <f t="shared" si="198"/>
        <v>6</v>
      </c>
      <c r="H1096" t="str">
        <f>RIGHT(B1096,3)</f>
        <v>USD</v>
      </c>
      <c r="I1096" t="str">
        <f t="shared" si="197"/>
        <v>ISL</v>
      </c>
      <c r="J1096" t="str">
        <f t="shared" si="199"/>
        <v>USDISL</v>
      </c>
      <c r="K1096" t="str">
        <f t="shared" si="200"/>
        <v>ISLUSD</v>
      </c>
      <c r="L1096">
        <f t="shared" si="201"/>
        <v>0</v>
      </c>
      <c r="M1096">
        <f t="shared" si="202"/>
        <v>1</v>
      </c>
      <c r="N1096" t="b">
        <f t="shared" si="203"/>
        <v>1</v>
      </c>
    </row>
    <row r="1097" spans="1:14" hidden="1" x14ac:dyDescent="0.25">
      <c r="A1097" t="s">
        <v>1403</v>
      </c>
      <c r="B1097" t="s">
        <v>1988</v>
      </c>
      <c r="C1097" s="1">
        <v>99999999</v>
      </c>
      <c r="D1097" s="1">
        <v>99999999</v>
      </c>
      <c r="E1097" s="1">
        <v>99999999</v>
      </c>
      <c r="F1097" s="1">
        <v>5.1010109999999997E-2</v>
      </c>
      <c r="G1097">
        <f t="shared" si="198"/>
        <v>7</v>
      </c>
      <c r="H1097" t="str">
        <f>RIGHT(B1097,4)</f>
        <v>DOGE</v>
      </c>
      <c r="I1097" t="str">
        <f t="shared" si="197"/>
        <v>ITI</v>
      </c>
      <c r="J1097" t="str">
        <f t="shared" si="199"/>
        <v>DOGEITI</v>
      </c>
      <c r="K1097" t="str">
        <f t="shared" si="200"/>
        <v>ITIDOGE</v>
      </c>
      <c r="L1097">
        <f t="shared" si="201"/>
        <v>0</v>
      </c>
      <c r="M1097">
        <f t="shared" si="202"/>
        <v>1</v>
      </c>
      <c r="N1097" t="b">
        <f t="shared" si="203"/>
        <v>1</v>
      </c>
    </row>
    <row r="1098" spans="1:14" hidden="1" x14ac:dyDescent="0.25">
      <c r="A1098" t="s">
        <v>1239</v>
      </c>
      <c r="B1098" t="s">
        <v>1365</v>
      </c>
      <c r="C1098" s="1">
        <v>7.999995E-2</v>
      </c>
      <c r="D1098" s="1">
        <v>1.20801E-3</v>
      </c>
      <c r="E1098" s="1">
        <v>7.999995E-2</v>
      </c>
      <c r="F1098" s="1">
        <v>1.20801E-3</v>
      </c>
      <c r="G1098">
        <f t="shared" si="198"/>
        <v>6</v>
      </c>
      <c r="H1098" t="str">
        <f t="shared" ref="H1098:H1109" si="204">RIGHT(B1098,3)</f>
        <v>ETH</v>
      </c>
      <c r="I1098" t="str">
        <f t="shared" si="197"/>
        <v>ITI</v>
      </c>
      <c r="J1098" t="str">
        <f t="shared" si="199"/>
        <v>ETHITI</v>
      </c>
      <c r="K1098" t="str">
        <f t="shared" si="200"/>
        <v>ITIETH</v>
      </c>
      <c r="L1098">
        <f t="shared" si="201"/>
        <v>0</v>
      </c>
      <c r="M1098">
        <f t="shared" si="202"/>
        <v>1</v>
      </c>
      <c r="N1098" t="b">
        <f t="shared" si="203"/>
        <v>1</v>
      </c>
    </row>
    <row r="1099" spans="1:14" hidden="1" x14ac:dyDescent="0.25">
      <c r="A1099" t="s">
        <v>1239</v>
      </c>
      <c r="B1099" t="s">
        <v>1363</v>
      </c>
      <c r="C1099" s="1">
        <v>1499.9545000000001</v>
      </c>
      <c r="D1099" s="1">
        <v>1.022E-2</v>
      </c>
      <c r="E1099" s="1">
        <v>540022.581799999</v>
      </c>
      <c r="F1099" s="1">
        <v>1.022E-2</v>
      </c>
      <c r="G1099">
        <f t="shared" si="198"/>
        <v>6</v>
      </c>
      <c r="H1099" t="str">
        <f t="shared" si="204"/>
        <v>EUR</v>
      </c>
      <c r="I1099" t="str">
        <f t="shared" si="197"/>
        <v>ITI</v>
      </c>
      <c r="J1099" t="str">
        <f t="shared" si="199"/>
        <v>EURITI</v>
      </c>
      <c r="K1099" t="str">
        <f t="shared" si="200"/>
        <v>ITIEUR</v>
      </c>
      <c r="L1099">
        <f t="shared" si="201"/>
        <v>0</v>
      </c>
      <c r="M1099">
        <f t="shared" si="202"/>
        <v>1</v>
      </c>
      <c r="N1099" t="b">
        <f t="shared" si="203"/>
        <v>1</v>
      </c>
    </row>
    <row r="1100" spans="1:14" hidden="1" x14ac:dyDescent="0.25">
      <c r="A1100" t="s">
        <v>1403</v>
      </c>
      <c r="B1100" t="s">
        <v>1796</v>
      </c>
      <c r="C1100" s="1">
        <v>0</v>
      </c>
      <c r="D1100" s="1">
        <v>0</v>
      </c>
      <c r="E1100" s="1">
        <v>2</v>
      </c>
      <c r="F1100" s="1">
        <v>2.2000000000000001E-7</v>
      </c>
      <c r="G1100">
        <f t="shared" si="198"/>
        <v>6</v>
      </c>
      <c r="H1100" t="str">
        <f t="shared" si="204"/>
        <v>LTC</v>
      </c>
      <c r="I1100" t="str">
        <f t="shared" si="197"/>
        <v>ITI</v>
      </c>
      <c r="J1100" t="str">
        <f t="shared" si="199"/>
        <v>LTCITI</v>
      </c>
      <c r="K1100" t="str">
        <f t="shared" si="200"/>
        <v>ITILTC</v>
      </c>
      <c r="L1100">
        <f t="shared" si="201"/>
        <v>0</v>
      </c>
      <c r="M1100">
        <f t="shared" si="202"/>
        <v>1</v>
      </c>
      <c r="N1100" t="b">
        <f t="shared" si="203"/>
        <v>1</v>
      </c>
    </row>
    <row r="1101" spans="1:14" hidden="1" x14ac:dyDescent="0.25">
      <c r="A1101" t="s">
        <v>1239</v>
      </c>
      <c r="B1101" t="s">
        <v>1364</v>
      </c>
      <c r="C1101" s="1">
        <v>1289</v>
      </c>
      <c r="D1101" s="1">
        <v>704</v>
      </c>
      <c r="E1101" s="1">
        <v>1289</v>
      </c>
      <c r="F1101" s="1">
        <v>704</v>
      </c>
      <c r="G1101">
        <f t="shared" si="198"/>
        <v>6</v>
      </c>
      <c r="H1101" t="str">
        <f t="shared" si="204"/>
        <v>RUR</v>
      </c>
      <c r="I1101" t="str">
        <f t="shared" si="197"/>
        <v>ITI</v>
      </c>
      <c r="J1101" t="str">
        <f t="shared" si="199"/>
        <v>RURITI</v>
      </c>
      <c r="K1101" t="str">
        <f t="shared" si="200"/>
        <v>ITIRUR</v>
      </c>
      <c r="L1101">
        <f t="shared" si="201"/>
        <v>0</v>
      </c>
      <c r="M1101">
        <f t="shared" si="202"/>
        <v>1</v>
      </c>
      <c r="N1101" t="b">
        <f t="shared" si="203"/>
        <v>1</v>
      </c>
    </row>
    <row r="1102" spans="1:14" hidden="1" x14ac:dyDescent="0.25">
      <c r="A1102" t="s">
        <v>1403</v>
      </c>
      <c r="B1102" t="s">
        <v>1612</v>
      </c>
      <c r="C1102" s="1">
        <v>20</v>
      </c>
      <c r="D1102" s="1">
        <v>20</v>
      </c>
      <c r="E1102" s="1">
        <v>22.5</v>
      </c>
      <c r="F1102" s="1">
        <v>0.50000062999999995</v>
      </c>
      <c r="G1102">
        <f t="shared" si="198"/>
        <v>6</v>
      </c>
      <c r="H1102" t="str">
        <f t="shared" si="204"/>
        <v>USD</v>
      </c>
      <c r="I1102" t="str">
        <f t="shared" si="197"/>
        <v>ITI</v>
      </c>
      <c r="J1102" t="str">
        <f t="shared" si="199"/>
        <v>USDITI</v>
      </c>
      <c r="K1102" t="str">
        <f t="shared" si="200"/>
        <v>ITIUSD</v>
      </c>
      <c r="L1102">
        <f t="shared" si="201"/>
        <v>0</v>
      </c>
      <c r="M1102">
        <f t="shared" si="202"/>
        <v>1</v>
      </c>
      <c r="N1102" t="b">
        <f t="shared" si="203"/>
        <v>1</v>
      </c>
    </row>
    <row r="1103" spans="1:14" hidden="1" x14ac:dyDescent="0.25">
      <c r="A1103" t="s">
        <v>5</v>
      </c>
      <c r="B1103" t="s">
        <v>512</v>
      </c>
      <c r="C1103" s="1">
        <v>1.1989000000000001E-4</v>
      </c>
      <c r="D1103" s="1">
        <v>7.4999999999999993E-5</v>
      </c>
      <c r="E1103" s="1">
        <v>1.1989000000000001E-4</v>
      </c>
      <c r="F1103" s="1">
        <v>7.4999999999999993E-5</v>
      </c>
      <c r="G1103">
        <f t="shared" si="198"/>
        <v>6</v>
      </c>
      <c r="H1103" t="str">
        <f t="shared" si="204"/>
        <v>BTC</v>
      </c>
      <c r="I1103" t="str">
        <f t="shared" si="197"/>
        <v>IVZ</v>
      </c>
      <c r="J1103" t="str">
        <f t="shared" si="199"/>
        <v>BTCIVZ</v>
      </c>
      <c r="K1103" t="str">
        <f t="shared" si="200"/>
        <v>IVZBTC</v>
      </c>
      <c r="L1103">
        <f t="shared" si="201"/>
        <v>0</v>
      </c>
      <c r="M1103">
        <f t="shared" si="202"/>
        <v>1</v>
      </c>
      <c r="N1103" t="b">
        <f t="shared" si="203"/>
        <v>1</v>
      </c>
    </row>
    <row r="1104" spans="1:14" hidden="1" x14ac:dyDescent="0.25">
      <c r="A1104" t="s">
        <v>5</v>
      </c>
      <c r="B1104" t="s">
        <v>935</v>
      </c>
      <c r="C1104" s="1" t="s">
        <v>361</v>
      </c>
      <c r="D1104" s="1" t="s">
        <v>362</v>
      </c>
      <c r="E1104" s="1" t="s">
        <v>361</v>
      </c>
      <c r="F1104" s="1" t="s">
        <v>362</v>
      </c>
      <c r="G1104">
        <f t="shared" si="198"/>
        <v>5</v>
      </c>
      <c r="H1104" t="str">
        <f t="shared" si="204"/>
        <v>BTC</v>
      </c>
      <c r="I1104" t="str">
        <f>LEFT(B1104,2)</f>
        <v>IW</v>
      </c>
      <c r="J1104" t="str">
        <f t="shared" si="199"/>
        <v>BTCIW</v>
      </c>
      <c r="K1104" t="str">
        <f t="shared" si="200"/>
        <v>IWBTC</v>
      </c>
      <c r="L1104">
        <f t="shared" si="201"/>
        <v>0</v>
      </c>
      <c r="M1104">
        <f t="shared" si="202"/>
        <v>1</v>
      </c>
      <c r="N1104" t="b">
        <f t="shared" si="203"/>
        <v>1</v>
      </c>
    </row>
    <row r="1105" spans="1:14" hidden="1" x14ac:dyDescent="0.25">
      <c r="A1105" t="s">
        <v>5</v>
      </c>
      <c r="B1105" t="s">
        <v>704</v>
      </c>
      <c r="C1105" s="1">
        <v>2.4150000000000001E-5</v>
      </c>
      <c r="D1105" s="1">
        <v>2.3E-5</v>
      </c>
      <c r="E1105" s="1">
        <v>2.4150000000000001E-5</v>
      </c>
      <c r="F1105" s="1">
        <v>2.3E-5</v>
      </c>
      <c r="G1105">
        <f t="shared" si="198"/>
        <v>6</v>
      </c>
      <c r="H1105" t="str">
        <f t="shared" si="204"/>
        <v>BTC</v>
      </c>
      <c r="I1105" t="str">
        <f>LEFT(B1105,3)</f>
        <v>IXC</v>
      </c>
      <c r="J1105" t="str">
        <f t="shared" si="199"/>
        <v>BTCIXC</v>
      </c>
      <c r="K1105" t="str">
        <f t="shared" si="200"/>
        <v>IXCBTC</v>
      </c>
      <c r="L1105">
        <f t="shared" si="201"/>
        <v>0</v>
      </c>
      <c r="M1105">
        <f t="shared" si="202"/>
        <v>1</v>
      </c>
      <c r="N1105" t="b">
        <f t="shared" si="203"/>
        <v>1</v>
      </c>
    </row>
    <row r="1106" spans="1:14" hidden="1" x14ac:dyDescent="0.25">
      <c r="A1106" t="s">
        <v>5</v>
      </c>
      <c r="B1106" t="s">
        <v>881</v>
      </c>
      <c r="C1106" s="1" t="s">
        <v>362</v>
      </c>
      <c r="D1106" s="1" t="s">
        <v>364</v>
      </c>
      <c r="E1106" s="1" t="s">
        <v>362</v>
      </c>
      <c r="F1106" s="1">
        <v>2.2272000000000001E-4</v>
      </c>
      <c r="G1106">
        <f t="shared" si="198"/>
        <v>7</v>
      </c>
      <c r="H1106" t="str">
        <f t="shared" si="204"/>
        <v>BTC</v>
      </c>
      <c r="I1106" t="str">
        <f>LEFT(B1106,4)</f>
        <v>JACK</v>
      </c>
      <c r="J1106" t="str">
        <f t="shared" si="199"/>
        <v>BTCJACK</v>
      </c>
      <c r="K1106" t="str">
        <f t="shared" si="200"/>
        <v>JACKBTC</v>
      </c>
      <c r="L1106">
        <f t="shared" si="201"/>
        <v>0</v>
      </c>
      <c r="M1106">
        <f t="shared" si="202"/>
        <v>1</v>
      </c>
      <c r="N1106" t="b">
        <f t="shared" si="203"/>
        <v>1</v>
      </c>
    </row>
    <row r="1107" spans="1:14" hidden="1" x14ac:dyDescent="0.25">
      <c r="A1107" t="s">
        <v>5</v>
      </c>
      <c r="B1107" t="s">
        <v>778</v>
      </c>
      <c r="C1107" s="1" t="s">
        <v>361</v>
      </c>
      <c r="D1107" s="1" t="s">
        <v>362</v>
      </c>
      <c r="E1107" s="1" t="s">
        <v>361</v>
      </c>
      <c r="F1107" s="1" t="s">
        <v>362</v>
      </c>
      <c r="G1107">
        <f t="shared" si="198"/>
        <v>7</v>
      </c>
      <c r="H1107" t="str">
        <f t="shared" si="204"/>
        <v>BTC</v>
      </c>
      <c r="I1107" t="str">
        <f>LEFT(B1107,4)</f>
        <v>JANE</v>
      </c>
      <c r="J1107" t="str">
        <f t="shared" si="199"/>
        <v>BTCJANE</v>
      </c>
      <c r="K1107" t="str">
        <f t="shared" si="200"/>
        <v>JANEBTC</v>
      </c>
      <c r="L1107">
        <f t="shared" si="201"/>
        <v>0</v>
      </c>
      <c r="M1107">
        <f t="shared" si="202"/>
        <v>1</v>
      </c>
      <c r="N1107" t="b">
        <f t="shared" si="203"/>
        <v>1</v>
      </c>
    </row>
    <row r="1108" spans="1:14" hidden="1" x14ac:dyDescent="0.25">
      <c r="A1108" t="s">
        <v>5</v>
      </c>
      <c r="B1108" t="s">
        <v>748</v>
      </c>
      <c r="C1108" s="1">
        <v>6.4000000000000001E-7</v>
      </c>
      <c r="D1108" s="1">
        <v>5.5000000000000003E-7</v>
      </c>
      <c r="E1108" s="1">
        <v>6.4000000000000001E-7</v>
      </c>
      <c r="F1108" s="1">
        <v>5.5000000000000003E-7</v>
      </c>
      <c r="G1108">
        <f t="shared" si="198"/>
        <v>6</v>
      </c>
      <c r="H1108" t="str">
        <f t="shared" si="204"/>
        <v>BTC</v>
      </c>
      <c r="I1108" t="str">
        <f t="shared" ref="I1108:I1116" si="205">LEFT(B1108,3)</f>
        <v>JIF</v>
      </c>
      <c r="J1108" t="str">
        <f t="shared" si="199"/>
        <v>BTCJIF</v>
      </c>
      <c r="K1108" t="str">
        <f t="shared" si="200"/>
        <v>JIFBTC</v>
      </c>
      <c r="L1108">
        <f t="shared" si="201"/>
        <v>0</v>
      </c>
      <c r="M1108">
        <f t="shared" si="202"/>
        <v>1</v>
      </c>
      <c r="N1108" t="b">
        <f t="shared" si="203"/>
        <v>1</v>
      </c>
    </row>
    <row r="1109" spans="1:14" hidden="1" x14ac:dyDescent="0.25">
      <c r="A1109" t="s">
        <v>1403</v>
      </c>
      <c r="B1109" t="s">
        <v>1463</v>
      </c>
      <c r="C1109" s="1">
        <v>1.15E-6</v>
      </c>
      <c r="D1109" s="1">
        <v>1.15E-6</v>
      </c>
      <c r="E1109" s="1">
        <v>1.7999999999999999E-6</v>
      </c>
      <c r="F1109" s="1">
        <v>1.0699999999999999E-6</v>
      </c>
      <c r="G1109">
        <f t="shared" si="198"/>
        <v>6</v>
      </c>
      <c r="H1109" t="str">
        <f t="shared" si="204"/>
        <v>BTC</v>
      </c>
      <c r="I1109" t="str">
        <f t="shared" si="205"/>
        <v>JIO</v>
      </c>
      <c r="J1109" t="str">
        <f t="shared" si="199"/>
        <v>BTCJIO</v>
      </c>
      <c r="K1109" t="str">
        <f t="shared" si="200"/>
        <v>JIOBTC</v>
      </c>
      <c r="L1109">
        <f t="shared" si="201"/>
        <v>0</v>
      </c>
      <c r="M1109">
        <f t="shared" si="202"/>
        <v>1</v>
      </c>
      <c r="N1109" t="b">
        <f t="shared" si="203"/>
        <v>1</v>
      </c>
    </row>
    <row r="1110" spans="1:14" hidden="1" x14ac:dyDescent="0.25">
      <c r="A1110" t="s">
        <v>1403</v>
      </c>
      <c r="B1110" t="s">
        <v>1989</v>
      </c>
      <c r="C1110" s="1">
        <v>7.5</v>
      </c>
      <c r="D1110" s="1">
        <v>7.5</v>
      </c>
      <c r="E1110" s="1">
        <v>7.5</v>
      </c>
      <c r="F1110" s="1">
        <v>0.42000029</v>
      </c>
      <c r="G1110">
        <f t="shared" si="198"/>
        <v>7</v>
      </c>
      <c r="H1110" t="str">
        <f>RIGHT(B1110,4)</f>
        <v>DOGE</v>
      </c>
      <c r="I1110" t="str">
        <f t="shared" si="205"/>
        <v>JIO</v>
      </c>
      <c r="J1110" t="str">
        <f t="shared" si="199"/>
        <v>DOGEJIO</v>
      </c>
      <c r="K1110" t="str">
        <f t="shared" si="200"/>
        <v>JIODOGE</v>
      </c>
      <c r="L1110">
        <f t="shared" si="201"/>
        <v>0</v>
      </c>
      <c r="M1110">
        <f t="shared" si="202"/>
        <v>1</v>
      </c>
      <c r="N1110" t="b">
        <f t="shared" si="203"/>
        <v>1</v>
      </c>
    </row>
    <row r="1111" spans="1:14" hidden="1" x14ac:dyDescent="0.25">
      <c r="A1111" t="s">
        <v>1403</v>
      </c>
      <c r="B1111" t="s">
        <v>1797</v>
      </c>
      <c r="C1111" s="1">
        <v>0</v>
      </c>
      <c r="D1111" s="1">
        <v>0</v>
      </c>
      <c r="E1111" s="1">
        <v>0.12597120000000001</v>
      </c>
      <c r="F1111" s="1">
        <v>1.4999999999999999E-7</v>
      </c>
      <c r="G1111">
        <f t="shared" si="198"/>
        <v>6</v>
      </c>
      <c r="H1111" t="str">
        <f>RIGHT(B1111,3)</f>
        <v>LTC</v>
      </c>
      <c r="I1111" t="str">
        <f t="shared" si="205"/>
        <v>JIO</v>
      </c>
      <c r="J1111" t="str">
        <f t="shared" si="199"/>
        <v>LTCJIO</v>
      </c>
      <c r="K1111" t="str">
        <f t="shared" si="200"/>
        <v>JIOLTC</v>
      </c>
      <c r="L1111">
        <f t="shared" si="201"/>
        <v>0</v>
      </c>
      <c r="M1111">
        <f t="shared" si="202"/>
        <v>1</v>
      </c>
      <c r="N1111" t="b">
        <f t="shared" si="203"/>
        <v>1</v>
      </c>
    </row>
    <row r="1112" spans="1:14" hidden="1" x14ac:dyDescent="0.25">
      <c r="A1112" t="s">
        <v>1403</v>
      </c>
      <c r="B1112" t="s">
        <v>1613</v>
      </c>
      <c r="C1112" s="1">
        <v>6.087E-2</v>
      </c>
      <c r="D1112" s="1">
        <v>6.087E-2</v>
      </c>
      <c r="E1112" s="1">
        <v>0.23928948635924999</v>
      </c>
      <c r="F1112" s="1">
        <v>6.0909999999999998E-5</v>
      </c>
      <c r="G1112">
        <f t="shared" si="198"/>
        <v>6</v>
      </c>
      <c r="H1112" t="str">
        <f>RIGHT(B1112,3)</f>
        <v>USD</v>
      </c>
      <c r="I1112" t="str">
        <f t="shared" si="205"/>
        <v>JIO</v>
      </c>
      <c r="J1112" t="str">
        <f t="shared" si="199"/>
        <v>USDJIO</v>
      </c>
      <c r="K1112" t="str">
        <f t="shared" si="200"/>
        <v>JIOUSD</v>
      </c>
      <c r="L1112">
        <f t="shared" si="201"/>
        <v>0</v>
      </c>
      <c r="M1112">
        <f t="shared" si="202"/>
        <v>1</v>
      </c>
      <c r="N1112" t="b">
        <f t="shared" si="203"/>
        <v>1</v>
      </c>
    </row>
    <row r="1113" spans="1:14" hidden="1" x14ac:dyDescent="0.25">
      <c r="A1113" t="s">
        <v>1403</v>
      </c>
      <c r="B1113" t="s">
        <v>1464</v>
      </c>
      <c r="C1113" s="1">
        <v>6.033E-5</v>
      </c>
      <c r="D1113" s="1" t="s">
        <v>121</v>
      </c>
      <c r="E1113" s="1" t="s">
        <v>121</v>
      </c>
      <c r="F1113" s="1">
        <v>6.5099999999999997E-5</v>
      </c>
      <c r="G1113">
        <f t="shared" si="198"/>
        <v>6</v>
      </c>
      <c r="H1113" t="str">
        <f>RIGHT(B1113,3)</f>
        <v>BTC</v>
      </c>
      <c r="I1113" t="str">
        <f t="shared" si="205"/>
        <v>JNS</v>
      </c>
      <c r="J1113" t="str">
        <f t="shared" si="199"/>
        <v>BTCJNS</v>
      </c>
      <c r="K1113" t="str">
        <f t="shared" si="200"/>
        <v>JNSBTC</v>
      </c>
      <c r="L1113">
        <f t="shared" si="201"/>
        <v>0</v>
      </c>
      <c r="M1113">
        <f t="shared" si="202"/>
        <v>1</v>
      </c>
      <c r="N1113" t="b">
        <f t="shared" si="203"/>
        <v>1</v>
      </c>
    </row>
    <row r="1114" spans="1:14" hidden="1" x14ac:dyDescent="0.25">
      <c r="A1114" t="s">
        <v>1403</v>
      </c>
      <c r="B1114" t="s">
        <v>1990</v>
      </c>
      <c r="C1114" s="1">
        <v>0</v>
      </c>
      <c r="D1114" s="1">
        <v>0</v>
      </c>
      <c r="E1114" s="1">
        <v>4000.2319699700001</v>
      </c>
      <c r="F1114" s="1">
        <v>0.50000025999999997</v>
      </c>
      <c r="G1114">
        <f t="shared" si="198"/>
        <v>7</v>
      </c>
      <c r="H1114" t="str">
        <f>RIGHT(B1114,4)</f>
        <v>DOGE</v>
      </c>
      <c r="I1114" t="str">
        <f t="shared" si="205"/>
        <v>JNS</v>
      </c>
      <c r="J1114" t="str">
        <f t="shared" si="199"/>
        <v>DOGEJNS</v>
      </c>
      <c r="K1114" t="str">
        <f t="shared" si="200"/>
        <v>JNSDOGE</v>
      </c>
      <c r="L1114">
        <f t="shared" si="201"/>
        <v>0</v>
      </c>
      <c r="M1114">
        <f t="shared" si="202"/>
        <v>1</v>
      </c>
      <c r="N1114" t="b">
        <f t="shared" si="203"/>
        <v>1</v>
      </c>
    </row>
    <row r="1115" spans="1:14" hidden="1" x14ac:dyDescent="0.25">
      <c r="A1115" t="s">
        <v>1403</v>
      </c>
      <c r="B1115" t="s">
        <v>1798</v>
      </c>
      <c r="C1115" s="1">
        <v>0</v>
      </c>
      <c r="D1115" s="1">
        <v>0</v>
      </c>
      <c r="E1115" s="1">
        <v>0.90718924999999995</v>
      </c>
      <c r="F1115" s="1">
        <v>1.1000000000000001E-7</v>
      </c>
      <c r="G1115">
        <f t="shared" si="198"/>
        <v>6</v>
      </c>
      <c r="H1115" t="str">
        <f t="shared" ref="H1115:H1123" si="206">RIGHT(B1115,3)</f>
        <v>LTC</v>
      </c>
      <c r="I1115" t="str">
        <f t="shared" si="205"/>
        <v>JNS</v>
      </c>
      <c r="J1115" t="str">
        <f t="shared" si="199"/>
        <v>LTCJNS</v>
      </c>
      <c r="K1115" t="str">
        <f t="shared" si="200"/>
        <v>JNSLTC</v>
      </c>
      <c r="L1115">
        <f t="shared" si="201"/>
        <v>0</v>
      </c>
      <c r="M1115">
        <f t="shared" si="202"/>
        <v>1</v>
      </c>
      <c r="N1115" t="b">
        <f t="shared" si="203"/>
        <v>1</v>
      </c>
    </row>
    <row r="1116" spans="1:14" hidden="1" x14ac:dyDescent="0.25">
      <c r="A1116" t="s">
        <v>1403</v>
      </c>
      <c r="B1116" t="s">
        <v>1614</v>
      </c>
      <c r="C1116" s="1">
        <v>0.5</v>
      </c>
      <c r="D1116" s="1">
        <v>0.5</v>
      </c>
      <c r="E1116" s="1">
        <v>0.69547311339999995</v>
      </c>
      <c r="F1116" s="1">
        <v>0.12</v>
      </c>
      <c r="G1116">
        <f t="shared" si="198"/>
        <v>6</v>
      </c>
      <c r="H1116" t="str">
        <f t="shared" si="206"/>
        <v>USD</v>
      </c>
      <c r="I1116" t="str">
        <f t="shared" si="205"/>
        <v>JNS</v>
      </c>
      <c r="J1116" t="str">
        <f t="shared" si="199"/>
        <v>USDJNS</v>
      </c>
      <c r="K1116" t="str">
        <f t="shared" si="200"/>
        <v>JNSUSD</v>
      </c>
      <c r="L1116">
        <f t="shared" si="201"/>
        <v>0</v>
      </c>
      <c r="M1116">
        <f t="shared" si="202"/>
        <v>1</v>
      </c>
      <c r="N1116" t="b">
        <f t="shared" si="203"/>
        <v>1</v>
      </c>
    </row>
    <row r="1117" spans="1:14" hidden="1" x14ac:dyDescent="0.25">
      <c r="A1117" t="s">
        <v>5</v>
      </c>
      <c r="B1117" t="s">
        <v>622</v>
      </c>
      <c r="C1117" s="1" t="s">
        <v>381</v>
      </c>
      <c r="D1117" s="1" t="s">
        <v>384</v>
      </c>
      <c r="E1117" s="1" t="s">
        <v>381</v>
      </c>
      <c r="F1117" s="1" t="s">
        <v>384</v>
      </c>
      <c r="G1117">
        <f t="shared" si="198"/>
        <v>7</v>
      </c>
      <c r="H1117" t="str">
        <f t="shared" si="206"/>
        <v>BTC</v>
      </c>
      <c r="I1117" t="str">
        <f>LEFT(B1117,4)</f>
        <v>JOBS</v>
      </c>
      <c r="J1117" t="str">
        <f t="shared" si="199"/>
        <v>BTCJOBS</v>
      </c>
      <c r="K1117" t="str">
        <f t="shared" si="200"/>
        <v>JOBSBTC</v>
      </c>
      <c r="L1117">
        <f t="shared" si="201"/>
        <v>0</v>
      </c>
      <c r="M1117">
        <f t="shared" si="202"/>
        <v>1</v>
      </c>
      <c r="N1117" t="b">
        <f t="shared" si="203"/>
        <v>1</v>
      </c>
    </row>
    <row r="1118" spans="1:14" hidden="1" x14ac:dyDescent="0.25">
      <c r="A1118" t="s">
        <v>5</v>
      </c>
      <c r="B1118" t="s">
        <v>956</v>
      </c>
      <c r="C1118" s="1" t="s">
        <v>362</v>
      </c>
      <c r="D1118" s="1" t="s">
        <v>364</v>
      </c>
      <c r="E1118" s="1" t="s">
        <v>362</v>
      </c>
      <c r="F1118" s="1">
        <v>3.3000000000000003E-5</v>
      </c>
      <c r="G1118">
        <f t="shared" si="198"/>
        <v>6</v>
      </c>
      <c r="H1118" t="str">
        <f t="shared" si="206"/>
        <v>BTC</v>
      </c>
      <c r="I1118" t="str">
        <f>LEFT(B1118,3)</f>
        <v>JOK</v>
      </c>
      <c r="J1118" t="str">
        <f t="shared" si="199"/>
        <v>BTCJOK</v>
      </c>
      <c r="K1118" t="str">
        <f t="shared" si="200"/>
        <v>JOKBTC</v>
      </c>
      <c r="L1118">
        <f t="shared" si="201"/>
        <v>0</v>
      </c>
      <c r="M1118">
        <f t="shared" si="202"/>
        <v>1</v>
      </c>
      <c r="N1118" t="b">
        <f t="shared" si="203"/>
        <v>1</v>
      </c>
    </row>
    <row r="1119" spans="1:14" hidden="1" x14ac:dyDescent="0.25">
      <c r="A1119" t="s">
        <v>5</v>
      </c>
      <c r="B1119" t="s">
        <v>398</v>
      </c>
      <c r="C1119" s="1">
        <v>8.0199999999999994E-6</v>
      </c>
      <c r="D1119" s="1">
        <v>5.3800000000000002E-6</v>
      </c>
      <c r="E1119" s="1">
        <v>8.0199999999999994E-6</v>
      </c>
      <c r="F1119" s="1">
        <v>5.3800000000000002E-6</v>
      </c>
      <c r="G1119">
        <f t="shared" si="198"/>
        <v>6</v>
      </c>
      <c r="H1119" t="str">
        <f t="shared" si="206"/>
        <v>BTC</v>
      </c>
      <c r="I1119" t="str">
        <f>LEFT(B1119,3)</f>
        <v>JPC</v>
      </c>
      <c r="J1119" t="str">
        <f t="shared" si="199"/>
        <v>BTCJPC</v>
      </c>
      <c r="K1119" t="str">
        <f t="shared" si="200"/>
        <v>JPCBTC</v>
      </c>
      <c r="L1119">
        <f t="shared" si="201"/>
        <v>0</v>
      </c>
      <c r="M1119">
        <f t="shared" si="202"/>
        <v>1</v>
      </c>
      <c r="N1119" t="b">
        <f t="shared" si="203"/>
        <v>1</v>
      </c>
    </row>
    <row r="1120" spans="1:14" hidden="1" x14ac:dyDescent="0.25">
      <c r="A1120" t="s">
        <v>5</v>
      </c>
      <c r="B1120" t="s">
        <v>981</v>
      </c>
      <c r="C1120" s="1" t="s">
        <v>361</v>
      </c>
      <c r="D1120" s="1" t="s">
        <v>362</v>
      </c>
      <c r="E1120" s="1" t="s">
        <v>361</v>
      </c>
      <c r="F1120" s="1" t="s">
        <v>362</v>
      </c>
      <c r="G1120">
        <f t="shared" si="198"/>
        <v>5</v>
      </c>
      <c r="H1120" t="str">
        <f t="shared" si="206"/>
        <v>BTC</v>
      </c>
      <c r="I1120" t="str">
        <f>LEFT(B1120,2)</f>
        <v>JW</v>
      </c>
      <c r="J1120" t="str">
        <f t="shared" si="199"/>
        <v>BTCJW</v>
      </c>
      <c r="K1120" t="str">
        <f t="shared" si="200"/>
        <v>JWBTC</v>
      </c>
      <c r="L1120">
        <f t="shared" si="201"/>
        <v>0</v>
      </c>
      <c r="M1120">
        <f t="shared" si="202"/>
        <v>1</v>
      </c>
      <c r="N1120" t="b">
        <f t="shared" si="203"/>
        <v>1</v>
      </c>
    </row>
    <row r="1121" spans="1:14" hidden="1" x14ac:dyDescent="0.25">
      <c r="A1121" t="s">
        <v>5</v>
      </c>
      <c r="B1121" t="s">
        <v>506</v>
      </c>
      <c r="C1121" s="1" t="s">
        <v>362</v>
      </c>
      <c r="D1121" s="1" t="s">
        <v>364</v>
      </c>
      <c r="E1121" s="1" t="s">
        <v>362</v>
      </c>
      <c r="F1121" s="1">
        <v>3.5830000000000001E-5</v>
      </c>
      <c r="G1121">
        <f t="shared" si="198"/>
        <v>8</v>
      </c>
      <c r="H1121" t="str">
        <f t="shared" si="206"/>
        <v>BTC</v>
      </c>
      <c r="I1121" t="str">
        <f>LEFT(B1121,5)</f>
        <v>KARMA</v>
      </c>
      <c r="J1121" t="str">
        <f t="shared" si="199"/>
        <v>BTCKARMA</v>
      </c>
      <c r="K1121" t="str">
        <f t="shared" si="200"/>
        <v>KARMABTC</v>
      </c>
      <c r="L1121">
        <f t="shared" si="201"/>
        <v>0</v>
      </c>
      <c r="M1121">
        <f t="shared" si="202"/>
        <v>1</v>
      </c>
      <c r="N1121" t="b">
        <f t="shared" si="203"/>
        <v>1</v>
      </c>
    </row>
    <row r="1122" spans="1:14" hidden="1" x14ac:dyDescent="0.25">
      <c r="A1122" t="s">
        <v>5</v>
      </c>
      <c r="B1122" t="s">
        <v>832</v>
      </c>
      <c r="C1122" s="1">
        <v>2.2999999999999999E-7</v>
      </c>
      <c r="D1122" s="1">
        <v>1.6999999999999999E-7</v>
      </c>
      <c r="E1122" s="1">
        <v>2.2999999999999999E-7</v>
      </c>
      <c r="F1122" s="1">
        <v>1.6999999999999999E-7</v>
      </c>
      <c r="G1122">
        <f t="shared" si="198"/>
        <v>8</v>
      </c>
      <c r="H1122" t="str">
        <f t="shared" si="206"/>
        <v>BTC</v>
      </c>
      <c r="I1122" t="str">
        <f>LEFT(B1122,5)</f>
        <v>KASHH</v>
      </c>
      <c r="J1122" t="str">
        <f t="shared" si="199"/>
        <v>BTCKASHH</v>
      </c>
      <c r="K1122" t="str">
        <f t="shared" si="200"/>
        <v>KASHHBTC</v>
      </c>
      <c r="L1122">
        <f t="shared" si="201"/>
        <v>0</v>
      </c>
      <c r="M1122">
        <f t="shared" si="202"/>
        <v>1</v>
      </c>
      <c r="N1122" t="b">
        <f t="shared" si="203"/>
        <v>1</v>
      </c>
    </row>
    <row r="1123" spans="1:14" hidden="1" x14ac:dyDescent="0.25">
      <c r="A1123" t="s">
        <v>5</v>
      </c>
      <c r="B1123" t="s">
        <v>767</v>
      </c>
      <c r="C1123" s="1" t="s">
        <v>374</v>
      </c>
      <c r="D1123" s="1">
        <v>2.7000000000000001E-7</v>
      </c>
      <c r="E1123" s="1" t="s">
        <v>374</v>
      </c>
      <c r="F1123" s="1">
        <v>2.7000000000000001E-7</v>
      </c>
      <c r="G1123">
        <f t="shared" si="198"/>
        <v>6</v>
      </c>
      <c r="H1123" t="str">
        <f t="shared" si="206"/>
        <v>BTC</v>
      </c>
      <c r="I1123" t="str">
        <f>LEFT(B1123,3)</f>
        <v>KAT</v>
      </c>
      <c r="J1123" t="str">
        <f t="shared" si="199"/>
        <v>BTCKAT</v>
      </c>
      <c r="K1123" t="str">
        <f t="shared" si="200"/>
        <v>KATBTC</v>
      </c>
      <c r="L1123">
        <f t="shared" si="201"/>
        <v>0</v>
      </c>
      <c r="M1123">
        <f t="shared" si="202"/>
        <v>1</v>
      </c>
      <c r="N1123" t="b">
        <f t="shared" si="203"/>
        <v>1</v>
      </c>
    </row>
    <row r="1124" spans="1:14" hidden="1" x14ac:dyDescent="0.25">
      <c r="A1124" t="s">
        <v>1403</v>
      </c>
      <c r="B1124" t="s">
        <v>1992</v>
      </c>
      <c r="C1124" s="1">
        <v>5.9939979999999997E-2</v>
      </c>
      <c r="D1124" s="1">
        <v>5.9939979999999997E-2</v>
      </c>
      <c r="E1124" s="1">
        <v>4.487E-2</v>
      </c>
      <c r="F1124" s="1">
        <v>6.0000499999999998E-3</v>
      </c>
      <c r="G1124">
        <f t="shared" si="198"/>
        <v>6</v>
      </c>
      <c r="H1124" t="str">
        <f>RIGHT(B1124,4)</f>
        <v>DOGE</v>
      </c>
      <c r="I1124" t="str">
        <f>LEFT(B1124,2)</f>
        <v>KC</v>
      </c>
      <c r="J1124" t="str">
        <f t="shared" si="199"/>
        <v>DOGEKC</v>
      </c>
      <c r="K1124" t="str">
        <f t="shared" si="200"/>
        <v>KCDOGE</v>
      </c>
      <c r="L1124">
        <f t="shared" si="201"/>
        <v>0</v>
      </c>
      <c r="M1124">
        <f t="shared" si="202"/>
        <v>1</v>
      </c>
      <c r="N1124" t="b">
        <f t="shared" si="203"/>
        <v>1</v>
      </c>
    </row>
    <row r="1125" spans="1:14" hidden="1" x14ac:dyDescent="0.25">
      <c r="A1125" t="s">
        <v>1403</v>
      </c>
      <c r="B1125" t="s">
        <v>1800</v>
      </c>
      <c r="C1125" s="1">
        <v>9.6999E-4</v>
      </c>
      <c r="D1125" s="1">
        <v>9.6999E-4</v>
      </c>
      <c r="E1125" s="1">
        <v>3.9899999999999999E-6</v>
      </c>
      <c r="F1125" s="1">
        <v>6.7000000000000004E-7</v>
      </c>
      <c r="G1125">
        <f t="shared" si="198"/>
        <v>5</v>
      </c>
      <c r="H1125" t="str">
        <f>RIGHT(B1125,3)</f>
        <v>LTC</v>
      </c>
      <c r="I1125" t="str">
        <f>LEFT(B1125,2)</f>
        <v>KC</v>
      </c>
      <c r="J1125" t="str">
        <f t="shared" si="199"/>
        <v>LTCKC</v>
      </c>
      <c r="K1125" t="str">
        <f t="shared" si="200"/>
        <v>KCLTC</v>
      </c>
      <c r="L1125">
        <f t="shared" si="201"/>
        <v>0</v>
      </c>
      <c r="M1125">
        <f t="shared" si="202"/>
        <v>1</v>
      </c>
      <c r="N1125" t="b">
        <f t="shared" si="203"/>
        <v>1</v>
      </c>
    </row>
    <row r="1126" spans="1:14" hidden="1" x14ac:dyDescent="0.25">
      <c r="A1126" t="s">
        <v>1403</v>
      </c>
      <c r="B1126" t="s">
        <v>1616</v>
      </c>
      <c r="C1126" s="1">
        <v>5.5000000000000002E-5</v>
      </c>
      <c r="D1126" s="1">
        <v>5.5000000000000002E-5</v>
      </c>
      <c r="E1126" s="1" t="s">
        <v>84</v>
      </c>
      <c r="F1126" s="1" t="s">
        <v>1158</v>
      </c>
      <c r="G1126">
        <f t="shared" si="198"/>
        <v>5</v>
      </c>
      <c r="H1126" t="str">
        <f>RIGHT(B1126,3)</f>
        <v>USD</v>
      </c>
      <c r="I1126" t="str">
        <f>LEFT(B1126,2)</f>
        <v>KC</v>
      </c>
      <c r="J1126" t="str">
        <f t="shared" si="199"/>
        <v>USDKC</v>
      </c>
      <c r="K1126" t="str">
        <f t="shared" si="200"/>
        <v>KCUSD</v>
      </c>
      <c r="L1126">
        <f t="shared" si="201"/>
        <v>0</v>
      </c>
      <c r="M1126">
        <f t="shared" si="202"/>
        <v>1</v>
      </c>
      <c r="N1126" t="b">
        <f t="shared" si="203"/>
        <v>1</v>
      </c>
    </row>
    <row r="1127" spans="1:14" hidden="1" x14ac:dyDescent="0.25">
      <c r="A1127" t="s">
        <v>5</v>
      </c>
      <c r="B1127" t="s">
        <v>410</v>
      </c>
      <c r="C1127" s="1" t="s">
        <v>380</v>
      </c>
      <c r="D1127" s="1" t="s">
        <v>381</v>
      </c>
      <c r="E1127" s="1" t="s">
        <v>380</v>
      </c>
      <c r="F1127" s="1" t="s">
        <v>381</v>
      </c>
      <c r="G1127">
        <f t="shared" si="198"/>
        <v>6</v>
      </c>
      <c r="H1127" t="str">
        <f>RIGHT(B1127,3)</f>
        <v>BTC</v>
      </c>
      <c r="I1127" t="str">
        <f>LEFT(B1127,3)</f>
        <v>KGC</v>
      </c>
      <c r="J1127" t="str">
        <f t="shared" si="199"/>
        <v>BTCKGC</v>
      </c>
      <c r="K1127" t="str">
        <f t="shared" si="200"/>
        <v>KGCBTC</v>
      </c>
      <c r="L1127">
        <f t="shared" si="201"/>
        <v>0</v>
      </c>
      <c r="M1127">
        <f t="shared" si="202"/>
        <v>1</v>
      </c>
      <c r="N1127" t="b">
        <f t="shared" si="203"/>
        <v>1</v>
      </c>
    </row>
    <row r="1128" spans="1:14" hidden="1" x14ac:dyDescent="0.25">
      <c r="A1128" t="s">
        <v>5</v>
      </c>
      <c r="B1128" t="s">
        <v>970</v>
      </c>
      <c r="C1128" s="1" t="s">
        <v>361</v>
      </c>
      <c r="D1128" s="1" t="s">
        <v>362</v>
      </c>
      <c r="E1128" s="1" t="s">
        <v>361</v>
      </c>
      <c r="F1128" s="1" t="s">
        <v>362</v>
      </c>
      <c r="G1128">
        <f t="shared" si="198"/>
        <v>7</v>
      </c>
      <c r="H1128" t="str">
        <f>RIGHT(B1128,3)</f>
        <v>BTC</v>
      </c>
      <c r="I1128" t="str">
        <f>LEFT(B1128,4)</f>
        <v>KIDS</v>
      </c>
      <c r="J1128" t="str">
        <f t="shared" si="199"/>
        <v>BTCKIDS</v>
      </c>
      <c r="K1128" t="str">
        <f t="shared" si="200"/>
        <v>KIDSBTC</v>
      </c>
      <c r="L1128">
        <f t="shared" si="201"/>
        <v>0</v>
      </c>
      <c r="M1128">
        <f t="shared" si="202"/>
        <v>1</v>
      </c>
      <c r="N1128" t="b">
        <f t="shared" si="203"/>
        <v>1</v>
      </c>
    </row>
    <row r="1129" spans="1:14" hidden="1" x14ac:dyDescent="0.25">
      <c r="A1129" t="s">
        <v>1403</v>
      </c>
      <c r="B1129" t="s">
        <v>1466</v>
      </c>
      <c r="C1129" s="1">
        <v>1.6999999999999999E-7</v>
      </c>
      <c r="D1129" s="1">
        <v>3.3999999999999997E-7</v>
      </c>
      <c r="E1129" s="1">
        <v>3.3999999999999997E-7</v>
      </c>
      <c r="F1129" s="1">
        <v>1.6999999999999999E-7</v>
      </c>
      <c r="G1129">
        <f t="shared" si="198"/>
        <v>6</v>
      </c>
      <c r="H1129" t="str">
        <f>RIGHT(B1129,3)</f>
        <v>BTC</v>
      </c>
      <c r="I1129" t="str">
        <f>LEFT(B1129,3)</f>
        <v>KLC</v>
      </c>
      <c r="J1129" t="str">
        <f t="shared" si="199"/>
        <v>BTCKLC</v>
      </c>
      <c r="K1129" t="str">
        <f t="shared" si="200"/>
        <v>KLCBTC</v>
      </c>
      <c r="L1129">
        <f t="shared" si="201"/>
        <v>0</v>
      </c>
      <c r="M1129">
        <f t="shared" si="202"/>
        <v>1</v>
      </c>
      <c r="N1129" t="b">
        <f t="shared" si="203"/>
        <v>1</v>
      </c>
    </row>
    <row r="1130" spans="1:14" hidden="1" x14ac:dyDescent="0.25">
      <c r="A1130" t="s">
        <v>1403</v>
      </c>
      <c r="B1130" t="s">
        <v>1993</v>
      </c>
      <c r="C1130" s="1">
        <v>0.13048170000000001</v>
      </c>
      <c r="D1130" s="1">
        <v>0.13048170000000001</v>
      </c>
      <c r="E1130" s="1">
        <v>4.9199887999999996</v>
      </c>
      <c r="F1130" s="1">
        <v>8.1500110000000001E-2</v>
      </c>
      <c r="G1130">
        <f t="shared" si="198"/>
        <v>7</v>
      </c>
      <c r="H1130" t="str">
        <f>RIGHT(B1130,4)</f>
        <v>DOGE</v>
      </c>
      <c r="I1130" t="str">
        <f>LEFT(B1130,3)</f>
        <v>KLC</v>
      </c>
      <c r="J1130" t="str">
        <f t="shared" si="199"/>
        <v>DOGEKLC</v>
      </c>
      <c r="K1130" t="str">
        <f t="shared" si="200"/>
        <v>KLCDOGE</v>
      </c>
      <c r="L1130">
        <f t="shared" si="201"/>
        <v>0</v>
      </c>
      <c r="M1130">
        <f t="shared" si="202"/>
        <v>1</v>
      </c>
      <c r="N1130" t="b">
        <f t="shared" si="203"/>
        <v>1</v>
      </c>
    </row>
    <row r="1131" spans="1:14" hidden="1" x14ac:dyDescent="0.25">
      <c r="A1131" t="s">
        <v>1403</v>
      </c>
      <c r="B1131" t="s">
        <v>1801</v>
      </c>
      <c r="C1131" s="1">
        <v>2.9990000000000003E-4</v>
      </c>
      <c r="D1131" s="1">
        <v>2.9990000000000003E-4</v>
      </c>
      <c r="E1131" s="1">
        <v>6.8978299999999998E-3</v>
      </c>
      <c r="F1131" s="1">
        <v>7.5000000000000002E-7</v>
      </c>
      <c r="G1131">
        <f t="shared" si="198"/>
        <v>6</v>
      </c>
      <c r="H1131" t="str">
        <f>RIGHT(B1131,3)</f>
        <v>LTC</v>
      </c>
      <c r="I1131" t="str">
        <f>LEFT(B1131,3)</f>
        <v>KLC</v>
      </c>
      <c r="J1131" t="str">
        <f t="shared" si="199"/>
        <v>LTCKLC</v>
      </c>
      <c r="K1131" t="str">
        <f t="shared" si="200"/>
        <v>KLCLTC</v>
      </c>
      <c r="L1131">
        <f t="shared" si="201"/>
        <v>0</v>
      </c>
      <c r="M1131">
        <f t="shared" si="202"/>
        <v>1</v>
      </c>
      <c r="N1131" t="b">
        <f t="shared" si="203"/>
        <v>1</v>
      </c>
    </row>
    <row r="1132" spans="1:14" hidden="1" x14ac:dyDescent="0.25">
      <c r="A1132" t="s">
        <v>1403</v>
      </c>
      <c r="B1132" t="s">
        <v>1617</v>
      </c>
      <c r="C1132" s="1">
        <v>2.46955E-3</v>
      </c>
      <c r="D1132" s="1">
        <v>2.46955E-3</v>
      </c>
      <c r="E1132" s="1">
        <v>1.38955E-3</v>
      </c>
      <c r="F1132" s="1">
        <v>4.5430999999999998E-4</v>
      </c>
      <c r="G1132">
        <f t="shared" si="198"/>
        <v>6</v>
      </c>
      <c r="H1132" t="str">
        <f>RIGHT(B1132,3)</f>
        <v>USD</v>
      </c>
      <c r="I1132" t="str">
        <f>LEFT(B1132,3)</f>
        <v>KLC</v>
      </c>
      <c r="J1132" t="str">
        <f t="shared" si="199"/>
        <v>USDKLC</v>
      </c>
      <c r="K1132" t="str">
        <f t="shared" si="200"/>
        <v>KLCUSD</v>
      </c>
      <c r="L1132">
        <f t="shared" si="201"/>
        <v>0</v>
      </c>
      <c r="M1132">
        <f t="shared" si="202"/>
        <v>1</v>
      </c>
      <c r="N1132" t="b">
        <f t="shared" si="203"/>
        <v>1</v>
      </c>
    </row>
    <row r="1133" spans="1:14" hidden="1" x14ac:dyDescent="0.25">
      <c r="A1133" t="s">
        <v>5</v>
      </c>
      <c r="B1133" t="s">
        <v>1182</v>
      </c>
      <c r="C1133" s="1">
        <v>5.0499999999999999E-6</v>
      </c>
      <c r="D1133" s="1">
        <v>4.5600000000000004E-6</v>
      </c>
      <c r="E1133" s="1">
        <v>5.0499999999999999E-6</v>
      </c>
      <c r="F1133" s="1">
        <v>4.5600000000000004E-6</v>
      </c>
      <c r="G1133">
        <f t="shared" si="198"/>
        <v>7</v>
      </c>
      <c r="H1133" t="str">
        <f>RIGHT(B1133,3)</f>
        <v>BTC</v>
      </c>
      <c r="I1133" t="str">
        <f>LEFT(B1133,4)</f>
        <v>KOBO</v>
      </c>
      <c r="J1133" t="str">
        <f t="shared" si="199"/>
        <v>BTCKOBO</v>
      </c>
      <c r="K1133" t="str">
        <f t="shared" si="200"/>
        <v>KOBOBTC</v>
      </c>
      <c r="L1133">
        <f t="shared" si="201"/>
        <v>0</v>
      </c>
      <c r="M1133">
        <f t="shared" si="202"/>
        <v>1</v>
      </c>
      <c r="N1133" t="b">
        <f t="shared" si="203"/>
        <v>1</v>
      </c>
    </row>
    <row r="1134" spans="1:14" hidden="1" x14ac:dyDescent="0.25">
      <c r="A1134" t="s">
        <v>1403</v>
      </c>
      <c r="B1134" t="s">
        <v>1467</v>
      </c>
      <c r="C1134" s="1">
        <v>0</v>
      </c>
      <c r="D1134" s="1">
        <v>0</v>
      </c>
      <c r="E1134" s="1">
        <v>0</v>
      </c>
      <c r="F1134" s="1">
        <v>1.221E-5</v>
      </c>
      <c r="G1134">
        <f t="shared" si="198"/>
        <v>6</v>
      </c>
      <c r="H1134" t="str">
        <f>RIGHT(B1134,3)</f>
        <v>BTC</v>
      </c>
      <c r="I1134" t="str">
        <f>LEFT(B1134,3)</f>
        <v>KPL</v>
      </c>
      <c r="J1134" t="str">
        <f t="shared" si="199"/>
        <v>BTCKPL</v>
      </c>
      <c r="K1134" t="str">
        <f t="shared" si="200"/>
        <v>KPLBTC</v>
      </c>
      <c r="L1134">
        <f t="shared" si="201"/>
        <v>0</v>
      </c>
      <c r="M1134">
        <f t="shared" si="202"/>
        <v>1</v>
      </c>
      <c r="N1134" t="b">
        <f t="shared" si="203"/>
        <v>1</v>
      </c>
    </row>
    <row r="1135" spans="1:14" hidden="1" x14ac:dyDescent="0.25">
      <c r="A1135" t="s">
        <v>1403</v>
      </c>
      <c r="B1135" t="s">
        <v>1994</v>
      </c>
      <c r="C1135" s="1">
        <v>0</v>
      </c>
      <c r="D1135" s="1">
        <v>0</v>
      </c>
      <c r="E1135" s="1">
        <v>0</v>
      </c>
      <c r="F1135" s="1">
        <v>4.0059999999999999E-5</v>
      </c>
      <c r="G1135">
        <f t="shared" si="198"/>
        <v>7</v>
      </c>
      <c r="H1135" t="str">
        <f>RIGHT(B1135,4)</f>
        <v>DOGE</v>
      </c>
      <c r="I1135" t="str">
        <f>LEFT(B1135,3)</f>
        <v>KPL</v>
      </c>
      <c r="J1135" t="str">
        <f t="shared" si="199"/>
        <v>DOGEKPL</v>
      </c>
      <c r="K1135" t="str">
        <f t="shared" si="200"/>
        <v>KPLDOGE</v>
      </c>
      <c r="L1135">
        <f t="shared" si="201"/>
        <v>0</v>
      </c>
      <c r="M1135">
        <f t="shared" si="202"/>
        <v>1</v>
      </c>
      <c r="N1135" t="b">
        <f t="shared" si="203"/>
        <v>1</v>
      </c>
    </row>
    <row r="1136" spans="1:14" hidden="1" x14ac:dyDescent="0.25">
      <c r="A1136" t="s">
        <v>1403</v>
      </c>
      <c r="B1136" t="s">
        <v>1802</v>
      </c>
      <c r="C1136" s="1">
        <v>0</v>
      </c>
      <c r="D1136" s="1">
        <v>0</v>
      </c>
      <c r="E1136" s="1">
        <v>0</v>
      </c>
      <c r="F1136" s="1">
        <v>2.1E-7</v>
      </c>
      <c r="G1136">
        <f t="shared" si="198"/>
        <v>6</v>
      </c>
      <c r="H1136" t="str">
        <f t="shared" ref="H1136:H1143" si="207">RIGHT(B1136,3)</f>
        <v>LTC</v>
      </c>
      <c r="I1136" t="str">
        <f>LEFT(B1136,3)</f>
        <v>KPL</v>
      </c>
      <c r="J1136" t="str">
        <f t="shared" si="199"/>
        <v>LTCKPL</v>
      </c>
      <c r="K1136" t="str">
        <f t="shared" si="200"/>
        <v>KPLLTC</v>
      </c>
      <c r="L1136">
        <f t="shared" si="201"/>
        <v>0</v>
      </c>
      <c r="M1136">
        <f t="shared" si="202"/>
        <v>1</v>
      </c>
      <c r="N1136" t="b">
        <f t="shared" si="203"/>
        <v>1</v>
      </c>
    </row>
    <row r="1137" spans="1:14" hidden="1" x14ac:dyDescent="0.25">
      <c r="A1137" t="s">
        <v>1403</v>
      </c>
      <c r="B1137" t="s">
        <v>1618</v>
      </c>
      <c r="C1137" s="1">
        <v>0</v>
      </c>
      <c r="D1137" s="1">
        <v>0</v>
      </c>
      <c r="E1137" s="1">
        <v>0</v>
      </c>
      <c r="F1137" s="1">
        <v>1.06E-6</v>
      </c>
      <c r="G1137">
        <f t="shared" si="198"/>
        <v>6</v>
      </c>
      <c r="H1137" t="str">
        <f t="shared" si="207"/>
        <v>USD</v>
      </c>
      <c r="I1137" t="str">
        <f>LEFT(B1137,3)</f>
        <v>KPL</v>
      </c>
      <c r="J1137" t="str">
        <f t="shared" si="199"/>
        <v>USDKPL</v>
      </c>
      <c r="K1137" t="str">
        <f t="shared" si="200"/>
        <v>KPLUSD</v>
      </c>
      <c r="L1137">
        <f t="shared" si="201"/>
        <v>0</v>
      </c>
      <c r="M1137">
        <f t="shared" si="202"/>
        <v>1</v>
      </c>
      <c r="N1137" t="b">
        <f t="shared" si="203"/>
        <v>1</v>
      </c>
    </row>
    <row r="1138" spans="1:14" hidden="1" x14ac:dyDescent="0.25">
      <c r="A1138" t="s">
        <v>5</v>
      </c>
      <c r="B1138" t="s">
        <v>909</v>
      </c>
      <c r="C1138" s="1">
        <v>7.6299999999999998E-6</v>
      </c>
      <c r="D1138" s="1">
        <v>6.8499999999999996E-6</v>
      </c>
      <c r="E1138" s="1">
        <v>7.6299999999999998E-6</v>
      </c>
      <c r="F1138" s="1">
        <v>6.8499999999999996E-6</v>
      </c>
      <c r="G1138">
        <f t="shared" si="198"/>
        <v>7</v>
      </c>
      <c r="H1138" t="str">
        <f t="shared" si="207"/>
        <v>BTC</v>
      </c>
      <c r="I1138" t="str">
        <f>LEFT(B1138,4)</f>
        <v>KRAK</v>
      </c>
      <c r="J1138" t="str">
        <f t="shared" si="199"/>
        <v>BTCKRAK</v>
      </c>
      <c r="K1138" t="str">
        <f t="shared" si="200"/>
        <v>KRAKBTC</v>
      </c>
      <c r="L1138">
        <f t="shared" si="201"/>
        <v>0</v>
      </c>
      <c r="M1138">
        <f t="shared" si="202"/>
        <v>1</v>
      </c>
      <c r="N1138" t="b">
        <f t="shared" si="203"/>
        <v>1</v>
      </c>
    </row>
    <row r="1139" spans="1:14" hidden="1" x14ac:dyDescent="0.25">
      <c r="A1139" t="s">
        <v>1239</v>
      </c>
      <c r="B1139" t="s">
        <v>1293</v>
      </c>
      <c r="C1139" s="1">
        <v>7.2999999999999999E-5</v>
      </c>
      <c r="D1139" s="1">
        <v>7.0080000000000007E-5</v>
      </c>
      <c r="E1139" s="1">
        <v>7.2999999999999999E-5</v>
      </c>
      <c r="F1139" s="1">
        <v>6.8980011263999994E-5</v>
      </c>
      <c r="G1139">
        <f t="shared" si="198"/>
        <v>6</v>
      </c>
      <c r="H1139" t="str">
        <f t="shared" si="207"/>
        <v>BTC</v>
      </c>
      <c r="I1139" t="str">
        <f>LEFT(B1139,3)</f>
        <v>KRB</v>
      </c>
      <c r="J1139" t="str">
        <f t="shared" si="199"/>
        <v>BTCKRB</v>
      </c>
      <c r="K1139" t="str">
        <f t="shared" si="200"/>
        <v>KRBBTC</v>
      </c>
      <c r="L1139">
        <f t="shared" si="201"/>
        <v>0</v>
      </c>
      <c r="M1139">
        <f t="shared" si="202"/>
        <v>1</v>
      </c>
      <c r="N1139" t="b">
        <f t="shared" si="203"/>
        <v>1</v>
      </c>
    </row>
    <row r="1140" spans="1:14" hidden="1" x14ac:dyDescent="0.25">
      <c r="A1140" t="s">
        <v>1239</v>
      </c>
      <c r="B1140" t="s">
        <v>1294</v>
      </c>
      <c r="C1140" s="1">
        <v>250</v>
      </c>
      <c r="D1140" s="1">
        <v>0.65161000000000002</v>
      </c>
      <c r="E1140" s="1">
        <v>42246.892</v>
      </c>
      <c r="F1140" s="1">
        <v>0.65161000000000002</v>
      </c>
      <c r="G1140">
        <f t="shared" si="198"/>
        <v>6</v>
      </c>
      <c r="H1140" t="str">
        <f t="shared" si="207"/>
        <v>RUR</v>
      </c>
      <c r="I1140" t="str">
        <f>LEFT(B1140,3)</f>
        <v>KRB</v>
      </c>
      <c r="J1140" t="str">
        <f t="shared" si="199"/>
        <v>RURKRB</v>
      </c>
      <c r="K1140" t="str">
        <f t="shared" si="200"/>
        <v>KRBRUR</v>
      </c>
      <c r="L1140">
        <f t="shared" si="201"/>
        <v>0</v>
      </c>
      <c r="M1140">
        <f t="shared" si="202"/>
        <v>1</v>
      </c>
      <c r="N1140" t="b">
        <f t="shared" si="203"/>
        <v>1</v>
      </c>
    </row>
    <row r="1141" spans="1:14" hidden="1" x14ac:dyDescent="0.25">
      <c r="A1141" t="s">
        <v>5</v>
      </c>
      <c r="B1141" t="s">
        <v>938</v>
      </c>
      <c r="C1141" s="1">
        <v>2.0080000000000001E-5</v>
      </c>
      <c r="D1141" s="1">
        <v>1.592E-5</v>
      </c>
      <c r="E1141" s="1">
        <v>2.0080000000000001E-5</v>
      </c>
      <c r="F1141" s="1">
        <v>1.592E-5</v>
      </c>
      <c r="G1141">
        <f t="shared" si="198"/>
        <v>5</v>
      </c>
      <c r="H1141" t="str">
        <f t="shared" si="207"/>
        <v>BTC</v>
      </c>
      <c r="I1141" t="str">
        <f>LEFT(B1141,2)</f>
        <v>KR</v>
      </c>
      <c r="J1141" t="str">
        <f t="shared" si="199"/>
        <v>BTCKR</v>
      </c>
      <c r="K1141" t="str">
        <f t="shared" si="200"/>
        <v>KRBTC</v>
      </c>
      <c r="L1141">
        <f t="shared" si="201"/>
        <v>0</v>
      </c>
      <c r="M1141">
        <f t="shared" si="202"/>
        <v>1</v>
      </c>
      <c r="N1141" t="b">
        <f t="shared" si="203"/>
        <v>1</v>
      </c>
    </row>
    <row r="1142" spans="1:14" hidden="1" x14ac:dyDescent="0.25">
      <c r="A1142" t="s">
        <v>1239</v>
      </c>
      <c r="B1142" t="s">
        <v>1292</v>
      </c>
      <c r="C1142" s="1">
        <v>0.21998999999999999</v>
      </c>
      <c r="D1142" s="1">
        <v>8.881E-2</v>
      </c>
      <c r="E1142" s="1">
        <v>0.21998999999999999</v>
      </c>
      <c r="F1142" s="1">
        <v>8.881E-2</v>
      </c>
      <c r="G1142">
        <f t="shared" si="198"/>
        <v>6</v>
      </c>
      <c r="H1142" t="str">
        <f t="shared" si="207"/>
        <v>USD</v>
      </c>
      <c r="I1142" t="str">
        <f t="shared" ref="I1142:I1147" si="208">LEFT(B1142,3)</f>
        <v>KRB</v>
      </c>
      <c r="J1142" t="str">
        <f t="shared" si="199"/>
        <v>USDKRB</v>
      </c>
      <c r="K1142" t="str">
        <f t="shared" si="200"/>
        <v>KRBUSD</v>
      </c>
      <c r="L1142">
        <f t="shared" si="201"/>
        <v>0</v>
      </c>
      <c r="M1142">
        <f t="shared" si="202"/>
        <v>1</v>
      </c>
      <c r="N1142" t="b">
        <f t="shared" si="203"/>
        <v>1</v>
      </c>
    </row>
    <row r="1143" spans="1:14" hidden="1" x14ac:dyDescent="0.25">
      <c r="A1143" t="s">
        <v>1403</v>
      </c>
      <c r="B1143" t="s">
        <v>1468</v>
      </c>
      <c r="C1143" s="1" t="s">
        <v>362</v>
      </c>
      <c r="D1143" s="1" t="s">
        <v>381</v>
      </c>
      <c r="E1143" s="1" t="s">
        <v>381</v>
      </c>
      <c r="F1143" s="1" t="s">
        <v>361</v>
      </c>
      <c r="G1143">
        <f t="shared" si="198"/>
        <v>6</v>
      </c>
      <c r="H1143" t="str">
        <f t="shared" si="207"/>
        <v>BTC</v>
      </c>
      <c r="I1143" t="str">
        <f t="shared" si="208"/>
        <v>KRC</v>
      </c>
      <c r="J1143" t="str">
        <f t="shared" si="199"/>
        <v>BTCKRC</v>
      </c>
      <c r="K1143" t="str">
        <f t="shared" si="200"/>
        <v>KRCBTC</v>
      </c>
      <c r="L1143">
        <f t="shared" si="201"/>
        <v>0</v>
      </c>
      <c r="M1143">
        <f t="shared" si="202"/>
        <v>1</v>
      </c>
      <c r="N1143" t="b">
        <f t="shared" si="203"/>
        <v>1</v>
      </c>
    </row>
    <row r="1144" spans="1:14" hidden="1" x14ac:dyDescent="0.25">
      <c r="A1144" t="s">
        <v>1403</v>
      </c>
      <c r="B1144" t="s">
        <v>1995</v>
      </c>
      <c r="C1144" s="1">
        <v>5.2999999999999999E-2</v>
      </c>
      <c r="D1144" s="1">
        <v>5.2999999999999999E-2</v>
      </c>
      <c r="E1144" s="1">
        <v>6.9999989999999999</v>
      </c>
      <c r="F1144" s="1">
        <v>1.0019E-4</v>
      </c>
      <c r="G1144">
        <f t="shared" si="198"/>
        <v>7</v>
      </c>
      <c r="H1144" t="str">
        <f>RIGHT(B1144,4)</f>
        <v>DOGE</v>
      </c>
      <c r="I1144" t="str">
        <f t="shared" si="208"/>
        <v>KRC</v>
      </c>
      <c r="J1144" t="str">
        <f t="shared" si="199"/>
        <v>DOGEKRC</v>
      </c>
      <c r="K1144" t="str">
        <f t="shared" si="200"/>
        <v>KRCDOGE</v>
      </c>
      <c r="L1144">
        <f t="shared" si="201"/>
        <v>0</v>
      </c>
      <c r="M1144">
        <f t="shared" si="202"/>
        <v>1</v>
      </c>
      <c r="N1144" t="b">
        <f t="shared" si="203"/>
        <v>1</v>
      </c>
    </row>
    <row r="1145" spans="1:14" hidden="1" x14ac:dyDescent="0.25">
      <c r="A1145" t="s">
        <v>1403</v>
      </c>
      <c r="B1145" t="s">
        <v>1803</v>
      </c>
      <c r="C1145" s="1">
        <v>1.75E-3</v>
      </c>
      <c r="D1145" s="1">
        <v>1.75E-3</v>
      </c>
      <c r="E1145" s="1">
        <v>9.7977000000000003E-4</v>
      </c>
      <c r="F1145" s="1" t="s">
        <v>362</v>
      </c>
      <c r="G1145">
        <f t="shared" si="198"/>
        <v>6</v>
      </c>
      <c r="H1145" t="str">
        <f t="shared" ref="H1145:H1156" si="209">RIGHT(B1145,3)</f>
        <v>LTC</v>
      </c>
      <c r="I1145" t="str">
        <f t="shared" si="208"/>
        <v>KRC</v>
      </c>
      <c r="J1145" t="str">
        <f t="shared" si="199"/>
        <v>LTCKRC</v>
      </c>
      <c r="K1145" t="str">
        <f t="shared" si="200"/>
        <v>KRCLTC</v>
      </c>
      <c r="L1145">
        <f t="shared" si="201"/>
        <v>0</v>
      </c>
      <c r="M1145">
        <f t="shared" si="202"/>
        <v>1</v>
      </c>
      <c r="N1145" t="b">
        <f t="shared" si="203"/>
        <v>1</v>
      </c>
    </row>
    <row r="1146" spans="1:14" hidden="1" x14ac:dyDescent="0.25">
      <c r="A1146" t="s">
        <v>1403</v>
      </c>
      <c r="B1146" t="s">
        <v>1619</v>
      </c>
      <c r="C1146" s="1">
        <v>1.01E-2</v>
      </c>
      <c r="D1146" s="1">
        <v>1.01E-2</v>
      </c>
      <c r="E1146" s="1">
        <v>7.9999890000000004E-2</v>
      </c>
      <c r="F1146" s="1">
        <v>1.9997999999999999E-4</v>
      </c>
      <c r="G1146">
        <f t="shared" si="198"/>
        <v>6</v>
      </c>
      <c r="H1146" t="str">
        <f t="shared" si="209"/>
        <v>USD</v>
      </c>
      <c r="I1146" t="str">
        <f t="shared" si="208"/>
        <v>KRC</v>
      </c>
      <c r="J1146" t="str">
        <f t="shared" si="199"/>
        <v>USDKRC</v>
      </c>
      <c r="K1146" t="str">
        <f t="shared" si="200"/>
        <v>KRCUSD</v>
      </c>
      <c r="L1146">
        <f t="shared" si="201"/>
        <v>0</v>
      </c>
      <c r="M1146">
        <f t="shared" si="202"/>
        <v>1</v>
      </c>
      <c r="N1146" t="b">
        <f t="shared" si="203"/>
        <v>1</v>
      </c>
    </row>
    <row r="1147" spans="1:14" hidden="1" x14ac:dyDescent="0.25">
      <c r="A1147" t="s">
        <v>5</v>
      </c>
      <c r="B1147" t="s">
        <v>955</v>
      </c>
      <c r="C1147" s="1">
        <v>3.3460000000000002E-5</v>
      </c>
      <c r="D1147" s="1">
        <v>3.3000000000000003E-5</v>
      </c>
      <c r="E1147" s="1">
        <v>3.3460000000000002E-5</v>
      </c>
      <c r="F1147" s="1">
        <v>3.3000000000000003E-5</v>
      </c>
      <c r="G1147">
        <f t="shared" si="198"/>
        <v>6</v>
      </c>
      <c r="H1147" t="str">
        <f t="shared" si="209"/>
        <v>BTC</v>
      </c>
      <c r="I1147" t="str">
        <f t="shared" si="208"/>
        <v>KTK</v>
      </c>
      <c r="J1147" t="str">
        <f t="shared" si="199"/>
        <v>BTCKTK</v>
      </c>
      <c r="K1147" t="str">
        <f t="shared" si="200"/>
        <v>KTKBTC</v>
      </c>
      <c r="L1147">
        <f t="shared" si="201"/>
        <v>0</v>
      </c>
      <c r="M1147">
        <f t="shared" si="202"/>
        <v>1</v>
      </c>
      <c r="N1147" t="b">
        <f t="shared" si="203"/>
        <v>1</v>
      </c>
    </row>
    <row r="1148" spans="1:14" hidden="1" x14ac:dyDescent="0.25">
      <c r="A1148" t="s">
        <v>5</v>
      </c>
      <c r="B1148" t="s">
        <v>1129</v>
      </c>
      <c r="C1148" s="1" t="s">
        <v>362</v>
      </c>
      <c r="D1148" s="1" t="s">
        <v>364</v>
      </c>
      <c r="E1148" s="1" t="s">
        <v>362</v>
      </c>
      <c r="F1148" s="1">
        <v>1.5E-6</v>
      </c>
      <c r="G1148">
        <f t="shared" si="198"/>
        <v>7</v>
      </c>
      <c r="H1148" t="str">
        <f t="shared" si="209"/>
        <v>BTC</v>
      </c>
      <c r="I1148" t="str">
        <f>LEFT(B1148,4)</f>
        <v>KUBO</v>
      </c>
      <c r="J1148" t="str">
        <f t="shared" si="199"/>
        <v>BTCKUBO</v>
      </c>
      <c r="K1148" t="str">
        <f t="shared" si="200"/>
        <v>KUBOBTC</v>
      </c>
      <c r="L1148">
        <f t="shared" si="201"/>
        <v>0</v>
      </c>
      <c r="M1148">
        <f t="shared" si="202"/>
        <v>1</v>
      </c>
      <c r="N1148" t="b">
        <f t="shared" si="203"/>
        <v>1</v>
      </c>
    </row>
    <row r="1149" spans="1:14" hidden="1" x14ac:dyDescent="0.25">
      <c r="A1149" t="s">
        <v>5</v>
      </c>
      <c r="B1149" t="s">
        <v>395</v>
      </c>
      <c r="C1149" s="1">
        <v>4.6399999999999996E-6</v>
      </c>
      <c r="D1149" s="1">
        <v>3.7699999999999999E-6</v>
      </c>
      <c r="E1149" s="1">
        <v>4.6399999999999996E-6</v>
      </c>
      <c r="F1149" s="1">
        <v>3.7699999999999999E-6</v>
      </c>
      <c r="G1149">
        <f t="shared" si="198"/>
        <v>7</v>
      </c>
      <c r="H1149" t="str">
        <f t="shared" si="209"/>
        <v>BTC</v>
      </c>
      <c r="I1149" t="str">
        <f>LEFT(B1149,4)</f>
        <v>KURT</v>
      </c>
      <c r="J1149" t="str">
        <f t="shared" si="199"/>
        <v>BTCKURT</v>
      </c>
      <c r="K1149" t="str">
        <f t="shared" si="200"/>
        <v>KURTBTC</v>
      </c>
      <c r="L1149">
        <f t="shared" si="201"/>
        <v>0</v>
      </c>
      <c r="M1149">
        <f t="shared" si="202"/>
        <v>1</v>
      </c>
      <c r="N1149" t="b">
        <f t="shared" si="203"/>
        <v>1</v>
      </c>
    </row>
    <row r="1150" spans="1:14" hidden="1" x14ac:dyDescent="0.25">
      <c r="A1150" t="s">
        <v>5</v>
      </c>
      <c r="B1150" t="s">
        <v>1212</v>
      </c>
      <c r="C1150" s="1">
        <v>5.1100000000000002E-6</v>
      </c>
      <c r="D1150" s="1" t="s">
        <v>692</v>
      </c>
      <c r="E1150" s="1">
        <v>5.1100000000000002E-6</v>
      </c>
      <c r="F1150" s="1" t="s">
        <v>692</v>
      </c>
      <c r="G1150">
        <f t="shared" si="198"/>
        <v>7</v>
      </c>
      <c r="H1150" t="str">
        <f t="shared" si="209"/>
        <v>BTC</v>
      </c>
      <c r="I1150" t="str">
        <f>LEFT(B1150,4)</f>
        <v>KUSH</v>
      </c>
      <c r="J1150" t="str">
        <f t="shared" si="199"/>
        <v>BTCKUSH</v>
      </c>
      <c r="K1150" t="str">
        <f t="shared" si="200"/>
        <v>KUSHBTC</v>
      </c>
      <c r="L1150">
        <f t="shared" si="201"/>
        <v>0</v>
      </c>
      <c r="M1150">
        <f t="shared" si="202"/>
        <v>1</v>
      </c>
      <c r="N1150" t="b">
        <f t="shared" si="203"/>
        <v>1</v>
      </c>
    </row>
    <row r="1151" spans="1:14" hidden="1" x14ac:dyDescent="0.25">
      <c r="A1151" t="s">
        <v>5</v>
      </c>
      <c r="B1151" t="s">
        <v>470</v>
      </c>
      <c r="C1151" s="1">
        <v>2.2000000000000001E-7</v>
      </c>
      <c r="D1151" s="1">
        <v>1.8E-7</v>
      </c>
      <c r="E1151" s="1">
        <v>2.2000000000000001E-7</v>
      </c>
      <c r="F1151" s="1">
        <v>1.8E-7</v>
      </c>
      <c r="G1151">
        <f t="shared" si="198"/>
        <v>6</v>
      </c>
      <c r="H1151" t="str">
        <f t="shared" si="209"/>
        <v>BTC</v>
      </c>
      <c r="I1151" t="str">
        <f>LEFT(B1151,3)</f>
        <v>L7S</v>
      </c>
      <c r="J1151" t="str">
        <f t="shared" si="199"/>
        <v>BTCL7S</v>
      </c>
      <c r="K1151" t="str">
        <f t="shared" si="200"/>
        <v>L7SBTC</v>
      </c>
      <c r="L1151">
        <f t="shared" si="201"/>
        <v>0</v>
      </c>
      <c r="M1151">
        <f t="shared" si="202"/>
        <v>1</v>
      </c>
      <c r="N1151" t="b">
        <f t="shared" si="203"/>
        <v>1</v>
      </c>
    </row>
    <row r="1152" spans="1:14" hidden="1" x14ac:dyDescent="0.25">
      <c r="A1152" t="s">
        <v>5</v>
      </c>
      <c r="B1152" t="s">
        <v>771</v>
      </c>
      <c r="C1152" s="1" t="s">
        <v>355</v>
      </c>
      <c r="D1152" s="1" t="s">
        <v>540</v>
      </c>
      <c r="E1152" s="1" t="s">
        <v>355</v>
      </c>
      <c r="F1152" s="1" t="s">
        <v>540</v>
      </c>
      <c r="G1152">
        <f t="shared" si="198"/>
        <v>7</v>
      </c>
      <c r="H1152" t="str">
        <f t="shared" si="209"/>
        <v>BTC</v>
      </c>
      <c r="I1152" t="str">
        <f>LEFT(B1152,4)</f>
        <v>LANA</v>
      </c>
      <c r="J1152" t="str">
        <f t="shared" si="199"/>
        <v>BTCLANA</v>
      </c>
      <c r="K1152" t="str">
        <f t="shared" si="200"/>
        <v>LANABTC</v>
      </c>
      <c r="L1152">
        <f t="shared" si="201"/>
        <v>0</v>
      </c>
      <c r="M1152">
        <f t="shared" si="202"/>
        <v>1</v>
      </c>
      <c r="N1152" t="b">
        <f t="shared" si="203"/>
        <v>1</v>
      </c>
    </row>
    <row r="1153" spans="1:14" hidden="1" x14ac:dyDescent="0.25">
      <c r="A1153" t="s">
        <v>5</v>
      </c>
      <c r="B1153" t="s">
        <v>673</v>
      </c>
      <c r="C1153" s="1">
        <v>3.3000000000000002E-7</v>
      </c>
      <c r="D1153" s="1" t="s">
        <v>374</v>
      </c>
      <c r="E1153" s="1">
        <v>3.3000000000000002E-7</v>
      </c>
      <c r="F1153" s="1" t="s">
        <v>374</v>
      </c>
      <c r="G1153">
        <f t="shared" ref="G1153:G1216" si="210">LEN(B1153)</f>
        <v>6</v>
      </c>
      <c r="H1153" t="str">
        <f t="shared" si="209"/>
        <v>BTC</v>
      </c>
      <c r="I1153" t="str">
        <f>LEFT(B1153,3)</f>
        <v>LAZ</v>
      </c>
      <c r="J1153" t="str">
        <f t="shared" ref="J1153:J1216" si="211">CONCATENATE(H1153,I1153)</f>
        <v>BTCLAZ</v>
      </c>
      <c r="K1153" t="str">
        <f t="shared" ref="K1153:K1216" si="212">CONCATENATE(I1153,H1153)</f>
        <v>LAZBTC</v>
      </c>
      <c r="L1153">
        <f t="shared" ref="L1153:L1216" si="213">COUNTIF(B:B,J1153)</f>
        <v>0</v>
      </c>
      <c r="M1153">
        <f t="shared" ref="M1153:M1216" si="214">COUNTIF(B:B,K1153)</f>
        <v>1</v>
      </c>
      <c r="N1153" t="b">
        <f t="shared" ref="N1153:N1216" si="215">L1153=0</f>
        <v>1</v>
      </c>
    </row>
    <row r="1154" spans="1:14" hidden="1" x14ac:dyDescent="0.25">
      <c r="A1154" t="s">
        <v>5</v>
      </c>
      <c r="B1154" t="s">
        <v>1108</v>
      </c>
      <c r="C1154" s="1" t="s">
        <v>362</v>
      </c>
      <c r="D1154" s="1" t="s">
        <v>364</v>
      </c>
      <c r="E1154" s="1" t="s">
        <v>362</v>
      </c>
      <c r="F1154" s="1">
        <v>8.4E-7</v>
      </c>
      <c r="G1154">
        <f t="shared" si="210"/>
        <v>5</v>
      </c>
      <c r="H1154" t="str">
        <f t="shared" si="209"/>
        <v>BTC</v>
      </c>
      <c r="I1154" t="str">
        <f>LEFT(B1154,2)</f>
        <v>LC</v>
      </c>
      <c r="J1154" t="str">
        <f t="shared" si="211"/>
        <v>BTCLC</v>
      </c>
      <c r="K1154" t="str">
        <f t="shared" si="212"/>
        <v>LCBTC</v>
      </c>
      <c r="L1154">
        <f t="shared" si="213"/>
        <v>0</v>
      </c>
      <c r="M1154">
        <f t="shared" si="214"/>
        <v>1</v>
      </c>
      <c r="N1154" t="b">
        <f t="shared" si="215"/>
        <v>1</v>
      </c>
    </row>
    <row r="1155" spans="1:14" hidden="1" x14ac:dyDescent="0.25">
      <c r="A1155" t="s">
        <v>1239</v>
      </c>
      <c r="B1155" t="s">
        <v>1327</v>
      </c>
      <c r="C1155" s="1">
        <v>8.0909999999999996E-5</v>
      </c>
      <c r="D1155" s="1">
        <v>7.9330000000000001E-5</v>
      </c>
      <c r="E1155" s="1">
        <v>8.0909999999999996E-5</v>
      </c>
      <c r="F1155" s="1">
        <v>7.9330000000000001E-5</v>
      </c>
      <c r="G1155">
        <f t="shared" si="210"/>
        <v>6</v>
      </c>
      <c r="H1155" t="str">
        <f t="shared" si="209"/>
        <v>BTC</v>
      </c>
      <c r="I1155" t="str">
        <f>LEFT(B1155,3)</f>
        <v>LDC</v>
      </c>
      <c r="J1155" t="str">
        <f t="shared" si="211"/>
        <v>BTCLDC</v>
      </c>
      <c r="K1155" t="str">
        <f t="shared" si="212"/>
        <v>LDCBTC</v>
      </c>
      <c r="L1155">
        <f t="shared" si="213"/>
        <v>0</v>
      </c>
      <c r="M1155">
        <f t="shared" si="214"/>
        <v>1</v>
      </c>
      <c r="N1155" t="b">
        <f t="shared" si="215"/>
        <v>1</v>
      </c>
    </row>
    <row r="1156" spans="1:14" hidden="1" x14ac:dyDescent="0.25">
      <c r="A1156" t="s">
        <v>1403</v>
      </c>
      <c r="B1156" t="s">
        <v>1469</v>
      </c>
      <c r="C1156" s="1">
        <v>7.6550000000000004E-5</v>
      </c>
      <c r="D1156" s="1">
        <v>8.3999999999999995E-5</v>
      </c>
      <c r="E1156" s="1">
        <v>7.9989999999999998E-5</v>
      </c>
      <c r="F1156" s="1">
        <v>7.6559999999999999E-5</v>
      </c>
      <c r="G1156">
        <f t="shared" si="210"/>
        <v>7</v>
      </c>
      <c r="H1156" t="str">
        <f t="shared" si="209"/>
        <v>BTC</v>
      </c>
      <c r="I1156" t="str">
        <f>LEFT(B1156,4)</f>
        <v>LDCN</v>
      </c>
      <c r="J1156" t="str">
        <f t="shared" si="211"/>
        <v>BTCLDCN</v>
      </c>
      <c r="K1156" t="str">
        <f t="shared" si="212"/>
        <v>LDCNBTC</v>
      </c>
      <c r="L1156">
        <f t="shared" si="213"/>
        <v>0</v>
      </c>
      <c r="M1156">
        <f t="shared" si="214"/>
        <v>1</v>
      </c>
      <c r="N1156" t="b">
        <f t="shared" si="215"/>
        <v>1</v>
      </c>
    </row>
    <row r="1157" spans="1:14" hidden="1" x14ac:dyDescent="0.25">
      <c r="A1157" t="s">
        <v>1403</v>
      </c>
      <c r="B1157" t="s">
        <v>1996</v>
      </c>
      <c r="C1157" s="1">
        <v>0.12091399999999999</v>
      </c>
      <c r="D1157" s="1">
        <v>0.12091399999999999</v>
      </c>
      <c r="E1157" s="1">
        <v>9988.9999999800002</v>
      </c>
      <c r="F1157" s="1">
        <v>12.000000160000001</v>
      </c>
      <c r="G1157">
        <f t="shared" si="210"/>
        <v>8</v>
      </c>
      <c r="H1157" t="str">
        <f>RIGHT(B1157,4)</f>
        <v>DOGE</v>
      </c>
      <c r="I1157" t="str">
        <f>LEFT(B1157,4)</f>
        <v>LDCN</v>
      </c>
      <c r="J1157" t="str">
        <f t="shared" si="211"/>
        <v>DOGELDCN</v>
      </c>
      <c r="K1157" t="str">
        <f t="shared" si="212"/>
        <v>LDCNDOGE</v>
      </c>
      <c r="L1157">
        <f t="shared" si="213"/>
        <v>0</v>
      </c>
      <c r="M1157">
        <f t="shared" si="214"/>
        <v>1</v>
      </c>
      <c r="N1157" t="b">
        <f t="shared" si="215"/>
        <v>1</v>
      </c>
    </row>
    <row r="1158" spans="1:14" hidden="1" x14ac:dyDescent="0.25">
      <c r="A1158" t="s">
        <v>1403</v>
      </c>
      <c r="B1158" t="s">
        <v>1804</v>
      </c>
      <c r="C1158" s="1">
        <v>33</v>
      </c>
      <c r="D1158" s="1">
        <v>33</v>
      </c>
      <c r="E1158" s="1">
        <v>25</v>
      </c>
      <c r="F1158" s="1">
        <v>2.4999999999999999E-7</v>
      </c>
      <c r="G1158">
        <f t="shared" si="210"/>
        <v>7</v>
      </c>
      <c r="H1158" t="str">
        <f t="shared" ref="H1158:H1163" si="216">RIGHT(B1158,3)</f>
        <v>LTC</v>
      </c>
      <c r="I1158" t="str">
        <f>LEFT(B1158,4)</f>
        <v>LDCN</v>
      </c>
      <c r="J1158" t="str">
        <f t="shared" si="211"/>
        <v>LTCLDCN</v>
      </c>
      <c r="K1158" t="str">
        <f t="shared" si="212"/>
        <v>LDCNLTC</v>
      </c>
      <c r="L1158">
        <f t="shared" si="213"/>
        <v>0</v>
      </c>
      <c r="M1158">
        <f t="shared" si="214"/>
        <v>1</v>
      </c>
      <c r="N1158" t="b">
        <f t="shared" si="215"/>
        <v>1</v>
      </c>
    </row>
    <row r="1159" spans="1:14" hidden="1" x14ac:dyDescent="0.25">
      <c r="A1159" t="s">
        <v>1403</v>
      </c>
      <c r="B1159" t="s">
        <v>1620</v>
      </c>
      <c r="C1159" s="1">
        <v>1.0523040000000001E-2</v>
      </c>
      <c r="D1159" s="1">
        <v>1.0523040000000001E-2</v>
      </c>
      <c r="E1159" s="1">
        <v>1</v>
      </c>
      <c r="F1159" s="1">
        <v>0.10000009999999999</v>
      </c>
      <c r="G1159">
        <f t="shared" si="210"/>
        <v>7</v>
      </c>
      <c r="H1159" t="str">
        <f t="shared" si="216"/>
        <v>USD</v>
      </c>
      <c r="I1159" t="str">
        <f>LEFT(B1159,4)</f>
        <v>LDCN</v>
      </c>
      <c r="J1159" t="str">
        <f t="shared" si="211"/>
        <v>USDLDCN</v>
      </c>
      <c r="K1159" t="str">
        <f t="shared" si="212"/>
        <v>LDCNUSD</v>
      </c>
      <c r="L1159">
        <f t="shared" si="213"/>
        <v>0</v>
      </c>
      <c r="M1159">
        <f t="shared" si="214"/>
        <v>1</v>
      </c>
      <c r="N1159" t="b">
        <f t="shared" si="215"/>
        <v>1</v>
      </c>
    </row>
    <row r="1160" spans="1:14" hidden="1" x14ac:dyDescent="0.25">
      <c r="A1160" t="s">
        <v>5</v>
      </c>
      <c r="B1160" t="s">
        <v>478</v>
      </c>
      <c r="C1160" s="1" t="s">
        <v>356</v>
      </c>
      <c r="D1160" s="1" t="s">
        <v>380</v>
      </c>
      <c r="E1160" s="1" t="s">
        <v>356</v>
      </c>
      <c r="F1160" s="1" t="s">
        <v>380</v>
      </c>
      <c r="G1160">
        <f t="shared" si="210"/>
        <v>8</v>
      </c>
      <c r="H1160" t="str">
        <f t="shared" si="216"/>
        <v>BTC</v>
      </c>
      <c r="I1160" t="str">
        <f>LEFT(B1160,5)</f>
        <v>LDOGE</v>
      </c>
      <c r="J1160" t="str">
        <f t="shared" si="211"/>
        <v>BTCLDOGE</v>
      </c>
      <c r="K1160" t="str">
        <f t="shared" si="212"/>
        <v>LDOGEBTC</v>
      </c>
      <c r="L1160">
        <f t="shared" si="213"/>
        <v>0</v>
      </c>
      <c r="M1160">
        <f t="shared" si="214"/>
        <v>1</v>
      </c>
      <c r="N1160" t="b">
        <f t="shared" si="215"/>
        <v>1</v>
      </c>
    </row>
    <row r="1161" spans="1:14" hidden="1" x14ac:dyDescent="0.25">
      <c r="A1161" t="s">
        <v>5</v>
      </c>
      <c r="B1161" t="s">
        <v>847</v>
      </c>
      <c r="C1161" s="1" t="s">
        <v>380</v>
      </c>
      <c r="D1161" s="1" t="s">
        <v>381</v>
      </c>
      <c r="E1161" s="1" t="s">
        <v>380</v>
      </c>
      <c r="F1161" s="1" t="s">
        <v>381</v>
      </c>
      <c r="G1161">
        <f t="shared" si="210"/>
        <v>6</v>
      </c>
      <c r="H1161" t="str">
        <f t="shared" si="216"/>
        <v>BTC</v>
      </c>
      <c r="I1161" t="str">
        <f>LEFT(B1161,3)</f>
        <v>LEA</v>
      </c>
      <c r="J1161" t="str">
        <f t="shared" si="211"/>
        <v>BTCLEA</v>
      </c>
      <c r="K1161" t="str">
        <f t="shared" si="212"/>
        <v>LEABTC</v>
      </c>
      <c r="L1161">
        <f t="shared" si="213"/>
        <v>0</v>
      </c>
      <c r="M1161">
        <f t="shared" si="214"/>
        <v>1</v>
      </c>
      <c r="N1161" t="b">
        <f t="shared" si="215"/>
        <v>1</v>
      </c>
    </row>
    <row r="1162" spans="1:14" hidden="1" x14ac:dyDescent="0.25">
      <c r="A1162" t="s">
        <v>5</v>
      </c>
      <c r="B1162" t="s">
        <v>732</v>
      </c>
      <c r="C1162" s="1" t="s">
        <v>362</v>
      </c>
      <c r="D1162" s="1" t="s">
        <v>364</v>
      </c>
      <c r="E1162" s="1" t="s">
        <v>362</v>
      </c>
      <c r="F1162" s="1">
        <v>3.6000000000000001E-5</v>
      </c>
      <c r="G1162">
        <f t="shared" si="210"/>
        <v>7</v>
      </c>
      <c r="H1162" t="str">
        <f t="shared" si="216"/>
        <v>BTC</v>
      </c>
      <c r="I1162" t="str">
        <f>LEFT(B1162,4)</f>
        <v>LEAF</v>
      </c>
      <c r="J1162" t="str">
        <f t="shared" si="211"/>
        <v>BTCLEAF</v>
      </c>
      <c r="K1162" t="str">
        <f t="shared" si="212"/>
        <v>LEAFBTC</v>
      </c>
      <c r="L1162">
        <f t="shared" si="213"/>
        <v>0</v>
      </c>
      <c r="M1162">
        <f t="shared" si="214"/>
        <v>1</v>
      </c>
      <c r="N1162" t="b">
        <f t="shared" si="215"/>
        <v>1</v>
      </c>
    </row>
    <row r="1163" spans="1:14" hidden="1" x14ac:dyDescent="0.25">
      <c r="A1163" t="s">
        <v>5</v>
      </c>
      <c r="B1163" t="s">
        <v>936</v>
      </c>
      <c r="C1163" s="1" t="s">
        <v>368</v>
      </c>
      <c r="D1163" s="1">
        <v>1.8E-7</v>
      </c>
      <c r="E1163" s="1" t="s">
        <v>368</v>
      </c>
      <c r="F1163" s="1">
        <v>1.8E-7</v>
      </c>
      <c r="G1163">
        <f t="shared" si="210"/>
        <v>8</v>
      </c>
      <c r="H1163" t="str">
        <f t="shared" si="216"/>
        <v>BTC</v>
      </c>
      <c r="I1163" t="str">
        <f>LEFT(B1163,5)</f>
        <v>LENIN</v>
      </c>
      <c r="J1163" t="str">
        <f t="shared" si="211"/>
        <v>BTCLENIN</v>
      </c>
      <c r="K1163" t="str">
        <f t="shared" si="212"/>
        <v>LENINBTC</v>
      </c>
      <c r="L1163">
        <f t="shared" si="213"/>
        <v>0</v>
      </c>
      <c r="M1163">
        <f t="shared" si="214"/>
        <v>1</v>
      </c>
      <c r="N1163" t="b">
        <f t="shared" si="215"/>
        <v>1</v>
      </c>
    </row>
    <row r="1164" spans="1:14" hidden="1" x14ac:dyDescent="0.25">
      <c r="A1164" t="s">
        <v>1403</v>
      </c>
      <c r="B1164" t="s">
        <v>2000</v>
      </c>
      <c r="C1164" s="1">
        <v>100000</v>
      </c>
      <c r="D1164" s="1">
        <v>100000</v>
      </c>
      <c r="E1164" s="1">
        <v>1129.3000000300001</v>
      </c>
      <c r="F1164" s="1">
        <v>11.3000001</v>
      </c>
      <c r="G1164">
        <f t="shared" si="210"/>
        <v>7</v>
      </c>
      <c r="H1164" t="str">
        <f>RIGHT(B1164,4)</f>
        <v>DOGE</v>
      </c>
      <c r="I1164" t="str">
        <f>LEFT(B1164,3)</f>
        <v>LEO</v>
      </c>
      <c r="J1164" t="str">
        <f t="shared" si="211"/>
        <v>DOGELEO</v>
      </c>
      <c r="K1164" t="str">
        <f t="shared" si="212"/>
        <v>LEODOGE</v>
      </c>
      <c r="L1164">
        <f t="shared" si="213"/>
        <v>0</v>
      </c>
      <c r="M1164">
        <f t="shared" si="214"/>
        <v>1</v>
      </c>
      <c r="N1164" t="b">
        <f t="shared" si="215"/>
        <v>1</v>
      </c>
    </row>
    <row r="1165" spans="1:14" hidden="1" x14ac:dyDescent="0.25">
      <c r="A1165" t="s">
        <v>1239</v>
      </c>
      <c r="B1165" t="s">
        <v>1270</v>
      </c>
      <c r="C1165" s="1">
        <v>2.5998800000000002E-3</v>
      </c>
      <c r="D1165" s="1">
        <v>1.0012199999999999E-3</v>
      </c>
      <c r="E1165" s="1">
        <v>2.5998800000000002E-3</v>
      </c>
      <c r="F1165" s="1">
        <v>1.0012199999999999E-3</v>
      </c>
      <c r="G1165">
        <f t="shared" si="210"/>
        <v>6</v>
      </c>
      <c r="H1165" t="str">
        <f>RIGHT(B1165,3)</f>
        <v>ETH</v>
      </c>
      <c r="I1165" t="str">
        <f>LEFT(B1165,3)</f>
        <v>LEO</v>
      </c>
      <c r="J1165" t="str">
        <f t="shared" si="211"/>
        <v>ETHLEO</v>
      </c>
      <c r="K1165" t="str">
        <f t="shared" si="212"/>
        <v>LEOETH</v>
      </c>
      <c r="L1165">
        <f t="shared" si="213"/>
        <v>0</v>
      </c>
      <c r="M1165">
        <f t="shared" si="214"/>
        <v>1</v>
      </c>
      <c r="N1165" t="b">
        <f t="shared" si="215"/>
        <v>1</v>
      </c>
    </row>
    <row r="1166" spans="1:14" hidden="1" x14ac:dyDescent="0.25">
      <c r="A1166" t="s">
        <v>1403</v>
      </c>
      <c r="B1166" t="s">
        <v>1808</v>
      </c>
      <c r="C1166" s="1">
        <v>6.6668999999999995E-4</v>
      </c>
      <c r="D1166" s="1">
        <v>6.6668999999999995E-4</v>
      </c>
      <c r="E1166" s="1">
        <v>0.99560363399999996</v>
      </c>
      <c r="F1166" s="1">
        <v>1.0067800000000001E-3</v>
      </c>
      <c r="G1166">
        <f t="shared" si="210"/>
        <v>6</v>
      </c>
      <c r="H1166" t="str">
        <f>RIGHT(B1166,3)</f>
        <v>LTC</v>
      </c>
      <c r="I1166" t="str">
        <f>LEFT(B1166,3)</f>
        <v>LEO</v>
      </c>
      <c r="J1166" t="str">
        <f t="shared" si="211"/>
        <v>LTCLEO</v>
      </c>
      <c r="K1166" t="str">
        <f t="shared" si="212"/>
        <v>LEOLTC</v>
      </c>
      <c r="L1166">
        <f t="shared" si="213"/>
        <v>0</v>
      </c>
      <c r="M1166">
        <f t="shared" si="214"/>
        <v>1</v>
      </c>
      <c r="N1166" t="b">
        <f t="shared" si="215"/>
        <v>1</v>
      </c>
    </row>
    <row r="1167" spans="1:14" hidden="1" x14ac:dyDescent="0.25">
      <c r="A1167" t="s">
        <v>1239</v>
      </c>
      <c r="B1167" t="s">
        <v>1269</v>
      </c>
      <c r="C1167" s="1">
        <v>100.08</v>
      </c>
      <c r="D1167" s="1">
        <v>15.5</v>
      </c>
      <c r="E1167" s="1">
        <v>100.08</v>
      </c>
      <c r="F1167" s="1">
        <v>15.5</v>
      </c>
      <c r="G1167">
        <f t="shared" si="210"/>
        <v>6</v>
      </c>
      <c r="H1167" t="str">
        <f>RIGHT(B1167,3)</f>
        <v>RUR</v>
      </c>
      <c r="I1167" t="str">
        <f>LEFT(B1167,3)</f>
        <v>LEO</v>
      </c>
      <c r="J1167" t="str">
        <f t="shared" si="211"/>
        <v>RURLEO</v>
      </c>
      <c r="K1167" t="str">
        <f t="shared" si="212"/>
        <v>LEORUR</v>
      </c>
      <c r="L1167">
        <f t="shared" si="213"/>
        <v>0</v>
      </c>
      <c r="M1167">
        <f t="shared" si="214"/>
        <v>1</v>
      </c>
      <c r="N1167" t="b">
        <f t="shared" si="215"/>
        <v>1</v>
      </c>
    </row>
    <row r="1168" spans="1:14" hidden="1" x14ac:dyDescent="0.25">
      <c r="A1168" t="s">
        <v>1403</v>
      </c>
      <c r="B1168" t="s">
        <v>1997</v>
      </c>
      <c r="C1168" s="1">
        <v>0.1699</v>
      </c>
      <c r="D1168" s="1">
        <v>0.1699</v>
      </c>
      <c r="E1168" s="1">
        <v>0.15</v>
      </c>
      <c r="F1168" s="1">
        <v>9.5498000000000006E-3</v>
      </c>
      <c r="G1168">
        <f t="shared" si="210"/>
        <v>9</v>
      </c>
      <c r="H1168" t="str">
        <f>RIGHT(B1168,4)</f>
        <v>DOGE</v>
      </c>
      <c r="I1168" t="str">
        <f>LEFT(B1168,5)</f>
        <v>LEPEN</v>
      </c>
      <c r="J1168" t="str">
        <f t="shared" si="211"/>
        <v>DOGELEPEN</v>
      </c>
      <c r="K1168" t="str">
        <f t="shared" si="212"/>
        <v>LEPENDOGE</v>
      </c>
      <c r="L1168">
        <f t="shared" si="213"/>
        <v>0</v>
      </c>
      <c r="M1168">
        <f t="shared" si="214"/>
        <v>1</v>
      </c>
      <c r="N1168" t="b">
        <f t="shared" si="215"/>
        <v>1</v>
      </c>
    </row>
    <row r="1169" spans="1:14" hidden="1" x14ac:dyDescent="0.25">
      <c r="A1169" t="s">
        <v>1403</v>
      </c>
      <c r="B1169" t="s">
        <v>1805</v>
      </c>
      <c r="C1169" s="1">
        <v>5.0000000000000001E-4</v>
      </c>
      <c r="D1169" s="1">
        <v>5.0000000000000001E-4</v>
      </c>
      <c r="E1169" s="1">
        <v>9.7999999999999993E-6</v>
      </c>
      <c r="F1169" s="1" t="s">
        <v>435</v>
      </c>
      <c r="G1169">
        <f t="shared" si="210"/>
        <v>8</v>
      </c>
      <c r="H1169" t="str">
        <f t="shared" ref="H1169:H1179" si="217">RIGHT(B1169,3)</f>
        <v>LTC</v>
      </c>
      <c r="I1169" t="str">
        <f>LEFT(B1169,5)</f>
        <v>LEPEN</v>
      </c>
      <c r="J1169" t="str">
        <f t="shared" si="211"/>
        <v>LTCLEPEN</v>
      </c>
      <c r="K1169" t="str">
        <f t="shared" si="212"/>
        <v>LEPENLTC</v>
      </c>
      <c r="L1169">
        <f t="shared" si="213"/>
        <v>0</v>
      </c>
      <c r="M1169">
        <f t="shared" si="214"/>
        <v>1</v>
      </c>
      <c r="N1169" t="b">
        <f t="shared" si="215"/>
        <v>1</v>
      </c>
    </row>
    <row r="1170" spans="1:14" hidden="1" x14ac:dyDescent="0.25">
      <c r="A1170" t="s">
        <v>1403</v>
      </c>
      <c r="B1170" t="s">
        <v>1621</v>
      </c>
      <c r="C1170" s="1">
        <v>2.5000000000000001E-4</v>
      </c>
      <c r="D1170" s="1">
        <v>2.5000000000000001E-4</v>
      </c>
      <c r="E1170" s="1">
        <v>2.5000000000000001E-4</v>
      </c>
      <c r="F1170" s="1">
        <v>2.563E-5</v>
      </c>
      <c r="G1170">
        <f t="shared" si="210"/>
        <v>8</v>
      </c>
      <c r="H1170" t="str">
        <f t="shared" si="217"/>
        <v>USD</v>
      </c>
      <c r="I1170" t="str">
        <f>LEFT(B1170,5)</f>
        <v>LEPEN</v>
      </c>
      <c r="J1170" t="str">
        <f t="shared" si="211"/>
        <v>USDLEPEN</v>
      </c>
      <c r="K1170" t="str">
        <f t="shared" si="212"/>
        <v>LEPENUSD</v>
      </c>
      <c r="L1170">
        <f t="shared" si="213"/>
        <v>0</v>
      </c>
      <c r="M1170">
        <f t="shared" si="214"/>
        <v>1</v>
      </c>
      <c r="N1170" t="b">
        <f t="shared" si="215"/>
        <v>1</v>
      </c>
    </row>
    <row r="1171" spans="1:14" hidden="1" x14ac:dyDescent="0.25">
      <c r="A1171" t="s">
        <v>5</v>
      </c>
      <c r="B1171" t="s">
        <v>446</v>
      </c>
      <c r="C1171" s="1" t="s">
        <v>421</v>
      </c>
      <c r="D1171" s="1">
        <v>3.4999999999999998E-7</v>
      </c>
      <c r="E1171" s="1" t="s">
        <v>421</v>
      </c>
      <c r="F1171" s="1">
        <v>3.4999999999999998E-7</v>
      </c>
      <c r="G1171">
        <f t="shared" si="210"/>
        <v>8</v>
      </c>
      <c r="H1171" t="str">
        <f t="shared" si="217"/>
        <v>BTC</v>
      </c>
      <c r="I1171" t="str">
        <f>LEFT(B1171,5)</f>
        <v>LGBTQ</v>
      </c>
      <c r="J1171" t="str">
        <f t="shared" si="211"/>
        <v>BTCLGBTQ</v>
      </c>
      <c r="K1171" t="str">
        <f t="shared" si="212"/>
        <v>LGBTQBTC</v>
      </c>
      <c r="L1171">
        <f t="shared" si="213"/>
        <v>0</v>
      </c>
      <c r="M1171">
        <f t="shared" si="214"/>
        <v>1</v>
      </c>
      <c r="N1171" t="b">
        <f t="shared" si="215"/>
        <v>1</v>
      </c>
    </row>
    <row r="1172" spans="1:14" hidden="1" x14ac:dyDescent="0.25">
      <c r="A1172" t="s">
        <v>5</v>
      </c>
      <c r="B1172" t="s">
        <v>1085</v>
      </c>
      <c r="C1172" s="1" t="s">
        <v>364</v>
      </c>
      <c r="D1172" s="1">
        <v>1.0001116999999999</v>
      </c>
      <c r="E1172" s="1" t="s">
        <v>380</v>
      </c>
      <c r="F1172" s="1">
        <v>0.21183811668078101</v>
      </c>
      <c r="G1172">
        <f t="shared" si="210"/>
        <v>6</v>
      </c>
      <c r="H1172" t="str">
        <f t="shared" si="217"/>
        <v>BTC</v>
      </c>
      <c r="I1172" t="str">
        <f>LEFT(B1172,3)</f>
        <v>LHC</v>
      </c>
      <c r="J1172" t="str">
        <f t="shared" si="211"/>
        <v>BTCLHC</v>
      </c>
      <c r="K1172" t="str">
        <f t="shared" si="212"/>
        <v>LHCBTC</v>
      </c>
      <c r="L1172">
        <f t="shared" si="213"/>
        <v>0</v>
      </c>
      <c r="M1172">
        <f t="shared" si="214"/>
        <v>1</v>
      </c>
      <c r="N1172" t="b">
        <f t="shared" si="215"/>
        <v>1</v>
      </c>
    </row>
    <row r="1173" spans="1:14" hidden="1" x14ac:dyDescent="0.25">
      <c r="A1173" t="s">
        <v>5</v>
      </c>
      <c r="B1173" t="s">
        <v>686</v>
      </c>
      <c r="C1173" s="1">
        <v>4.9610000000000001E-5</v>
      </c>
      <c r="D1173" s="1">
        <v>2.6020000000000002E-5</v>
      </c>
      <c r="E1173" s="1">
        <v>4.9610000000000001E-5</v>
      </c>
      <c r="F1173" s="1">
        <v>2.6020000000000002E-5</v>
      </c>
      <c r="G1173">
        <f t="shared" si="210"/>
        <v>7</v>
      </c>
      <c r="H1173" t="str">
        <f t="shared" si="217"/>
        <v>BTC</v>
      </c>
      <c r="I1173" t="str">
        <f>LEFT(B1173,4)</f>
        <v>LIMX</v>
      </c>
      <c r="J1173" t="str">
        <f t="shared" si="211"/>
        <v>BTCLIMX</v>
      </c>
      <c r="K1173" t="str">
        <f t="shared" si="212"/>
        <v>LIMXBTC</v>
      </c>
      <c r="L1173">
        <f t="shared" si="213"/>
        <v>0</v>
      </c>
      <c r="M1173">
        <f t="shared" si="214"/>
        <v>1</v>
      </c>
      <c r="N1173" t="b">
        <f t="shared" si="215"/>
        <v>1</v>
      </c>
    </row>
    <row r="1174" spans="1:14" hidden="1" x14ac:dyDescent="0.25">
      <c r="A1174" t="s">
        <v>5</v>
      </c>
      <c r="B1174" t="s">
        <v>1193</v>
      </c>
      <c r="C1174" s="1">
        <v>1.4000000000000001E-7</v>
      </c>
      <c r="D1174" s="1">
        <v>1.1999999999999999E-7</v>
      </c>
      <c r="E1174" s="1">
        <v>1.4000000000000001E-7</v>
      </c>
      <c r="F1174" s="1">
        <v>1.1999999999999999E-7</v>
      </c>
      <c r="G1174">
        <f t="shared" si="210"/>
        <v>6</v>
      </c>
      <c r="H1174" t="str">
        <f t="shared" si="217"/>
        <v>BTC</v>
      </c>
      <c r="I1174" t="str">
        <f>LEFT(B1174,3)</f>
        <v>LIR</v>
      </c>
      <c r="J1174" t="str">
        <f t="shared" si="211"/>
        <v>BTCLIR</v>
      </c>
      <c r="K1174" t="str">
        <f t="shared" si="212"/>
        <v>LIRBTC</v>
      </c>
      <c r="L1174">
        <f t="shared" si="213"/>
        <v>0</v>
      </c>
      <c r="M1174">
        <f t="shared" si="214"/>
        <v>1</v>
      </c>
      <c r="N1174" t="b">
        <f t="shared" si="215"/>
        <v>1</v>
      </c>
    </row>
    <row r="1175" spans="1:14" hidden="1" x14ac:dyDescent="0.25">
      <c r="A1175" t="s">
        <v>5</v>
      </c>
      <c r="B1175" t="s">
        <v>976</v>
      </c>
      <c r="C1175" s="1" t="s">
        <v>362</v>
      </c>
      <c r="D1175" s="1" t="s">
        <v>364</v>
      </c>
      <c r="E1175" s="1" t="s">
        <v>362</v>
      </c>
      <c r="F1175" s="1" t="s">
        <v>362</v>
      </c>
      <c r="G1175">
        <f t="shared" si="210"/>
        <v>6</v>
      </c>
      <c r="H1175" t="str">
        <f t="shared" si="217"/>
        <v>BTC</v>
      </c>
      <c r="I1175" t="str">
        <f>LEFT(B1175,3)</f>
        <v>LIV</v>
      </c>
      <c r="J1175" t="str">
        <f t="shared" si="211"/>
        <v>BTCLIV</v>
      </c>
      <c r="K1175" t="str">
        <f t="shared" si="212"/>
        <v>LIVBTC</v>
      </c>
      <c r="L1175">
        <f t="shared" si="213"/>
        <v>0</v>
      </c>
      <c r="M1175">
        <f t="shared" si="214"/>
        <v>1</v>
      </c>
      <c r="N1175" t="b">
        <f t="shared" si="215"/>
        <v>1</v>
      </c>
    </row>
    <row r="1176" spans="1:14" hidden="1" x14ac:dyDescent="0.25">
      <c r="A1176" t="s">
        <v>5</v>
      </c>
      <c r="B1176" t="s">
        <v>487</v>
      </c>
      <c r="C1176" s="1">
        <v>1.49E-5</v>
      </c>
      <c r="D1176" s="1">
        <v>6.9099999999999999E-6</v>
      </c>
      <c r="E1176" s="1">
        <v>1.49E-5</v>
      </c>
      <c r="F1176" s="1">
        <v>6.9099999999999999E-6</v>
      </c>
      <c r="G1176">
        <f t="shared" si="210"/>
        <v>7</v>
      </c>
      <c r="H1176" t="str">
        <f t="shared" si="217"/>
        <v>BTC</v>
      </c>
      <c r="I1176" t="str">
        <f>LEFT(B1176,4)</f>
        <v>LIZI</v>
      </c>
      <c r="J1176" t="str">
        <f t="shared" si="211"/>
        <v>BTCLIZI</v>
      </c>
      <c r="K1176" t="str">
        <f t="shared" si="212"/>
        <v>LIZIBTC</v>
      </c>
      <c r="L1176">
        <f t="shared" si="213"/>
        <v>0</v>
      </c>
      <c r="M1176">
        <f t="shared" si="214"/>
        <v>1</v>
      </c>
      <c r="N1176" t="b">
        <f t="shared" si="215"/>
        <v>1</v>
      </c>
    </row>
    <row r="1177" spans="1:14" hidden="1" x14ac:dyDescent="0.25">
      <c r="A1177" t="s">
        <v>5</v>
      </c>
      <c r="B1177" t="s">
        <v>942</v>
      </c>
      <c r="C1177" s="1" t="s">
        <v>381</v>
      </c>
      <c r="D1177" s="1" t="s">
        <v>384</v>
      </c>
      <c r="E1177" s="1" t="s">
        <v>381</v>
      </c>
      <c r="F1177" s="1" t="s">
        <v>384</v>
      </c>
      <c r="G1177">
        <f t="shared" si="210"/>
        <v>6</v>
      </c>
      <c r="H1177" t="str">
        <f t="shared" si="217"/>
        <v>BTC</v>
      </c>
      <c r="I1177" t="str">
        <f t="shared" ref="I1177:I1182" si="218">LEFT(B1177,3)</f>
        <v>LKC</v>
      </c>
      <c r="J1177" t="str">
        <f t="shared" si="211"/>
        <v>BTCLKC</v>
      </c>
      <c r="K1177" t="str">
        <f t="shared" si="212"/>
        <v>LKCBTC</v>
      </c>
      <c r="L1177">
        <f t="shared" si="213"/>
        <v>0</v>
      </c>
      <c r="M1177">
        <f t="shared" si="214"/>
        <v>1</v>
      </c>
      <c r="N1177" t="b">
        <f t="shared" si="215"/>
        <v>1</v>
      </c>
    </row>
    <row r="1178" spans="1:14" hidden="1" x14ac:dyDescent="0.25">
      <c r="A1178" t="s">
        <v>5</v>
      </c>
      <c r="B1178" t="s">
        <v>694</v>
      </c>
      <c r="C1178" s="1" t="s">
        <v>361</v>
      </c>
      <c r="D1178" s="1" t="s">
        <v>362</v>
      </c>
      <c r="E1178" s="1" t="s">
        <v>361</v>
      </c>
      <c r="F1178" s="1" t="s">
        <v>362</v>
      </c>
      <c r="G1178">
        <f t="shared" si="210"/>
        <v>6</v>
      </c>
      <c r="H1178" t="str">
        <f t="shared" si="217"/>
        <v>BTC</v>
      </c>
      <c r="I1178" t="str">
        <f t="shared" si="218"/>
        <v>LOC</v>
      </c>
      <c r="J1178" t="str">
        <f t="shared" si="211"/>
        <v>BTCLOC</v>
      </c>
      <c r="K1178" t="str">
        <f t="shared" si="212"/>
        <v>LOCBTC</v>
      </c>
      <c r="L1178">
        <f t="shared" si="213"/>
        <v>0</v>
      </c>
      <c r="M1178">
        <f t="shared" si="214"/>
        <v>1</v>
      </c>
      <c r="N1178" t="b">
        <f t="shared" si="215"/>
        <v>1</v>
      </c>
    </row>
    <row r="1179" spans="1:14" hidden="1" x14ac:dyDescent="0.25">
      <c r="A1179" t="s">
        <v>1403</v>
      </c>
      <c r="B1179" t="s">
        <v>1470</v>
      </c>
      <c r="C1179" s="1">
        <v>4.5059999999999999E-5</v>
      </c>
      <c r="D1179" s="1">
        <v>4.8829999999999998E-5</v>
      </c>
      <c r="E1179" s="1">
        <v>4.8829999999999998E-5</v>
      </c>
      <c r="F1179" s="1">
        <v>4.5009999999999998E-5</v>
      </c>
      <c r="G1179">
        <f t="shared" si="210"/>
        <v>6</v>
      </c>
      <c r="H1179" t="str">
        <f t="shared" si="217"/>
        <v>BTC</v>
      </c>
      <c r="I1179" t="str">
        <f t="shared" si="218"/>
        <v>LOG</v>
      </c>
      <c r="J1179" t="str">
        <f t="shared" si="211"/>
        <v>BTCLOG</v>
      </c>
      <c r="K1179" t="str">
        <f t="shared" si="212"/>
        <v>LOGBTC</v>
      </c>
      <c r="L1179">
        <f t="shared" si="213"/>
        <v>0</v>
      </c>
      <c r="M1179">
        <f t="shared" si="214"/>
        <v>1</v>
      </c>
      <c r="N1179" t="b">
        <f t="shared" si="215"/>
        <v>1</v>
      </c>
    </row>
    <row r="1180" spans="1:14" hidden="1" x14ac:dyDescent="0.25">
      <c r="A1180" t="s">
        <v>1403</v>
      </c>
      <c r="B1180" t="s">
        <v>1998</v>
      </c>
      <c r="C1180" s="1">
        <v>8.0000000100000008</v>
      </c>
      <c r="D1180" s="1">
        <v>220</v>
      </c>
      <c r="E1180" s="1">
        <v>285.68</v>
      </c>
      <c r="F1180" s="1">
        <v>5.0000000399999998</v>
      </c>
      <c r="G1180">
        <f t="shared" si="210"/>
        <v>7</v>
      </c>
      <c r="H1180" t="str">
        <f>RIGHT(B1180,4)</f>
        <v>DOGE</v>
      </c>
      <c r="I1180" t="str">
        <f t="shared" si="218"/>
        <v>LOG</v>
      </c>
      <c r="J1180" t="str">
        <f t="shared" si="211"/>
        <v>DOGELOG</v>
      </c>
      <c r="K1180" t="str">
        <f t="shared" si="212"/>
        <v>LOGDOGE</v>
      </c>
      <c r="L1180">
        <f t="shared" si="213"/>
        <v>0</v>
      </c>
      <c r="M1180">
        <f t="shared" si="214"/>
        <v>1</v>
      </c>
      <c r="N1180" t="b">
        <f t="shared" si="215"/>
        <v>1</v>
      </c>
    </row>
    <row r="1181" spans="1:14" hidden="1" x14ac:dyDescent="0.25">
      <c r="A1181" t="s">
        <v>1403</v>
      </c>
      <c r="B1181" t="s">
        <v>1806</v>
      </c>
      <c r="C1181" s="1">
        <v>5.0000000000000001E-4</v>
      </c>
      <c r="D1181" s="1">
        <v>1.5003E-4</v>
      </c>
      <c r="E1181" s="1">
        <v>1.3459999523999899</v>
      </c>
      <c r="F1181" s="1">
        <v>1.0003E-4</v>
      </c>
      <c r="G1181">
        <f t="shared" si="210"/>
        <v>6</v>
      </c>
      <c r="H1181" t="str">
        <f t="shared" ref="H1181:H1187" si="219">RIGHT(B1181,3)</f>
        <v>LTC</v>
      </c>
      <c r="I1181" t="str">
        <f t="shared" si="218"/>
        <v>LOG</v>
      </c>
      <c r="J1181" t="str">
        <f t="shared" si="211"/>
        <v>LTCLOG</v>
      </c>
      <c r="K1181" t="str">
        <f t="shared" si="212"/>
        <v>LOGLTC</v>
      </c>
      <c r="L1181">
        <f t="shared" si="213"/>
        <v>0</v>
      </c>
      <c r="M1181">
        <f t="shared" si="214"/>
        <v>1</v>
      </c>
      <c r="N1181" t="b">
        <f t="shared" si="215"/>
        <v>1</v>
      </c>
    </row>
    <row r="1182" spans="1:14" hidden="1" x14ac:dyDescent="0.25">
      <c r="A1182" t="s">
        <v>1403</v>
      </c>
      <c r="B1182" t="s">
        <v>1622</v>
      </c>
      <c r="C1182" s="1">
        <v>9.0001000000000002E-4</v>
      </c>
      <c r="D1182" s="1">
        <v>0.23999988999999999</v>
      </c>
      <c r="E1182" s="1">
        <v>0.99958935999999998</v>
      </c>
      <c r="F1182" s="1">
        <v>1.5000029999999999E-2</v>
      </c>
      <c r="G1182">
        <f t="shared" si="210"/>
        <v>6</v>
      </c>
      <c r="H1182" t="str">
        <f t="shared" si="219"/>
        <v>USD</v>
      </c>
      <c r="I1182" t="str">
        <f t="shared" si="218"/>
        <v>LOG</v>
      </c>
      <c r="J1182" t="str">
        <f t="shared" si="211"/>
        <v>USDLOG</v>
      </c>
      <c r="K1182" t="str">
        <f t="shared" si="212"/>
        <v>LOGUSD</v>
      </c>
      <c r="L1182">
        <f t="shared" si="213"/>
        <v>0</v>
      </c>
      <c r="M1182">
        <f t="shared" si="214"/>
        <v>1</v>
      </c>
      <c r="N1182" t="b">
        <f t="shared" si="215"/>
        <v>1</v>
      </c>
    </row>
    <row r="1183" spans="1:14" hidden="1" x14ac:dyDescent="0.25">
      <c r="A1183" t="s">
        <v>5</v>
      </c>
      <c r="B1183" t="s">
        <v>727</v>
      </c>
      <c r="C1183" s="1" t="s">
        <v>361</v>
      </c>
      <c r="D1183" s="1" t="s">
        <v>362</v>
      </c>
      <c r="E1183" s="1" t="s">
        <v>361</v>
      </c>
      <c r="F1183" s="1" t="s">
        <v>362</v>
      </c>
      <c r="G1183">
        <f t="shared" si="210"/>
        <v>7</v>
      </c>
      <c r="H1183" t="str">
        <f t="shared" si="219"/>
        <v>BTC</v>
      </c>
      <c r="I1183" t="str">
        <f>LEFT(B1183,4)</f>
        <v>LOOK</v>
      </c>
      <c r="J1183" t="str">
        <f t="shared" si="211"/>
        <v>BTCLOOK</v>
      </c>
      <c r="K1183" t="str">
        <f t="shared" si="212"/>
        <v>LOOKBTC</v>
      </c>
      <c r="L1183">
        <f t="shared" si="213"/>
        <v>0</v>
      </c>
      <c r="M1183">
        <f t="shared" si="214"/>
        <v>1</v>
      </c>
      <c r="N1183" t="b">
        <f t="shared" si="215"/>
        <v>1</v>
      </c>
    </row>
    <row r="1184" spans="1:14" hidden="1" x14ac:dyDescent="0.25">
      <c r="A1184" t="s">
        <v>5</v>
      </c>
      <c r="B1184" t="s">
        <v>522</v>
      </c>
      <c r="C1184" s="1" t="s">
        <v>380</v>
      </c>
      <c r="D1184" s="1" t="s">
        <v>381</v>
      </c>
      <c r="E1184" s="1" t="s">
        <v>380</v>
      </c>
      <c r="F1184" s="1" t="s">
        <v>381</v>
      </c>
      <c r="G1184">
        <f t="shared" si="210"/>
        <v>7</v>
      </c>
      <c r="H1184" t="str">
        <f t="shared" si="219"/>
        <v>BTC</v>
      </c>
      <c r="I1184" t="str">
        <f>LEFT(B1184,4)</f>
        <v>LOOT</v>
      </c>
      <c r="J1184" t="str">
        <f t="shared" si="211"/>
        <v>BTCLOOT</v>
      </c>
      <c r="K1184" t="str">
        <f t="shared" si="212"/>
        <v>LOOTBTC</v>
      </c>
      <c r="L1184">
        <f t="shared" si="213"/>
        <v>0</v>
      </c>
      <c r="M1184">
        <f t="shared" si="214"/>
        <v>1</v>
      </c>
      <c r="N1184" t="b">
        <f t="shared" si="215"/>
        <v>1</v>
      </c>
    </row>
    <row r="1185" spans="1:14" hidden="1" x14ac:dyDescent="0.25">
      <c r="A1185" t="s">
        <v>5</v>
      </c>
      <c r="B1185" t="s">
        <v>1222</v>
      </c>
      <c r="C1185" s="1" t="s">
        <v>361</v>
      </c>
      <c r="D1185" s="1" t="s">
        <v>362</v>
      </c>
      <c r="E1185" s="1" t="s">
        <v>361</v>
      </c>
      <c r="F1185" s="1" t="s">
        <v>362</v>
      </c>
      <c r="G1185">
        <f t="shared" si="210"/>
        <v>6</v>
      </c>
      <c r="H1185" t="str">
        <f t="shared" si="219"/>
        <v>BTC</v>
      </c>
      <c r="I1185" t="str">
        <f>LEFT(B1185,3)</f>
        <v>LSD</v>
      </c>
      <c r="J1185" t="str">
        <f t="shared" si="211"/>
        <v>BTCLSD</v>
      </c>
      <c r="K1185" t="str">
        <f t="shared" si="212"/>
        <v>LSDBTC</v>
      </c>
      <c r="L1185">
        <f t="shared" si="213"/>
        <v>0</v>
      </c>
      <c r="M1185">
        <f t="shared" si="214"/>
        <v>1</v>
      </c>
      <c r="N1185" t="b">
        <f t="shared" si="215"/>
        <v>1</v>
      </c>
    </row>
    <row r="1186" spans="1:14" hidden="1" x14ac:dyDescent="0.25">
      <c r="A1186" t="s">
        <v>4</v>
      </c>
      <c r="B1186" t="s">
        <v>326</v>
      </c>
      <c r="C1186" s="1">
        <v>4.9989999999999997</v>
      </c>
      <c r="D1186" s="1">
        <v>2.0002</v>
      </c>
      <c r="E1186" s="1">
        <v>4.9989999999999997</v>
      </c>
      <c r="F1186" s="1">
        <v>2.0002</v>
      </c>
      <c r="G1186">
        <f t="shared" si="210"/>
        <v>6</v>
      </c>
      <c r="H1186" t="str">
        <f t="shared" si="219"/>
        <v>EUR</v>
      </c>
      <c r="I1186" t="str">
        <f>LEFT(B1186,3)</f>
        <v>LSK</v>
      </c>
      <c r="J1186" t="str">
        <f t="shared" si="211"/>
        <v>EURLSK</v>
      </c>
      <c r="K1186" t="str">
        <f t="shared" si="212"/>
        <v>LSKEUR</v>
      </c>
      <c r="L1186">
        <f t="shared" si="213"/>
        <v>0</v>
      </c>
      <c r="M1186">
        <f t="shared" si="214"/>
        <v>1</v>
      </c>
      <c r="N1186" t="b">
        <f t="shared" si="215"/>
        <v>1</v>
      </c>
    </row>
    <row r="1187" spans="1:14" hidden="1" x14ac:dyDescent="0.25">
      <c r="A1187" t="s">
        <v>1239</v>
      </c>
      <c r="B1187" t="s">
        <v>1261</v>
      </c>
      <c r="C1187" s="1">
        <v>3.44</v>
      </c>
      <c r="D1187" s="1">
        <v>2.5100600000000002</v>
      </c>
      <c r="E1187" s="1">
        <v>3.44</v>
      </c>
      <c r="F1187" s="1">
        <v>2.5100600000000002</v>
      </c>
      <c r="G1187">
        <f t="shared" si="210"/>
        <v>6</v>
      </c>
      <c r="H1187" t="str">
        <f t="shared" si="219"/>
        <v>USD</v>
      </c>
      <c r="I1187" t="str">
        <f>LEFT(B1187,3)</f>
        <v>LSK</v>
      </c>
      <c r="J1187" t="str">
        <f t="shared" si="211"/>
        <v>USDLSK</v>
      </c>
      <c r="K1187" t="str">
        <f t="shared" si="212"/>
        <v>LSKUSD</v>
      </c>
      <c r="L1187">
        <f t="shared" si="213"/>
        <v>0</v>
      </c>
      <c r="M1187">
        <f t="shared" si="214"/>
        <v>1</v>
      </c>
      <c r="N1187" t="b">
        <f t="shared" si="215"/>
        <v>1</v>
      </c>
    </row>
    <row r="1188" spans="1:14" hidden="1" x14ac:dyDescent="0.25">
      <c r="A1188" t="s">
        <v>1403</v>
      </c>
      <c r="B1188" t="s">
        <v>2001</v>
      </c>
      <c r="C1188" s="1">
        <v>49.99</v>
      </c>
      <c r="D1188" s="1">
        <v>49.99</v>
      </c>
      <c r="E1188" s="1">
        <v>6.6509999999999998</v>
      </c>
      <c r="F1188" s="1">
        <v>6.003E-5</v>
      </c>
      <c r="G1188">
        <f t="shared" si="210"/>
        <v>8</v>
      </c>
      <c r="H1188" t="str">
        <f>RIGHT(B1188,4)</f>
        <v>DOGE</v>
      </c>
      <c r="I1188" t="str">
        <f>LEFT(B1188,4)</f>
        <v>LTCR</v>
      </c>
      <c r="J1188" t="str">
        <f t="shared" si="211"/>
        <v>DOGELTCR</v>
      </c>
      <c r="K1188" t="str">
        <f t="shared" si="212"/>
        <v>LTCRDOGE</v>
      </c>
      <c r="L1188">
        <f t="shared" si="213"/>
        <v>0</v>
      </c>
      <c r="M1188">
        <f t="shared" si="214"/>
        <v>1</v>
      </c>
      <c r="N1188" t="b">
        <f t="shared" si="215"/>
        <v>1</v>
      </c>
    </row>
    <row r="1189" spans="1:14" hidden="1" x14ac:dyDescent="0.25">
      <c r="A1189" t="s">
        <v>1403</v>
      </c>
      <c r="B1189" t="s">
        <v>1809</v>
      </c>
      <c r="C1189" s="1">
        <v>4.4219000000000002E-4</v>
      </c>
      <c r="D1189" s="1">
        <v>4.4219000000000002E-4</v>
      </c>
      <c r="E1189" s="1">
        <v>4.4219000000000002E-4</v>
      </c>
      <c r="F1189" s="1">
        <v>2.8000000000000002E-7</v>
      </c>
      <c r="G1189">
        <f t="shared" si="210"/>
        <v>7</v>
      </c>
      <c r="H1189" t="str">
        <f t="shared" ref="H1189:H1194" si="220">RIGHT(B1189,3)</f>
        <v>LTC</v>
      </c>
      <c r="I1189" t="str">
        <f>LEFT(B1189,4)</f>
        <v>LTCR</v>
      </c>
      <c r="J1189" t="str">
        <f t="shared" si="211"/>
        <v>LTCLTCR</v>
      </c>
      <c r="K1189" t="str">
        <f t="shared" si="212"/>
        <v>LTCRLTC</v>
      </c>
      <c r="L1189">
        <f t="shared" si="213"/>
        <v>0</v>
      </c>
      <c r="M1189">
        <f t="shared" si="214"/>
        <v>1</v>
      </c>
      <c r="N1189" t="b">
        <f t="shared" si="215"/>
        <v>1</v>
      </c>
    </row>
    <row r="1190" spans="1:14" hidden="1" x14ac:dyDescent="0.25">
      <c r="A1190" t="s">
        <v>7</v>
      </c>
      <c r="B1190" t="s">
        <v>1237</v>
      </c>
      <c r="C1190" s="1">
        <v>1799.9939589999999</v>
      </c>
      <c r="D1190" s="1" t="s">
        <v>1238</v>
      </c>
      <c r="E1190" s="1">
        <v>1799.1574963211201</v>
      </c>
      <c r="F1190" s="1">
        <v>1809.9</v>
      </c>
      <c r="G1190">
        <f t="shared" si="210"/>
        <v>6</v>
      </c>
      <c r="H1190" t="str">
        <f t="shared" si="220"/>
        <v>RUB</v>
      </c>
      <c r="I1190" t="str">
        <f>LEFT(B1190,3)</f>
        <v>LTC</v>
      </c>
      <c r="J1190" t="str">
        <f t="shared" si="211"/>
        <v>RUBLTC</v>
      </c>
      <c r="K1190" t="str">
        <f t="shared" si="212"/>
        <v>LTCRUB</v>
      </c>
      <c r="L1190">
        <f t="shared" si="213"/>
        <v>0</v>
      </c>
      <c r="M1190">
        <f t="shared" si="214"/>
        <v>1</v>
      </c>
      <c r="N1190" t="b">
        <f t="shared" si="215"/>
        <v>1</v>
      </c>
    </row>
    <row r="1191" spans="1:14" hidden="1" x14ac:dyDescent="0.25">
      <c r="A1191" t="s">
        <v>5</v>
      </c>
      <c r="B1191" t="s">
        <v>728</v>
      </c>
      <c r="C1191" s="1">
        <v>1845.9999975200001</v>
      </c>
      <c r="D1191" s="1">
        <v>1733.00000015</v>
      </c>
      <c r="E1191" s="1">
        <v>1847.94399753834</v>
      </c>
      <c r="F1191" s="1">
        <v>1733.0000001599999</v>
      </c>
      <c r="G1191">
        <f t="shared" si="210"/>
        <v>6</v>
      </c>
      <c r="H1191" t="str">
        <f t="shared" si="220"/>
        <v>RUR</v>
      </c>
      <c r="I1191" t="str">
        <f>LEFT(B1191,3)</f>
        <v>LTC</v>
      </c>
      <c r="J1191" t="str">
        <f t="shared" si="211"/>
        <v>RURLTC</v>
      </c>
      <c r="K1191" t="str">
        <f t="shared" si="212"/>
        <v>LTCRUR</v>
      </c>
      <c r="L1191">
        <f t="shared" si="213"/>
        <v>0</v>
      </c>
      <c r="M1191">
        <f t="shared" si="214"/>
        <v>1</v>
      </c>
      <c r="N1191" t="b">
        <f t="shared" si="215"/>
        <v>1</v>
      </c>
    </row>
    <row r="1192" spans="1:14" hidden="1" x14ac:dyDescent="0.25">
      <c r="A1192" t="s">
        <v>1403</v>
      </c>
      <c r="B1192" t="s">
        <v>1624</v>
      </c>
      <c r="C1192" s="1">
        <v>8.0000000000000002E-3</v>
      </c>
      <c r="D1192" s="1">
        <v>8.0000000000000002E-3</v>
      </c>
      <c r="E1192" s="1">
        <v>3.5000000000000001E-3</v>
      </c>
      <c r="F1192" s="1">
        <v>2.0020000000000001E-5</v>
      </c>
      <c r="G1192">
        <f t="shared" si="210"/>
        <v>7</v>
      </c>
      <c r="H1192" t="str">
        <f t="shared" si="220"/>
        <v>USD</v>
      </c>
      <c r="I1192" t="str">
        <f>LEFT(B1192,4)</f>
        <v>LTCR</v>
      </c>
      <c r="J1192" t="str">
        <f t="shared" si="211"/>
        <v>USDLTCR</v>
      </c>
      <c r="K1192" t="str">
        <f t="shared" si="212"/>
        <v>LTCRUSD</v>
      </c>
      <c r="L1192">
        <f t="shared" si="213"/>
        <v>0</v>
      </c>
      <c r="M1192">
        <f t="shared" si="214"/>
        <v>1</v>
      </c>
      <c r="N1192" t="b">
        <f t="shared" si="215"/>
        <v>1</v>
      </c>
    </row>
    <row r="1193" spans="1:14" hidden="1" x14ac:dyDescent="0.25">
      <c r="A1193" t="s">
        <v>5</v>
      </c>
      <c r="B1193" t="s">
        <v>617</v>
      </c>
      <c r="C1193" s="1">
        <v>4.8200141299999997</v>
      </c>
      <c r="D1193" s="1">
        <v>3.7100000099999999</v>
      </c>
      <c r="E1193" s="1">
        <v>7.0970000000000007E-5</v>
      </c>
      <c r="F1193" s="1">
        <v>6.3E-5</v>
      </c>
      <c r="G1193">
        <f t="shared" si="210"/>
        <v>6</v>
      </c>
      <c r="H1193" t="str">
        <f t="shared" si="220"/>
        <v>BTC</v>
      </c>
      <c r="I1193" t="str">
        <f>LEFT(B1193,3)</f>
        <v>LTD</v>
      </c>
      <c r="J1193" t="str">
        <f t="shared" si="211"/>
        <v>BTCLTD</v>
      </c>
      <c r="K1193" t="str">
        <f t="shared" si="212"/>
        <v>LTDBTC</v>
      </c>
      <c r="L1193">
        <f t="shared" si="213"/>
        <v>0</v>
      </c>
      <c r="M1193">
        <f t="shared" si="214"/>
        <v>1</v>
      </c>
      <c r="N1193" t="b">
        <f t="shared" si="215"/>
        <v>1</v>
      </c>
    </row>
    <row r="1194" spans="1:14" hidden="1" x14ac:dyDescent="0.25">
      <c r="A1194" t="s">
        <v>5</v>
      </c>
      <c r="B1194" t="s">
        <v>870</v>
      </c>
      <c r="C1194" s="1" t="s">
        <v>540</v>
      </c>
      <c r="D1194" s="1" t="s">
        <v>356</v>
      </c>
      <c r="E1194" s="1" t="s">
        <v>540</v>
      </c>
      <c r="F1194" s="1" t="s">
        <v>356</v>
      </c>
      <c r="G1194">
        <f t="shared" si="210"/>
        <v>6</v>
      </c>
      <c r="H1194" t="str">
        <f t="shared" si="220"/>
        <v>BTC</v>
      </c>
      <c r="I1194" t="str">
        <f>LEFT(B1194,3)</f>
        <v>LTH</v>
      </c>
      <c r="J1194" t="str">
        <f t="shared" si="211"/>
        <v>BTCLTH</v>
      </c>
      <c r="K1194" t="str">
        <f t="shared" si="212"/>
        <v>LTHBTC</v>
      </c>
      <c r="L1194">
        <f t="shared" si="213"/>
        <v>0</v>
      </c>
      <c r="M1194">
        <f t="shared" si="214"/>
        <v>1</v>
      </c>
      <c r="N1194" t="b">
        <f t="shared" si="215"/>
        <v>1</v>
      </c>
    </row>
    <row r="1195" spans="1:14" hidden="1" x14ac:dyDescent="0.25">
      <c r="A1195" t="s">
        <v>1403</v>
      </c>
      <c r="B1195" t="s">
        <v>1999</v>
      </c>
      <c r="C1195" s="1">
        <v>4.000012E-2</v>
      </c>
      <c r="D1195" s="1">
        <v>44.999980000000001</v>
      </c>
      <c r="E1195" s="1">
        <v>4.2</v>
      </c>
      <c r="F1195" s="1">
        <v>0.19000005</v>
      </c>
      <c r="G1195">
        <f t="shared" si="210"/>
        <v>7</v>
      </c>
      <c r="H1195" t="str">
        <f>RIGHT(B1195,4)</f>
        <v>DOGE</v>
      </c>
      <c r="I1195" t="str">
        <f>LEFT(B1195,3)</f>
        <v>LTS</v>
      </c>
      <c r="J1195" t="str">
        <f t="shared" si="211"/>
        <v>DOGELTS</v>
      </c>
      <c r="K1195" t="str">
        <f t="shared" si="212"/>
        <v>LTSDOGE</v>
      </c>
      <c r="L1195">
        <f t="shared" si="213"/>
        <v>0</v>
      </c>
      <c r="M1195">
        <f t="shared" si="214"/>
        <v>1</v>
      </c>
      <c r="N1195" t="b">
        <f t="shared" si="215"/>
        <v>1</v>
      </c>
    </row>
    <row r="1196" spans="1:14" hidden="1" x14ac:dyDescent="0.25">
      <c r="A1196" t="s">
        <v>1403</v>
      </c>
      <c r="B1196" t="s">
        <v>1807</v>
      </c>
      <c r="C1196" s="1">
        <v>1.66E-6</v>
      </c>
      <c r="D1196" s="1">
        <v>9.3799999999999994E-3</v>
      </c>
      <c r="E1196" s="1">
        <v>8.0999000000000002E-4</v>
      </c>
      <c r="F1196" s="1">
        <v>3.6799999999999999E-6</v>
      </c>
      <c r="G1196">
        <f t="shared" si="210"/>
        <v>6</v>
      </c>
      <c r="H1196" t="str">
        <f t="shared" ref="H1196:H1202" si="221">RIGHT(B1196,3)</f>
        <v>LTC</v>
      </c>
      <c r="I1196" t="str">
        <f>LEFT(B1196,3)</f>
        <v>LTS</v>
      </c>
      <c r="J1196" t="str">
        <f t="shared" si="211"/>
        <v>LTCLTS</v>
      </c>
      <c r="K1196" t="str">
        <f t="shared" si="212"/>
        <v>LTSLTC</v>
      </c>
      <c r="L1196">
        <f t="shared" si="213"/>
        <v>0</v>
      </c>
      <c r="M1196">
        <f t="shared" si="214"/>
        <v>1</v>
      </c>
      <c r="N1196" t="b">
        <f t="shared" si="215"/>
        <v>1</v>
      </c>
    </row>
    <row r="1197" spans="1:14" hidden="1" x14ac:dyDescent="0.25">
      <c r="A1197" t="s">
        <v>1403</v>
      </c>
      <c r="B1197" t="s">
        <v>1623</v>
      </c>
      <c r="C1197" s="1">
        <v>5.0300000000000001E-6</v>
      </c>
      <c r="D1197" s="1">
        <v>1.07989E-2</v>
      </c>
      <c r="E1197" s="1">
        <v>1.07989E-2</v>
      </c>
      <c r="F1197" s="1">
        <v>1.0067E-4</v>
      </c>
      <c r="G1197">
        <f t="shared" si="210"/>
        <v>6</v>
      </c>
      <c r="H1197" t="str">
        <f t="shared" si="221"/>
        <v>USD</v>
      </c>
      <c r="I1197" t="str">
        <f>LEFT(B1197,3)</f>
        <v>LTS</v>
      </c>
      <c r="J1197" t="str">
        <f t="shared" si="211"/>
        <v>USDLTS</v>
      </c>
      <c r="K1197" t="str">
        <f t="shared" si="212"/>
        <v>LTSUSD</v>
      </c>
      <c r="L1197">
        <f t="shared" si="213"/>
        <v>0</v>
      </c>
      <c r="M1197">
        <f t="shared" si="214"/>
        <v>1</v>
      </c>
      <c r="N1197" t="b">
        <f t="shared" si="215"/>
        <v>1</v>
      </c>
    </row>
    <row r="1198" spans="1:14" hidden="1" x14ac:dyDescent="0.25">
      <c r="A1198" t="s">
        <v>5</v>
      </c>
      <c r="B1198" t="s">
        <v>1093</v>
      </c>
      <c r="C1198" s="1">
        <v>1.24E-6</v>
      </c>
      <c r="D1198" s="1" t="s">
        <v>528</v>
      </c>
      <c r="E1198" s="1">
        <v>1.24E-6</v>
      </c>
      <c r="F1198" s="1" t="s">
        <v>528</v>
      </c>
      <c r="G1198">
        <f t="shared" si="210"/>
        <v>8</v>
      </c>
      <c r="H1198" t="str">
        <f t="shared" si="221"/>
        <v>BTC</v>
      </c>
      <c r="I1198" t="str">
        <f>LEFT(B1198,5)</f>
        <v>LUCKY</v>
      </c>
      <c r="J1198" t="str">
        <f t="shared" si="211"/>
        <v>BTCLUCKY</v>
      </c>
      <c r="K1198" t="str">
        <f t="shared" si="212"/>
        <v>LUCKYBTC</v>
      </c>
      <c r="L1198">
        <f t="shared" si="213"/>
        <v>0</v>
      </c>
      <c r="M1198">
        <f t="shared" si="214"/>
        <v>1</v>
      </c>
      <c r="N1198" t="b">
        <f t="shared" si="215"/>
        <v>1</v>
      </c>
    </row>
    <row r="1199" spans="1:14" hidden="1" x14ac:dyDescent="0.25">
      <c r="A1199" t="s">
        <v>5</v>
      </c>
      <c r="B1199" t="s">
        <v>510</v>
      </c>
      <c r="C1199" s="1" t="s">
        <v>362</v>
      </c>
      <c r="D1199" s="1" t="s">
        <v>364</v>
      </c>
      <c r="E1199" s="1" t="s">
        <v>362</v>
      </c>
      <c r="F1199" s="1">
        <v>1.00464910980319E-3</v>
      </c>
      <c r="G1199">
        <f t="shared" si="210"/>
        <v>7</v>
      </c>
      <c r="H1199" t="str">
        <f t="shared" si="221"/>
        <v>BTC</v>
      </c>
      <c r="I1199" t="str">
        <f>LEFT(B1199,4)</f>
        <v>LUMI</v>
      </c>
      <c r="J1199" t="str">
        <f t="shared" si="211"/>
        <v>BTCLUMI</v>
      </c>
      <c r="K1199" t="str">
        <f t="shared" si="212"/>
        <v>LUMIBTC</v>
      </c>
      <c r="L1199">
        <f t="shared" si="213"/>
        <v>0</v>
      </c>
      <c r="M1199">
        <f t="shared" si="214"/>
        <v>1</v>
      </c>
      <c r="N1199" t="b">
        <f t="shared" si="215"/>
        <v>1</v>
      </c>
    </row>
    <row r="1200" spans="1:14" hidden="1" x14ac:dyDescent="0.25">
      <c r="A1200" t="s">
        <v>5</v>
      </c>
      <c r="B1200" t="s">
        <v>672</v>
      </c>
      <c r="C1200" s="1">
        <v>2.6348000000000002E-4</v>
      </c>
      <c r="D1200" s="1">
        <v>1.9600999999999999E-4</v>
      </c>
      <c r="E1200" s="1">
        <v>2.6348000000000002E-4</v>
      </c>
      <c r="F1200" s="1">
        <v>1.9600999999999999E-4</v>
      </c>
      <c r="G1200">
        <f t="shared" si="210"/>
        <v>6</v>
      </c>
      <c r="H1200" t="str">
        <f t="shared" si="221"/>
        <v>BTC</v>
      </c>
      <c r="I1200" t="str">
        <f>LEFT(B1200,3)</f>
        <v>LUX</v>
      </c>
      <c r="J1200" t="str">
        <f t="shared" si="211"/>
        <v>BTCLUX</v>
      </c>
      <c r="K1200" t="str">
        <f t="shared" si="212"/>
        <v>LUXBTC</v>
      </c>
      <c r="L1200">
        <f t="shared" si="213"/>
        <v>0</v>
      </c>
      <c r="M1200">
        <f t="shared" si="214"/>
        <v>1</v>
      </c>
      <c r="N1200" t="b">
        <f t="shared" si="215"/>
        <v>1</v>
      </c>
    </row>
    <row r="1201" spans="1:14" hidden="1" x14ac:dyDescent="0.25">
      <c r="A1201" t="s">
        <v>5</v>
      </c>
      <c r="B1201" t="s">
        <v>397</v>
      </c>
      <c r="C1201" s="1">
        <v>2.7620999999999999E-4</v>
      </c>
      <c r="D1201" s="1">
        <v>2.0001E-4</v>
      </c>
      <c r="E1201" s="1">
        <v>2.7620999999999999E-4</v>
      </c>
      <c r="F1201" s="1">
        <v>2.0001E-4</v>
      </c>
      <c r="G1201">
        <f t="shared" si="210"/>
        <v>6</v>
      </c>
      <c r="H1201" t="str">
        <f t="shared" si="221"/>
        <v>BTC</v>
      </c>
      <c r="I1201" t="str">
        <f>LEFT(B1201,3)</f>
        <v>LVG</v>
      </c>
      <c r="J1201" t="str">
        <f t="shared" si="211"/>
        <v>BTCLVG</v>
      </c>
      <c r="K1201" t="str">
        <f t="shared" si="212"/>
        <v>LVGBTC</v>
      </c>
      <c r="L1201">
        <f t="shared" si="213"/>
        <v>0</v>
      </c>
      <c r="M1201">
        <f t="shared" si="214"/>
        <v>1</v>
      </c>
      <c r="N1201" t="b">
        <f t="shared" si="215"/>
        <v>1</v>
      </c>
    </row>
    <row r="1202" spans="1:14" hidden="1" x14ac:dyDescent="0.25">
      <c r="A1202" t="s">
        <v>1403</v>
      </c>
      <c r="B1202" t="s">
        <v>1471</v>
      </c>
      <c r="C1202" s="1">
        <v>2.0020000000000001E-5</v>
      </c>
      <c r="D1202" s="1">
        <v>4.0859999999999998E-5</v>
      </c>
      <c r="E1202" s="1">
        <v>4.0849999999999997E-5</v>
      </c>
      <c r="F1202" s="1">
        <v>2.0239999999999999E-5</v>
      </c>
      <c r="G1202">
        <f t="shared" si="210"/>
        <v>7</v>
      </c>
      <c r="H1202" t="str">
        <f t="shared" si="221"/>
        <v>BTC</v>
      </c>
      <c r="I1202" t="str">
        <f>LEFT(B1202,4)</f>
        <v>LVPS</v>
      </c>
      <c r="J1202" t="str">
        <f t="shared" si="211"/>
        <v>BTCLVPS</v>
      </c>
      <c r="K1202" t="str">
        <f t="shared" si="212"/>
        <v>LVPSBTC</v>
      </c>
      <c r="L1202">
        <f t="shared" si="213"/>
        <v>0</v>
      </c>
      <c r="M1202">
        <f t="shared" si="214"/>
        <v>1</v>
      </c>
      <c r="N1202" t="b">
        <f t="shared" si="215"/>
        <v>1</v>
      </c>
    </row>
    <row r="1203" spans="1:14" hidden="1" x14ac:dyDescent="0.25">
      <c r="A1203" t="s">
        <v>1403</v>
      </c>
      <c r="B1203" t="s">
        <v>2002</v>
      </c>
      <c r="C1203" s="1">
        <v>200</v>
      </c>
      <c r="D1203" s="1">
        <v>200</v>
      </c>
      <c r="E1203" s="1">
        <v>618.06595099155902</v>
      </c>
      <c r="F1203" s="1">
        <v>3.0000000099999999</v>
      </c>
      <c r="G1203">
        <f t="shared" si="210"/>
        <v>8</v>
      </c>
      <c r="H1203" t="str">
        <f>RIGHT(B1203,4)</f>
        <v>DOGE</v>
      </c>
      <c r="I1203" t="str">
        <f>LEFT(B1203,4)</f>
        <v>LVPS</v>
      </c>
      <c r="J1203" t="str">
        <f t="shared" si="211"/>
        <v>DOGELVPS</v>
      </c>
      <c r="K1203" t="str">
        <f t="shared" si="212"/>
        <v>LVPSDOGE</v>
      </c>
      <c r="L1203">
        <f t="shared" si="213"/>
        <v>0</v>
      </c>
      <c r="M1203">
        <f t="shared" si="214"/>
        <v>1</v>
      </c>
      <c r="N1203" t="b">
        <f t="shared" si="215"/>
        <v>1</v>
      </c>
    </row>
    <row r="1204" spans="1:14" hidden="1" x14ac:dyDescent="0.25">
      <c r="A1204" t="s">
        <v>1403</v>
      </c>
      <c r="B1204" t="s">
        <v>1810</v>
      </c>
      <c r="C1204" s="1">
        <v>0</v>
      </c>
      <c r="D1204" s="1">
        <v>0</v>
      </c>
      <c r="E1204" s="1">
        <v>0</v>
      </c>
      <c r="F1204" s="1">
        <v>1.6E-7</v>
      </c>
      <c r="G1204">
        <f t="shared" si="210"/>
        <v>7</v>
      </c>
      <c r="H1204" t="str">
        <f t="shared" ref="H1204:H1209" si="222">RIGHT(B1204,3)</f>
        <v>LTC</v>
      </c>
      <c r="I1204" t="str">
        <f>LEFT(B1204,4)</f>
        <v>LVPS</v>
      </c>
      <c r="J1204" t="str">
        <f t="shared" si="211"/>
        <v>LTCLVPS</v>
      </c>
      <c r="K1204" t="str">
        <f t="shared" si="212"/>
        <v>LVPSLTC</v>
      </c>
      <c r="L1204">
        <f t="shared" si="213"/>
        <v>0</v>
      </c>
      <c r="M1204">
        <f t="shared" si="214"/>
        <v>1</v>
      </c>
      <c r="N1204" t="b">
        <f t="shared" si="215"/>
        <v>1</v>
      </c>
    </row>
    <row r="1205" spans="1:14" hidden="1" x14ac:dyDescent="0.25">
      <c r="A1205" t="s">
        <v>1403</v>
      </c>
      <c r="B1205" t="s">
        <v>1625</v>
      </c>
      <c r="C1205" s="1">
        <v>0</v>
      </c>
      <c r="D1205" s="1">
        <v>0</v>
      </c>
      <c r="E1205" s="1">
        <v>0</v>
      </c>
      <c r="F1205" s="1">
        <v>2.019E-4</v>
      </c>
      <c r="G1205">
        <f t="shared" si="210"/>
        <v>7</v>
      </c>
      <c r="H1205" t="str">
        <f t="shared" si="222"/>
        <v>USD</v>
      </c>
      <c r="I1205" t="str">
        <f>LEFT(B1205,4)</f>
        <v>LVPS</v>
      </c>
      <c r="J1205" t="str">
        <f t="shared" si="211"/>
        <v>USDLVPS</v>
      </c>
      <c r="K1205" t="str">
        <f t="shared" si="212"/>
        <v>LVPSUSD</v>
      </c>
      <c r="L1205">
        <f t="shared" si="213"/>
        <v>0</v>
      </c>
      <c r="M1205">
        <f t="shared" si="214"/>
        <v>1</v>
      </c>
      <c r="N1205" t="b">
        <f t="shared" si="215"/>
        <v>1</v>
      </c>
    </row>
    <row r="1206" spans="1:14" hidden="1" x14ac:dyDescent="0.25">
      <c r="A1206" t="s">
        <v>5</v>
      </c>
      <c r="B1206" t="s">
        <v>737</v>
      </c>
      <c r="C1206" s="1">
        <v>2.7900000000000001E-4</v>
      </c>
      <c r="D1206" s="1">
        <v>2.0523000000000001E-4</v>
      </c>
      <c r="E1206" s="1">
        <v>2.7900000000000001E-4</v>
      </c>
      <c r="F1206" s="1">
        <v>2.0523000000000001E-4</v>
      </c>
      <c r="G1206">
        <f t="shared" si="210"/>
        <v>5</v>
      </c>
      <c r="H1206" t="str">
        <f t="shared" si="222"/>
        <v>BTC</v>
      </c>
      <c r="I1206" t="str">
        <f>LEFT(B1206,2)</f>
        <v>M1</v>
      </c>
      <c r="J1206" t="str">
        <f t="shared" si="211"/>
        <v>BTCM1</v>
      </c>
      <c r="K1206" t="str">
        <f t="shared" si="212"/>
        <v>M1BTC</v>
      </c>
      <c r="L1206">
        <f t="shared" si="213"/>
        <v>0</v>
      </c>
      <c r="M1206">
        <f t="shared" si="214"/>
        <v>1</v>
      </c>
      <c r="N1206" t="b">
        <f t="shared" si="215"/>
        <v>1</v>
      </c>
    </row>
    <row r="1207" spans="1:14" hidden="1" x14ac:dyDescent="0.25">
      <c r="A1207" t="s">
        <v>5</v>
      </c>
      <c r="B1207" t="s">
        <v>1097</v>
      </c>
      <c r="C1207" s="1" t="s">
        <v>362</v>
      </c>
      <c r="D1207" s="1" t="s">
        <v>364</v>
      </c>
      <c r="E1207" s="1" t="s">
        <v>362</v>
      </c>
      <c r="F1207" s="1">
        <v>1.64E-6</v>
      </c>
      <c r="G1207">
        <f t="shared" si="210"/>
        <v>6</v>
      </c>
      <c r="H1207" t="str">
        <f t="shared" si="222"/>
        <v>BTC</v>
      </c>
      <c r="I1207" t="str">
        <f>LEFT(B1207,3)</f>
        <v>MAD</v>
      </c>
      <c r="J1207" t="str">
        <f t="shared" si="211"/>
        <v>BTCMAD</v>
      </c>
      <c r="K1207" t="str">
        <f t="shared" si="212"/>
        <v>MADBTC</v>
      </c>
      <c r="L1207">
        <f t="shared" si="213"/>
        <v>0</v>
      </c>
      <c r="M1207">
        <f t="shared" si="214"/>
        <v>1</v>
      </c>
      <c r="N1207" t="b">
        <f t="shared" si="215"/>
        <v>1</v>
      </c>
    </row>
    <row r="1208" spans="1:14" hidden="1" x14ac:dyDescent="0.25">
      <c r="A1208" t="s">
        <v>4</v>
      </c>
      <c r="B1208" t="s">
        <v>316</v>
      </c>
      <c r="C1208" s="1">
        <v>0.42858099999999999</v>
      </c>
      <c r="D1208" s="1">
        <v>0.41483700000000001</v>
      </c>
      <c r="E1208" s="1">
        <v>0.42879600000000001</v>
      </c>
      <c r="F1208" s="1">
        <v>0.41480099999999998</v>
      </c>
      <c r="G1208">
        <f t="shared" si="210"/>
        <v>7</v>
      </c>
      <c r="H1208" t="str">
        <f t="shared" si="222"/>
        <v>USD</v>
      </c>
      <c r="I1208" t="str">
        <f t="shared" ref="I1208:I1215" si="223">LEFT(B1208,4)</f>
        <v>MAID</v>
      </c>
      <c r="J1208" t="str">
        <f t="shared" si="211"/>
        <v>USDMAID</v>
      </c>
      <c r="K1208" t="str">
        <f t="shared" si="212"/>
        <v>MAIDUSD</v>
      </c>
      <c r="L1208">
        <f t="shared" si="213"/>
        <v>0</v>
      </c>
      <c r="M1208">
        <f t="shared" si="214"/>
        <v>1</v>
      </c>
      <c r="N1208" t="b">
        <f t="shared" si="215"/>
        <v>1</v>
      </c>
    </row>
    <row r="1209" spans="1:14" hidden="1" x14ac:dyDescent="0.25">
      <c r="A1209" t="s">
        <v>1403</v>
      </c>
      <c r="B1209" t="s">
        <v>1472</v>
      </c>
      <c r="C1209" s="1">
        <v>1.101307E-2</v>
      </c>
      <c r="D1209" s="1">
        <v>1.303384E-2</v>
      </c>
      <c r="E1209" s="1">
        <v>1.303385E-2</v>
      </c>
      <c r="F1209" s="1">
        <v>1.101341E-2</v>
      </c>
      <c r="G1209">
        <f t="shared" si="210"/>
        <v>7</v>
      </c>
      <c r="H1209" t="str">
        <f t="shared" si="222"/>
        <v>BTC</v>
      </c>
      <c r="I1209" t="str">
        <f t="shared" si="223"/>
        <v>MALC</v>
      </c>
      <c r="J1209" t="str">
        <f t="shared" si="211"/>
        <v>BTCMALC</v>
      </c>
      <c r="K1209" t="str">
        <f t="shared" si="212"/>
        <v>MALCBTC</v>
      </c>
      <c r="L1209">
        <f t="shared" si="213"/>
        <v>0</v>
      </c>
      <c r="M1209">
        <f t="shared" si="214"/>
        <v>1</v>
      </c>
      <c r="N1209" t="b">
        <f t="shared" si="215"/>
        <v>1</v>
      </c>
    </row>
    <row r="1210" spans="1:14" hidden="1" x14ac:dyDescent="0.25">
      <c r="A1210" t="s">
        <v>1403</v>
      </c>
      <c r="B1210" t="s">
        <v>2003</v>
      </c>
      <c r="C1210" s="1">
        <v>0</v>
      </c>
      <c r="D1210" s="1">
        <v>0</v>
      </c>
      <c r="E1210" s="1">
        <v>0</v>
      </c>
      <c r="F1210" s="1">
        <v>3.0000000600000001</v>
      </c>
      <c r="G1210">
        <f t="shared" si="210"/>
        <v>8</v>
      </c>
      <c r="H1210" t="str">
        <f>RIGHT(B1210,4)</f>
        <v>DOGE</v>
      </c>
      <c r="I1210" t="str">
        <f t="shared" si="223"/>
        <v>MALC</v>
      </c>
      <c r="J1210" t="str">
        <f t="shared" si="211"/>
        <v>DOGEMALC</v>
      </c>
      <c r="K1210" t="str">
        <f t="shared" si="212"/>
        <v>MALCDOGE</v>
      </c>
      <c r="L1210">
        <f t="shared" si="213"/>
        <v>0</v>
      </c>
      <c r="M1210">
        <f t="shared" si="214"/>
        <v>1</v>
      </c>
      <c r="N1210" t="b">
        <f t="shared" si="215"/>
        <v>1</v>
      </c>
    </row>
    <row r="1211" spans="1:14" hidden="1" x14ac:dyDescent="0.25">
      <c r="A1211" t="s">
        <v>1403</v>
      </c>
      <c r="B1211" t="s">
        <v>1811</v>
      </c>
      <c r="C1211" s="1">
        <v>0</v>
      </c>
      <c r="D1211" s="1">
        <v>0</v>
      </c>
      <c r="E1211" s="1">
        <v>0</v>
      </c>
      <c r="F1211" s="1">
        <v>5.0019999999999999E-5</v>
      </c>
      <c r="G1211">
        <f t="shared" si="210"/>
        <v>7</v>
      </c>
      <c r="H1211" t="str">
        <f t="shared" ref="H1211:H1221" si="224">RIGHT(B1211,3)</f>
        <v>LTC</v>
      </c>
      <c r="I1211" t="str">
        <f t="shared" si="223"/>
        <v>MALC</v>
      </c>
      <c r="J1211" t="str">
        <f t="shared" si="211"/>
        <v>LTCMALC</v>
      </c>
      <c r="K1211" t="str">
        <f t="shared" si="212"/>
        <v>MALCLTC</v>
      </c>
      <c r="L1211">
        <f t="shared" si="213"/>
        <v>0</v>
      </c>
      <c r="M1211">
        <f t="shared" si="214"/>
        <v>1</v>
      </c>
      <c r="N1211" t="b">
        <f t="shared" si="215"/>
        <v>1</v>
      </c>
    </row>
    <row r="1212" spans="1:14" hidden="1" x14ac:dyDescent="0.25">
      <c r="A1212" t="s">
        <v>1403</v>
      </c>
      <c r="B1212" t="s">
        <v>1626</v>
      </c>
      <c r="C1212" s="1">
        <v>0</v>
      </c>
      <c r="D1212" s="1">
        <v>0</v>
      </c>
      <c r="E1212" s="1">
        <v>0</v>
      </c>
      <c r="F1212" s="1">
        <v>1.03885E-3</v>
      </c>
      <c r="G1212">
        <f t="shared" si="210"/>
        <v>7</v>
      </c>
      <c r="H1212" t="str">
        <f t="shared" si="224"/>
        <v>USD</v>
      </c>
      <c r="I1212" t="str">
        <f t="shared" si="223"/>
        <v>MALC</v>
      </c>
      <c r="J1212" t="str">
        <f t="shared" si="211"/>
        <v>USDMALC</v>
      </c>
      <c r="K1212" t="str">
        <f t="shared" si="212"/>
        <v>MALCUSD</v>
      </c>
      <c r="L1212">
        <f t="shared" si="213"/>
        <v>0</v>
      </c>
      <c r="M1212">
        <f t="shared" si="214"/>
        <v>1</v>
      </c>
      <c r="N1212" t="b">
        <f t="shared" si="215"/>
        <v>1</v>
      </c>
    </row>
    <row r="1213" spans="1:14" hidden="1" x14ac:dyDescent="0.25">
      <c r="A1213" t="s">
        <v>5</v>
      </c>
      <c r="B1213" t="s">
        <v>656</v>
      </c>
      <c r="C1213" s="1">
        <v>7.8800000000000008E-6</v>
      </c>
      <c r="D1213" s="1">
        <v>7.0500000000000003E-6</v>
      </c>
      <c r="E1213" s="1">
        <v>7.8800000000000008E-6</v>
      </c>
      <c r="F1213" s="1">
        <v>7.0500000000000003E-6</v>
      </c>
      <c r="G1213">
        <f t="shared" si="210"/>
        <v>7</v>
      </c>
      <c r="H1213" t="str">
        <f t="shared" si="224"/>
        <v>BTC</v>
      </c>
      <c r="I1213" t="str">
        <f t="shared" si="223"/>
        <v>MAPC</v>
      </c>
      <c r="J1213" t="str">
        <f t="shared" si="211"/>
        <v>BTCMAPC</v>
      </c>
      <c r="K1213" t="str">
        <f t="shared" si="212"/>
        <v>MAPCBTC</v>
      </c>
      <c r="L1213">
        <f t="shared" si="213"/>
        <v>0</v>
      </c>
      <c r="M1213">
        <f t="shared" si="214"/>
        <v>1</v>
      </c>
      <c r="N1213" t="b">
        <f t="shared" si="215"/>
        <v>1</v>
      </c>
    </row>
    <row r="1214" spans="1:14" hidden="1" x14ac:dyDescent="0.25">
      <c r="A1214" t="s">
        <v>5</v>
      </c>
      <c r="B1214" t="s">
        <v>752</v>
      </c>
      <c r="C1214" s="1" t="s">
        <v>362</v>
      </c>
      <c r="D1214" s="1" t="s">
        <v>364</v>
      </c>
      <c r="E1214" s="1" t="s">
        <v>362</v>
      </c>
      <c r="F1214" s="1">
        <v>5.3000000000000001E-7</v>
      </c>
      <c r="G1214">
        <f t="shared" si="210"/>
        <v>7</v>
      </c>
      <c r="H1214" t="str">
        <f t="shared" si="224"/>
        <v>BTC</v>
      </c>
      <c r="I1214" t="str">
        <f t="shared" si="223"/>
        <v>MARV</v>
      </c>
      <c r="J1214" t="str">
        <f t="shared" si="211"/>
        <v>BTCMARV</v>
      </c>
      <c r="K1214" t="str">
        <f t="shared" si="212"/>
        <v>MARVBTC</v>
      </c>
      <c r="L1214">
        <f t="shared" si="213"/>
        <v>0</v>
      </c>
      <c r="M1214">
        <f t="shared" si="214"/>
        <v>1</v>
      </c>
      <c r="N1214" t="b">
        <f t="shared" si="215"/>
        <v>1</v>
      </c>
    </row>
    <row r="1215" spans="1:14" hidden="1" x14ac:dyDescent="0.25">
      <c r="A1215" t="s">
        <v>5</v>
      </c>
      <c r="B1215" t="s">
        <v>1027</v>
      </c>
      <c r="C1215" s="1">
        <v>1.9000000000000001E-7</v>
      </c>
      <c r="D1215" s="1">
        <v>1.6999999999999999E-7</v>
      </c>
      <c r="E1215" s="1">
        <v>1.9000000000000001E-7</v>
      </c>
      <c r="F1215" s="1">
        <v>1.6999999999999999E-7</v>
      </c>
      <c r="G1215">
        <f t="shared" si="210"/>
        <v>7</v>
      </c>
      <c r="H1215" t="str">
        <f t="shared" si="224"/>
        <v>BTC</v>
      </c>
      <c r="I1215" t="str">
        <f t="shared" si="223"/>
        <v>MARX</v>
      </c>
      <c r="J1215" t="str">
        <f t="shared" si="211"/>
        <v>BTCMARX</v>
      </c>
      <c r="K1215" t="str">
        <f t="shared" si="212"/>
        <v>MARXBTC</v>
      </c>
      <c r="L1215">
        <f t="shared" si="213"/>
        <v>0</v>
      </c>
      <c r="M1215">
        <f t="shared" si="214"/>
        <v>1</v>
      </c>
      <c r="N1215" t="b">
        <f t="shared" si="215"/>
        <v>1</v>
      </c>
    </row>
    <row r="1216" spans="1:14" hidden="1" x14ac:dyDescent="0.25">
      <c r="A1216" t="s">
        <v>5</v>
      </c>
      <c r="B1216" t="s">
        <v>1092</v>
      </c>
      <c r="C1216" s="1" t="s">
        <v>384</v>
      </c>
      <c r="D1216" s="1" t="s">
        <v>361</v>
      </c>
      <c r="E1216" s="1" t="s">
        <v>384</v>
      </c>
      <c r="F1216" s="1" t="s">
        <v>361</v>
      </c>
      <c r="G1216">
        <f t="shared" si="210"/>
        <v>6</v>
      </c>
      <c r="H1216" t="str">
        <f t="shared" si="224"/>
        <v>BTC</v>
      </c>
      <c r="I1216" t="str">
        <f>LEFT(B1216,3)</f>
        <v>MAT</v>
      </c>
      <c r="J1216" t="str">
        <f t="shared" si="211"/>
        <v>BTCMAT</v>
      </c>
      <c r="K1216" t="str">
        <f t="shared" si="212"/>
        <v>MATBTC</v>
      </c>
      <c r="L1216">
        <f t="shared" si="213"/>
        <v>0</v>
      </c>
      <c r="M1216">
        <f t="shared" si="214"/>
        <v>1</v>
      </c>
      <c r="N1216" t="b">
        <f t="shared" si="215"/>
        <v>1</v>
      </c>
    </row>
    <row r="1217" spans="1:14" hidden="1" x14ac:dyDescent="0.25">
      <c r="A1217" t="s">
        <v>5</v>
      </c>
      <c r="B1217" t="s">
        <v>1183</v>
      </c>
      <c r="C1217" s="1">
        <v>1.19E-6</v>
      </c>
      <c r="D1217" s="1">
        <v>9.0999999999999997E-7</v>
      </c>
      <c r="E1217" s="1">
        <v>1.19E-6</v>
      </c>
      <c r="F1217" s="1">
        <v>9.0999999999999997E-7</v>
      </c>
      <c r="G1217">
        <f t="shared" ref="G1217:G1280" si="225">LEN(B1217)</f>
        <v>8</v>
      </c>
      <c r="H1217" t="str">
        <f t="shared" si="224"/>
        <v>BTC</v>
      </c>
      <c r="I1217" t="str">
        <f>LEFT(B1217,5)</f>
        <v>MAVRO</v>
      </c>
      <c r="J1217" t="str">
        <f t="shared" ref="J1217:J1280" si="226">CONCATENATE(H1217,I1217)</f>
        <v>BTCMAVRO</v>
      </c>
      <c r="K1217" t="str">
        <f t="shared" ref="K1217:K1280" si="227">CONCATENATE(I1217,H1217)</f>
        <v>MAVROBTC</v>
      </c>
      <c r="L1217">
        <f t="shared" ref="L1217:L1280" si="228">COUNTIF(B:B,J1217)</f>
        <v>0</v>
      </c>
      <c r="M1217">
        <f t="shared" ref="M1217:M1280" si="229">COUNTIF(B:B,K1217)</f>
        <v>1</v>
      </c>
      <c r="N1217" t="b">
        <f t="shared" ref="N1217:N1280" si="230">L1217=0</f>
        <v>1</v>
      </c>
    </row>
    <row r="1218" spans="1:14" hidden="1" x14ac:dyDescent="0.25">
      <c r="A1218" t="s">
        <v>5</v>
      </c>
      <c r="B1218" t="s">
        <v>813</v>
      </c>
      <c r="C1218" s="1">
        <v>4.8999999999999997E-7</v>
      </c>
      <c r="D1218" s="1">
        <v>2.8999999999999998E-7</v>
      </c>
      <c r="E1218" s="1">
        <v>4.8999999999999997E-7</v>
      </c>
      <c r="F1218" s="1">
        <v>2.8999999999999998E-7</v>
      </c>
      <c r="G1218">
        <f t="shared" si="225"/>
        <v>6</v>
      </c>
      <c r="H1218" t="str">
        <f t="shared" si="224"/>
        <v>BTC</v>
      </c>
      <c r="I1218" t="str">
        <f>LEFT(B1218,3)</f>
        <v>MAY</v>
      </c>
      <c r="J1218" t="str">
        <f t="shared" si="226"/>
        <v>BTCMAY</v>
      </c>
      <c r="K1218" t="str">
        <f t="shared" si="227"/>
        <v>MAYBTC</v>
      </c>
      <c r="L1218">
        <f t="shared" si="228"/>
        <v>0</v>
      </c>
      <c r="M1218">
        <f t="shared" si="229"/>
        <v>1</v>
      </c>
      <c r="N1218" t="b">
        <f t="shared" si="230"/>
        <v>1</v>
      </c>
    </row>
    <row r="1219" spans="1:14" hidden="1" x14ac:dyDescent="0.25">
      <c r="A1219" t="s">
        <v>5</v>
      </c>
      <c r="B1219" t="s">
        <v>809</v>
      </c>
      <c r="C1219" s="1">
        <v>8.0999999999999997E-7</v>
      </c>
      <c r="D1219" s="1">
        <v>5.8999999999999996E-7</v>
      </c>
      <c r="E1219" s="1">
        <v>8.0999999999999997E-7</v>
      </c>
      <c r="F1219" s="1">
        <v>5.8999999999999996E-7</v>
      </c>
      <c r="G1219">
        <f t="shared" si="225"/>
        <v>7</v>
      </c>
      <c r="H1219" t="str">
        <f t="shared" si="224"/>
        <v>BTC</v>
      </c>
      <c r="I1219" t="str">
        <f>LEFT(B1219,4)</f>
        <v>MAZE</v>
      </c>
      <c r="J1219" t="str">
        <f t="shared" si="226"/>
        <v>BTCMAZE</v>
      </c>
      <c r="K1219" t="str">
        <f t="shared" si="227"/>
        <v>MAZEBTC</v>
      </c>
      <c r="L1219">
        <f t="shared" si="228"/>
        <v>0</v>
      </c>
      <c r="M1219">
        <f t="shared" si="229"/>
        <v>1</v>
      </c>
      <c r="N1219" t="b">
        <f t="shared" si="230"/>
        <v>1</v>
      </c>
    </row>
    <row r="1220" spans="1:14" hidden="1" x14ac:dyDescent="0.25">
      <c r="A1220" t="s">
        <v>5</v>
      </c>
      <c r="B1220" t="s">
        <v>1021</v>
      </c>
      <c r="C1220" s="1">
        <v>1.2289999999999999E-5</v>
      </c>
      <c r="D1220" s="1" t="s">
        <v>328</v>
      </c>
      <c r="E1220" s="1">
        <v>1.2289999999999999E-5</v>
      </c>
      <c r="F1220" s="1" t="s">
        <v>328</v>
      </c>
      <c r="G1220">
        <f t="shared" si="225"/>
        <v>7</v>
      </c>
      <c r="H1220" t="str">
        <f t="shared" si="224"/>
        <v>BTC</v>
      </c>
      <c r="I1220" t="str">
        <f>LEFT(B1220,4)</f>
        <v>MBIT</v>
      </c>
      <c r="J1220" t="str">
        <f t="shared" si="226"/>
        <v>BTCMBIT</v>
      </c>
      <c r="K1220" t="str">
        <f t="shared" si="227"/>
        <v>MBITBTC</v>
      </c>
      <c r="L1220">
        <f t="shared" si="228"/>
        <v>0</v>
      </c>
      <c r="M1220">
        <f t="shared" si="229"/>
        <v>1</v>
      </c>
      <c r="N1220" t="b">
        <f t="shared" si="230"/>
        <v>1</v>
      </c>
    </row>
    <row r="1221" spans="1:14" hidden="1" x14ac:dyDescent="0.25">
      <c r="A1221" t="s">
        <v>1403</v>
      </c>
      <c r="B1221" t="s">
        <v>1473</v>
      </c>
      <c r="C1221" s="1" t="s">
        <v>435</v>
      </c>
      <c r="D1221" s="1">
        <v>1.1999999999999999E-7</v>
      </c>
      <c r="E1221" s="1">
        <v>1.1999999999999999E-7</v>
      </c>
      <c r="F1221" s="1" t="s">
        <v>435</v>
      </c>
      <c r="G1221">
        <f t="shared" si="225"/>
        <v>6</v>
      </c>
      <c r="H1221" t="str">
        <f t="shared" si="224"/>
        <v>BTC</v>
      </c>
      <c r="I1221" t="str">
        <f>LEFT(B1221,3)</f>
        <v>MBL</v>
      </c>
      <c r="J1221" t="str">
        <f t="shared" si="226"/>
        <v>BTCMBL</v>
      </c>
      <c r="K1221" t="str">
        <f t="shared" si="227"/>
        <v>MBLBTC</v>
      </c>
      <c r="L1221">
        <f t="shared" si="228"/>
        <v>0</v>
      </c>
      <c r="M1221">
        <f t="shared" si="229"/>
        <v>1</v>
      </c>
      <c r="N1221" t="b">
        <f t="shared" si="230"/>
        <v>1</v>
      </c>
    </row>
    <row r="1222" spans="1:14" hidden="1" x14ac:dyDescent="0.25">
      <c r="A1222" t="s">
        <v>1403</v>
      </c>
      <c r="B1222" t="s">
        <v>2004</v>
      </c>
      <c r="C1222" s="1">
        <v>8.6989999999999998</v>
      </c>
      <c r="D1222" s="1">
        <v>8.6989999999999998</v>
      </c>
      <c r="E1222" s="1">
        <v>8.6989999999999998</v>
      </c>
      <c r="F1222" s="1">
        <v>5.7552039999999999E-2</v>
      </c>
      <c r="G1222">
        <f t="shared" si="225"/>
        <v>7</v>
      </c>
      <c r="H1222" t="str">
        <f>RIGHT(B1222,4)</f>
        <v>DOGE</v>
      </c>
      <c r="I1222" t="str">
        <f>LEFT(B1222,3)</f>
        <v>MBL</v>
      </c>
      <c r="J1222" t="str">
        <f t="shared" si="226"/>
        <v>DOGEMBL</v>
      </c>
      <c r="K1222" t="str">
        <f t="shared" si="227"/>
        <v>MBLDOGE</v>
      </c>
      <c r="L1222">
        <f t="shared" si="228"/>
        <v>0</v>
      </c>
      <c r="M1222">
        <f t="shared" si="229"/>
        <v>1</v>
      </c>
      <c r="N1222" t="b">
        <f t="shared" si="230"/>
        <v>1</v>
      </c>
    </row>
    <row r="1223" spans="1:14" hidden="1" x14ac:dyDescent="0.25">
      <c r="A1223" t="s">
        <v>1403</v>
      </c>
      <c r="B1223" t="s">
        <v>1812</v>
      </c>
      <c r="C1223" s="1">
        <v>9.9799999999999993E-6</v>
      </c>
      <c r="D1223" s="1">
        <v>9.9799999999999993E-6</v>
      </c>
      <c r="E1223" s="1">
        <v>9.5629999999999999E-4</v>
      </c>
      <c r="F1223" s="1">
        <v>1.48E-6</v>
      </c>
      <c r="G1223">
        <f t="shared" si="225"/>
        <v>6</v>
      </c>
      <c r="H1223" t="str">
        <f>RIGHT(B1223,3)</f>
        <v>LTC</v>
      </c>
      <c r="I1223" t="str">
        <f>LEFT(B1223,3)</f>
        <v>MBL</v>
      </c>
      <c r="J1223" t="str">
        <f t="shared" si="226"/>
        <v>LTCMBL</v>
      </c>
      <c r="K1223" t="str">
        <f t="shared" si="227"/>
        <v>MBLLTC</v>
      </c>
      <c r="L1223">
        <f t="shared" si="228"/>
        <v>0</v>
      </c>
      <c r="M1223">
        <f t="shared" si="229"/>
        <v>1</v>
      </c>
      <c r="N1223" t="b">
        <f t="shared" si="230"/>
        <v>1</v>
      </c>
    </row>
    <row r="1224" spans="1:14" hidden="1" x14ac:dyDescent="0.25">
      <c r="A1224" t="s">
        <v>1403</v>
      </c>
      <c r="B1224" t="s">
        <v>1627</v>
      </c>
      <c r="C1224" s="1">
        <v>1.1997000000000001E-4</v>
      </c>
      <c r="D1224" s="1">
        <v>1.1997000000000001E-4</v>
      </c>
      <c r="E1224" s="1">
        <v>8.8979899999999997E-3</v>
      </c>
      <c r="F1224" s="1">
        <v>1.0799E-4</v>
      </c>
      <c r="G1224">
        <f t="shared" si="225"/>
        <v>6</v>
      </c>
      <c r="H1224" t="str">
        <f>RIGHT(B1224,3)</f>
        <v>USD</v>
      </c>
      <c r="I1224" t="str">
        <f>LEFT(B1224,3)</f>
        <v>MBL</v>
      </c>
      <c r="J1224" t="str">
        <f t="shared" si="226"/>
        <v>USDMBL</v>
      </c>
      <c r="K1224" t="str">
        <f t="shared" si="227"/>
        <v>MBLUSD</v>
      </c>
      <c r="L1224">
        <f t="shared" si="228"/>
        <v>0</v>
      </c>
      <c r="M1224">
        <f t="shared" si="229"/>
        <v>1</v>
      </c>
      <c r="N1224" t="b">
        <f t="shared" si="230"/>
        <v>1</v>
      </c>
    </row>
    <row r="1225" spans="1:14" hidden="1" x14ac:dyDescent="0.25">
      <c r="A1225" t="s">
        <v>1403</v>
      </c>
      <c r="B1225" t="s">
        <v>1474</v>
      </c>
      <c r="C1225" s="1">
        <v>1.33E-3</v>
      </c>
      <c r="D1225" s="1">
        <v>1.4300000000000001E-3</v>
      </c>
      <c r="E1225" s="1">
        <v>1.4300000000000001E-3</v>
      </c>
      <c r="F1225" s="1">
        <v>1.2501999999999999E-3</v>
      </c>
      <c r="G1225">
        <f t="shared" si="225"/>
        <v>7</v>
      </c>
      <c r="H1225" t="str">
        <f>RIGHT(B1225,3)</f>
        <v>BTC</v>
      </c>
      <c r="I1225" t="str">
        <f>LEFT(B1225,4)</f>
        <v>MCAP</v>
      </c>
      <c r="J1225" t="str">
        <f t="shared" si="226"/>
        <v>BTCMCAP</v>
      </c>
      <c r="K1225" t="str">
        <f t="shared" si="227"/>
        <v>MCAPBTC</v>
      </c>
      <c r="L1225">
        <f t="shared" si="228"/>
        <v>0</v>
      </c>
      <c r="M1225">
        <f t="shared" si="229"/>
        <v>1</v>
      </c>
      <c r="N1225" t="b">
        <f t="shared" si="230"/>
        <v>1</v>
      </c>
    </row>
    <row r="1226" spans="1:14" hidden="1" x14ac:dyDescent="0.25">
      <c r="A1226" t="s">
        <v>1403</v>
      </c>
      <c r="B1226" t="s">
        <v>2005</v>
      </c>
      <c r="C1226" s="1">
        <v>0</v>
      </c>
      <c r="D1226" s="1">
        <v>0</v>
      </c>
      <c r="E1226" s="1">
        <v>0</v>
      </c>
      <c r="F1226" s="1">
        <v>4.0100002799999999</v>
      </c>
      <c r="G1226">
        <f t="shared" si="225"/>
        <v>8</v>
      </c>
      <c r="H1226" t="str">
        <f>RIGHT(B1226,4)</f>
        <v>DOGE</v>
      </c>
      <c r="I1226" t="str">
        <f>LEFT(B1226,4)</f>
        <v>MCAP</v>
      </c>
      <c r="J1226" t="str">
        <f t="shared" si="226"/>
        <v>DOGEMCAP</v>
      </c>
      <c r="K1226" t="str">
        <f t="shared" si="227"/>
        <v>MCAPDOGE</v>
      </c>
      <c r="L1226">
        <f t="shared" si="228"/>
        <v>0</v>
      </c>
      <c r="M1226">
        <f t="shared" si="229"/>
        <v>1</v>
      </c>
      <c r="N1226" t="b">
        <f t="shared" si="230"/>
        <v>1</v>
      </c>
    </row>
    <row r="1227" spans="1:14" hidden="1" x14ac:dyDescent="0.25">
      <c r="A1227" t="s">
        <v>1403</v>
      </c>
      <c r="B1227" t="s">
        <v>1813</v>
      </c>
      <c r="C1227" s="1">
        <v>0</v>
      </c>
      <c r="D1227" s="1">
        <v>0</v>
      </c>
      <c r="E1227" s="1">
        <v>0</v>
      </c>
      <c r="F1227" s="1">
        <v>5.5009000000000004E-4</v>
      </c>
      <c r="G1227">
        <f t="shared" si="225"/>
        <v>7</v>
      </c>
      <c r="H1227" t="str">
        <f>RIGHT(B1227,3)</f>
        <v>LTC</v>
      </c>
      <c r="I1227" t="str">
        <f>LEFT(B1227,4)</f>
        <v>MCAP</v>
      </c>
      <c r="J1227" t="str">
        <f t="shared" si="226"/>
        <v>LTCMCAP</v>
      </c>
      <c r="K1227" t="str">
        <f t="shared" si="227"/>
        <v>MCAPLTC</v>
      </c>
      <c r="L1227">
        <f t="shared" si="228"/>
        <v>0</v>
      </c>
      <c r="M1227">
        <f t="shared" si="229"/>
        <v>1</v>
      </c>
      <c r="N1227" t="b">
        <f t="shared" si="230"/>
        <v>1</v>
      </c>
    </row>
    <row r="1228" spans="1:14" hidden="1" x14ac:dyDescent="0.25">
      <c r="A1228" t="s">
        <v>1403</v>
      </c>
      <c r="B1228" t="s">
        <v>1628</v>
      </c>
      <c r="C1228" s="1">
        <v>7.1</v>
      </c>
      <c r="D1228" s="1">
        <v>7.1</v>
      </c>
      <c r="E1228" s="1">
        <v>7.1</v>
      </c>
      <c r="F1228" s="1">
        <v>4.0001000000000004E-3</v>
      </c>
      <c r="G1228">
        <f t="shared" si="225"/>
        <v>7</v>
      </c>
      <c r="H1228" t="str">
        <f>RIGHT(B1228,3)</f>
        <v>USD</v>
      </c>
      <c r="I1228" t="str">
        <f>LEFT(B1228,4)</f>
        <v>MCAP</v>
      </c>
      <c r="J1228" t="str">
        <f t="shared" si="226"/>
        <v>USDMCAP</v>
      </c>
      <c r="K1228" t="str">
        <f t="shared" si="227"/>
        <v>MCAPUSD</v>
      </c>
      <c r="L1228">
        <f t="shared" si="228"/>
        <v>0</v>
      </c>
      <c r="M1228">
        <f t="shared" si="229"/>
        <v>1</v>
      </c>
      <c r="N1228" t="b">
        <f t="shared" si="230"/>
        <v>1</v>
      </c>
    </row>
    <row r="1229" spans="1:14" hidden="1" x14ac:dyDescent="0.25">
      <c r="A1229" t="s">
        <v>5</v>
      </c>
      <c r="B1229" t="s">
        <v>1082</v>
      </c>
      <c r="C1229" s="1">
        <v>7.8000000000000005E-7</v>
      </c>
      <c r="D1229" s="1">
        <v>7.5000000000000002E-7</v>
      </c>
      <c r="E1229" s="1">
        <v>7.8000000000000005E-7</v>
      </c>
      <c r="F1229" s="1">
        <v>7.5000000000000002E-7</v>
      </c>
      <c r="G1229">
        <f t="shared" si="225"/>
        <v>7</v>
      </c>
      <c r="H1229" t="str">
        <f>RIGHT(B1229,3)</f>
        <v>BTC</v>
      </c>
      <c r="I1229" t="str">
        <f>LEFT(B1229,4)</f>
        <v>MCAR</v>
      </c>
      <c r="J1229" t="str">
        <f t="shared" si="226"/>
        <v>BTCMCAR</v>
      </c>
      <c r="K1229" t="str">
        <f t="shared" si="227"/>
        <v>MCARBTC</v>
      </c>
      <c r="L1229">
        <f t="shared" si="228"/>
        <v>0</v>
      </c>
      <c r="M1229">
        <f t="shared" si="229"/>
        <v>1</v>
      </c>
      <c r="N1229" t="b">
        <f t="shared" si="230"/>
        <v>1</v>
      </c>
    </row>
    <row r="1230" spans="1:14" hidden="1" x14ac:dyDescent="0.25">
      <c r="A1230" t="s">
        <v>1403</v>
      </c>
      <c r="B1230" t="s">
        <v>1475</v>
      </c>
      <c r="C1230" s="1">
        <v>3.1499000000000002E-3</v>
      </c>
      <c r="D1230" s="1">
        <v>3.1499000000000002E-3</v>
      </c>
      <c r="E1230" s="1">
        <v>3.1749899999999999E-3</v>
      </c>
      <c r="F1230" s="1">
        <v>1.1001100000000001E-3</v>
      </c>
      <c r="G1230">
        <f t="shared" si="225"/>
        <v>6</v>
      </c>
      <c r="H1230" t="str">
        <f>RIGHT(B1230,3)</f>
        <v>BTC</v>
      </c>
      <c r="I1230" t="str">
        <f>LEFT(B1230,3)</f>
        <v>MCO</v>
      </c>
      <c r="J1230" t="str">
        <f t="shared" si="226"/>
        <v>BTCMCO</v>
      </c>
      <c r="K1230" t="str">
        <f t="shared" si="227"/>
        <v>MCOBTC</v>
      </c>
      <c r="L1230">
        <f t="shared" si="228"/>
        <v>0</v>
      </c>
      <c r="M1230">
        <f t="shared" si="229"/>
        <v>1</v>
      </c>
      <c r="N1230" t="b">
        <f t="shared" si="230"/>
        <v>1</v>
      </c>
    </row>
    <row r="1231" spans="1:14" hidden="1" x14ac:dyDescent="0.25">
      <c r="A1231" t="s">
        <v>1403</v>
      </c>
      <c r="B1231" t="s">
        <v>2006</v>
      </c>
      <c r="C1231" s="1">
        <v>3000000</v>
      </c>
      <c r="D1231" s="1">
        <v>3000000</v>
      </c>
      <c r="E1231" s="1">
        <v>3000000</v>
      </c>
      <c r="F1231" s="1">
        <v>2.2300102499999999</v>
      </c>
      <c r="G1231">
        <f t="shared" si="225"/>
        <v>7</v>
      </c>
      <c r="H1231" t="str">
        <f>RIGHT(B1231,4)</f>
        <v>DOGE</v>
      </c>
      <c r="I1231" t="str">
        <f>LEFT(B1231,3)</f>
        <v>MCO</v>
      </c>
      <c r="J1231" t="str">
        <f t="shared" si="226"/>
        <v>DOGEMCO</v>
      </c>
      <c r="K1231" t="str">
        <f t="shared" si="227"/>
        <v>MCODOGE</v>
      </c>
      <c r="L1231">
        <f t="shared" si="228"/>
        <v>0</v>
      </c>
      <c r="M1231">
        <f t="shared" si="229"/>
        <v>1</v>
      </c>
      <c r="N1231" t="b">
        <f t="shared" si="230"/>
        <v>1</v>
      </c>
    </row>
    <row r="1232" spans="1:14" hidden="1" x14ac:dyDescent="0.25">
      <c r="A1232" t="s">
        <v>5</v>
      </c>
      <c r="B1232" t="s">
        <v>690</v>
      </c>
      <c r="C1232" s="1" t="s">
        <v>364</v>
      </c>
      <c r="D1232" s="1">
        <v>1.8969000000000001E-4</v>
      </c>
      <c r="E1232" s="1">
        <v>2.3499999999999999E-6</v>
      </c>
      <c r="F1232" s="1">
        <v>1.8969000000000001E-4</v>
      </c>
      <c r="G1232">
        <f t="shared" si="225"/>
        <v>8</v>
      </c>
      <c r="H1232" t="str">
        <f t="shared" ref="H1232:H1240" si="231">RIGHT(B1232,3)</f>
        <v>BTC</v>
      </c>
      <c r="I1232" t="str">
        <f>LEFT(B1232,5)</f>
        <v>MCOIN</v>
      </c>
      <c r="J1232" t="str">
        <f t="shared" si="226"/>
        <v>BTCMCOIN</v>
      </c>
      <c r="K1232" t="str">
        <f t="shared" si="227"/>
        <v>MCOINBTC</v>
      </c>
      <c r="L1232">
        <f t="shared" si="228"/>
        <v>0</v>
      </c>
      <c r="M1232">
        <f t="shared" si="229"/>
        <v>1</v>
      </c>
      <c r="N1232" t="b">
        <f t="shared" si="230"/>
        <v>1</v>
      </c>
    </row>
    <row r="1233" spans="1:14" hidden="1" x14ac:dyDescent="0.25">
      <c r="A1233" t="s">
        <v>1403</v>
      </c>
      <c r="B1233" t="s">
        <v>1814</v>
      </c>
      <c r="C1233" s="1">
        <v>0</v>
      </c>
      <c r="D1233" s="1">
        <v>0</v>
      </c>
      <c r="E1233" s="1">
        <v>498.99999999117898</v>
      </c>
      <c r="F1233" s="1">
        <v>5.00001E-3</v>
      </c>
      <c r="G1233">
        <f t="shared" si="225"/>
        <v>6</v>
      </c>
      <c r="H1233" t="str">
        <f t="shared" si="231"/>
        <v>LTC</v>
      </c>
      <c r="I1233" t="str">
        <f>LEFT(B1233,3)</f>
        <v>MCO</v>
      </c>
      <c r="J1233" t="str">
        <f t="shared" si="226"/>
        <v>LTCMCO</v>
      </c>
      <c r="K1233" t="str">
        <f t="shared" si="227"/>
        <v>MCOLTC</v>
      </c>
      <c r="L1233">
        <f t="shared" si="228"/>
        <v>0</v>
      </c>
      <c r="M1233">
        <f t="shared" si="229"/>
        <v>1</v>
      </c>
      <c r="N1233" t="b">
        <f t="shared" si="230"/>
        <v>1</v>
      </c>
    </row>
    <row r="1234" spans="1:14" hidden="1" x14ac:dyDescent="0.25">
      <c r="A1234" t="s">
        <v>1403</v>
      </c>
      <c r="B1234" t="s">
        <v>1629</v>
      </c>
      <c r="C1234" s="1">
        <v>5.5</v>
      </c>
      <c r="D1234" s="1">
        <v>5.5</v>
      </c>
      <c r="E1234" s="1">
        <v>9</v>
      </c>
      <c r="F1234" s="1">
        <v>2.5499999999999998</v>
      </c>
      <c r="G1234">
        <f t="shared" si="225"/>
        <v>6</v>
      </c>
      <c r="H1234" t="str">
        <f t="shared" si="231"/>
        <v>USD</v>
      </c>
      <c r="I1234" t="str">
        <f>LEFT(B1234,3)</f>
        <v>MCO</v>
      </c>
      <c r="J1234" t="str">
        <f t="shared" si="226"/>
        <v>USDMCO</v>
      </c>
      <c r="K1234" t="str">
        <f t="shared" si="227"/>
        <v>MCOUSD</v>
      </c>
      <c r="L1234">
        <f t="shared" si="228"/>
        <v>0</v>
      </c>
      <c r="M1234">
        <f t="shared" si="229"/>
        <v>1</v>
      </c>
      <c r="N1234" t="b">
        <f t="shared" si="230"/>
        <v>1</v>
      </c>
    </row>
    <row r="1235" spans="1:14" hidden="1" x14ac:dyDescent="0.25">
      <c r="A1235" t="s">
        <v>5</v>
      </c>
      <c r="B1235" t="s">
        <v>383</v>
      </c>
      <c r="C1235" s="1" t="s">
        <v>381</v>
      </c>
      <c r="D1235" s="1" t="s">
        <v>384</v>
      </c>
      <c r="E1235" s="1" t="s">
        <v>381</v>
      </c>
      <c r="F1235" s="1" t="s">
        <v>384</v>
      </c>
      <c r="G1235">
        <f t="shared" si="225"/>
        <v>7</v>
      </c>
      <c r="H1235" t="str">
        <f t="shared" si="231"/>
        <v>BTC</v>
      </c>
      <c r="I1235" t="str">
        <f>LEFT(B1235,4)</f>
        <v>MCRN</v>
      </c>
      <c r="J1235" t="str">
        <f t="shared" si="226"/>
        <v>BTCMCRN</v>
      </c>
      <c r="K1235" t="str">
        <f t="shared" si="227"/>
        <v>MCRNBTC</v>
      </c>
      <c r="L1235">
        <f t="shared" si="228"/>
        <v>0</v>
      </c>
      <c r="M1235">
        <f t="shared" si="229"/>
        <v>1</v>
      </c>
      <c r="N1235" t="b">
        <f t="shared" si="230"/>
        <v>1</v>
      </c>
    </row>
    <row r="1236" spans="1:14" hidden="1" x14ac:dyDescent="0.25">
      <c r="A1236" t="s">
        <v>5</v>
      </c>
      <c r="B1236" t="s">
        <v>1072</v>
      </c>
      <c r="C1236" s="1">
        <v>1.1599999999999999E-6</v>
      </c>
      <c r="D1236" s="1">
        <v>8.8000000000000004E-7</v>
      </c>
      <c r="E1236" s="1">
        <v>1.1599999999999999E-6</v>
      </c>
      <c r="F1236" s="1">
        <v>8.8000000000000004E-7</v>
      </c>
      <c r="G1236">
        <f t="shared" si="225"/>
        <v>6</v>
      </c>
      <c r="H1236" t="str">
        <f t="shared" si="231"/>
        <v>BTC</v>
      </c>
      <c r="I1236" t="str">
        <f>LEFT(B1236,3)</f>
        <v>MDT</v>
      </c>
      <c r="J1236" t="str">
        <f t="shared" si="226"/>
        <v>BTCMDT</v>
      </c>
      <c r="K1236" t="str">
        <f t="shared" si="227"/>
        <v>MDTBTC</v>
      </c>
      <c r="L1236">
        <f t="shared" si="228"/>
        <v>0</v>
      </c>
      <c r="M1236">
        <f t="shared" si="229"/>
        <v>1</v>
      </c>
      <c r="N1236" t="b">
        <f t="shared" si="230"/>
        <v>1</v>
      </c>
    </row>
    <row r="1237" spans="1:14" hidden="1" x14ac:dyDescent="0.25">
      <c r="A1237" t="s">
        <v>5</v>
      </c>
      <c r="B1237" t="s">
        <v>879</v>
      </c>
      <c r="C1237" s="1">
        <v>3.3000000000000002E-7</v>
      </c>
      <c r="D1237" s="1">
        <v>2.4999999999999999E-7</v>
      </c>
      <c r="E1237" s="1">
        <v>3.3000000000000002E-7</v>
      </c>
      <c r="F1237" s="1">
        <v>2.4999999999999999E-7</v>
      </c>
      <c r="G1237">
        <f t="shared" si="225"/>
        <v>9</v>
      </c>
      <c r="H1237" t="str">
        <f t="shared" si="231"/>
        <v>BTC</v>
      </c>
      <c r="I1237" t="str">
        <f>LEFT(B1237,6)</f>
        <v>MENTAL</v>
      </c>
      <c r="J1237" t="str">
        <f t="shared" si="226"/>
        <v>BTCMENTAL</v>
      </c>
      <c r="K1237" t="str">
        <f t="shared" si="227"/>
        <v>MENTALBTC</v>
      </c>
      <c r="L1237">
        <f t="shared" si="228"/>
        <v>0</v>
      </c>
      <c r="M1237">
        <f t="shared" si="229"/>
        <v>1</v>
      </c>
      <c r="N1237" t="b">
        <f t="shared" si="230"/>
        <v>1</v>
      </c>
    </row>
    <row r="1238" spans="1:14" hidden="1" x14ac:dyDescent="0.25">
      <c r="A1238" t="s">
        <v>5</v>
      </c>
      <c r="B1238" t="s">
        <v>417</v>
      </c>
      <c r="C1238" s="1">
        <v>3.4700000000000003E-5</v>
      </c>
      <c r="D1238" s="1">
        <v>2.9249999999999999E-5</v>
      </c>
      <c r="E1238" s="1">
        <v>3.4700000000000003E-5</v>
      </c>
      <c r="F1238" s="1">
        <v>2.9249999999999999E-5</v>
      </c>
      <c r="G1238">
        <f t="shared" si="225"/>
        <v>9</v>
      </c>
      <c r="H1238" t="str">
        <f t="shared" si="231"/>
        <v>BTC</v>
      </c>
      <c r="I1238" t="str">
        <f>LEFT(B1238,6)</f>
        <v>MERGEC</v>
      </c>
      <c r="J1238" t="str">
        <f t="shared" si="226"/>
        <v>BTCMERGEC</v>
      </c>
      <c r="K1238" t="str">
        <f t="shared" si="227"/>
        <v>MERGECBTC</v>
      </c>
      <c r="L1238">
        <f t="shared" si="228"/>
        <v>0</v>
      </c>
      <c r="M1238">
        <f t="shared" si="229"/>
        <v>1</v>
      </c>
      <c r="N1238" t="b">
        <f t="shared" si="230"/>
        <v>1</v>
      </c>
    </row>
    <row r="1239" spans="1:14" hidden="1" x14ac:dyDescent="0.25">
      <c r="A1239" t="s">
        <v>5</v>
      </c>
      <c r="B1239" t="s">
        <v>712</v>
      </c>
      <c r="C1239" s="1">
        <v>1.1000000000000001E-6</v>
      </c>
      <c r="D1239" s="1">
        <v>7.8000000000000005E-7</v>
      </c>
      <c r="E1239" s="1">
        <v>1.1000000000000001E-6</v>
      </c>
      <c r="F1239" s="1">
        <v>7.8000000000000005E-7</v>
      </c>
      <c r="G1239">
        <f t="shared" si="225"/>
        <v>8</v>
      </c>
      <c r="H1239" t="str">
        <f t="shared" si="231"/>
        <v>BTC</v>
      </c>
      <c r="I1239" t="str">
        <f>LEFT(B1239,5)</f>
        <v>METAL</v>
      </c>
      <c r="J1239" t="str">
        <f t="shared" si="226"/>
        <v>BTCMETAL</v>
      </c>
      <c r="K1239" t="str">
        <f t="shared" si="227"/>
        <v>METALBTC</v>
      </c>
      <c r="L1239">
        <f t="shared" si="228"/>
        <v>0</v>
      </c>
      <c r="M1239">
        <f t="shared" si="229"/>
        <v>1</v>
      </c>
      <c r="N1239" t="b">
        <f t="shared" si="230"/>
        <v>1</v>
      </c>
    </row>
    <row r="1240" spans="1:14" hidden="1" x14ac:dyDescent="0.25">
      <c r="A1240" t="s">
        <v>1403</v>
      </c>
      <c r="B1240" t="s">
        <v>1476</v>
      </c>
      <c r="C1240" s="1">
        <v>1.8E-7</v>
      </c>
      <c r="D1240" s="1">
        <v>1.8E-7</v>
      </c>
      <c r="E1240" s="1">
        <v>1.9000000000000001E-7</v>
      </c>
      <c r="F1240" s="1">
        <v>1.6E-7</v>
      </c>
      <c r="G1240">
        <f t="shared" si="225"/>
        <v>5</v>
      </c>
      <c r="H1240" t="str">
        <f t="shared" si="231"/>
        <v>BTC</v>
      </c>
      <c r="I1240" t="str">
        <f>LEFT(B1240,2)</f>
        <v>MI</v>
      </c>
      <c r="J1240" t="str">
        <f t="shared" si="226"/>
        <v>BTCMI</v>
      </c>
      <c r="K1240" t="str">
        <f t="shared" si="227"/>
        <v>MIBTC</v>
      </c>
      <c r="L1240">
        <f t="shared" si="228"/>
        <v>0</v>
      </c>
      <c r="M1240">
        <f t="shared" si="229"/>
        <v>1</v>
      </c>
      <c r="N1240" t="b">
        <f t="shared" si="230"/>
        <v>1</v>
      </c>
    </row>
    <row r="1241" spans="1:14" hidden="1" x14ac:dyDescent="0.25">
      <c r="A1241" t="s">
        <v>1403</v>
      </c>
      <c r="B1241" t="s">
        <v>2007</v>
      </c>
      <c r="C1241" s="1">
        <v>0.31882549999999998</v>
      </c>
      <c r="D1241" s="1">
        <v>2.887</v>
      </c>
      <c r="E1241" s="1">
        <v>2.887</v>
      </c>
      <c r="F1241" s="1">
        <v>1.025118E-2</v>
      </c>
      <c r="G1241">
        <f t="shared" si="225"/>
        <v>6</v>
      </c>
      <c r="H1241" t="str">
        <f>RIGHT(B1241,4)</f>
        <v>DOGE</v>
      </c>
      <c r="I1241" t="str">
        <f>LEFT(B1241,2)</f>
        <v>MI</v>
      </c>
      <c r="J1241" t="str">
        <f t="shared" si="226"/>
        <v>DOGEMI</v>
      </c>
      <c r="K1241" t="str">
        <f t="shared" si="227"/>
        <v>MIDOGE</v>
      </c>
      <c r="L1241">
        <f t="shared" si="228"/>
        <v>0</v>
      </c>
      <c r="M1241">
        <f t="shared" si="229"/>
        <v>1</v>
      </c>
      <c r="N1241" t="b">
        <f t="shared" si="230"/>
        <v>1</v>
      </c>
    </row>
    <row r="1242" spans="1:14" hidden="1" x14ac:dyDescent="0.25">
      <c r="A1242" t="s">
        <v>5</v>
      </c>
      <c r="B1242" t="s">
        <v>770</v>
      </c>
      <c r="C1242" s="1">
        <v>1.4899999999999999E-6</v>
      </c>
      <c r="D1242" s="1">
        <v>1.1799999999999999E-6</v>
      </c>
      <c r="E1242" s="1">
        <v>1.4899999999999999E-6</v>
      </c>
      <c r="F1242" s="1">
        <v>1.1799999999999999E-6</v>
      </c>
      <c r="G1242">
        <f t="shared" si="225"/>
        <v>7</v>
      </c>
      <c r="H1242" t="str">
        <f>RIGHT(B1242,3)</f>
        <v>BTC</v>
      </c>
      <c r="I1242" t="str">
        <f>LEFT(B1242,4)</f>
        <v>MILO</v>
      </c>
      <c r="J1242" t="str">
        <f t="shared" si="226"/>
        <v>BTCMILO</v>
      </c>
      <c r="K1242" t="str">
        <f t="shared" si="227"/>
        <v>MILOBTC</v>
      </c>
      <c r="L1242">
        <f t="shared" si="228"/>
        <v>0</v>
      </c>
      <c r="M1242">
        <f t="shared" si="229"/>
        <v>1</v>
      </c>
      <c r="N1242" t="b">
        <f t="shared" si="230"/>
        <v>1</v>
      </c>
    </row>
    <row r="1243" spans="1:14" hidden="1" x14ac:dyDescent="0.25">
      <c r="A1243" t="s">
        <v>1403</v>
      </c>
      <c r="B1243" t="s">
        <v>1815</v>
      </c>
      <c r="C1243" s="1">
        <v>1.0100000000000001E-6</v>
      </c>
      <c r="D1243" s="1">
        <v>1.1407E-4</v>
      </c>
      <c r="E1243" s="1">
        <v>6.8000000000000005E-4</v>
      </c>
      <c r="F1243" s="1">
        <v>4.07E-6</v>
      </c>
      <c r="G1243">
        <f t="shared" si="225"/>
        <v>5</v>
      </c>
      <c r="H1243" t="str">
        <f>RIGHT(B1243,3)</f>
        <v>LTC</v>
      </c>
      <c r="I1243" t="str">
        <f>LEFT(B1243,2)</f>
        <v>MI</v>
      </c>
      <c r="J1243" t="str">
        <f t="shared" si="226"/>
        <v>LTCMI</v>
      </c>
      <c r="K1243" t="str">
        <f t="shared" si="227"/>
        <v>MILTC</v>
      </c>
      <c r="L1243">
        <f t="shared" si="228"/>
        <v>0</v>
      </c>
      <c r="M1243">
        <f t="shared" si="229"/>
        <v>1</v>
      </c>
      <c r="N1243" t="b">
        <f t="shared" si="230"/>
        <v>1</v>
      </c>
    </row>
    <row r="1244" spans="1:14" hidden="1" x14ac:dyDescent="0.25">
      <c r="A1244" t="s">
        <v>5</v>
      </c>
      <c r="B1244" t="s">
        <v>1213</v>
      </c>
      <c r="C1244" s="1">
        <v>9.2099999999999999E-6</v>
      </c>
      <c r="D1244" s="1">
        <v>5.1000000000000003E-6</v>
      </c>
      <c r="E1244" s="1">
        <v>9.2099999999999999E-6</v>
      </c>
      <c r="F1244" s="1">
        <v>5.1000000000000003E-6</v>
      </c>
      <c r="G1244">
        <f t="shared" si="225"/>
        <v>6</v>
      </c>
      <c r="H1244" t="str">
        <f>RIGHT(B1244,3)</f>
        <v>BTC</v>
      </c>
      <c r="I1244" t="str">
        <f>LEFT(B1244,3)</f>
        <v>MIS</v>
      </c>
      <c r="J1244" t="str">
        <f t="shared" si="226"/>
        <v>BTCMIS</v>
      </c>
      <c r="K1244" t="str">
        <f t="shared" si="227"/>
        <v>MISBTC</v>
      </c>
      <c r="L1244">
        <f t="shared" si="228"/>
        <v>0</v>
      </c>
      <c r="M1244">
        <f t="shared" si="229"/>
        <v>1</v>
      </c>
      <c r="N1244" t="b">
        <f t="shared" si="230"/>
        <v>1</v>
      </c>
    </row>
    <row r="1245" spans="1:14" hidden="1" x14ac:dyDescent="0.25">
      <c r="A1245" t="s">
        <v>1403</v>
      </c>
      <c r="B1245" t="s">
        <v>1477</v>
      </c>
      <c r="C1245" s="1">
        <v>5.6000000000000004E-7</v>
      </c>
      <c r="D1245" s="1">
        <v>7.1999999999999999E-7</v>
      </c>
      <c r="E1245" s="1">
        <v>7.0999999999999998E-7</v>
      </c>
      <c r="F1245" s="1">
        <v>5.6000000000000004E-7</v>
      </c>
      <c r="G1245">
        <f t="shared" si="225"/>
        <v>6</v>
      </c>
      <c r="H1245" t="str">
        <f>RIGHT(B1245,3)</f>
        <v>BTC</v>
      </c>
      <c r="I1245" t="str">
        <f>LEFT(B1245,3)</f>
        <v>MIU</v>
      </c>
      <c r="J1245" t="str">
        <f t="shared" si="226"/>
        <v>BTCMIU</v>
      </c>
      <c r="K1245" t="str">
        <f t="shared" si="227"/>
        <v>MIUBTC</v>
      </c>
      <c r="L1245">
        <f t="shared" si="228"/>
        <v>0</v>
      </c>
      <c r="M1245">
        <f t="shared" si="229"/>
        <v>1</v>
      </c>
      <c r="N1245" t="b">
        <f t="shared" si="230"/>
        <v>1</v>
      </c>
    </row>
    <row r="1246" spans="1:14" hidden="1" x14ac:dyDescent="0.25">
      <c r="A1246" t="s">
        <v>1403</v>
      </c>
      <c r="B1246" t="s">
        <v>2008</v>
      </c>
      <c r="C1246" s="1">
        <v>9.4131775500000003</v>
      </c>
      <c r="D1246" s="1">
        <v>9.4131775500000003</v>
      </c>
      <c r="E1246" s="1">
        <v>9.4131775399999995</v>
      </c>
      <c r="F1246" s="1">
        <v>0.13000001999999999</v>
      </c>
      <c r="G1246">
        <f t="shared" si="225"/>
        <v>7</v>
      </c>
      <c r="H1246" t="str">
        <f>RIGHT(B1246,4)</f>
        <v>DOGE</v>
      </c>
      <c r="I1246" t="str">
        <f>LEFT(B1246,3)</f>
        <v>MIU</v>
      </c>
      <c r="J1246" t="str">
        <f t="shared" si="226"/>
        <v>DOGEMIU</v>
      </c>
      <c r="K1246" t="str">
        <f t="shared" si="227"/>
        <v>MIUDOGE</v>
      </c>
      <c r="L1246">
        <f t="shared" si="228"/>
        <v>0</v>
      </c>
      <c r="M1246">
        <f t="shared" si="229"/>
        <v>1</v>
      </c>
      <c r="N1246" t="b">
        <f t="shared" si="230"/>
        <v>1</v>
      </c>
    </row>
    <row r="1247" spans="1:14" hidden="1" x14ac:dyDescent="0.25">
      <c r="A1247" t="s">
        <v>1403</v>
      </c>
      <c r="B1247" t="s">
        <v>1816</v>
      </c>
      <c r="C1247" s="1">
        <v>0</v>
      </c>
      <c r="D1247" s="1">
        <v>0</v>
      </c>
      <c r="E1247" s="1">
        <v>2.6599700000000002E-3</v>
      </c>
      <c r="F1247" s="1">
        <v>1.1999999999999999E-7</v>
      </c>
      <c r="G1247">
        <f t="shared" si="225"/>
        <v>6</v>
      </c>
      <c r="H1247" t="str">
        <f t="shared" ref="H1247:H1258" si="232">RIGHT(B1247,3)</f>
        <v>LTC</v>
      </c>
      <c r="I1247" t="str">
        <f>LEFT(B1247,3)</f>
        <v>MIU</v>
      </c>
      <c r="J1247" t="str">
        <f t="shared" si="226"/>
        <v>LTCMIU</v>
      </c>
      <c r="K1247" t="str">
        <f t="shared" si="227"/>
        <v>MIULTC</v>
      </c>
      <c r="L1247">
        <f t="shared" si="228"/>
        <v>0</v>
      </c>
      <c r="M1247">
        <f t="shared" si="229"/>
        <v>1</v>
      </c>
      <c r="N1247" t="b">
        <f t="shared" si="230"/>
        <v>1</v>
      </c>
    </row>
    <row r="1248" spans="1:14" hidden="1" x14ac:dyDescent="0.25">
      <c r="A1248" t="s">
        <v>1403</v>
      </c>
      <c r="B1248" t="s">
        <v>1630</v>
      </c>
      <c r="C1248" s="1">
        <v>2.3010000000000002E-5</v>
      </c>
      <c r="D1248" s="1">
        <v>1.1379999999999999E-3</v>
      </c>
      <c r="E1248" s="1">
        <v>1.1379999999999999E-3</v>
      </c>
      <c r="F1248" s="1">
        <v>9.1000000000000003E-5</v>
      </c>
      <c r="G1248">
        <f t="shared" si="225"/>
        <v>5</v>
      </c>
      <c r="H1248" t="str">
        <f t="shared" si="232"/>
        <v>USD</v>
      </c>
      <c r="I1248" t="str">
        <f>LEFT(B1248,2)</f>
        <v>MI</v>
      </c>
      <c r="J1248" t="str">
        <f t="shared" si="226"/>
        <v>USDMI</v>
      </c>
      <c r="K1248" t="str">
        <f t="shared" si="227"/>
        <v>MIUSD</v>
      </c>
      <c r="L1248">
        <f t="shared" si="228"/>
        <v>0</v>
      </c>
      <c r="M1248">
        <f t="shared" si="229"/>
        <v>1</v>
      </c>
      <c r="N1248" t="b">
        <f t="shared" si="230"/>
        <v>1</v>
      </c>
    </row>
    <row r="1249" spans="1:14" hidden="1" x14ac:dyDescent="0.25">
      <c r="A1249" t="s">
        <v>1403</v>
      </c>
      <c r="B1249" t="s">
        <v>1631</v>
      </c>
      <c r="C1249" s="1">
        <v>3.16274E-2</v>
      </c>
      <c r="D1249" s="1">
        <v>3.16274E-2</v>
      </c>
      <c r="E1249" s="1">
        <v>3.1499920000000001E-2</v>
      </c>
      <c r="F1249" s="1">
        <v>3.0102999999999998E-4</v>
      </c>
      <c r="G1249">
        <f t="shared" si="225"/>
        <v>6</v>
      </c>
      <c r="H1249" t="str">
        <f t="shared" si="232"/>
        <v>USD</v>
      </c>
      <c r="I1249" t="str">
        <f>LEFT(B1249,3)</f>
        <v>MIU</v>
      </c>
      <c r="J1249" t="str">
        <f t="shared" si="226"/>
        <v>USDMIU</v>
      </c>
      <c r="K1249" t="str">
        <f t="shared" si="227"/>
        <v>MIUUSD</v>
      </c>
      <c r="L1249">
        <f t="shared" si="228"/>
        <v>0</v>
      </c>
      <c r="M1249">
        <f t="shared" si="229"/>
        <v>1</v>
      </c>
      <c r="N1249" t="b">
        <f t="shared" si="230"/>
        <v>1</v>
      </c>
    </row>
    <row r="1250" spans="1:14" hidden="1" x14ac:dyDescent="0.25">
      <c r="A1250" t="s">
        <v>5</v>
      </c>
      <c r="B1250" t="s">
        <v>1172</v>
      </c>
      <c r="C1250" s="1" t="s">
        <v>384</v>
      </c>
      <c r="D1250" s="1" t="s">
        <v>361</v>
      </c>
      <c r="E1250" s="1" t="s">
        <v>384</v>
      </c>
      <c r="F1250" s="1" t="s">
        <v>361</v>
      </c>
      <c r="G1250">
        <f t="shared" si="225"/>
        <v>8</v>
      </c>
      <c r="H1250" t="str">
        <f t="shared" si="232"/>
        <v>BTC</v>
      </c>
      <c r="I1250" t="str">
        <f>LEFT(B1250,5)</f>
        <v>MLITE</v>
      </c>
      <c r="J1250" t="str">
        <f t="shared" si="226"/>
        <v>BTCMLITE</v>
      </c>
      <c r="K1250" t="str">
        <f t="shared" si="227"/>
        <v>MLITEBTC</v>
      </c>
      <c r="L1250">
        <f t="shared" si="228"/>
        <v>0</v>
      </c>
      <c r="M1250">
        <f t="shared" si="229"/>
        <v>1</v>
      </c>
      <c r="N1250" t="b">
        <f t="shared" si="230"/>
        <v>1</v>
      </c>
    </row>
    <row r="1251" spans="1:14" hidden="1" x14ac:dyDescent="0.25">
      <c r="A1251" t="s">
        <v>5</v>
      </c>
      <c r="B1251" t="s">
        <v>631</v>
      </c>
      <c r="C1251" s="1" t="s">
        <v>361</v>
      </c>
      <c r="D1251" s="1" t="s">
        <v>364</v>
      </c>
      <c r="E1251" s="1" t="s">
        <v>361</v>
      </c>
      <c r="F1251" s="1">
        <v>3.0900000000000001E-6</v>
      </c>
      <c r="G1251">
        <f t="shared" si="225"/>
        <v>7</v>
      </c>
      <c r="H1251" t="str">
        <f t="shared" si="232"/>
        <v>BTC</v>
      </c>
      <c r="I1251" t="str">
        <f>LEFT(B1251,4)</f>
        <v>MLNC</v>
      </c>
      <c r="J1251" t="str">
        <f t="shared" si="226"/>
        <v>BTCMLNC</v>
      </c>
      <c r="K1251" t="str">
        <f t="shared" si="227"/>
        <v>MLNCBTC</v>
      </c>
      <c r="L1251">
        <f t="shared" si="228"/>
        <v>0</v>
      </c>
      <c r="M1251">
        <f t="shared" si="229"/>
        <v>1</v>
      </c>
      <c r="N1251" t="b">
        <f t="shared" si="230"/>
        <v>1</v>
      </c>
    </row>
    <row r="1252" spans="1:14" hidden="1" x14ac:dyDescent="0.25">
      <c r="A1252" t="s">
        <v>3</v>
      </c>
      <c r="B1252" t="s">
        <v>267</v>
      </c>
      <c r="C1252" s="1">
        <v>0.24434</v>
      </c>
      <c r="D1252" s="1">
        <v>0.24024000000000001</v>
      </c>
      <c r="E1252" s="1">
        <v>0.24432999999999999</v>
      </c>
      <c r="F1252" s="1">
        <v>0.24127999999999999</v>
      </c>
      <c r="G1252">
        <f t="shared" si="225"/>
        <v>6</v>
      </c>
      <c r="H1252" t="str">
        <f t="shared" si="232"/>
        <v>ETH</v>
      </c>
      <c r="I1252" t="str">
        <f>LEFT(B1252,3)</f>
        <v>MLN</v>
      </c>
      <c r="J1252" t="str">
        <f t="shared" si="226"/>
        <v>ETHMLN</v>
      </c>
      <c r="K1252" t="str">
        <f t="shared" si="227"/>
        <v>MLNETH</v>
      </c>
      <c r="L1252">
        <f t="shared" si="228"/>
        <v>0</v>
      </c>
      <c r="M1252">
        <f t="shared" si="229"/>
        <v>1</v>
      </c>
      <c r="N1252" t="b">
        <f t="shared" si="230"/>
        <v>1</v>
      </c>
    </row>
    <row r="1253" spans="1:14" hidden="1" x14ac:dyDescent="0.25">
      <c r="A1253" t="s">
        <v>5</v>
      </c>
      <c r="B1253" t="s">
        <v>416</v>
      </c>
      <c r="C1253" s="1">
        <v>1.4999999999999999E-7</v>
      </c>
      <c r="D1253" s="1">
        <v>1.4000000000000001E-7</v>
      </c>
      <c r="E1253" s="1">
        <v>1.4999999999999999E-7</v>
      </c>
      <c r="F1253" s="1">
        <v>1.4000000000000001E-7</v>
      </c>
      <c r="G1253">
        <f t="shared" si="225"/>
        <v>5</v>
      </c>
      <c r="H1253" t="str">
        <f t="shared" si="232"/>
        <v>BTC</v>
      </c>
      <c r="I1253" t="str">
        <f>LEFT(B1253,2)</f>
        <v>MM</v>
      </c>
      <c r="J1253" t="str">
        <f t="shared" si="226"/>
        <v>BTCMM</v>
      </c>
      <c r="K1253" t="str">
        <f t="shared" si="227"/>
        <v>MMBTC</v>
      </c>
      <c r="L1253">
        <f t="shared" si="228"/>
        <v>0</v>
      </c>
      <c r="M1253">
        <f t="shared" si="229"/>
        <v>1</v>
      </c>
      <c r="N1253" t="b">
        <f t="shared" si="230"/>
        <v>1</v>
      </c>
    </row>
    <row r="1254" spans="1:14" hidden="1" x14ac:dyDescent="0.25">
      <c r="A1254" t="s">
        <v>5</v>
      </c>
      <c r="B1254" t="s">
        <v>1073</v>
      </c>
      <c r="C1254" s="1">
        <v>1.1400000000000001E-6</v>
      </c>
      <c r="D1254" s="1">
        <v>7.6000000000000003E-7</v>
      </c>
      <c r="E1254" s="1">
        <v>1.1400000000000001E-6</v>
      </c>
      <c r="F1254" s="1">
        <v>7.6000000000000003E-7</v>
      </c>
      <c r="G1254">
        <f t="shared" si="225"/>
        <v>8</v>
      </c>
      <c r="H1254" t="str">
        <f t="shared" si="232"/>
        <v>BTC</v>
      </c>
      <c r="I1254" t="str">
        <f>LEFT(B1254,5)</f>
        <v>MMXVI</v>
      </c>
      <c r="J1254" t="str">
        <f t="shared" si="226"/>
        <v>BTCMMXVI</v>
      </c>
      <c r="K1254" t="str">
        <f t="shared" si="227"/>
        <v>MMXVIBTC</v>
      </c>
      <c r="L1254">
        <f t="shared" si="228"/>
        <v>0</v>
      </c>
      <c r="M1254">
        <f t="shared" si="229"/>
        <v>1</v>
      </c>
      <c r="N1254" t="b">
        <f t="shared" si="230"/>
        <v>1</v>
      </c>
    </row>
    <row r="1255" spans="1:14" hidden="1" x14ac:dyDescent="0.25">
      <c r="A1255" t="s">
        <v>5</v>
      </c>
      <c r="B1255" t="s">
        <v>372</v>
      </c>
      <c r="C1255" s="1">
        <v>7.7000000000000004E-7</v>
      </c>
      <c r="D1255" s="1">
        <v>7.0999999999999998E-7</v>
      </c>
      <c r="E1255" s="1">
        <v>7.7000000000000004E-7</v>
      </c>
      <c r="F1255" s="1">
        <v>7.0999999999999998E-7</v>
      </c>
      <c r="G1255">
        <f t="shared" si="225"/>
        <v>6</v>
      </c>
      <c r="H1255" t="str">
        <f t="shared" si="232"/>
        <v>BTC</v>
      </c>
      <c r="I1255" t="str">
        <f>LEFT(B1255,3)</f>
        <v>MND</v>
      </c>
      <c r="J1255" t="str">
        <f t="shared" si="226"/>
        <v>BTCMND</v>
      </c>
      <c r="K1255" t="str">
        <f t="shared" si="227"/>
        <v>MNDBTC</v>
      </c>
      <c r="L1255">
        <f t="shared" si="228"/>
        <v>0</v>
      </c>
      <c r="M1255">
        <f t="shared" si="229"/>
        <v>1</v>
      </c>
      <c r="N1255" t="b">
        <f t="shared" si="230"/>
        <v>1</v>
      </c>
    </row>
    <row r="1256" spans="1:14" hidden="1" x14ac:dyDescent="0.25">
      <c r="A1256" t="s">
        <v>1239</v>
      </c>
      <c r="B1256" t="s">
        <v>1370</v>
      </c>
      <c r="C1256" s="1">
        <v>3.9899999999999996E-3</v>
      </c>
      <c r="D1256" s="1">
        <v>3.8800200000000001E-3</v>
      </c>
      <c r="E1256" s="1">
        <v>3.9899999999999996E-3</v>
      </c>
      <c r="F1256" s="1">
        <v>3.8800200000000001E-3</v>
      </c>
      <c r="G1256">
        <f t="shared" si="225"/>
        <v>6</v>
      </c>
      <c r="H1256" t="str">
        <f t="shared" si="232"/>
        <v>BTC</v>
      </c>
      <c r="I1256" t="str">
        <f>LEFT(B1256,3)</f>
        <v>MNE</v>
      </c>
      <c r="J1256" t="str">
        <f t="shared" si="226"/>
        <v>BTCMNE</v>
      </c>
      <c r="K1256" t="str">
        <f t="shared" si="227"/>
        <v>MNEBTC</v>
      </c>
      <c r="L1256">
        <f t="shared" si="228"/>
        <v>0</v>
      </c>
      <c r="M1256">
        <f t="shared" si="229"/>
        <v>1</v>
      </c>
      <c r="N1256" t="b">
        <f t="shared" si="230"/>
        <v>1</v>
      </c>
    </row>
    <row r="1257" spans="1:14" hidden="1" x14ac:dyDescent="0.25">
      <c r="A1257" t="s">
        <v>1239</v>
      </c>
      <c r="B1257" t="s">
        <v>1371</v>
      </c>
      <c r="C1257" s="1">
        <v>3.0999200000000001E-2</v>
      </c>
      <c r="D1257" s="1">
        <v>2.555E-2</v>
      </c>
      <c r="E1257" s="1">
        <v>3.0999200000000001E-2</v>
      </c>
      <c r="F1257" s="1">
        <v>2.555E-2</v>
      </c>
      <c r="G1257">
        <f t="shared" si="225"/>
        <v>6</v>
      </c>
      <c r="H1257" t="str">
        <f t="shared" si="232"/>
        <v>ETH</v>
      </c>
      <c r="I1257" t="str">
        <f>LEFT(B1257,3)</f>
        <v>MNE</v>
      </c>
      <c r="J1257" t="str">
        <f t="shared" si="226"/>
        <v>ETHMNE</v>
      </c>
      <c r="K1257" t="str">
        <f t="shared" si="227"/>
        <v>MNEETH</v>
      </c>
      <c r="L1257">
        <f t="shared" si="228"/>
        <v>0</v>
      </c>
      <c r="M1257">
        <f t="shared" si="229"/>
        <v>1</v>
      </c>
      <c r="N1257" t="b">
        <f t="shared" si="230"/>
        <v>1</v>
      </c>
    </row>
    <row r="1258" spans="1:14" hidden="1" x14ac:dyDescent="0.25">
      <c r="A1258" t="s">
        <v>5</v>
      </c>
      <c r="B1258" t="s">
        <v>563</v>
      </c>
      <c r="C1258" s="1">
        <v>1.8870000000000001E-5</v>
      </c>
      <c r="D1258" s="1">
        <v>1.8499999999999999E-5</v>
      </c>
      <c r="E1258" s="1">
        <v>1.8870000000000001E-5</v>
      </c>
      <c r="F1258" s="1">
        <v>1.8499999999999999E-5</v>
      </c>
      <c r="G1258">
        <f t="shared" si="225"/>
        <v>6</v>
      </c>
      <c r="H1258" t="str">
        <f t="shared" si="232"/>
        <v>BTC</v>
      </c>
      <c r="I1258" t="str">
        <f>LEFT(B1258,3)</f>
        <v>MNM</v>
      </c>
      <c r="J1258" t="str">
        <f t="shared" si="226"/>
        <v>BTCMNM</v>
      </c>
      <c r="K1258" t="str">
        <f t="shared" si="227"/>
        <v>MNMBTC</v>
      </c>
      <c r="L1258">
        <f t="shared" si="228"/>
        <v>0</v>
      </c>
      <c r="M1258">
        <f t="shared" si="229"/>
        <v>1</v>
      </c>
      <c r="N1258" t="b">
        <f t="shared" si="230"/>
        <v>1</v>
      </c>
    </row>
    <row r="1259" spans="1:14" hidden="1" x14ac:dyDescent="0.25">
      <c r="A1259" t="s">
        <v>1403</v>
      </c>
      <c r="B1259" t="s">
        <v>2009</v>
      </c>
      <c r="C1259" s="1">
        <v>50</v>
      </c>
      <c r="D1259" s="1">
        <v>50</v>
      </c>
      <c r="E1259" s="1">
        <v>99.937828600000003</v>
      </c>
      <c r="F1259" s="1">
        <v>15.400000009999999</v>
      </c>
      <c r="G1259">
        <f t="shared" si="225"/>
        <v>8</v>
      </c>
      <c r="H1259" t="str">
        <f>RIGHT(B1259,4)</f>
        <v>DOGE</v>
      </c>
      <c r="I1259" t="str">
        <f>LEFT(B1259,4)</f>
        <v>MOIN</v>
      </c>
      <c r="J1259" t="str">
        <f t="shared" si="226"/>
        <v>DOGEMOIN</v>
      </c>
      <c r="K1259" t="str">
        <f t="shared" si="227"/>
        <v>MOINDOGE</v>
      </c>
      <c r="L1259">
        <f t="shared" si="228"/>
        <v>0</v>
      </c>
      <c r="M1259">
        <f t="shared" si="229"/>
        <v>1</v>
      </c>
      <c r="N1259" t="b">
        <f t="shared" si="230"/>
        <v>1</v>
      </c>
    </row>
    <row r="1260" spans="1:14" hidden="1" x14ac:dyDescent="0.25">
      <c r="A1260" t="s">
        <v>1403</v>
      </c>
      <c r="B1260" t="s">
        <v>1817</v>
      </c>
      <c r="C1260" s="1">
        <v>1.55898E-3</v>
      </c>
      <c r="D1260" s="1">
        <v>1.55898E-3</v>
      </c>
      <c r="E1260" s="1">
        <v>2.66420638</v>
      </c>
      <c r="F1260" s="1">
        <v>5.0000999999999995E-4</v>
      </c>
      <c r="G1260">
        <f t="shared" si="225"/>
        <v>7</v>
      </c>
      <c r="H1260" t="str">
        <f t="shared" ref="H1260:H1265" si="233">RIGHT(B1260,3)</f>
        <v>LTC</v>
      </c>
      <c r="I1260" t="str">
        <f>LEFT(B1260,4)</f>
        <v>MOIN</v>
      </c>
      <c r="J1260" t="str">
        <f t="shared" si="226"/>
        <v>LTCMOIN</v>
      </c>
      <c r="K1260" t="str">
        <f t="shared" si="227"/>
        <v>MOINLTC</v>
      </c>
      <c r="L1260">
        <f t="shared" si="228"/>
        <v>0</v>
      </c>
      <c r="M1260">
        <f t="shared" si="229"/>
        <v>1</v>
      </c>
      <c r="N1260" t="b">
        <f t="shared" si="230"/>
        <v>1</v>
      </c>
    </row>
    <row r="1261" spans="1:14" hidden="1" x14ac:dyDescent="0.25">
      <c r="A1261" t="s">
        <v>1403</v>
      </c>
      <c r="B1261" t="s">
        <v>1632</v>
      </c>
      <c r="C1261" s="1">
        <v>0.95</v>
      </c>
      <c r="D1261" s="1">
        <v>0.95</v>
      </c>
      <c r="E1261" s="1">
        <v>0.94999990000000001</v>
      </c>
      <c r="F1261" s="1">
        <v>5.4500010000000002E-2</v>
      </c>
      <c r="G1261">
        <f t="shared" si="225"/>
        <v>7</v>
      </c>
      <c r="H1261" t="str">
        <f t="shared" si="233"/>
        <v>USD</v>
      </c>
      <c r="I1261" t="str">
        <f>LEFT(B1261,4)</f>
        <v>MOIN</v>
      </c>
      <c r="J1261" t="str">
        <f t="shared" si="226"/>
        <v>USDMOIN</v>
      </c>
      <c r="K1261" t="str">
        <f t="shared" si="227"/>
        <v>MOINUSD</v>
      </c>
      <c r="L1261">
        <f t="shared" si="228"/>
        <v>0</v>
      </c>
      <c r="M1261">
        <f t="shared" si="229"/>
        <v>1</v>
      </c>
      <c r="N1261" t="b">
        <f t="shared" si="230"/>
        <v>1</v>
      </c>
    </row>
    <row r="1262" spans="1:14" hidden="1" x14ac:dyDescent="0.25">
      <c r="A1262" t="s">
        <v>5</v>
      </c>
      <c r="B1262" t="s">
        <v>842</v>
      </c>
      <c r="C1262" s="1" t="s">
        <v>540</v>
      </c>
      <c r="D1262" s="1" t="s">
        <v>435</v>
      </c>
      <c r="E1262" s="1" t="s">
        <v>540</v>
      </c>
      <c r="F1262" s="1" t="s">
        <v>435</v>
      </c>
      <c r="G1262">
        <f t="shared" si="225"/>
        <v>9</v>
      </c>
      <c r="H1262" t="str">
        <f t="shared" si="233"/>
        <v>BTC</v>
      </c>
      <c r="I1262" t="str">
        <f>LEFT(B1262,6)</f>
        <v>MONETA</v>
      </c>
      <c r="J1262" t="str">
        <f t="shared" si="226"/>
        <v>BTCMONETA</v>
      </c>
      <c r="K1262" t="str">
        <f t="shared" si="227"/>
        <v>MONETABTC</v>
      </c>
      <c r="L1262">
        <f t="shared" si="228"/>
        <v>0</v>
      </c>
      <c r="M1262">
        <f t="shared" si="229"/>
        <v>1</v>
      </c>
      <c r="N1262" t="b">
        <f t="shared" si="230"/>
        <v>1</v>
      </c>
    </row>
    <row r="1263" spans="1:14" hidden="1" x14ac:dyDescent="0.25">
      <c r="A1263" t="s">
        <v>5</v>
      </c>
      <c r="B1263" t="s">
        <v>998</v>
      </c>
      <c r="C1263" s="1" t="s">
        <v>384</v>
      </c>
      <c r="D1263" s="1" t="s">
        <v>361</v>
      </c>
      <c r="E1263" s="1" t="s">
        <v>384</v>
      </c>
      <c r="F1263" s="1" t="s">
        <v>361</v>
      </c>
      <c r="G1263">
        <f t="shared" si="225"/>
        <v>8</v>
      </c>
      <c r="H1263" t="str">
        <f t="shared" si="233"/>
        <v>BTC</v>
      </c>
      <c r="I1263" t="str">
        <f>LEFT(B1263,5)</f>
        <v>MONEY</v>
      </c>
      <c r="J1263" t="str">
        <f t="shared" si="226"/>
        <v>BTCMONEY</v>
      </c>
      <c r="K1263" t="str">
        <f t="shared" si="227"/>
        <v>MONEYBTC</v>
      </c>
      <c r="L1263">
        <f t="shared" si="228"/>
        <v>0</v>
      </c>
      <c r="M1263">
        <f t="shared" si="229"/>
        <v>1</v>
      </c>
      <c r="N1263" t="b">
        <f t="shared" si="230"/>
        <v>1</v>
      </c>
    </row>
    <row r="1264" spans="1:14" hidden="1" x14ac:dyDescent="0.25">
      <c r="A1264" t="s">
        <v>1403</v>
      </c>
      <c r="B1264" t="s">
        <v>1478</v>
      </c>
      <c r="C1264" s="1" t="s">
        <v>381</v>
      </c>
      <c r="D1264" s="1" t="s">
        <v>380</v>
      </c>
      <c r="E1264" s="1" t="s">
        <v>380</v>
      </c>
      <c r="F1264" s="1" t="s">
        <v>381</v>
      </c>
      <c r="G1264">
        <f t="shared" si="225"/>
        <v>7</v>
      </c>
      <c r="H1264" t="str">
        <f t="shared" si="233"/>
        <v>BTC</v>
      </c>
      <c r="I1264" t="str">
        <f>LEFT(B1264,4)</f>
        <v>MOON</v>
      </c>
      <c r="J1264" t="str">
        <f t="shared" si="226"/>
        <v>BTCMOON</v>
      </c>
      <c r="K1264" t="str">
        <f t="shared" si="227"/>
        <v>MOONBTC</v>
      </c>
      <c r="L1264">
        <f t="shared" si="228"/>
        <v>0</v>
      </c>
      <c r="M1264">
        <f t="shared" si="229"/>
        <v>1</v>
      </c>
      <c r="N1264" t="b">
        <f t="shared" si="230"/>
        <v>1</v>
      </c>
    </row>
    <row r="1265" spans="1:14" hidden="1" x14ac:dyDescent="0.25">
      <c r="A1265" t="s">
        <v>5</v>
      </c>
      <c r="B1265" t="s">
        <v>741</v>
      </c>
      <c r="C1265" s="1">
        <v>3.2000000000000001E-7</v>
      </c>
      <c r="D1265" s="1">
        <v>3.1E-7</v>
      </c>
      <c r="E1265" s="1">
        <v>3.2000000000000001E-7</v>
      </c>
      <c r="F1265" s="1">
        <v>3.1E-7</v>
      </c>
      <c r="G1265">
        <f t="shared" si="225"/>
        <v>8</v>
      </c>
      <c r="H1265" t="str">
        <f t="shared" si="233"/>
        <v>BTC</v>
      </c>
      <c r="I1265" t="str">
        <f>LEFT(B1265,5)</f>
        <v>MOOND</v>
      </c>
      <c r="J1265" t="str">
        <f t="shared" si="226"/>
        <v>BTCMOOND</v>
      </c>
      <c r="K1265" t="str">
        <f t="shared" si="227"/>
        <v>MOONDBTC</v>
      </c>
      <c r="L1265">
        <f t="shared" si="228"/>
        <v>0</v>
      </c>
      <c r="M1265">
        <f t="shared" si="229"/>
        <v>1</v>
      </c>
      <c r="N1265" t="b">
        <f t="shared" si="230"/>
        <v>1</v>
      </c>
    </row>
    <row r="1266" spans="1:14" hidden="1" x14ac:dyDescent="0.25">
      <c r="A1266" t="s">
        <v>1403</v>
      </c>
      <c r="B1266" t="s">
        <v>2010</v>
      </c>
      <c r="C1266" s="1">
        <v>5.1975E-2</v>
      </c>
      <c r="D1266" s="1">
        <v>5.1975E-2</v>
      </c>
      <c r="E1266" s="1">
        <v>5.1970000000000002E-2</v>
      </c>
      <c r="F1266" s="1">
        <v>3.7575499999999998E-2</v>
      </c>
      <c r="G1266">
        <f t="shared" si="225"/>
        <v>8</v>
      </c>
      <c r="H1266" t="str">
        <f>RIGHT(B1266,4)</f>
        <v>DOGE</v>
      </c>
      <c r="I1266" t="str">
        <f>LEFT(B1266,4)</f>
        <v>MOON</v>
      </c>
      <c r="J1266" t="str">
        <f t="shared" si="226"/>
        <v>DOGEMOON</v>
      </c>
      <c r="K1266" t="str">
        <f t="shared" si="227"/>
        <v>MOONDOGE</v>
      </c>
      <c r="L1266">
        <f t="shared" si="228"/>
        <v>0</v>
      </c>
      <c r="M1266">
        <f t="shared" si="229"/>
        <v>1</v>
      </c>
      <c r="N1266" t="b">
        <f t="shared" si="230"/>
        <v>1</v>
      </c>
    </row>
    <row r="1267" spans="1:14" hidden="1" x14ac:dyDescent="0.25">
      <c r="A1267" t="s">
        <v>1403</v>
      </c>
      <c r="B1267" t="s">
        <v>1818</v>
      </c>
      <c r="C1267" s="1">
        <v>5.1000000000000003E-6</v>
      </c>
      <c r="D1267" s="1">
        <v>5.1000000000000003E-6</v>
      </c>
      <c r="E1267" s="1">
        <v>5.1000000000000003E-6</v>
      </c>
      <c r="F1267" s="1">
        <v>3.0900000000000001E-6</v>
      </c>
      <c r="G1267">
        <f t="shared" si="225"/>
        <v>7</v>
      </c>
      <c r="H1267" t="str">
        <f t="shared" ref="H1267:H1272" si="234">RIGHT(B1267,3)</f>
        <v>LTC</v>
      </c>
      <c r="I1267" t="str">
        <f>LEFT(B1267,4)</f>
        <v>MOON</v>
      </c>
      <c r="J1267" t="str">
        <f t="shared" si="226"/>
        <v>LTCMOON</v>
      </c>
      <c r="K1267" t="str">
        <f t="shared" si="227"/>
        <v>MOONLTC</v>
      </c>
      <c r="L1267">
        <f t="shared" si="228"/>
        <v>0</v>
      </c>
      <c r="M1267">
        <f t="shared" si="229"/>
        <v>1</v>
      </c>
      <c r="N1267" t="b">
        <f t="shared" si="230"/>
        <v>1</v>
      </c>
    </row>
    <row r="1268" spans="1:14" hidden="1" x14ac:dyDescent="0.25">
      <c r="A1268" t="s">
        <v>1403</v>
      </c>
      <c r="B1268" t="s">
        <v>1633</v>
      </c>
      <c r="C1268" s="1">
        <v>1.2999999999999999E-4</v>
      </c>
      <c r="D1268" s="1">
        <v>1.2999999999999999E-4</v>
      </c>
      <c r="E1268" s="1">
        <v>1.5890000000000001E-4</v>
      </c>
      <c r="F1268" s="1">
        <v>1.21E-4</v>
      </c>
      <c r="G1268">
        <f t="shared" si="225"/>
        <v>7</v>
      </c>
      <c r="H1268" t="str">
        <f t="shared" si="234"/>
        <v>USD</v>
      </c>
      <c r="I1268" t="str">
        <f>LEFT(B1268,4)</f>
        <v>MOON</v>
      </c>
      <c r="J1268" t="str">
        <f t="shared" si="226"/>
        <v>USDMOON</v>
      </c>
      <c r="K1268" t="str">
        <f t="shared" si="227"/>
        <v>MOONUSD</v>
      </c>
      <c r="L1268">
        <f t="shared" si="228"/>
        <v>0</v>
      </c>
      <c r="M1268">
        <f t="shared" si="229"/>
        <v>1</v>
      </c>
      <c r="N1268" t="b">
        <f t="shared" si="230"/>
        <v>1</v>
      </c>
    </row>
    <row r="1269" spans="1:14" hidden="1" x14ac:dyDescent="0.25">
      <c r="A1269" t="s">
        <v>5</v>
      </c>
      <c r="B1269" t="s">
        <v>793</v>
      </c>
      <c r="C1269" s="1">
        <v>1.48E-6</v>
      </c>
      <c r="D1269" s="1">
        <v>1.22E-6</v>
      </c>
      <c r="E1269" s="1">
        <v>1.48E-6</v>
      </c>
      <c r="F1269" s="1">
        <v>1.22E-6</v>
      </c>
      <c r="G1269">
        <f t="shared" si="225"/>
        <v>7</v>
      </c>
      <c r="H1269" t="str">
        <f t="shared" si="234"/>
        <v>BTC</v>
      </c>
      <c r="I1269" t="str">
        <f>LEFT(B1269,4)</f>
        <v>MOTO</v>
      </c>
      <c r="J1269" t="str">
        <f t="shared" si="226"/>
        <v>BTCMOTO</v>
      </c>
      <c r="K1269" t="str">
        <f t="shared" si="227"/>
        <v>MOTOBTC</v>
      </c>
      <c r="L1269">
        <f t="shared" si="228"/>
        <v>0</v>
      </c>
      <c r="M1269">
        <f t="shared" si="229"/>
        <v>1</v>
      </c>
      <c r="N1269" t="b">
        <f t="shared" si="230"/>
        <v>1</v>
      </c>
    </row>
    <row r="1270" spans="1:14" hidden="1" x14ac:dyDescent="0.25">
      <c r="A1270" t="s">
        <v>5</v>
      </c>
      <c r="B1270" t="s">
        <v>443</v>
      </c>
      <c r="C1270" s="1">
        <v>1.5829999999999999E-5</v>
      </c>
      <c r="D1270" s="1">
        <v>1.1270000000000001E-5</v>
      </c>
      <c r="E1270" s="1">
        <v>1.5829999999999999E-5</v>
      </c>
      <c r="F1270" s="1">
        <v>1.1270000000000001E-5</v>
      </c>
      <c r="G1270">
        <f t="shared" si="225"/>
        <v>7</v>
      </c>
      <c r="H1270" t="str">
        <f t="shared" si="234"/>
        <v>BTC</v>
      </c>
      <c r="I1270" t="str">
        <f>LEFT(B1270,4)</f>
        <v>MPRO</v>
      </c>
      <c r="J1270" t="str">
        <f t="shared" si="226"/>
        <v>BTCMPRO</v>
      </c>
      <c r="K1270" t="str">
        <f t="shared" si="227"/>
        <v>MPROBTC</v>
      </c>
      <c r="L1270">
        <f t="shared" si="228"/>
        <v>0</v>
      </c>
      <c r="M1270">
        <f t="shared" si="229"/>
        <v>1</v>
      </c>
      <c r="N1270" t="b">
        <f t="shared" si="230"/>
        <v>1</v>
      </c>
    </row>
    <row r="1271" spans="1:14" hidden="1" x14ac:dyDescent="0.25">
      <c r="A1271" t="s">
        <v>5</v>
      </c>
      <c r="B1271" t="s">
        <v>357</v>
      </c>
      <c r="C1271" s="1">
        <v>9.5000000000000001E-7</v>
      </c>
      <c r="D1271" s="1">
        <v>7.0999999999999998E-7</v>
      </c>
      <c r="E1271" s="1">
        <v>9.5000000000000001E-7</v>
      </c>
      <c r="F1271" s="1">
        <v>7.0999999999999998E-7</v>
      </c>
      <c r="G1271">
        <f t="shared" si="225"/>
        <v>6</v>
      </c>
      <c r="H1271" t="str">
        <f t="shared" si="234"/>
        <v>BTC</v>
      </c>
      <c r="I1271" t="str">
        <f>LEFT(B1271,3)</f>
        <v>MRB</v>
      </c>
      <c r="J1271" t="str">
        <f t="shared" si="226"/>
        <v>BTCMRB</v>
      </c>
      <c r="K1271" t="str">
        <f t="shared" si="227"/>
        <v>MRBBTC</v>
      </c>
      <c r="L1271">
        <f t="shared" si="228"/>
        <v>0</v>
      </c>
      <c r="M1271">
        <f t="shared" si="229"/>
        <v>1</v>
      </c>
      <c r="N1271" t="b">
        <f t="shared" si="230"/>
        <v>1</v>
      </c>
    </row>
    <row r="1272" spans="1:14" hidden="1" x14ac:dyDescent="0.25">
      <c r="A1272" t="s">
        <v>5</v>
      </c>
      <c r="B1272" t="s">
        <v>1155</v>
      </c>
      <c r="C1272" s="1" t="s">
        <v>1003</v>
      </c>
      <c r="D1272" s="1">
        <v>2.3999999999999999E-6</v>
      </c>
      <c r="E1272" s="1" t="s">
        <v>1003</v>
      </c>
      <c r="F1272" s="1">
        <v>2.3999999999999999E-6</v>
      </c>
      <c r="G1272">
        <f t="shared" si="225"/>
        <v>6</v>
      </c>
      <c r="H1272" t="str">
        <f t="shared" si="234"/>
        <v>BTC</v>
      </c>
      <c r="I1272" t="str">
        <f>LEFT(B1272,3)</f>
        <v>MRP</v>
      </c>
      <c r="J1272" t="str">
        <f t="shared" si="226"/>
        <v>BTCMRP</v>
      </c>
      <c r="K1272" t="str">
        <f t="shared" si="227"/>
        <v>MRPBTC</v>
      </c>
      <c r="L1272">
        <f t="shared" si="228"/>
        <v>0</v>
      </c>
      <c r="M1272">
        <f t="shared" si="229"/>
        <v>1</v>
      </c>
      <c r="N1272" t="b">
        <f t="shared" si="230"/>
        <v>1</v>
      </c>
    </row>
    <row r="1273" spans="1:14" hidden="1" x14ac:dyDescent="0.25">
      <c r="A1273" t="s">
        <v>1403</v>
      </c>
      <c r="B1273" t="s">
        <v>2011</v>
      </c>
      <c r="C1273" s="1">
        <v>4.0999999999999996</v>
      </c>
      <c r="D1273" s="1">
        <v>4.0999999999999996</v>
      </c>
      <c r="E1273" s="1">
        <v>299.40029900000002</v>
      </c>
      <c r="F1273" s="1">
        <v>2.9003900000000001E-3</v>
      </c>
      <c r="G1273">
        <f t="shared" si="225"/>
        <v>8</v>
      </c>
      <c r="H1273" t="str">
        <f>RIGHT(B1273,4)</f>
        <v>DOGE</v>
      </c>
      <c r="I1273" t="str">
        <f>LEFT(B1273,4)</f>
        <v>MSCN</v>
      </c>
      <c r="J1273" t="str">
        <f t="shared" si="226"/>
        <v>DOGEMSCN</v>
      </c>
      <c r="K1273" t="str">
        <f t="shared" si="227"/>
        <v>MSCNDOGE</v>
      </c>
      <c r="L1273">
        <f t="shared" si="228"/>
        <v>0</v>
      </c>
      <c r="M1273">
        <f t="shared" si="229"/>
        <v>1</v>
      </c>
      <c r="N1273" t="b">
        <f t="shared" si="230"/>
        <v>1</v>
      </c>
    </row>
    <row r="1274" spans="1:14" hidden="1" x14ac:dyDescent="0.25">
      <c r="A1274" t="s">
        <v>1239</v>
      </c>
      <c r="B1274" t="s">
        <v>1332</v>
      </c>
      <c r="C1274" s="1">
        <v>9.9809999999999995E-5</v>
      </c>
      <c r="D1274" s="1">
        <v>3.1109999999999999E-5</v>
      </c>
      <c r="E1274" s="1">
        <v>9.9809999999999995E-5</v>
      </c>
      <c r="F1274" s="1">
        <v>3.1109999999999999E-5</v>
      </c>
      <c r="G1274">
        <f t="shared" si="225"/>
        <v>7</v>
      </c>
      <c r="H1274" t="str">
        <f t="shared" ref="H1274:H1279" si="235">RIGHT(B1274,3)</f>
        <v>ETH</v>
      </c>
      <c r="I1274" t="str">
        <f>LEFT(B1274,4)</f>
        <v>MSCN</v>
      </c>
      <c r="J1274" t="str">
        <f t="shared" si="226"/>
        <v>ETHMSCN</v>
      </c>
      <c r="K1274" t="str">
        <f t="shared" si="227"/>
        <v>MSCNETH</v>
      </c>
      <c r="L1274">
        <f t="shared" si="228"/>
        <v>0</v>
      </c>
      <c r="M1274">
        <f t="shared" si="229"/>
        <v>1</v>
      </c>
      <c r="N1274" t="b">
        <f t="shared" si="230"/>
        <v>1</v>
      </c>
    </row>
    <row r="1275" spans="1:14" hidden="1" x14ac:dyDescent="0.25">
      <c r="A1275" t="s">
        <v>1239</v>
      </c>
      <c r="B1275" t="s">
        <v>1329</v>
      </c>
      <c r="C1275" s="1">
        <v>5.9990000000000002E-2</v>
      </c>
      <c r="D1275" s="1">
        <v>9.2000000000000003E-4</v>
      </c>
      <c r="E1275" s="1">
        <v>5.9990000000000002E-2</v>
      </c>
      <c r="F1275" s="1">
        <v>9.2000000000000003E-4</v>
      </c>
      <c r="G1275">
        <f t="shared" si="225"/>
        <v>7</v>
      </c>
      <c r="H1275" t="str">
        <f t="shared" si="235"/>
        <v>EUR</v>
      </c>
      <c r="I1275" t="str">
        <f>LEFT(B1275,4)</f>
        <v>MSCN</v>
      </c>
      <c r="J1275" t="str">
        <f t="shared" si="226"/>
        <v>EURMSCN</v>
      </c>
      <c r="K1275" t="str">
        <f t="shared" si="227"/>
        <v>MSCNEUR</v>
      </c>
      <c r="L1275">
        <f t="shared" si="228"/>
        <v>0</v>
      </c>
      <c r="M1275">
        <f t="shared" si="229"/>
        <v>1</v>
      </c>
      <c r="N1275" t="b">
        <f t="shared" si="230"/>
        <v>1</v>
      </c>
    </row>
    <row r="1276" spans="1:14" hidden="1" x14ac:dyDescent="0.25">
      <c r="A1276" t="s">
        <v>1403</v>
      </c>
      <c r="B1276" t="s">
        <v>1819</v>
      </c>
      <c r="C1276" s="1">
        <v>0</v>
      </c>
      <c r="D1276" s="1">
        <v>0</v>
      </c>
      <c r="E1276" s="1">
        <v>0.1089999</v>
      </c>
      <c r="F1276" s="1" t="s">
        <v>435</v>
      </c>
      <c r="G1276">
        <f t="shared" si="225"/>
        <v>7</v>
      </c>
      <c r="H1276" t="str">
        <f t="shared" si="235"/>
        <v>LTC</v>
      </c>
      <c r="I1276" t="str">
        <f>LEFT(B1276,4)</f>
        <v>MSCN</v>
      </c>
      <c r="J1276" t="str">
        <f t="shared" si="226"/>
        <v>LTCMSCN</v>
      </c>
      <c r="K1276" t="str">
        <f t="shared" si="227"/>
        <v>MSCNLTC</v>
      </c>
      <c r="L1276">
        <f t="shared" si="228"/>
        <v>0</v>
      </c>
      <c r="M1276">
        <f t="shared" si="229"/>
        <v>1</v>
      </c>
      <c r="N1276" t="b">
        <f t="shared" si="230"/>
        <v>1</v>
      </c>
    </row>
    <row r="1277" spans="1:14" hidden="1" x14ac:dyDescent="0.25">
      <c r="A1277" t="s">
        <v>1239</v>
      </c>
      <c r="B1277" t="s">
        <v>1331</v>
      </c>
      <c r="C1277" s="1">
        <v>1.66699</v>
      </c>
      <c r="D1277" s="1">
        <v>0.70016</v>
      </c>
      <c r="E1277" s="1">
        <v>1.66699</v>
      </c>
      <c r="F1277" s="1">
        <v>0.70016</v>
      </c>
      <c r="G1277">
        <f t="shared" si="225"/>
        <v>7</v>
      </c>
      <c r="H1277" t="str">
        <f t="shared" si="235"/>
        <v>RUR</v>
      </c>
      <c r="I1277" t="str">
        <f>LEFT(B1277,4)</f>
        <v>MSCN</v>
      </c>
      <c r="J1277" t="str">
        <f t="shared" si="226"/>
        <v>RURMSCN</v>
      </c>
      <c r="K1277" t="str">
        <f t="shared" si="227"/>
        <v>MSCNRUR</v>
      </c>
      <c r="L1277">
        <f t="shared" si="228"/>
        <v>0</v>
      </c>
      <c r="M1277">
        <f t="shared" si="229"/>
        <v>1</v>
      </c>
      <c r="N1277" t="b">
        <f t="shared" si="230"/>
        <v>1</v>
      </c>
    </row>
    <row r="1278" spans="1:14" hidden="1" x14ac:dyDescent="0.25">
      <c r="A1278" t="s">
        <v>5</v>
      </c>
      <c r="B1278" t="s">
        <v>701</v>
      </c>
      <c r="C1278" s="1">
        <v>1.5E-5</v>
      </c>
      <c r="D1278" s="1">
        <v>9.1200000000000008E-6</v>
      </c>
      <c r="E1278" s="1">
        <v>1.5E-5</v>
      </c>
      <c r="F1278" s="1">
        <v>9.1200000000000008E-6</v>
      </c>
      <c r="G1278">
        <f t="shared" si="225"/>
        <v>6</v>
      </c>
      <c r="H1278" t="str">
        <f t="shared" si="235"/>
        <v>BTC</v>
      </c>
      <c r="I1278" t="str">
        <f>LEFT(B1278,3)</f>
        <v>MST</v>
      </c>
      <c r="J1278" t="str">
        <f t="shared" si="226"/>
        <v>BTCMST</v>
      </c>
      <c r="K1278" t="str">
        <f t="shared" si="227"/>
        <v>MSTBTC</v>
      </c>
      <c r="L1278">
        <f t="shared" si="228"/>
        <v>0</v>
      </c>
      <c r="M1278">
        <f t="shared" si="229"/>
        <v>1</v>
      </c>
      <c r="N1278" t="b">
        <f t="shared" si="230"/>
        <v>1</v>
      </c>
    </row>
    <row r="1279" spans="1:14" hidden="1" x14ac:dyDescent="0.25">
      <c r="A1279" t="s">
        <v>5</v>
      </c>
      <c r="B1279" t="s">
        <v>1227</v>
      </c>
      <c r="C1279" s="1" t="s">
        <v>435</v>
      </c>
      <c r="D1279" s="1" t="s">
        <v>356</v>
      </c>
      <c r="E1279" s="1" t="s">
        <v>435</v>
      </c>
      <c r="F1279" s="1" t="s">
        <v>356</v>
      </c>
      <c r="G1279">
        <f t="shared" si="225"/>
        <v>9</v>
      </c>
      <c r="H1279" t="str">
        <f t="shared" si="235"/>
        <v>BTC</v>
      </c>
      <c r="I1279" t="str">
        <f>LEFT(B1279,6)</f>
        <v>MTLMC3</v>
      </c>
      <c r="J1279" t="str">
        <f t="shared" si="226"/>
        <v>BTCMTLMC3</v>
      </c>
      <c r="K1279" t="str">
        <f t="shared" si="227"/>
        <v>MTLMC3BTC</v>
      </c>
      <c r="L1279">
        <f t="shared" si="228"/>
        <v>0</v>
      </c>
      <c r="M1279">
        <f t="shared" si="229"/>
        <v>1</v>
      </c>
      <c r="N1279" t="b">
        <f t="shared" si="230"/>
        <v>1</v>
      </c>
    </row>
    <row r="1280" spans="1:14" hidden="1" x14ac:dyDescent="0.25">
      <c r="A1280" t="s">
        <v>1403</v>
      </c>
      <c r="B1280" t="s">
        <v>2012</v>
      </c>
      <c r="C1280" s="1">
        <v>0</v>
      </c>
      <c r="D1280" s="1">
        <v>0</v>
      </c>
      <c r="E1280" s="1">
        <v>515</v>
      </c>
      <c r="F1280" s="1">
        <v>6.6300000299999997</v>
      </c>
      <c r="G1280">
        <f t="shared" si="225"/>
        <v>7</v>
      </c>
      <c r="H1280" t="str">
        <f>RIGHT(B1280,4)</f>
        <v>DOGE</v>
      </c>
      <c r="I1280" t="str">
        <f t="shared" ref="I1280:I1285" si="236">LEFT(B1280,3)</f>
        <v>MUE</v>
      </c>
      <c r="J1280" t="str">
        <f t="shared" si="226"/>
        <v>DOGEMUE</v>
      </c>
      <c r="K1280" t="str">
        <f t="shared" si="227"/>
        <v>MUEDOGE</v>
      </c>
      <c r="L1280">
        <f t="shared" si="228"/>
        <v>0</v>
      </c>
      <c r="M1280">
        <f t="shared" si="229"/>
        <v>1</v>
      </c>
      <c r="N1280" t="b">
        <f t="shared" si="230"/>
        <v>1</v>
      </c>
    </row>
    <row r="1281" spans="1:14" hidden="1" x14ac:dyDescent="0.25">
      <c r="A1281" t="s">
        <v>1403</v>
      </c>
      <c r="B1281" t="s">
        <v>1820</v>
      </c>
      <c r="C1281" s="1">
        <v>2.2447000000000002E-2</v>
      </c>
      <c r="D1281" s="1">
        <v>2.2447000000000002E-2</v>
      </c>
      <c r="E1281" s="1">
        <v>9.9000000000000008E-3</v>
      </c>
      <c r="F1281" s="1">
        <v>8.8000000000000004E-7</v>
      </c>
      <c r="G1281">
        <f t="shared" ref="G1281:G1344" si="237">LEN(B1281)</f>
        <v>6</v>
      </c>
      <c r="H1281" t="str">
        <f t="shared" ref="H1281:H1299" si="238">RIGHT(B1281,3)</f>
        <v>LTC</v>
      </c>
      <c r="I1281" t="str">
        <f t="shared" si="236"/>
        <v>MUE</v>
      </c>
      <c r="J1281" t="str">
        <f t="shared" ref="J1281:J1344" si="239">CONCATENATE(H1281,I1281)</f>
        <v>LTCMUE</v>
      </c>
      <c r="K1281" t="str">
        <f t="shared" ref="K1281:K1344" si="240">CONCATENATE(I1281,H1281)</f>
        <v>MUELTC</v>
      </c>
      <c r="L1281">
        <f t="shared" ref="L1281:L1344" si="241">COUNTIF(B:B,J1281)</f>
        <v>0</v>
      </c>
      <c r="M1281">
        <f t="shared" ref="M1281:M1344" si="242">COUNTIF(B:B,K1281)</f>
        <v>1</v>
      </c>
      <c r="N1281" t="b">
        <f t="shared" ref="N1281:N1344" si="243">L1281=0</f>
        <v>1</v>
      </c>
    </row>
    <row r="1282" spans="1:14" hidden="1" x14ac:dyDescent="0.25">
      <c r="A1282" t="s">
        <v>1403</v>
      </c>
      <c r="B1282" t="s">
        <v>1634</v>
      </c>
      <c r="C1282" s="1">
        <v>0.39</v>
      </c>
      <c r="D1282" s="1">
        <v>0.39</v>
      </c>
      <c r="E1282" s="1">
        <v>0.38900000000000001</v>
      </c>
      <c r="F1282" s="1">
        <v>6.0214200000000004E-3</v>
      </c>
      <c r="G1282">
        <f t="shared" si="237"/>
        <v>6</v>
      </c>
      <c r="H1282" t="str">
        <f t="shared" si="238"/>
        <v>USD</v>
      </c>
      <c r="I1282" t="str">
        <f t="shared" si="236"/>
        <v>MUE</v>
      </c>
      <c r="J1282" t="str">
        <f t="shared" si="239"/>
        <v>USDMUE</v>
      </c>
      <c r="K1282" t="str">
        <f t="shared" si="240"/>
        <v>MUEUSD</v>
      </c>
      <c r="L1282">
        <f t="shared" si="241"/>
        <v>0</v>
      </c>
      <c r="M1282">
        <f t="shared" si="242"/>
        <v>1</v>
      </c>
      <c r="N1282" t="b">
        <f t="shared" si="243"/>
        <v>1</v>
      </c>
    </row>
    <row r="1283" spans="1:14" hidden="1" x14ac:dyDescent="0.25">
      <c r="A1283" t="s">
        <v>5</v>
      </c>
      <c r="B1283" t="s">
        <v>1049</v>
      </c>
      <c r="C1283" s="1" t="s">
        <v>362</v>
      </c>
      <c r="D1283" s="1" t="s">
        <v>364</v>
      </c>
      <c r="E1283" s="1" t="s">
        <v>362</v>
      </c>
      <c r="F1283" s="1">
        <v>1.9800000000000001E-6</v>
      </c>
      <c r="G1283">
        <f t="shared" si="237"/>
        <v>6</v>
      </c>
      <c r="H1283" t="str">
        <f t="shared" si="238"/>
        <v>BTC</v>
      </c>
      <c r="I1283" t="str">
        <f t="shared" si="236"/>
        <v>MUU</v>
      </c>
      <c r="J1283" t="str">
        <f t="shared" si="239"/>
        <v>BTCMUU</v>
      </c>
      <c r="K1283" t="str">
        <f t="shared" si="240"/>
        <v>MUUBTC</v>
      </c>
      <c r="L1283">
        <f t="shared" si="241"/>
        <v>0</v>
      </c>
      <c r="M1283">
        <f t="shared" si="242"/>
        <v>1</v>
      </c>
      <c r="N1283" t="b">
        <f t="shared" si="243"/>
        <v>1</v>
      </c>
    </row>
    <row r="1284" spans="1:14" hidden="1" x14ac:dyDescent="0.25">
      <c r="A1284" t="s">
        <v>5</v>
      </c>
      <c r="B1284" t="s">
        <v>469</v>
      </c>
      <c r="C1284" s="1">
        <v>4.9624000000000001E-4</v>
      </c>
      <c r="D1284" s="1">
        <v>2.3002E-4</v>
      </c>
      <c r="E1284" s="1">
        <v>4.9624000000000001E-4</v>
      </c>
      <c r="F1284" s="1">
        <v>2.3002E-4</v>
      </c>
      <c r="G1284">
        <f t="shared" si="237"/>
        <v>6</v>
      </c>
      <c r="H1284" t="str">
        <f t="shared" si="238"/>
        <v>BTC</v>
      </c>
      <c r="I1284" t="str">
        <f t="shared" si="236"/>
        <v>MVR</v>
      </c>
      <c r="J1284" t="str">
        <f t="shared" si="239"/>
        <v>BTCMVR</v>
      </c>
      <c r="K1284" t="str">
        <f t="shared" si="240"/>
        <v>MVRBTC</v>
      </c>
      <c r="L1284">
        <f t="shared" si="241"/>
        <v>0</v>
      </c>
      <c r="M1284">
        <f t="shared" si="242"/>
        <v>1</v>
      </c>
      <c r="N1284" t="b">
        <f t="shared" si="243"/>
        <v>1</v>
      </c>
    </row>
    <row r="1285" spans="1:14" hidden="1" x14ac:dyDescent="0.25">
      <c r="A1285" t="s">
        <v>5</v>
      </c>
      <c r="B1285" t="s">
        <v>687</v>
      </c>
      <c r="C1285" s="1">
        <v>2.2390000000000001E-5</v>
      </c>
      <c r="D1285" s="1">
        <v>2.23E-5</v>
      </c>
      <c r="E1285" s="1">
        <v>2.2390000000000001E-5</v>
      </c>
      <c r="F1285" s="1">
        <v>2.23E-5</v>
      </c>
      <c r="G1285">
        <f t="shared" si="237"/>
        <v>6</v>
      </c>
      <c r="H1285" t="str">
        <f t="shared" si="238"/>
        <v>BTC</v>
      </c>
      <c r="I1285" t="str">
        <f t="shared" si="236"/>
        <v>MXT</v>
      </c>
      <c r="J1285" t="str">
        <f t="shared" si="239"/>
        <v>BTCMXT</v>
      </c>
      <c r="K1285" t="str">
        <f t="shared" si="240"/>
        <v>MXTBTC</v>
      </c>
      <c r="L1285">
        <f t="shared" si="241"/>
        <v>0</v>
      </c>
      <c r="M1285">
        <f t="shared" si="242"/>
        <v>1</v>
      </c>
      <c r="N1285" t="b">
        <f t="shared" si="243"/>
        <v>1</v>
      </c>
    </row>
    <row r="1286" spans="1:14" hidden="1" x14ac:dyDescent="0.25">
      <c r="A1286" t="s">
        <v>5</v>
      </c>
      <c r="B1286" t="s">
        <v>682</v>
      </c>
      <c r="C1286" s="1">
        <v>1.1999999999999999E-7</v>
      </c>
      <c r="D1286" s="1">
        <v>1.1000000000000001E-7</v>
      </c>
      <c r="E1286" s="1">
        <v>1.1999999999999999E-7</v>
      </c>
      <c r="F1286" s="1">
        <v>1.1000000000000001E-7</v>
      </c>
      <c r="G1286">
        <f t="shared" si="237"/>
        <v>9</v>
      </c>
      <c r="H1286" t="str">
        <f t="shared" si="238"/>
        <v>BTC</v>
      </c>
      <c r="I1286" t="str">
        <f>LEFT(B1286,6)</f>
        <v>MYSTIC</v>
      </c>
      <c r="J1286" t="str">
        <f t="shared" si="239"/>
        <v>BTCMYSTIC</v>
      </c>
      <c r="K1286" t="str">
        <f t="shared" si="240"/>
        <v>MYSTICBTC</v>
      </c>
      <c r="L1286">
        <f t="shared" si="241"/>
        <v>0</v>
      </c>
      <c r="M1286">
        <f t="shared" si="242"/>
        <v>1</v>
      </c>
      <c r="N1286" t="b">
        <f t="shared" si="243"/>
        <v>1</v>
      </c>
    </row>
    <row r="1287" spans="1:14" hidden="1" x14ac:dyDescent="0.25">
      <c r="A1287" t="s">
        <v>5</v>
      </c>
      <c r="B1287" t="s">
        <v>665</v>
      </c>
      <c r="C1287" s="1">
        <v>2.7000000000000001E-7</v>
      </c>
      <c r="D1287" s="1">
        <v>2.4999999999999999E-7</v>
      </c>
      <c r="E1287" s="1">
        <v>2.7000000000000001E-7</v>
      </c>
      <c r="F1287" s="1">
        <v>2.4999999999999999E-7</v>
      </c>
      <c r="G1287">
        <f t="shared" si="237"/>
        <v>6</v>
      </c>
      <c r="H1287" t="str">
        <f t="shared" si="238"/>
        <v>BTC</v>
      </c>
      <c r="I1287" t="str">
        <f>LEFT(B1287,3)</f>
        <v>N2O</v>
      </c>
      <c r="J1287" t="str">
        <f t="shared" si="239"/>
        <v>BTCN2O</v>
      </c>
      <c r="K1287" t="str">
        <f t="shared" si="240"/>
        <v>N2OBTC</v>
      </c>
      <c r="L1287">
        <f t="shared" si="241"/>
        <v>0</v>
      </c>
      <c r="M1287">
        <f t="shared" si="242"/>
        <v>1</v>
      </c>
      <c r="N1287" t="b">
        <f t="shared" si="243"/>
        <v>1</v>
      </c>
    </row>
    <row r="1288" spans="1:14" hidden="1" x14ac:dyDescent="0.25">
      <c r="A1288" t="s">
        <v>5</v>
      </c>
      <c r="B1288" t="s">
        <v>784</v>
      </c>
      <c r="C1288" s="1" t="s">
        <v>539</v>
      </c>
      <c r="D1288" s="1" t="s">
        <v>435</v>
      </c>
      <c r="E1288" s="1" t="s">
        <v>539</v>
      </c>
      <c r="F1288" s="1" t="s">
        <v>435</v>
      </c>
      <c r="G1288">
        <f t="shared" si="237"/>
        <v>5</v>
      </c>
      <c r="H1288" t="str">
        <f t="shared" si="238"/>
        <v>BTC</v>
      </c>
      <c r="I1288" t="str">
        <f>LEFT(B1288,2)</f>
        <v>N7</v>
      </c>
      <c r="J1288" t="str">
        <f t="shared" si="239"/>
        <v>BTCN7</v>
      </c>
      <c r="K1288" t="str">
        <f t="shared" si="240"/>
        <v>N7BTC</v>
      </c>
      <c r="L1288">
        <f t="shared" si="241"/>
        <v>0</v>
      </c>
      <c r="M1288">
        <f t="shared" si="242"/>
        <v>1</v>
      </c>
      <c r="N1288" t="b">
        <f t="shared" si="243"/>
        <v>1</v>
      </c>
    </row>
    <row r="1289" spans="1:14" hidden="1" x14ac:dyDescent="0.25">
      <c r="A1289" t="s">
        <v>5</v>
      </c>
      <c r="B1289" t="s">
        <v>660</v>
      </c>
      <c r="C1289" s="1">
        <v>2.3819999999999999E-5</v>
      </c>
      <c r="D1289" s="1">
        <v>1.259E-5</v>
      </c>
      <c r="E1289" s="1">
        <v>2.3819999999999999E-5</v>
      </c>
      <c r="F1289" s="1">
        <v>1.259E-5</v>
      </c>
      <c r="G1289">
        <f t="shared" si="237"/>
        <v>8</v>
      </c>
      <c r="H1289" t="str">
        <f t="shared" si="238"/>
        <v>BTC</v>
      </c>
      <c r="I1289" t="str">
        <f>LEFT(B1289,5)</f>
        <v>NANAS</v>
      </c>
      <c r="J1289" t="str">
        <f t="shared" si="239"/>
        <v>BTCNANAS</v>
      </c>
      <c r="K1289" t="str">
        <f t="shared" si="240"/>
        <v>NANASBTC</v>
      </c>
      <c r="L1289">
        <f t="shared" si="241"/>
        <v>0</v>
      </c>
      <c r="M1289">
        <f t="shared" si="242"/>
        <v>1</v>
      </c>
      <c r="N1289" t="b">
        <f t="shared" si="243"/>
        <v>1</v>
      </c>
    </row>
    <row r="1290" spans="1:14" hidden="1" x14ac:dyDescent="0.25">
      <c r="A1290" t="s">
        <v>5</v>
      </c>
      <c r="B1290" t="s">
        <v>698</v>
      </c>
      <c r="C1290" s="1">
        <v>101</v>
      </c>
      <c r="D1290" s="1">
        <v>69</v>
      </c>
      <c r="E1290" s="1">
        <v>3.1E-7</v>
      </c>
      <c r="F1290" s="1">
        <v>2.4999999999999999E-7</v>
      </c>
      <c r="G1290">
        <f t="shared" si="237"/>
        <v>8</v>
      </c>
      <c r="H1290" t="str">
        <f t="shared" si="238"/>
        <v>BTC</v>
      </c>
      <c r="I1290" t="str">
        <f>LEFT(B1290,5)</f>
        <v>NANOX</v>
      </c>
      <c r="J1290" t="str">
        <f t="shared" si="239"/>
        <v>BTCNANOX</v>
      </c>
      <c r="K1290" t="str">
        <f t="shared" si="240"/>
        <v>NANOXBTC</v>
      </c>
      <c r="L1290">
        <f t="shared" si="241"/>
        <v>0</v>
      </c>
      <c r="M1290">
        <f t="shared" si="242"/>
        <v>1</v>
      </c>
      <c r="N1290" t="b">
        <f t="shared" si="243"/>
        <v>1</v>
      </c>
    </row>
    <row r="1291" spans="1:14" hidden="1" x14ac:dyDescent="0.25">
      <c r="A1291" t="s">
        <v>5</v>
      </c>
      <c r="B1291" t="s">
        <v>734</v>
      </c>
      <c r="C1291" s="1">
        <v>1.9E-6</v>
      </c>
      <c r="D1291" s="1" t="s">
        <v>528</v>
      </c>
      <c r="E1291" s="1">
        <v>1.9E-6</v>
      </c>
      <c r="F1291" s="1" t="s">
        <v>528</v>
      </c>
      <c r="G1291">
        <f t="shared" si="237"/>
        <v>6</v>
      </c>
      <c r="H1291" t="str">
        <f t="shared" si="238"/>
        <v>BTC</v>
      </c>
      <c r="I1291" t="str">
        <f>LEFT(B1291,3)</f>
        <v>NAT</v>
      </c>
      <c r="J1291" t="str">
        <f t="shared" si="239"/>
        <v>BTCNAT</v>
      </c>
      <c r="K1291" t="str">
        <f t="shared" si="240"/>
        <v>NATBTC</v>
      </c>
      <c r="L1291">
        <f t="shared" si="241"/>
        <v>0</v>
      </c>
      <c r="M1291">
        <f t="shared" si="242"/>
        <v>1</v>
      </c>
      <c r="N1291" t="b">
        <f t="shared" si="243"/>
        <v>1</v>
      </c>
    </row>
    <row r="1292" spans="1:14" hidden="1" x14ac:dyDescent="0.25">
      <c r="A1292" t="s">
        <v>5</v>
      </c>
      <c r="B1292" t="s">
        <v>890</v>
      </c>
      <c r="C1292" s="1">
        <v>2.88E-6</v>
      </c>
      <c r="D1292" s="1">
        <v>2.2500000000000001E-6</v>
      </c>
      <c r="E1292" s="1">
        <v>2.88E-6</v>
      </c>
      <c r="F1292" s="1">
        <v>2.2500000000000001E-6</v>
      </c>
      <c r="G1292">
        <f t="shared" si="237"/>
        <v>7</v>
      </c>
      <c r="H1292" t="str">
        <f t="shared" si="238"/>
        <v>BTC</v>
      </c>
      <c r="I1292" t="str">
        <f>LEFT(B1292,4)</f>
        <v>NBIT</v>
      </c>
      <c r="J1292" t="str">
        <f t="shared" si="239"/>
        <v>BTCNBIT</v>
      </c>
      <c r="K1292" t="str">
        <f t="shared" si="240"/>
        <v>NBITBTC</v>
      </c>
      <c r="L1292">
        <f t="shared" si="241"/>
        <v>0</v>
      </c>
      <c r="M1292">
        <f t="shared" si="242"/>
        <v>1</v>
      </c>
      <c r="N1292" t="b">
        <f t="shared" si="243"/>
        <v>1</v>
      </c>
    </row>
    <row r="1293" spans="1:14" hidden="1" x14ac:dyDescent="0.25">
      <c r="A1293" t="s">
        <v>5</v>
      </c>
      <c r="B1293" t="s">
        <v>906</v>
      </c>
      <c r="C1293" s="1">
        <v>4.5999999999999999E-7</v>
      </c>
      <c r="D1293" s="1">
        <v>4.2E-7</v>
      </c>
      <c r="E1293" s="1">
        <v>4.5999999999999999E-7</v>
      </c>
      <c r="F1293" s="1">
        <v>4.2E-7</v>
      </c>
      <c r="G1293">
        <f t="shared" si="237"/>
        <v>8</v>
      </c>
      <c r="H1293" t="str">
        <f t="shared" si="238"/>
        <v>BTC</v>
      </c>
      <c r="I1293" t="str">
        <f>LEFT(B1293,5)</f>
        <v>NDOGE</v>
      </c>
      <c r="J1293" t="str">
        <f t="shared" si="239"/>
        <v>BTCNDOGE</v>
      </c>
      <c r="K1293" t="str">
        <f t="shared" si="240"/>
        <v>NDOGEBTC</v>
      </c>
      <c r="L1293">
        <f t="shared" si="241"/>
        <v>0</v>
      </c>
      <c r="M1293">
        <f t="shared" si="242"/>
        <v>1</v>
      </c>
      <c r="N1293" t="b">
        <f t="shared" si="243"/>
        <v>1</v>
      </c>
    </row>
    <row r="1294" spans="1:14" hidden="1" x14ac:dyDescent="0.25">
      <c r="A1294" t="s">
        <v>5</v>
      </c>
      <c r="B1294" t="s">
        <v>1167</v>
      </c>
      <c r="C1294" s="1">
        <v>3.2000000000000001E-7</v>
      </c>
      <c r="D1294" s="1">
        <v>2.4999999999999999E-7</v>
      </c>
      <c r="E1294" s="1">
        <v>3.2000000000000001E-7</v>
      </c>
      <c r="F1294" s="1">
        <v>2.4999999999999999E-7</v>
      </c>
      <c r="G1294">
        <f t="shared" si="237"/>
        <v>7</v>
      </c>
      <c r="H1294" t="str">
        <f t="shared" si="238"/>
        <v>BTC</v>
      </c>
      <c r="I1294" t="str">
        <f>LEFT(B1294,4)</f>
        <v>NEBU</v>
      </c>
      <c r="J1294" t="str">
        <f t="shared" si="239"/>
        <v>BTCNEBU</v>
      </c>
      <c r="K1294" t="str">
        <f t="shared" si="240"/>
        <v>NEBUBTC</v>
      </c>
      <c r="L1294">
        <f t="shared" si="241"/>
        <v>0</v>
      </c>
      <c r="M1294">
        <f t="shared" si="242"/>
        <v>1</v>
      </c>
      <c r="N1294" t="b">
        <f t="shared" si="243"/>
        <v>1</v>
      </c>
    </row>
    <row r="1295" spans="1:14" hidden="1" x14ac:dyDescent="0.25">
      <c r="A1295" t="s">
        <v>5</v>
      </c>
      <c r="B1295" t="s">
        <v>1123</v>
      </c>
      <c r="C1295" s="1" t="s">
        <v>362</v>
      </c>
      <c r="D1295" s="1" t="s">
        <v>364</v>
      </c>
      <c r="E1295" s="1" t="s">
        <v>362</v>
      </c>
      <c r="F1295" s="1">
        <v>5.0799999999999996E-6</v>
      </c>
      <c r="G1295">
        <f t="shared" si="237"/>
        <v>6</v>
      </c>
      <c r="H1295" t="str">
        <f t="shared" si="238"/>
        <v>BTC</v>
      </c>
      <c r="I1295" t="str">
        <f>LEFT(B1295,3)</f>
        <v>NEF</v>
      </c>
      <c r="J1295" t="str">
        <f t="shared" si="239"/>
        <v>BTCNEF</v>
      </c>
      <c r="K1295" t="str">
        <f t="shared" si="240"/>
        <v>NEFBTC</v>
      </c>
      <c r="L1295">
        <f t="shared" si="241"/>
        <v>0</v>
      </c>
      <c r="M1295">
        <f t="shared" si="242"/>
        <v>1</v>
      </c>
      <c r="N1295" t="b">
        <f t="shared" si="243"/>
        <v>1</v>
      </c>
    </row>
    <row r="1296" spans="1:14" hidden="1" x14ac:dyDescent="0.25">
      <c r="A1296" t="s">
        <v>5</v>
      </c>
      <c r="B1296" t="s">
        <v>659</v>
      </c>
      <c r="C1296" s="1">
        <v>2.73E-5</v>
      </c>
      <c r="D1296" s="1">
        <v>1.447E-5</v>
      </c>
      <c r="E1296" s="1">
        <v>2.73E-5</v>
      </c>
      <c r="F1296" s="1">
        <v>1.447E-5</v>
      </c>
      <c r="G1296">
        <f t="shared" si="237"/>
        <v>7</v>
      </c>
      <c r="H1296" t="str">
        <f t="shared" si="238"/>
        <v>BTC</v>
      </c>
      <c r="I1296" t="str">
        <f>LEFT(B1296,4)</f>
        <v>NETC</v>
      </c>
      <c r="J1296" t="str">
        <f t="shared" si="239"/>
        <v>BTCNETC</v>
      </c>
      <c r="K1296" t="str">
        <f t="shared" si="240"/>
        <v>NETCBTC</v>
      </c>
      <c r="L1296">
        <f t="shared" si="241"/>
        <v>0</v>
      </c>
      <c r="M1296">
        <f t="shared" si="242"/>
        <v>1</v>
      </c>
      <c r="N1296" t="b">
        <f t="shared" si="243"/>
        <v>1</v>
      </c>
    </row>
    <row r="1297" spans="1:14" hidden="1" x14ac:dyDescent="0.25">
      <c r="A1297" t="s">
        <v>5</v>
      </c>
      <c r="B1297" t="s">
        <v>549</v>
      </c>
      <c r="C1297" s="1">
        <v>8.8690000000000006E-5</v>
      </c>
      <c r="D1297" s="1">
        <v>5.2460000000000003E-5</v>
      </c>
      <c r="E1297" s="1">
        <v>8.8690000000000006E-5</v>
      </c>
      <c r="F1297" s="1">
        <v>5.2460000000000003E-5</v>
      </c>
      <c r="G1297">
        <f t="shared" si="237"/>
        <v>8</v>
      </c>
      <c r="H1297" t="str">
        <f t="shared" si="238"/>
        <v>BTC</v>
      </c>
      <c r="I1297" t="str">
        <f>LEFT(B1297,5)</f>
        <v>NETKO</v>
      </c>
      <c r="J1297" t="str">
        <f t="shared" si="239"/>
        <v>BTCNETKO</v>
      </c>
      <c r="K1297" t="str">
        <f t="shared" si="240"/>
        <v>NETKOBTC</v>
      </c>
      <c r="L1297">
        <f t="shared" si="241"/>
        <v>0</v>
      </c>
      <c r="M1297">
        <f t="shared" si="242"/>
        <v>1</v>
      </c>
      <c r="N1297" t="b">
        <f t="shared" si="243"/>
        <v>1</v>
      </c>
    </row>
    <row r="1298" spans="1:14" hidden="1" x14ac:dyDescent="0.25">
      <c r="A1298" t="s">
        <v>5</v>
      </c>
      <c r="B1298" t="s">
        <v>387</v>
      </c>
      <c r="C1298" s="1">
        <v>9.4900000000000006E-6</v>
      </c>
      <c r="D1298" s="1">
        <v>8.9700000000000005E-6</v>
      </c>
      <c r="E1298" s="1">
        <v>9.4900000000000006E-6</v>
      </c>
      <c r="F1298" s="1">
        <v>8.9700000000000005E-6</v>
      </c>
      <c r="G1298">
        <f t="shared" si="237"/>
        <v>7</v>
      </c>
      <c r="H1298" t="str">
        <f t="shared" si="238"/>
        <v>BTC</v>
      </c>
      <c r="I1298" t="str">
        <f>LEFT(B1298,4)</f>
        <v>NEVA</v>
      </c>
      <c r="J1298" t="str">
        <f t="shared" si="239"/>
        <v>BTCNEVA</v>
      </c>
      <c r="K1298" t="str">
        <f t="shared" si="240"/>
        <v>NEVABTC</v>
      </c>
      <c r="L1298">
        <f t="shared" si="241"/>
        <v>0</v>
      </c>
      <c r="M1298">
        <f t="shared" si="242"/>
        <v>1</v>
      </c>
      <c r="N1298" t="b">
        <f t="shared" si="243"/>
        <v>1</v>
      </c>
    </row>
    <row r="1299" spans="1:14" hidden="1" x14ac:dyDescent="0.25">
      <c r="A1299" t="s">
        <v>1403</v>
      </c>
      <c r="B1299" t="s">
        <v>1479</v>
      </c>
      <c r="C1299" s="1">
        <v>2.83E-6</v>
      </c>
      <c r="D1299" s="1">
        <v>2.8899999999999999E-6</v>
      </c>
      <c r="E1299" s="1">
        <v>2.9500000000000001E-6</v>
      </c>
      <c r="F1299" s="1">
        <v>2.8700000000000001E-6</v>
      </c>
      <c r="G1299">
        <f t="shared" si="237"/>
        <v>7</v>
      </c>
      <c r="H1299" t="str">
        <f t="shared" si="238"/>
        <v>BTC</v>
      </c>
      <c r="I1299" t="str">
        <f>LEFT(B1299,4)</f>
        <v>NEWB</v>
      </c>
      <c r="J1299" t="str">
        <f t="shared" si="239"/>
        <v>BTCNEWB</v>
      </c>
      <c r="K1299" t="str">
        <f t="shared" si="240"/>
        <v>NEWBBTC</v>
      </c>
      <c r="L1299">
        <f t="shared" si="241"/>
        <v>0</v>
      </c>
      <c r="M1299">
        <f t="shared" si="242"/>
        <v>1</v>
      </c>
      <c r="N1299" t="b">
        <f t="shared" si="243"/>
        <v>1</v>
      </c>
    </row>
    <row r="1300" spans="1:14" hidden="1" x14ac:dyDescent="0.25">
      <c r="A1300" t="s">
        <v>1403</v>
      </c>
      <c r="B1300" t="s">
        <v>2013</v>
      </c>
      <c r="C1300" s="1">
        <v>7.9554153200000002</v>
      </c>
      <c r="D1300" s="1">
        <v>7.9554153200000002</v>
      </c>
      <c r="E1300" s="1">
        <v>6</v>
      </c>
      <c r="F1300" s="1">
        <v>0.18000463999999999</v>
      </c>
      <c r="G1300">
        <f t="shared" si="237"/>
        <v>8</v>
      </c>
      <c r="H1300" t="str">
        <f>RIGHT(B1300,4)</f>
        <v>DOGE</v>
      </c>
      <c r="I1300" t="str">
        <f>LEFT(B1300,4)</f>
        <v>NEWB</v>
      </c>
      <c r="J1300" t="str">
        <f t="shared" si="239"/>
        <v>DOGENEWB</v>
      </c>
      <c r="K1300" t="str">
        <f t="shared" si="240"/>
        <v>NEWBDOGE</v>
      </c>
      <c r="L1300">
        <f t="shared" si="241"/>
        <v>0</v>
      </c>
      <c r="M1300">
        <f t="shared" si="242"/>
        <v>1</v>
      </c>
      <c r="N1300" t="b">
        <f t="shared" si="243"/>
        <v>1</v>
      </c>
    </row>
    <row r="1301" spans="1:14" hidden="1" x14ac:dyDescent="0.25">
      <c r="A1301" t="s">
        <v>1403</v>
      </c>
      <c r="B1301" t="s">
        <v>1821</v>
      </c>
      <c r="C1301" s="1">
        <v>9.4430000000000002E-5</v>
      </c>
      <c r="D1301" s="1">
        <v>9.4430000000000002E-5</v>
      </c>
      <c r="E1301" s="1">
        <v>9.8299999999999993E-4</v>
      </c>
      <c r="F1301" s="1" t="s">
        <v>368</v>
      </c>
      <c r="G1301">
        <f t="shared" si="237"/>
        <v>7</v>
      </c>
      <c r="H1301" t="str">
        <f t="shared" ref="H1301:H1315" si="244">RIGHT(B1301,3)</f>
        <v>LTC</v>
      </c>
      <c r="I1301" t="str">
        <f>LEFT(B1301,4)</f>
        <v>NEWB</v>
      </c>
      <c r="J1301" t="str">
        <f t="shared" si="239"/>
        <v>LTCNEWB</v>
      </c>
      <c r="K1301" t="str">
        <f t="shared" si="240"/>
        <v>NEWBLTC</v>
      </c>
      <c r="L1301">
        <f t="shared" si="241"/>
        <v>0</v>
      </c>
      <c r="M1301">
        <f t="shared" si="242"/>
        <v>1</v>
      </c>
      <c r="N1301" t="b">
        <f t="shared" si="243"/>
        <v>1</v>
      </c>
    </row>
    <row r="1302" spans="1:14" hidden="1" x14ac:dyDescent="0.25">
      <c r="A1302" t="s">
        <v>1403</v>
      </c>
      <c r="B1302" t="s">
        <v>1635</v>
      </c>
      <c r="C1302" s="1">
        <v>0.09</v>
      </c>
      <c r="D1302" s="1">
        <v>0.09</v>
      </c>
      <c r="E1302" s="1">
        <v>9.9999900000000003E-2</v>
      </c>
      <c r="F1302" s="1">
        <v>6.1008999999999998E-4</v>
      </c>
      <c r="G1302">
        <f t="shared" si="237"/>
        <v>7</v>
      </c>
      <c r="H1302" t="str">
        <f t="shared" si="244"/>
        <v>USD</v>
      </c>
      <c r="I1302" t="str">
        <f>LEFT(B1302,4)</f>
        <v>NEWB</v>
      </c>
      <c r="J1302" t="str">
        <f t="shared" si="239"/>
        <v>USDNEWB</v>
      </c>
      <c r="K1302" t="str">
        <f t="shared" si="240"/>
        <v>NEWBUSD</v>
      </c>
      <c r="L1302">
        <f t="shared" si="241"/>
        <v>0</v>
      </c>
      <c r="M1302">
        <f t="shared" si="242"/>
        <v>1</v>
      </c>
      <c r="N1302" t="b">
        <f t="shared" si="243"/>
        <v>1</v>
      </c>
    </row>
    <row r="1303" spans="1:14" hidden="1" x14ac:dyDescent="0.25">
      <c r="A1303" t="s">
        <v>5</v>
      </c>
      <c r="B1303" t="s">
        <v>428</v>
      </c>
      <c r="C1303" s="1">
        <v>1.6199999999999999E-6</v>
      </c>
      <c r="D1303" s="1">
        <v>1.37E-6</v>
      </c>
      <c r="E1303" s="1">
        <v>1.6199999999999999E-6</v>
      </c>
      <c r="F1303" s="1">
        <v>1.37E-6</v>
      </c>
      <c r="G1303">
        <f t="shared" si="237"/>
        <v>6</v>
      </c>
      <c r="H1303" t="str">
        <f t="shared" si="244"/>
        <v>BTC</v>
      </c>
      <c r="I1303" t="str">
        <f>LEFT(B1303,3)</f>
        <v>NIC</v>
      </c>
      <c r="J1303" t="str">
        <f t="shared" si="239"/>
        <v>BTCNIC</v>
      </c>
      <c r="K1303" t="str">
        <f t="shared" si="240"/>
        <v>NICBTC</v>
      </c>
      <c r="L1303">
        <f t="shared" si="241"/>
        <v>0</v>
      </c>
      <c r="M1303">
        <f t="shared" si="242"/>
        <v>1</v>
      </c>
      <c r="N1303" t="b">
        <f t="shared" si="243"/>
        <v>1</v>
      </c>
    </row>
    <row r="1304" spans="1:14" hidden="1" x14ac:dyDescent="0.25">
      <c r="A1304" t="s">
        <v>5</v>
      </c>
      <c r="B1304" t="s">
        <v>681</v>
      </c>
      <c r="C1304" s="1" t="s">
        <v>403</v>
      </c>
      <c r="D1304" s="1" t="s">
        <v>409</v>
      </c>
      <c r="E1304" s="1" t="s">
        <v>403</v>
      </c>
      <c r="F1304" s="1" t="s">
        <v>409</v>
      </c>
      <c r="G1304">
        <f t="shared" si="237"/>
        <v>7</v>
      </c>
      <c r="H1304" t="str">
        <f t="shared" si="244"/>
        <v>BTC</v>
      </c>
      <c r="I1304" t="str">
        <f>LEFT(B1304,4)</f>
        <v>NICE</v>
      </c>
      <c r="J1304" t="str">
        <f t="shared" si="239"/>
        <v>BTCNICE</v>
      </c>
      <c r="K1304" t="str">
        <f t="shared" si="240"/>
        <v>NICEBTC</v>
      </c>
      <c r="L1304">
        <f t="shared" si="241"/>
        <v>0</v>
      </c>
      <c r="M1304">
        <f t="shared" si="242"/>
        <v>1</v>
      </c>
      <c r="N1304" t="b">
        <f t="shared" si="243"/>
        <v>1</v>
      </c>
    </row>
    <row r="1305" spans="1:14" hidden="1" x14ac:dyDescent="0.25">
      <c r="A1305" t="s">
        <v>5</v>
      </c>
      <c r="B1305" t="s">
        <v>713</v>
      </c>
      <c r="C1305" s="1" t="s">
        <v>362</v>
      </c>
      <c r="D1305" s="1" t="s">
        <v>364</v>
      </c>
      <c r="E1305" s="1" t="s">
        <v>362</v>
      </c>
      <c r="F1305" s="1">
        <v>7.8000000000000005E-7</v>
      </c>
      <c r="G1305">
        <f t="shared" si="237"/>
        <v>8</v>
      </c>
      <c r="H1305" t="str">
        <f t="shared" si="244"/>
        <v>BTC</v>
      </c>
      <c r="I1305" t="str">
        <f>LEFT(B1305,5)</f>
        <v>NIXON</v>
      </c>
      <c r="J1305" t="str">
        <f t="shared" si="239"/>
        <v>BTCNIXON</v>
      </c>
      <c r="K1305" t="str">
        <f t="shared" si="240"/>
        <v>NIXONBTC</v>
      </c>
      <c r="L1305">
        <f t="shared" si="241"/>
        <v>0</v>
      </c>
      <c r="M1305">
        <f t="shared" si="242"/>
        <v>1</v>
      </c>
      <c r="N1305" t="b">
        <f t="shared" si="243"/>
        <v>1</v>
      </c>
    </row>
    <row r="1306" spans="1:14" hidden="1" x14ac:dyDescent="0.25">
      <c r="A1306" t="s">
        <v>5</v>
      </c>
      <c r="B1306" t="s">
        <v>908</v>
      </c>
      <c r="C1306" s="1" t="s">
        <v>381</v>
      </c>
      <c r="D1306" s="1" t="s">
        <v>384</v>
      </c>
      <c r="E1306" s="1" t="s">
        <v>381</v>
      </c>
      <c r="F1306" s="1" t="s">
        <v>384</v>
      </c>
      <c r="G1306">
        <f t="shared" si="237"/>
        <v>6</v>
      </c>
      <c r="H1306" t="str">
        <f t="shared" si="244"/>
        <v>BTC</v>
      </c>
      <c r="I1306" t="str">
        <f>LEFT(B1306,3)</f>
        <v>NKA</v>
      </c>
      <c r="J1306" t="str">
        <f t="shared" si="239"/>
        <v>BTCNKA</v>
      </c>
      <c r="K1306" t="str">
        <f t="shared" si="240"/>
        <v>NKABTC</v>
      </c>
      <c r="L1306">
        <f t="shared" si="241"/>
        <v>0</v>
      </c>
      <c r="M1306">
        <f t="shared" si="242"/>
        <v>1</v>
      </c>
      <c r="N1306" t="b">
        <f t="shared" si="243"/>
        <v>1</v>
      </c>
    </row>
    <row r="1307" spans="1:14" hidden="1" x14ac:dyDescent="0.25">
      <c r="A1307" t="s">
        <v>5</v>
      </c>
      <c r="B1307" t="s">
        <v>576</v>
      </c>
      <c r="C1307" s="1">
        <v>3.2799999999999999E-6</v>
      </c>
      <c r="D1307" s="1">
        <v>2.5600000000000001E-6</v>
      </c>
      <c r="E1307" s="1">
        <v>3.2799999999999999E-6</v>
      </c>
      <c r="F1307" s="1">
        <v>2.5600000000000001E-6</v>
      </c>
      <c r="G1307">
        <f t="shared" si="237"/>
        <v>6</v>
      </c>
      <c r="H1307" t="str">
        <f t="shared" si="244"/>
        <v>BTC</v>
      </c>
      <c r="I1307" t="str">
        <f>LEFT(B1307,3)</f>
        <v>NKC</v>
      </c>
      <c r="J1307" t="str">
        <f t="shared" si="239"/>
        <v>BTCNKC</v>
      </c>
      <c r="K1307" t="str">
        <f t="shared" si="240"/>
        <v>NKCBTC</v>
      </c>
      <c r="L1307">
        <f t="shared" si="241"/>
        <v>0</v>
      </c>
      <c r="M1307">
        <f t="shared" si="242"/>
        <v>1</v>
      </c>
      <c r="N1307" t="b">
        <f t="shared" si="243"/>
        <v>1</v>
      </c>
    </row>
    <row r="1308" spans="1:14" hidden="1" x14ac:dyDescent="0.25">
      <c r="A1308" t="s">
        <v>5</v>
      </c>
      <c r="B1308" t="s">
        <v>436</v>
      </c>
      <c r="C1308" s="1">
        <v>6.7999999999999995E-7</v>
      </c>
      <c r="D1308" s="1">
        <v>5.6000000000000004E-7</v>
      </c>
      <c r="E1308" s="1">
        <v>6.7999999999999995E-7</v>
      </c>
      <c r="F1308" s="1">
        <v>5.6000000000000004E-7</v>
      </c>
      <c r="G1308">
        <f t="shared" si="237"/>
        <v>6</v>
      </c>
      <c r="H1308" t="str">
        <f t="shared" si="244"/>
        <v>BTC</v>
      </c>
      <c r="I1308" t="str">
        <f>LEFT(B1308,3)</f>
        <v>NKT</v>
      </c>
      <c r="J1308" t="str">
        <f t="shared" si="239"/>
        <v>BTCNKT</v>
      </c>
      <c r="K1308" t="str">
        <f t="shared" si="240"/>
        <v>NKTBTC</v>
      </c>
      <c r="L1308">
        <f t="shared" si="241"/>
        <v>0</v>
      </c>
      <c r="M1308">
        <f t="shared" si="242"/>
        <v>1</v>
      </c>
      <c r="N1308" t="b">
        <f t="shared" si="243"/>
        <v>1</v>
      </c>
    </row>
    <row r="1309" spans="1:14" hidden="1" x14ac:dyDescent="0.25">
      <c r="A1309" t="s">
        <v>5</v>
      </c>
      <c r="B1309" t="s">
        <v>796</v>
      </c>
      <c r="C1309" s="1">
        <v>2.1E-7</v>
      </c>
      <c r="D1309" s="1">
        <v>1.6999999999999999E-7</v>
      </c>
      <c r="E1309" s="1">
        <v>2.1E-7</v>
      </c>
      <c r="F1309" s="1">
        <v>1.6999999999999999E-7</v>
      </c>
      <c r="G1309">
        <f t="shared" si="237"/>
        <v>7</v>
      </c>
      <c r="H1309" t="str">
        <f t="shared" si="244"/>
        <v>BTC</v>
      </c>
      <c r="I1309" t="str">
        <f>LEFT(B1309,4)</f>
        <v>NLC2</v>
      </c>
      <c r="J1309" t="str">
        <f t="shared" si="239"/>
        <v>BTCNLC2</v>
      </c>
      <c r="K1309" t="str">
        <f t="shared" si="240"/>
        <v>NLC2BTC</v>
      </c>
      <c r="L1309">
        <f t="shared" si="241"/>
        <v>0</v>
      </c>
      <c r="M1309">
        <f t="shared" si="242"/>
        <v>1</v>
      </c>
      <c r="N1309" t="b">
        <f t="shared" si="243"/>
        <v>1</v>
      </c>
    </row>
    <row r="1310" spans="1:14" hidden="1" x14ac:dyDescent="0.25">
      <c r="A1310" t="s">
        <v>0</v>
      </c>
      <c r="B1310" t="s">
        <v>14</v>
      </c>
      <c r="C1310" s="1">
        <v>1.833</v>
      </c>
      <c r="D1310" s="1">
        <v>1.8280000000000001</v>
      </c>
      <c r="E1310" s="1">
        <v>1.833</v>
      </c>
      <c r="F1310" s="1">
        <v>1.8280000000000001</v>
      </c>
      <c r="G1310">
        <f t="shared" si="237"/>
        <v>6</v>
      </c>
      <c r="H1310" t="str">
        <f t="shared" si="244"/>
        <v>USD</v>
      </c>
      <c r="I1310" t="str">
        <f>LEFT(B1310,3)</f>
        <v>NMC</v>
      </c>
      <c r="J1310" t="str">
        <f t="shared" si="239"/>
        <v>USDNMC</v>
      </c>
      <c r="K1310" t="str">
        <f t="shared" si="240"/>
        <v>NMCUSD</v>
      </c>
      <c r="L1310">
        <f t="shared" si="241"/>
        <v>0</v>
      </c>
      <c r="M1310">
        <f t="shared" si="242"/>
        <v>1</v>
      </c>
      <c r="N1310" t="b">
        <f t="shared" si="243"/>
        <v>1</v>
      </c>
    </row>
    <row r="1311" spans="1:14" hidden="1" x14ac:dyDescent="0.25">
      <c r="A1311" t="s">
        <v>5</v>
      </c>
      <c r="B1311" t="s">
        <v>577</v>
      </c>
      <c r="C1311" s="1">
        <v>6.2500000000000001E-5</v>
      </c>
      <c r="D1311" s="1">
        <v>5.003E-5</v>
      </c>
      <c r="E1311" s="1">
        <v>6.2500000000000001E-5</v>
      </c>
      <c r="F1311" s="1">
        <v>5.003E-5</v>
      </c>
      <c r="G1311">
        <f t="shared" si="237"/>
        <v>6</v>
      </c>
      <c r="H1311" t="str">
        <f t="shared" si="244"/>
        <v>BTC</v>
      </c>
      <c r="I1311" t="str">
        <f>LEFT(B1311,3)</f>
        <v>NOC</v>
      </c>
      <c r="J1311" t="str">
        <f t="shared" si="239"/>
        <v>BTCNOC</v>
      </c>
      <c r="K1311" t="str">
        <f t="shared" si="240"/>
        <v>NOCBTC</v>
      </c>
      <c r="L1311">
        <f t="shared" si="241"/>
        <v>0</v>
      </c>
      <c r="M1311">
        <f t="shared" si="242"/>
        <v>1</v>
      </c>
      <c r="N1311" t="b">
        <f t="shared" si="243"/>
        <v>1</v>
      </c>
    </row>
    <row r="1312" spans="1:14" hidden="1" x14ac:dyDescent="0.25">
      <c r="A1312" t="s">
        <v>5</v>
      </c>
      <c r="B1312" t="s">
        <v>725</v>
      </c>
      <c r="C1312" s="1">
        <v>9.7000000000000003E-7</v>
      </c>
      <c r="D1312" s="1">
        <v>6.6000000000000003E-7</v>
      </c>
      <c r="E1312" s="1">
        <v>9.7000000000000003E-7</v>
      </c>
      <c r="F1312" s="1">
        <v>6.6000000000000003E-7</v>
      </c>
      <c r="G1312">
        <f t="shared" si="237"/>
        <v>7</v>
      </c>
      <c r="H1312" t="str">
        <f t="shared" si="244"/>
        <v>BTC</v>
      </c>
      <c r="I1312" t="str">
        <f>LEFT(B1312,4)</f>
        <v>NODC</v>
      </c>
      <c r="J1312" t="str">
        <f t="shared" si="239"/>
        <v>BTCNODC</v>
      </c>
      <c r="K1312" t="str">
        <f t="shared" si="240"/>
        <v>NODCBTC</v>
      </c>
      <c r="L1312">
        <f t="shared" si="241"/>
        <v>0</v>
      </c>
      <c r="M1312">
        <f t="shared" si="242"/>
        <v>1</v>
      </c>
      <c r="N1312" t="b">
        <f t="shared" si="243"/>
        <v>1</v>
      </c>
    </row>
    <row r="1313" spans="1:14" hidden="1" x14ac:dyDescent="0.25">
      <c r="A1313" t="s">
        <v>5</v>
      </c>
      <c r="B1313" t="s">
        <v>843</v>
      </c>
      <c r="C1313" s="1">
        <v>1.0100000000000001E-6</v>
      </c>
      <c r="D1313" s="1">
        <v>7.4000000000000001E-7</v>
      </c>
      <c r="E1313" s="1">
        <v>1.0100000000000001E-6</v>
      </c>
      <c r="F1313" s="1">
        <v>7.4000000000000001E-7</v>
      </c>
      <c r="G1313">
        <f t="shared" si="237"/>
        <v>8</v>
      </c>
      <c r="H1313" t="str">
        <f t="shared" si="244"/>
        <v>BTC</v>
      </c>
      <c r="I1313" t="str">
        <f>LEFT(B1313,5)</f>
        <v>NODES</v>
      </c>
      <c r="J1313" t="str">
        <f t="shared" si="239"/>
        <v>BTCNODES</v>
      </c>
      <c r="K1313" t="str">
        <f t="shared" si="240"/>
        <v>NODESBTC</v>
      </c>
      <c r="L1313">
        <f t="shared" si="241"/>
        <v>0</v>
      </c>
      <c r="M1313">
        <f t="shared" si="242"/>
        <v>1</v>
      </c>
      <c r="N1313" t="b">
        <f t="shared" si="243"/>
        <v>1</v>
      </c>
    </row>
    <row r="1314" spans="1:14" hidden="1" x14ac:dyDescent="0.25">
      <c r="A1314" t="s">
        <v>5</v>
      </c>
      <c r="B1314" t="s">
        <v>900</v>
      </c>
      <c r="C1314" s="1">
        <v>3.7900000000000001E-6</v>
      </c>
      <c r="D1314" s="1">
        <v>2.52E-6</v>
      </c>
      <c r="E1314" s="1">
        <v>3.7900000000000001E-6</v>
      </c>
      <c r="F1314" s="1">
        <v>2.52E-6</v>
      </c>
      <c r="G1314">
        <f t="shared" si="237"/>
        <v>7</v>
      </c>
      <c r="H1314" t="str">
        <f t="shared" si="244"/>
        <v>BTC</v>
      </c>
      <c r="I1314" t="str">
        <f>LEFT(B1314,4)</f>
        <v>NODX</v>
      </c>
      <c r="J1314" t="str">
        <f t="shared" si="239"/>
        <v>BTCNODX</v>
      </c>
      <c r="K1314" t="str">
        <f t="shared" si="240"/>
        <v>NODXBTC</v>
      </c>
      <c r="L1314">
        <f t="shared" si="241"/>
        <v>0</v>
      </c>
      <c r="M1314">
        <f t="shared" si="242"/>
        <v>1</v>
      </c>
      <c r="N1314" t="b">
        <f t="shared" si="243"/>
        <v>1</v>
      </c>
    </row>
    <row r="1315" spans="1:14" hidden="1" x14ac:dyDescent="0.25">
      <c r="A1315" t="s">
        <v>5</v>
      </c>
      <c r="B1315" t="s">
        <v>1231</v>
      </c>
      <c r="C1315" s="1">
        <v>6.9999610000000004E-2</v>
      </c>
      <c r="D1315" s="1">
        <v>4.1000719999999997E-2</v>
      </c>
      <c r="E1315" s="1">
        <v>6.9999610531266396E-2</v>
      </c>
      <c r="F1315" s="1">
        <v>4.0599303476697997E-2</v>
      </c>
      <c r="G1315">
        <f t="shared" si="237"/>
        <v>6</v>
      </c>
      <c r="H1315" t="str">
        <f t="shared" si="244"/>
        <v>BTC</v>
      </c>
      <c r="I1315" t="str">
        <f>LEFT(B1315,3)</f>
        <v>NOO</v>
      </c>
      <c r="J1315" t="str">
        <f t="shared" si="239"/>
        <v>BTCNOO</v>
      </c>
      <c r="K1315" t="str">
        <f t="shared" si="240"/>
        <v>NOOBTC</v>
      </c>
      <c r="L1315">
        <f t="shared" si="241"/>
        <v>0</v>
      </c>
      <c r="M1315">
        <f t="shared" si="242"/>
        <v>1</v>
      </c>
      <c r="N1315" t="b">
        <f t="shared" si="243"/>
        <v>1</v>
      </c>
    </row>
    <row r="1316" spans="1:14" hidden="1" x14ac:dyDescent="0.25">
      <c r="A1316" t="s">
        <v>1403</v>
      </c>
      <c r="B1316" t="s">
        <v>2014</v>
      </c>
      <c r="C1316" s="1">
        <v>47.000010039999999</v>
      </c>
      <c r="D1316" s="1">
        <v>137.82399755</v>
      </c>
      <c r="E1316" s="1">
        <v>322</v>
      </c>
      <c r="F1316" s="1">
        <v>11.020000059999999</v>
      </c>
      <c r="G1316">
        <f t="shared" si="237"/>
        <v>8</v>
      </c>
      <c r="H1316" t="str">
        <f>RIGHT(B1316,4)</f>
        <v>DOGE</v>
      </c>
      <c r="I1316" t="str">
        <f>LEFT(B1316,4)</f>
        <v>NOTE</v>
      </c>
      <c r="J1316" t="str">
        <f t="shared" si="239"/>
        <v>DOGENOTE</v>
      </c>
      <c r="K1316" t="str">
        <f t="shared" si="240"/>
        <v>NOTEDOGE</v>
      </c>
      <c r="L1316">
        <f t="shared" si="241"/>
        <v>0</v>
      </c>
      <c r="M1316">
        <f t="shared" si="242"/>
        <v>1</v>
      </c>
      <c r="N1316" t="b">
        <f t="shared" si="243"/>
        <v>1</v>
      </c>
    </row>
    <row r="1317" spans="1:14" hidden="1" x14ac:dyDescent="0.25">
      <c r="A1317" t="s">
        <v>1403</v>
      </c>
      <c r="B1317" t="s">
        <v>1822</v>
      </c>
      <c r="C1317" s="1">
        <v>2.3000099999999999E-3</v>
      </c>
      <c r="D1317" s="1">
        <v>1.00114E-3</v>
      </c>
      <c r="E1317" s="1">
        <v>9.9993500000000006E-3</v>
      </c>
      <c r="F1317" s="1">
        <v>3.9702999999999998E-4</v>
      </c>
      <c r="G1317">
        <f t="shared" si="237"/>
        <v>7</v>
      </c>
      <c r="H1317" t="str">
        <f>RIGHT(B1317,3)</f>
        <v>LTC</v>
      </c>
      <c r="I1317" t="str">
        <f>LEFT(B1317,4)</f>
        <v>NOTE</v>
      </c>
      <c r="J1317" t="str">
        <f t="shared" si="239"/>
        <v>LTCNOTE</v>
      </c>
      <c r="K1317" t="str">
        <f t="shared" si="240"/>
        <v>NOTELTC</v>
      </c>
      <c r="L1317">
        <f t="shared" si="241"/>
        <v>0</v>
      </c>
      <c r="M1317">
        <f t="shared" si="242"/>
        <v>1</v>
      </c>
      <c r="N1317" t="b">
        <f t="shared" si="243"/>
        <v>1</v>
      </c>
    </row>
    <row r="1318" spans="1:14" hidden="1" x14ac:dyDescent="0.25">
      <c r="A1318" t="s">
        <v>1403</v>
      </c>
      <c r="B1318" t="s">
        <v>1636</v>
      </c>
      <c r="C1318" s="1">
        <v>5.0000499999999998E-3</v>
      </c>
      <c r="D1318" s="1">
        <v>0.47</v>
      </c>
      <c r="E1318" s="1">
        <v>0.46999998999999998</v>
      </c>
      <c r="F1318" s="1">
        <v>1.0010079999999999E-2</v>
      </c>
      <c r="G1318">
        <f t="shared" si="237"/>
        <v>7</v>
      </c>
      <c r="H1318" t="str">
        <f>RIGHT(B1318,3)</f>
        <v>USD</v>
      </c>
      <c r="I1318" t="str">
        <f>LEFT(B1318,4)</f>
        <v>NOTE</v>
      </c>
      <c r="J1318" t="str">
        <f t="shared" si="239"/>
        <v>USDNOTE</v>
      </c>
      <c r="K1318" t="str">
        <f t="shared" si="240"/>
        <v>NOTEUSD</v>
      </c>
      <c r="L1318">
        <f t="shared" si="241"/>
        <v>0</v>
      </c>
      <c r="M1318">
        <f t="shared" si="242"/>
        <v>1</v>
      </c>
      <c r="N1318" t="b">
        <f t="shared" si="243"/>
        <v>1</v>
      </c>
    </row>
    <row r="1319" spans="1:14" hidden="1" x14ac:dyDescent="0.25">
      <c r="A1319" t="s">
        <v>5</v>
      </c>
      <c r="B1319" t="s">
        <v>1004</v>
      </c>
      <c r="C1319" s="1">
        <v>3.3258000000000002E-4</v>
      </c>
      <c r="D1319" s="1">
        <v>2.0024999999999999E-4</v>
      </c>
      <c r="E1319" s="1">
        <v>3.3258000000000002E-4</v>
      </c>
      <c r="F1319" s="1">
        <v>2.0024999999999999E-4</v>
      </c>
      <c r="G1319">
        <f t="shared" si="237"/>
        <v>6</v>
      </c>
      <c r="H1319" t="str">
        <f>RIGHT(B1319,3)</f>
        <v>BTC</v>
      </c>
      <c r="I1319" t="str">
        <f>LEFT(B1319,3)</f>
        <v>NPC</v>
      </c>
      <c r="J1319" t="str">
        <f t="shared" si="239"/>
        <v>BTCNPC</v>
      </c>
      <c r="K1319" t="str">
        <f t="shared" si="240"/>
        <v>NPCBTC</v>
      </c>
      <c r="L1319">
        <f t="shared" si="241"/>
        <v>0</v>
      </c>
      <c r="M1319">
        <f t="shared" si="242"/>
        <v>1</v>
      </c>
      <c r="N1319" t="b">
        <f t="shared" si="243"/>
        <v>1</v>
      </c>
    </row>
    <row r="1320" spans="1:14" hidden="1" x14ac:dyDescent="0.25">
      <c r="A1320" t="s">
        <v>5</v>
      </c>
      <c r="B1320" t="s">
        <v>1116</v>
      </c>
      <c r="C1320" s="1">
        <v>2.3999999999999998E-7</v>
      </c>
      <c r="D1320" s="1" t="s">
        <v>368</v>
      </c>
      <c r="E1320" s="1">
        <v>2.3999999999999998E-7</v>
      </c>
      <c r="F1320" s="1" t="s">
        <v>368</v>
      </c>
      <c r="G1320">
        <f t="shared" si="237"/>
        <v>6</v>
      </c>
      <c r="H1320" t="str">
        <f>RIGHT(B1320,3)</f>
        <v>BTC</v>
      </c>
      <c r="I1320" t="str">
        <f>LEFT(B1320,3)</f>
        <v>NRC</v>
      </c>
      <c r="J1320" t="str">
        <f t="shared" si="239"/>
        <v>BTCNRC</v>
      </c>
      <c r="K1320" t="str">
        <f t="shared" si="240"/>
        <v>NRCBTC</v>
      </c>
      <c r="L1320">
        <f t="shared" si="241"/>
        <v>0</v>
      </c>
      <c r="M1320">
        <f t="shared" si="242"/>
        <v>1</v>
      </c>
      <c r="N1320" t="b">
        <f t="shared" si="243"/>
        <v>1</v>
      </c>
    </row>
    <row r="1321" spans="1:14" hidden="1" x14ac:dyDescent="0.25">
      <c r="A1321" t="s">
        <v>1403</v>
      </c>
      <c r="B1321" t="s">
        <v>1480</v>
      </c>
      <c r="C1321" s="1">
        <v>5.2E-7</v>
      </c>
      <c r="D1321" s="1">
        <v>5.2E-7</v>
      </c>
      <c r="E1321" s="1">
        <v>5.7000000000000005E-7</v>
      </c>
      <c r="F1321" s="1" t="s">
        <v>401</v>
      </c>
      <c r="G1321">
        <f t="shared" si="237"/>
        <v>7</v>
      </c>
      <c r="H1321" t="str">
        <f>RIGHT(B1321,3)</f>
        <v>BTC</v>
      </c>
      <c r="I1321" t="str">
        <f>LEFT(B1321,4)</f>
        <v>NTCC</v>
      </c>
      <c r="J1321" t="str">
        <f t="shared" si="239"/>
        <v>BTCNTCC</v>
      </c>
      <c r="K1321" t="str">
        <f t="shared" si="240"/>
        <v>NTCCBTC</v>
      </c>
      <c r="L1321">
        <f t="shared" si="241"/>
        <v>0</v>
      </c>
      <c r="M1321">
        <f t="shared" si="242"/>
        <v>1</v>
      </c>
      <c r="N1321" t="b">
        <f t="shared" si="243"/>
        <v>1</v>
      </c>
    </row>
    <row r="1322" spans="1:14" hidden="1" x14ac:dyDescent="0.25">
      <c r="A1322" t="s">
        <v>1403</v>
      </c>
      <c r="B1322" t="s">
        <v>2015</v>
      </c>
      <c r="C1322" s="1">
        <v>2.0000029999999999E-2</v>
      </c>
      <c r="D1322" s="1">
        <v>2.0000029999999999E-2</v>
      </c>
      <c r="E1322" s="1">
        <v>14.41666665</v>
      </c>
      <c r="F1322" s="1">
        <v>2.0000150000000001E-2</v>
      </c>
      <c r="G1322">
        <f t="shared" si="237"/>
        <v>8</v>
      </c>
      <c r="H1322" t="str">
        <f>RIGHT(B1322,4)</f>
        <v>DOGE</v>
      </c>
      <c r="I1322" t="str">
        <f>LEFT(B1322,4)</f>
        <v>NTCC</v>
      </c>
      <c r="J1322" t="str">
        <f t="shared" si="239"/>
        <v>DOGENTCC</v>
      </c>
      <c r="K1322" t="str">
        <f t="shared" si="240"/>
        <v>NTCCDOGE</v>
      </c>
      <c r="L1322">
        <f t="shared" si="241"/>
        <v>0</v>
      </c>
      <c r="M1322">
        <f t="shared" si="242"/>
        <v>1</v>
      </c>
      <c r="N1322" t="b">
        <f t="shared" si="243"/>
        <v>1</v>
      </c>
    </row>
    <row r="1323" spans="1:14" hidden="1" x14ac:dyDescent="0.25">
      <c r="A1323" t="s">
        <v>1403</v>
      </c>
      <c r="B1323" t="s">
        <v>1823</v>
      </c>
      <c r="C1323" s="1">
        <v>1.5621E-4</v>
      </c>
      <c r="D1323" s="1">
        <v>1.5621E-4</v>
      </c>
      <c r="E1323" s="1">
        <v>2.8000000000000001E-2</v>
      </c>
      <c r="F1323" s="1" t="s">
        <v>380</v>
      </c>
      <c r="G1323">
        <f t="shared" si="237"/>
        <v>7</v>
      </c>
      <c r="H1323" t="str">
        <f t="shared" ref="H1323:H1328" si="245">RIGHT(B1323,3)</f>
        <v>LTC</v>
      </c>
      <c r="I1323" t="str">
        <f>LEFT(B1323,4)</f>
        <v>NTCC</v>
      </c>
      <c r="J1323" t="str">
        <f t="shared" si="239"/>
        <v>LTCNTCC</v>
      </c>
      <c r="K1323" t="str">
        <f t="shared" si="240"/>
        <v>NTCCLTC</v>
      </c>
      <c r="L1323">
        <f t="shared" si="241"/>
        <v>0</v>
      </c>
      <c r="M1323">
        <f t="shared" si="242"/>
        <v>1</v>
      </c>
      <c r="N1323" t="b">
        <f t="shared" si="243"/>
        <v>1</v>
      </c>
    </row>
    <row r="1324" spans="1:14" hidden="1" x14ac:dyDescent="0.25">
      <c r="A1324" t="s">
        <v>1403</v>
      </c>
      <c r="B1324" t="s">
        <v>1637</v>
      </c>
      <c r="C1324" s="1">
        <v>9.9399999999999992E-3</v>
      </c>
      <c r="D1324" s="1">
        <v>9.9399999999999992E-3</v>
      </c>
      <c r="E1324" s="1">
        <v>1.5573200000000001E-3</v>
      </c>
      <c r="F1324" s="1">
        <v>1.3627999999999999E-3</v>
      </c>
      <c r="G1324">
        <f t="shared" si="237"/>
        <v>7</v>
      </c>
      <c r="H1324" t="str">
        <f t="shared" si="245"/>
        <v>USD</v>
      </c>
      <c r="I1324" t="str">
        <f>LEFT(B1324,4)</f>
        <v>NTCC</v>
      </c>
      <c r="J1324" t="str">
        <f t="shared" si="239"/>
        <v>USDNTCC</v>
      </c>
      <c r="K1324" t="str">
        <f t="shared" si="240"/>
        <v>NTCCUSD</v>
      </c>
      <c r="L1324">
        <f t="shared" si="241"/>
        <v>0</v>
      </c>
      <c r="M1324">
        <f t="shared" si="242"/>
        <v>1</v>
      </c>
      <c r="N1324" t="b">
        <f t="shared" si="243"/>
        <v>1</v>
      </c>
    </row>
    <row r="1325" spans="1:14" hidden="1" x14ac:dyDescent="0.25">
      <c r="A1325" t="s">
        <v>5</v>
      </c>
      <c r="B1325" t="s">
        <v>390</v>
      </c>
      <c r="C1325" s="1">
        <v>6.19E-6</v>
      </c>
      <c r="D1325" s="1">
        <v>3.5200000000000002E-6</v>
      </c>
      <c r="E1325" s="1">
        <v>6.19E-6</v>
      </c>
      <c r="F1325" s="1">
        <v>3.5200000000000002E-6</v>
      </c>
      <c r="G1325">
        <f t="shared" si="237"/>
        <v>7</v>
      </c>
      <c r="H1325" t="str">
        <f t="shared" si="245"/>
        <v>BTC</v>
      </c>
      <c r="I1325" t="str">
        <f>LEFT(B1325,4)</f>
        <v>NTRN</v>
      </c>
      <c r="J1325" t="str">
        <f t="shared" si="239"/>
        <v>BTCNTRN</v>
      </c>
      <c r="K1325" t="str">
        <f t="shared" si="240"/>
        <v>NTRNBTC</v>
      </c>
      <c r="L1325">
        <f t="shared" si="241"/>
        <v>0</v>
      </c>
      <c r="M1325">
        <f t="shared" si="242"/>
        <v>1</v>
      </c>
      <c r="N1325" t="b">
        <f t="shared" si="243"/>
        <v>1</v>
      </c>
    </row>
    <row r="1326" spans="1:14" hidden="1" x14ac:dyDescent="0.25">
      <c r="A1326" t="s">
        <v>5</v>
      </c>
      <c r="B1326" t="s">
        <v>1016</v>
      </c>
      <c r="C1326" s="1">
        <v>6.0059999999999998E-5</v>
      </c>
      <c r="D1326" s="1">
        <v>6.0040000000000001E-5</v>
      </c>
      <c r="E1326" s="1">
        <v>6.0059999999999998E-5</v>
      </c>
      <c r="F1326" s="1">
        <v>6.0040000000000001E-5</v>
      </c>
      <c r="G1326">
        <f t="shared" si="237"/>
        <v>8</v>
      </c>
      <c r="H1326" t="str">
        <f t="shared" si="245"/>
        <v>BTC</v>
      </c>
      <c r="I1326" t="str">
        <f>LEFT(B1326,5)</f>
        <v>NUBIS</v>
      </c>
      <c r="J1326" t="str">
        <f t="shared" si="239"/>
        <v>BTCNUBIS</v>
      </c>
      <c r="K1326" t="str">
        <f t="shared" si="240"/>
        <v>NUBISBTC</v>
      </c>
      <c r="L1326">
        <f t="shared" si="241"/>
        <v>0</v>
      </c>
      <c r="M1326">
        <f t="shared" si="242"/>
        <v>1</v>
      </c>
      <c r="N1326" t="b">
        <f t="shared" si="243"/>
        <v>1</v>
      </c>
    </row>
    <row r="1327" spans="1:14" hidden="1" x14ac:dyDescent="0.25">
      <c r="A1327" t="s">
        <v>5</v>
      </c>
      <c r="B1327" t="s">
        <v>1107</v>
      </c>
      <c r="C1327" s="1">
        <v>1.02E-6</v>
      </c>
      <c r="D1327" s="1">
        <v>8.4E-7</v>
      </c>
      <c r="E1327" s="1">
        <v>1.02E-6</v>
      </c>
      <c r="F1327" s="1">
        <v>8.4E-7</v>
      </c>
      <c r="G1327">
        <f t="shared" si="237"/>
        <v>7</v>
      </c>
      <c r="H1327" t="str">
        <f t="shared" si="245"/>
        <v>BTC</v>
      </c>
      <c r="I1327" t="str">
        <f>LEFT(B1327,4)</f>
        <v>NUKE</v>
      </c>
      <c r="J1327" t="str">
        <f t="shared" si="239"/>
        <v>BTCNUKE</v>
      </c>
      <c r="K1327" t="str">
        <f t="shared" si="240"/>
        <v>NUKEBTC</v>
      </c>
      <c r="L1327">
        <f t="shared" si="241"/>
        <v>0</v>
      </c>
      <c r="M1327">
        <f t="shared" si="242"/>
        <v>1</v>
      </c>
      <c r="N1327" t="b">
        <f t="shared" si="243"/>
        <v>1</v>
      </c>
    </row>
    <row r="1328" spans="1:14" hidden="1" x14ac:dyDescent="0.25">
      <c r="A1328" t="s">
        <v>5</v>
      </c>
      <c r="B1328" t="s">
        <v>1062</v>
      </c>
      <c r="C1328" s="1" t="s">
        <v>361</v>
      </c>
      <c r="D1328" s="1" t="s">
        <v>364</v>
      </c>
      <c r="E1328" s="1" t="s">
        <v>361</v>
      </c>
      <c r="F1328" s="1">
        <v>2.8500999999999998E-4</v>
      </c>
      <c r="G1328">
        <f t="shared" si="237"/>
        <v>6</v>
      </c>
      <c r="H1328" t="str">
        <f t="shared" si="245"/>
        <v>BTC</v>
      </c>
      <c r="I1328" t="str">
        <f t="shared" ref="I1328:I1334" si="246">LEFT(B1328,3)</f>
        <v>NUM</v>
      </c>
      <c r="J1328" t="str">
        <f t="shared" si="239"/>
        <v>BTCNUM</v>
      </c>
      <c r="K1328" t="str">
        <f t="shared" si="240"/>
        <v>NUMBTC</v>
      </c>
      <c r="L1328">
        <f t="shared" si="241"/>
        <v>0</v>
      </c>
      <c r="M1328">
        <f t="shared" si="242"/>
        <v>1</v>
      </c>
      <c r="N1328" t="b">
        <f t="shared" si="243"/>
        <v>1</v>
      </c>
    </row>
    <row r="1329" spans="1:14" hidden="1" x14ac:dyDescent="0.25">
      <c r="A1329" t="s">
        <v>1403</v>
      </c>
      <c r="B1329" t="s">
        <v>2016</v>
      </c>
      <c r="C1329" s="1">
        <v>500000</v>
      </c>
      <c r="D1329" s="1">
        <v>500000</v>
      </c>
      <c r="E1329" s="1">
        <v>258062.38714047801</v>
      </c>
      <c r="F1329" s="1">
        <v>62.000000059999998</v>
      </c>
      <c r="G1329">
        <f t="shared" si="237"/>
        <v>7</v>
      </c>
      <c r="H1329" t="str">
        <f>RIGHT(B1329,4)</f>
        <v>DOGE</v>
      </c>
      <c r="I1329" t="str">
        <f t="shared" si="246"/>
        <v>NVC</v>
      </c>
      <c r="J1329" t="str">
        <f t="shared" si="239"/>
        <v>DOGENVC</v>
      </c>
      <c r="K1329" t="str">
        <f t="shared" si="240"/>
        <v>NVCDOGE</v>
      </c>
      <c r="L1329">
        <f t="shared" si="241"/>
        <v>0</v>
      </c>
      <c r="M1329">
        <f t="shared" si="242"/>
        <v>1</v>
      </c>
      <c r="N1329" t="b">
        <f t="shared" si="243"/>
        <v>1</v>
      </c>
    </row>
    <row r="1330" spans="1:14" hidden="1" x14ac:dyDescent="0.25">
      <c r="A1330" t="s">
        <v>1403</v>
      </c>
      <c r="B1330" t="s">
        <v>1824</v>
      </c>
      <c r="C1330" s="1">
        <v>0</v>
      </c>
      <c r="D1330" s="1">
        <v>0</v>
      </c>
      <c r="E1330" s="1">
        <v>0</v>
      </c>
      <c r="F1330" s="1">
        <v>5.5068289999999999E-2</v>
      </c>
      <c r="G1330">
        <f t="shared" si="237"/>
        <v>6</v>
      </c>
      <c r="H1330" t="str">
        <f>RIGHT(B1330,3)</f>
        <v>LTC</v>
      </c>
      <c r="I1330" t="str">
        <f t="shared" si="246"/>
        <v>NVC</v>
      </c>
      <c r="J1330" t="str">
        <f t="shared" si="239"/>
        <v>LTCNVC</v>
      </c>
      <c r="K1330" t="str">
        <f t="shared" si="240"/>
        <v>NVCLTC</v>
      </c>
      <c r="L1330">
        <f t="shared" si="241"/>
        <v>0</v>
      </c>
      <c r="M1330">
        <f t="shared" si="242"/>
        <v>1</v>
      </c>
      <c r="N1330" t="b">
        <f t="shared" si="243"/>
        <v>1</v>
      </c>
    </row>
    <row r="1331" spans="1:14" hidden="1" x14ac:dyDescent="0.25">
      <c r="A1331" t="s">
        <v>5</v>
      </c>
      <c r="B1331" t="s">
        <v>535</v>
      </c>
      <c r="C1331" s="1">
        <v>1.0100000000000001E-6</v>
      </c>
      <c r="D1331" s="1">
        <v>9.0999999999999997E-7</v>
      </c>
      <c r="E1331" s="1">
        <v>1.0100000000000001E-6</v>
      </c>
      <c r="F1331" s="1">
        <v>9.0999999999999997E-7</v>
      </c>
      <c r="G1331">
        <f t="shared" si="237"/>
        <v>6</v>
      </c>
      <c r="H1331" t="str">
        <f>RIGHT(B1331,3)</f>
        <v>BTC</v>
      </c>
      <c r="I1331" t="str">
        <f t="shared" si="246"/>
        <v>NXE</v>
      </c>
      <c r="J1331" t="str">
        <f t="shared" si="239"/>
        <v>BTCNXE</v>
      </c>
      <c r="K1331" t="str">
        <f t="shared" si="240"/>
        <v>NXEBTC</v>
      </c>
      <c r="L1331">
        <f t="shared" si="241"/>
        <v>0</v>
      </c>
      <c r="M1331">
        <f t="shared" si="242"/>
        <v>1</v>
      </c>
      <c r="N1331" t="b">
        <f t="shared" si="243"/>
        <v>1</v>
      </c>
    </row>
    <row r="1332" spans="1:14" hidden="1" x14ac:dyDescent="0.25">
      <c r="A1332" t="s">
        <v>1403</v>
      </c>
      <c r="B1332" t="s">
        <v>2017</v>
      </c>
      <c r="C1332" s="1">
        <v>30.000005009999999</v>
      </c>
      <c r="D1332" s="1">
        <v>72.789121069999993</v>
      </c>
      <c r="E1332" s="1">
        <v>72.789121069999993</v>
      </c>
      <c r="F1332" s="1">
        <v>20.000000020000002</v>
      </c>
      <c r="G1332">
        <f t="shared" si="237"/>
        <v>7</v>
      </c>
      <c r="H1332" t="str">
        <f>RIGHT(B1332,4)</f>
        <v>DOGE</v>
      </c>
      <c r="I1332" t="str">
        <f t="shared" si="246"/>
        <v>NXT</v>
      </c>
      <c r="J1332" t="str">
        <f t="shared" si="239"/>
        <v>DOGENXT</v>
      </c>
      <c r="K1332" t="str">
        <f t="shared" si="240"/>
        <v>NXTDOGE</v>
      </c>
      <c r="L1332">
        <f t="shared" si="241"/>
        <v>0</v>
      </c>
      <c r="M1332">
        <f t="shared" si="242"/>
        <v>1</v>
      </c>
      <c r="N1332" t="b">
        <f t="shared" si="243"/>
        <v>1</v>
      </c>
    </row>
    <row r="1333" spans="1:14" hidden="1" x14ac:dyDescent="0.25">
      <c r="A1333" t="s">
        <v>1403</v>
      </c>
      <c r="B1333" t="s">
        <v>1825</v>
      </c>
      <c r="C1333" s="1">
        <v>2.0780000000000001E-4</v>
      </c>
      <c r="D1333" s="1">
        <v>1.7199679999999998E-2</v>
      </c>
      <c r="E1333" s="1">
        <v>0.17099991</v>
      </c>
      <c r="F1333" s="1">
        <v>1.5400500000000001E-3</v>
      </c>
      <c r="G1333">
        <f t="shared" si="237"/>
        <v>6</v>
      </c>
      <c r="H1333" t="str">
        <f t="shared" ref="H1333:H1341" si="247">RIGHT(B1333,3)</f>
        <v>LTC</v>
      </c>
      <c r="I1333" t="str">
        <f t="shared" si="246"/>
        <v>NXT</v>
      </c>
      <c r="J1333" t="str">
        <f t="shared" si="239"/>
        <v>LTCNXT</v>
      </c>
      <c r="K1333" t="str">
        <f t="shared" si="240"/>
        <v>NXTLTC</v>
      </c>
      <c r="L1333">
        <f t="shared" si="241"/>
        <v>0</v>
      </c>
      <c r="M1333">
        <f t="shared" si="242"/>
        <v>1</v>
      </c>
      <c r="N1333" t="b">
        <f t="shared" si="243"/>
        <v>1</v>
      </c>
    </row>
    <row r="1334" spans="1:14" hidden="1" x14ac:dyDescent="0.25">
      <c r="A1334" t="s">
        <v>5</v>
      </c>
      <c r="B1334" t="s">
        <v>871</v>
      </c>
      <c r="C1334" s="1" t="s">
        <v>361</v>
      </c>
      <c r="D1334" s="1" t="s">
        <v>362</v>
      </c>
      <c r="E1334" s="1" t="s">
        <v>361</v>
      </c>
      <c r="F1334" s="1" t="s">
        <v>362</v>
      </c>
      <c r="G1334">
        <f t="shared" si="237"/>
        <v>6</v>
      </c>
      <c r="H1334" t="str">
        <f t="shared" si="247"/>
        <v>BTC</v>
      </c>
      <c r="I1334" t="str">
        <f t="shared" si="246"/>
        <v>NZC</v>
      </c>
      <c r="J1334" t="str">
        <f t="shared" si="239"/>
        <v>BTCNZC</v>
      </c>
      <c r="K1334" t="str">
        <f t="shared" si="240"/>
        <v>NZCBTC</v>
      </c>
      <c r="L1334">
        <f t="shared" si="241"/>
        <v>0</v>
      </c>
      <c r="M1334">
        <f t="shared" si="242"/>
        <v>1</v>
      </c>
      <c r="N1334" t="b">
        <f t="shared" si="243"/>
        <v>1</v>
      </c>
    </row>
    <row r="1335" spans="1:14" hidden="1" x14ac:dyDescent="0.25">
      <c r="A1335" t="s">
        <v>1239</v>
      </c>
      <c r="B1335" t="s">
        <v>1344</v>
      </c>
      <c r="C1335" s="1">
        <v>9.5100000000000002E-4</v>
      </c>
      <c r="D1335" s="1">
        <v>8.3401000000000005E-4</v>
      </c>
      <c r="E1335" s="1">
        <v>9.5100000000000002E-4</v>
      </c>
      <c r="F1335" s="1">
        <v>8.3251303604359997E-4</v>
      </c>
      <c r="G1335">
        <f t="shared" si="237"/>
        <v>8</v>
      </c>
      <c r="H1335" t="str">
        <f t="shared" si="247"/>
        <v>BTC</v>
      </c>
      <c r="I1335" t="str">
        <f>LEFT(B1335,5)</f>
        <v>OBITS</v>
      </c>
      <c r="J1335" t="str">
        <f t="shared" si="239"/>
        <v>BTCOBITS</v>
      </c>
      <c r="K1335" t="str">
        <f t="shared" si="240"/>
        <v>OBITSBTC</v>
      </c>
      <c r="L1335">
        <f t="shared" si="241"/>
        <v>0</v>
      </c>
      <c r="M1335">
        <f t="shared" si="242"/>
        <v>1</v>
      </c>
      <c r="N1335" t="b">
        <f t="shared" si="243"/>
        <v>1</v>
      </c>
    </row>
    <row r="1336" spans="1:14" hidden="1" x14ac:dyDescent="0.25">
      <c r="A1336" t="s">
        <v>1239</v>
      </c>
      <c r="B1336" t="s">
        <v>1346</v>
      </c>
      <c r="C1336" s="1">
        <v>20.999999989999999</v>
      </c>
      <c r="D1336" s="1">
        <v>3.3055001000000002</v>
      </c>
      <c r="E1336" s="1">
        <v>20.999999989999999</v>
      </c>
      <c r="F1336" s="1">
        <v>3.3055001000000002</v>
      </c>
      <c r="G1336">
        <f t="shared" si="237"/>
        <v>8</v>
      </c>
      <c r="H1336" t="str">
        <f t="shared" si="247"/>
        <v>BTS</v>
      </c>
      <c r="I1336" t="str">
        <f>LEFT(B1336,5)</f>
        <v>OBITS</v>
      </c>
      <c r="J1336" t="str">
        <f t="shared" si="239"/>
        <v>BTSOBITS</v>
      </c>
      <c r="K1336" t="str">
        <f t="shared" si="240"/>
        <v>OBITSBTS</v>
      </c>
      <c r="L1336">
        <f t="shared" si="241"/>
        <v>0</v>
      </c>
      <c r="M1336">
        <f t="shared" si="242"/>
        <v>1</v>
      </c>
      <c r="N1336" t="b">
        <f t="shared" si="243"/>
        <v>1</v>
      </c>
    </row>
    <row r="1337" spans="1:14" hidden="1" x14ac:dyDescent="0.25">
      <c r="A1337" t="s">
        <v>1239</v>
      </c>
      <c r="B1337" t="s">
        <v>1345</v>
      </c>
      <c r="C1337" s="1">
        <v>9.9880000000000004E-3</v>
      </c>
      <c r="D1337" s="1">
        <v>1.7900800000000001E-3</v>
      </c>
      <c r="E1337" s="1">
        <v>9.9880000000000004E-3</v>
      </c>
      <c r="F1337" s="1">
        <v>1.7900800000000001E-3</v>
      </c>
      <c r="G1337">
        <f t="shared" si="237"/>
        <v>8</v>
      </c>
      <c r="H1337" t="str">
        <f t="shared" si="247"/>
        <v>ETH</v>
      </c>
      <c r="I1337" t="str">
        <f>LEFT(B1337,5)</f>
        <v>OBITS</v>
      </c>
      <c r="J1337" t="str">
        <f t="shared" si="239"/>
        <v>ETHOBITS</v>
      </c>
      <c r="K1337" t="str">
        <f t="shared" si="240"/>
        <v>OBITSETH</v>
      </c>
      <c r="L1337">
        <f t="shared" si="241"/>
        <v>0</v>
      </c>
      <c r="M1337">
        <f t="shared" si="242"/>
        <v>1</v>
      </c>
      <c r="N1337" t="b">
        <f t="shared" si="243"/>
        <v>1</v>
      </c>
    </row>
    <row r="1338" spans="1:14" hidden="1" x14ac:dyDescent="0.25">
      <c r="A1338" t="s">
        <v>1239</v>
      </c>
      <c r="B1338" t="s">
        <v>1343</v>
      </c>
      <c r="C1338" s="1">
        <v>5</v>
      </c>
      <c r="D1338" s="1">
        <v>1.0569999999999999</v>
      </c>
      <c r="E1338" s="1">
        <v>5</v>
      </c>
      <c r="F1338" s="1">
        <v>1.0569999999999999</v>
      </c>
      <c r="G1338">
        <f t="shared" si="237"/>
        <v>8</v>
      </c>
      <c r="H1338" t="str">
        <f t="shared" si="247"/>
        <v>EUR</v>
      </c>
      <c r="I1338" t="str">
        <f>LEFT(B1338,5)</f>
        <v>OBITS</v>
      </c>
      <c r="J1338" t="str">
        <f t="shared" si="239"/>
        <v>EUROBITS</v>
      </c>
      <c r="K1338" t="str">
        <f t="shared" si="240"/>
        <v>OBITSEUR</v>
      </c>
      <c r="L1338">
        <f t="shared" si="241"/>
        <v>0</v>
      </c>
      <c r="M1338">
        <f t="shared" si="242"/>
        <v>1</v>
      </c>
      <c r="N1338" t="b">
        <f t="shared" si="243"/>
        <v>1</v>
      </c>
    </row>
    <row r="1339" spans="1:14" hidden="1" x14ac:dyDescent="0.25">
      <c r="A1339" t="s">
        <v>1239</v>
      </c>
      <c r="B1339" t="s">
        <v>1342</v>
      </c>
      <c r="C1339" s="1">
        <v>2.5</v>
      </c>
      <c r="D1339" s="1">
        <v>1.87</v>
      </c>
      <c r="E1339" s="1">
        <v>2.5</v>
      </c>
      <c r="F1339" s="1">
        <v>1.87</v>
      </c>
      <c r="G1339">
        <f t="shared" si="237"/>
        <v>8</v>
      </c>
      <c r="H1339" t="str">
        <f t="shared" si="247"/>
        <v>USD</v>
      </c>
      <c r="I1339" t="str">
        <f>LEFT(B1339,5)</f>
        <v>OBITS</v>
      </c>
      <c r="J1339" t="str">
        <f t="shared" si="239"/>
        <v>USDOBITS</v>
      </c>
      <c r="K1339" t="str">
        <f t="shared" si="240"/>
        <v>OBITSUSD</v>
      </c>
      <c r="L1339">
        <f t="shared" si="241"/>
        <v>0</v>
      </c>
      <c r="M1339">
        <f t="shared" si="242"/>
        <v>1</v>
      </c>
      <c r="N1339" t="b">
        <f t="shared" si="243"/>
        <v>1</v>
      </c>
    </row>
    <row r="1340" spans="1:14" hidden="1" x14ac:dyDescent="0.25">
      <c r="A1340" t="s">
        <v>5</v>
      </c>
      <c r="B1340" t="s">
        <v>950</v>
      </c>
      <c r="C1340" s="1">
        <v>1.641E-4</v>
      </c>
      <c r="D1340" s="1">
        <v>1.4999999999999999E-4</v>
      </c>
      <c r="E1340" s="1">
        <v>1.641E-4</v>
      </c>
      <c r="F1340" s="1">
        <v>1.4999999999999999E-4</v>
      </c>
      <c r="G1340">
        <f t="shared" si="237"/>
        <v>6</v>
      </c>
      <c r="H1340" t="str">
        <f t="shared" si="247"/>
        <v>BTC</v>
      </c>
      <c r="I1340" t="str">
        <f>LEFT(B1340,3)</f>
        <v>OBS</v>
      </c>
      <c r="J1340" t="str">
        <f t="shared" si="239"/>
        <v>BTCOBS</v>
      </c>
      <c r="K1340" t="str">
        <f t="shared" si="240"/>
        <v>OBSBTC</v>
      </c>
      <c r="L1340">
        <f t="shared" si="241"/>
        <v>0</v>
      </c>
      <c r="M1340">
        <f t="shared" si="242"/>
        <v>1</v>
      </c>
      <c r="N1340" t="b">
        <f t="shared" si="243"/>
        <v>1</v>
      </c>
    </row>
    <row r="1341" spans="1:14" hidden="1" x14ac:dyDescent="0.25">
      <c r="A1341" t="s">
        <v>5</v>
      </c>
      <c r="B1341" t="s">
        <v>402</v>
      </c>
      <c r="C1341" s="1">
        <v>9.5999999999999991E-7</v>
      </c>
      <c r="D1341" s="1" t="s">
        <v>403</v>
      </c>
      <c r="E1341" s="1">
        <v>9.5999999999999991E-7</v>
      </c>
      <c r="F1341" s="1" t="s">
        <v>403</v>
      </c>
      <c r="G1341">
        <f t="shared" si="237"/>
        <v>7</v>
      </c>
      <c r="H1341" t="str">
        <f t="shared" si="247"/>
        <v>BTC</v>
      </c>
      <c r="I1341" t="str">
        <f>LEFT(B1341,4)</f>
        <v>OCOW</v>
      </c>
      <c r="J1341" t="str">
        <f t="shared" si="239"/>
        <v>BTCOCOW</v>
      </c>
      <c r="K1341" t="str">
        <f t="shared" si="240"/>
        <v>OCOWBTC</v>
      </c>
      <c r="L1341">
        <f t="shared" si="241"/>
        <v>0</v>
      </c>
      <c r="M1341">
        <f t="shared" si="242"/>
        <v>1</v>
      </c>
      <c r="N1341" t="b">
        <f t="shared" si="243"/>
        <v>1</v>
      </c>
    </row>
    <row r="1342" spans="1:14" hidden="1" x14ac:dyDescent="0.25">
      <c r="A1342" t="s">
        <v>1403</v>
      </c>
      <c r="B1342" t="s">
        <v>2018</v>
      </c>
      <c r="C1342" s="1">
        <v>699999</v>
      </c>
      <c r="D1342" s="1">
        <v>699999</v>
      </c>
      <c r="E1342" s="1">
        <v>699999</v>
      </c>
      <c r="F1342" s="1">
        <v>30.030000050000002</v>
      </c>
      <c r="G1342">
        <f t="shared" si="237"/>
        <v>6</v>
      </c>
      <c r="H1342" t="str">
        <f>RIGHT(B1342,4)</f>
        <v>DOGE</v>
      </c>
      <c r="I1342" t="str">
        <f>LEFT(B1342,2)</f>
        <v>OD</v>
      </c>
      <c r="J1342" t="str">
        <f t="shared" si="239"/>
        <v>DOGEOD</v>
      </c>
      <c r="K1342" t="str">
        <f t="shared" si="240"/>
        <v>ODDOGE</v>
      </c>
      <c r="L1342">
        <f t="shared" si="241"/>
        <v>0</v>
      </c>
      <c r="M1342">
        <f t="shared" si="242"/>
        <v>1</v>
      </c>
      <c r="N1342" t="b">
        <f t="shared" si="243"/>
        <v>1</v>
      </c>
    </row>
    <row r="1343" spans="1:14" hidden="1" x14ac:dyDescent="0.25">
      <c r="A1343" t="s">
        <v>1403</v>
      </c>
      <c r="B1343" t="s">
        <v>1826</v>
      </c>
      <c r="C1343" s="1">
        <v>0</v>
      </c>
      <c r="D1343" s="1">
        <v>0</v>
      </c>
      <c r="E1343" s="1">
        <v>0</v>
      </c>
      <c r="F1343" s="1">
        <v>2.1E-7</v>
      </c>
      <c r="G1343">
        <f t="shared" si="237"/>
        <v>5</v>
      </c>
      <c r="H1343" t="str">
        <f t="shared" ref="H1343:H1349" si="248">RIGHT(B1343,3)</f>
        <v>LTC</v>
      </c>
      <c r="I1343" t="str">
        <f>LEFT(B1343,2)</f>
        <v>OD</v>
      </c>
      <c r="J1343" t="str">
        <f t="shared" si="239"/>
        <v>LTCOD</v>
      </c>
      <c r="K1343" t="str">
        <f t="shared" si="240"/>
        <v>ODLTC</v>
      </c>
      <c r="L1343">
        <f t="shared" si="241"/>
        <v>0</v>
      </c>
      <c r="M1343">
        <f t="shared" si="242"/>
        <v>1</v>
      </c>
      <c r="N1343" t="b">
        <f t="shared" si="243"/>
        <v>1</v>
      </c>
    </row>
    <row r="1344" spans="1:14" hidden="1" x14ac:dyDescent="0.25">
      <c r="A1344" t="s">
        <v>5</v>
      </c>
      <c r="B1344" t="s">
        <v>1143</v>
      </c>
      <c r="C1344" s="1">
        <v>4.4599999999999996E-6</v>
      </c>
      <c r="D1344" s="1">
        <v>3.2100000000000002E-6</v>
      </c>
      <c r="E1344" s="1">
        <v>4.4599999999999996E-6</v>
      </c>
      <c r="F1344" s="1">
        <v>3.2100000000000002E-6</v>
      </c>
      <c r="G1344">
        <f t="shared" si="237"/>
        <v>7</v>
      </c>
      <c r="H1344" t="str">
        <f t="shared" si="248"/>
        <v>BTC</v>
      </c>
      <c r="I1344" t="str">
        <f>LEFT(B1344,4)</f>
        <v>ODNT</v>
      </c>
      <c r="J1344" t="str">
        <f t="shared" si="239"/>
        <v>BTCODNT</v>
      </c>
      <c r="K1344" t="str">
        <f t="shared" si="240"/>
        <v>ODNTBTC</v>
      </c>
      <c r="L1344">
        <f t="shared" si="241"/>
        <v>0</v>
      </c>
      <c r="M1344">
        <f t="shared" si="242"/>
        <v>1</v>
      </c>
      <c r="N1344" t="b">
        <f t="shared" si="243"/>
        <v>1</v>
      </c>
    </row>
    <row r="1345" spans="1:14" hidden="1" x14ac:dyDescent="0.25">
      <c r="A1345" t="s">
        <v>1403</v>
      </c>
      <c r="B1345" t="s">
        <v>1638</v>
      </c>
      <c r="C1345" s="1">
        <v>3.5</v>
      </c>
      <c r="D1345" s="1">
        <v>3.5</v>
      </c>
      <c r="E1345" s="1">
        <v>3.3</v>
      </c>
      <c r="F1345" s="1">
        <v>1.0000300000000001E-3</v>
      </c>
      <c r="G1345">
        <f t="shared" ref="G1345:G1408" si="249">LEN(B1345)</f>
        <v>5</v>
      </c>
      <c r="H1345" t="str">
        <f t="shared" si="248"/>
        <v>USD</v>
      </c>
      <c r="I1345" t="str">
        <f>LEFT(B1345,2)</f>
        <v>OD</v>
      </c>
      <c r="J1345" t="str">
        <f t="shared" ref="J1345:J1408" si="250">CONCATENATE(H1345,I1345)</f>
        <v>USDOD</v>
      </c>
      <c r="K1345" t="str">
        <f t="shared" ref="K1345:K1408" si="251">CONCATENATE(I1345,H1345)</f>
        <v>ODUSD</v>
      </c>
      <c r="L1345">
        <f t="shared" ref="L1345:L1408" si="252">COUNTIF(B:B,J1345)</f>
        <v>0</v>
      </c>
      <c r="M1345">
        <f t="shared" ref="M1345:M1408" si="253">COUNTIF(B:B,K1345)</f>
        <v>1</v>
      </c>
      <c r="N1345" t="b">
        <f t="shared" ref="N1345:N1408" si="254">L1345=0</f>
        <v>1</v>
      </c>
    </row>
    <row r="1346" spans="1:14" hidden="1" x14ac:dyDescent="0.25">
      <c r="A1346" t="s">
        <v>5</v>
      </c>
      <c r="B1346" t="s">
        <v>1144</v>
      </c>
      <c r="C1346" s="1" t="s">
        <v>539</v>
      </c>
      <c r="D1346" s="1" t="s">
        <v>355</v>
      </c>
      <c r="E1346" s="1" t="s">
        <v>539</v>
      </c>
      <c r="F1346" s="1" t="s">
        <v>355</v>
      </c>
      <c r="G1346">
        <f t="shared" si="249"/>
        <v>8</v>
      </c>
      <c r="H1346" t="str">
        <f t="shared" si="248"/>
        <v>BTC</v>
      </c>
      <c r="I1346" t="str">
        <f>LEFT(B1346,5)</f>
        <v>OLYMP</v>
      </c>
      <c r="J1346" t="str">
        <f t="shared" si="250"/>
        <v>BTCOLYMP</v>
      </c>
      <c r="K1346" t="str">
        <f t="shared" si="251"/>
        <v>OLYMPBTC</v>
      </c>
      <c r="L1346">
        <f t="shared" si="252"/>
        <v>0</v>
      </c>
      <c r="M1346">
        <f t="shared" si="253"/>
        <v>1</v>
      </c>
      <c r="N1346" t="b">
        <f t="shared" si="254"/>
        <v>1</v>
      </c>
    </row>
    <row r="1347" spans="1:14" hidden="1" x14ac:dyDescent="0.25">
      <c r="A1347" t="s">
        <v>5</v>
      </c>
      <c r="B1347" t="s">
        <v>1098</v>
      </c>
      <c r="C1347" s="1">
        <v>3.735E-5</v>
      </c>
      <c r="D1347" s="1">
        <v>3.2410000000000003E-5</v>
      </c>
      <c r="E1347" s="1">
        <v>3.735E-5</v>
      </c>
      <c r="F1347" s="1">
        <v>3.2410000000000003E-5</v>
      </c>
      <c r="G1347">
        <f t="shared" si="249"/>
        <v>6</v>
      </c>
      <c r="H1347" t="str">
        <f t="shared" si="248"/>
        <v>BTC</v>
      </c>
      <c r="I1347" t="str">
        <f>LEFT(B1347,3)</f>
        <v>OMA</v>
      </c>
      <c r="J1347" t="str">
        <f t="shared" si="250"/>
        <v>BTCOMA</v>
      </c>
      <c r="K1347" t="str">
        <f t="shared" si="251"/>
        <v>OMABTC</v>
      </c>
      <c r="L1347">
        <f t="shared" si="252"/>
        <v>0</v>
      </c>
      <c r="M1347">
        <f t="shared" si="253"/>
        <v>1</v>
      </c>
      <c r="N1347" t="b">
        <f t="shared" si="254"/>
        <v>1</v>
      </c>
    </row>
    <row r="1348" spans="1:14" hidden="1" x14ac:dyDescent="0.25">
      <c r="A1348" t="s">
        <v>5</v>
      </c>
      <c r="B1348" t="s">
        <v>852</v>
      </c>
      <c r="C1348" s="1">
        <v>1.8620000000000001E-5</v>
      </c>
      <c r="D1348" s="1">
        <v>1.6099999999999998E-5</v>
      </c>
      <c r="E1348" s="1">
        <v>1.8620000000000001E-5</v>
      </c>
      <c r="F1348" s="1">
        <v>1.6099999999999998E-5</v>
      </c>
      <c r="G1348">
        <f t="shared" si="249"/>
        <v>6</v>
      </c>
      <c r="H1348" t="str">
        <f t="shared" si="248"/>
        <v>BTC</v>
      </c>
      <c r="I1348" t="str">
        <f>LEFT(B1348,3)</f>
        <v>OMC</v>
      </c>
      <c r="J1348" t="str">
        <f t="shared" si="250"/>
        <v>BTCOMC</v>
      </c>
      <c r="K1348" t="str">
        <f t="shared" si="251"/>
        <v>OMCBTC</v>
      </c>
      <c r="L1348">
        <f t="shared" si="252"/>
        <v>0</v>
      </c>
      <c r="M1348">
        <f t="shared" si="253"/>
        <v>1</v>
      </c>
      <c r="N1348" t="b">
        <f t="shared" si="254"/>
        <v>1</v>
      </c>
    </row>
    <row r="1349" spans="1:14" hidden="1" x14ac:dyDescent="0.25">
      <c r="A1349" t="s">
        <v>5</v>
      </c>
      <c r="B1349" t="s">
        <v>369</v>
      </c>
      <c r="C1349" s="1">
        <v>5.0999999999999999E-7</v>
      </c>
      <c r="D1349" s="1">
        <v>3.4999999999999998E-7</v>
      </c>
      <c r="E1349" s="1">
        <v>5.0999999999999999E-7</v>
      </c>
      <c r="F1349" s="1">
        <v>3.4999999999999998E-7</v>
      </c>
      <c r="G1349">
        <f t="shared" si="249"/>
        <v>6</v>
      </c>
      <c r="H1349" t="str">
        <f t="shared" si="248"/>
        <v>BTC</v>
      </c>
      <c r="I1349" t="str">
        <f>LEFT(B1349,3)</f>
        <v>OMG</v>
      </c>
      <c r="J1349" t="str">
        <f t="shared" si="250"/>
        <v>BTCOMG</v>
      </c>
      <c r="K1349" t="str">
        <f t="shared" si="251"/>
        <v>OMGBTC</v>
      </c>
      <c r="L1349">
        <f t="shared" si="252"/>
        <v>0</v>
      </c>
      <c r="M1349">
        <f t="shared" si="253"/>
        <v>1</v>
      </c>
      <c r="N1349" t="b">
        <f t="shared" si="254"/>
        <v>1</v>
      </c>
    </row>
    <row r="1350" spans="1:14" hidden="1" x14ac:dyDescent="0.25">
      <c r="A1350" t="s">
        <v>1403</v>
      </c>
      <c r="B1350" t="s">
        <v>2019</v>
      </c>
      <c r="C1350" s="1">
        <v>899097</v>
      </c>
      <c r="D1350" s="1">
        <v>899097</v>
      </c>
      <c r="E1350" s="1">
        <v>899097</v>
      </c>
      <c r="F1350" s="1">
        <v>2019.0000000099999</v>
      </c>
      <c r="G1350">
        <f t="shared" si="249"/>
        <v>8</v>
      </c>
      <c r="H1350" t="str">
        <f>RIGHT(B1350,4)</f>
        <v>DOGE</v>
      </c>
      <c r="I1350" t="str">
        <f>LEFT(B1350,4)</f>
        <v>OMNI</v>
      </c>
      <c r="J1350" t="str">
        <f t="shared" si="250"/>
        <v>DOGEOMNI</v>
      </c>
      <c r="K1350" t="str">
        <f t="shared" si="251"/>
        <v>OMNIDOGE</v>
      </c>
      <c r="L1350">
        <f t="shared" si="252"/>
        <v>0</v>
      </c>
      <c r="M1350">
        <f t="shared" si="253"/>
        <v>1</v>
      </c>
      <c r="N1350" t="b">
        <f t="shared" si="254"/>
        <v>1</v>
      </c>
    </row>
    <row r="1351" spans="1:14" hidden="1" x14ac:dyDescent="0.25">
      <c r="A1351" t="s">
        <v>1403</v>
      </c>
      <c r="B1351" t="s">
        <v>1827</v>
      </c>
      <c r="C1351" s="1">
        <v>0.94339622999999995</v>
      </c>
      <c r="D1351" s="1">
        <v>2.9899998000000001</v>
      </c>
      <c r="E1351" s="1">
        <v>0.94339622999999995</v>
      </c>
      <c r="F1351" s="1">
        <v>0.51000003999999999</v>
      </c>
      <c r="G1351">
        <f t="shared" si="249"/>
        <v>7</v>
      </c>
      <c r="H1351" t="str">
        <f t="shared" ref="H1351:H1357" si="255">RIGHT(B1351,3)</f>
        <v>LTC</v>
      </c>
      <c r="I1351" t="str">
        <f>LEFT(B1351,4)</f>
        <v>OMNI</v>
      </c>
      <c r="J1351" t="str">
        <f t="shared" si="250"/>
        <v>LTCOMNI</v>
      </c>
      <c r="K1351" t="str">
        <f t="shared" si="251"/>
        <v>OMNILTC</v>
      </c>
      <c r="L1351">
        <f t="shared" si="252"/>
        <v>0</v>
      </c>
      <c r="M1351">
        <f t="shared" si="253"/>
        <v>1</v>
      </c>
      <c r="N1351" t="b">
        <f t="shared" si="254"/>
        <v>1</v>
      </c>
    </row>
    <row r="1352" spans="1:14" hidden="1" x14ac:dyDescent="0.25">
      <c r="A1352" t="s">
        <v>1403</v>
      </c>
      <c r="B1352" t="s">
        <v>1639</v>
      </c>
      <c r="C1352" s="1">
        <v>99.98</v>
      </c>
      <c r="D1352" s="1">
        <v>99.98</v>
      </c>
      <c r="E1352" s="1">
        <v>99.98</v>
      </c>
      <c r="F1352" s="1">
        <v>4.7115453842879402</v>
      </c>
      <c r="G1352">
        <f t="shared" si="249"/>
        <v>7</v>
      </c>
      <c r="H1352" t="str">
        <f t="shared" si="255"/>
        <v>USD</v>
      </c>
      <c r="I1352" t="str">
        <f>LEFT(B1352,4)</f>
        <v>OMNI</v>
      </c>
      <c r="J1352" t="str">
        <f t="shared" si="250"/>
        <v>USDOMNI</v>
      </c>
      <c r="K1352" t="str">
        <f t="shared" si="251"/>
        <v>OMNIUSD</v>
      </c>
      <c r="L1352">
        <f t="shared" si="252"/>
        <v>0</v>
      </c>
      <c r="M1352">
        <f t="shared" si="253"/>
        <v>1</v>
      </c>
      <c r="N1352" t="b">
        <f t="shared" si="254"/>
        <v>1</v>
      </c>
    </row>
    <row r="1353" spans="1:14" hidden="1" x14ac:dyDescent="0.25">
      <c r="A1353" t="s">
        <v>5</v>
      </c>
      <c r="B1353" t="s">
        <v>1047</v>
      </c>
      <c r="C1353" s="1">
        <v>2.8000000000000002E-7</v>
      </c>
      <c r="D1353" s="1">
        <v>1.4000000000000001E-7</v>
      </c>
      <c r="E1353" s="1">
        <v>2.8000000000000002E-7</v>
      </c>
      <c r="F1353" s="1">
        <v>1.4000000000000001E-7</v>
      </c>
      <c r="G1353">
        <f t="shared" si="249"/>
        <v>6</v>
      </c>
      <c r="H1353" t="str">
        <f t="shared" si="255"/>
        <v>BTC</v>
      </c>
      <c r="I1353" t="str">
        <f>LEFT(B1353,3)</f>
        <v>ONX</v>
      </c>
      <c r="J1353" t="str">
        <f t="shared" si="250"/>
        <v>BTCONX</v>
      </c>
      <c r="K1353" t="str">
        <f t="shared" si="251"/>
        <v>ONXBTC</v>
      </c>
      <c r="L1353">
        <f t="shared" si="252"/>
        <v>0</v>
      </c>
      <c r="M1353">
        <f t="shared" si="253"/>
        <v>1</v>
      </c>
      <c r="N1353" t="b">
        <f t="shared" si="254"/>
        <v>1</v>
      </c>
    </row>
    <row r="1354" spans="1:14" hidden="1" x14ac:dyDescent="0.25">
      <c r="A1354" t="s">
        <v>5</v>
      </c>
      <c r="B1354" t="s">
        <v>904</v>
      </c>
      <c r="C1354" s="1">
        <v>3.3299999999999999E-6</v>
      </c>
      <c r="D1354" s="1">
        <v>2.08E-6</v>
      </c>
      <c r="E1354" s="1">
        <v>3.3299999999999999E-6</v>
      </c>
      <c r="F1354" s="1">
        <v>2.08E-6</v>
      </c>
      <c r="G1354">
        <f t="shared" si="249"/>
        <v>7</v>
      </c>
      <c r="H1354" t="str">
        <f t="shared" si="255"/>
        <v>BTC</v>
      </c>
      <c r="I1354" t="str">
        <f>LEFT(B1354,4)</f>
        <v>OPAL</v>
      </c>
      <c r="J1354" t="str">
        <f t="shared" si="250"/>
        <v>BTCOPAL</v>
      </c>
      <c r="K1354" t="str">
        <f t="shared" si="251"/>
        <v>OPALBTC</v>
      </c>
      <c r="L1354">
        <f t="shared" si="252"/>
        <v>0</v>
      </c>
      <c r="M1354">
        <f t="shared" si="253"/>
        <v>1</v>
      </c>
      <c r="N1354" t="b">
        <f t="shared" si="254"/>
        <v>1</v>
      </c>
    </row>
    <row r="1355" spans="1:14" hidden="1" x14ac:dyDescent="0.25">
      <c r="A1355" t="s">
        <v>5</v>
      </c>
      <c r="B1355" t="s">
        <v>604</v>
      </c>
      <c r="C1355" s="1">
        <v>1.6E-7</v>
      </c>
      <c r="D1355" s="1">
        <v>1.1999999999999999E-7</v>
      </c>
      <c r="E1355" s="1">
        <v>1.6E-7</v>
      </c>
      <c r="F1355" s="1">
        <v>1.1999999999999999E-7</v>
      </c>
      <c r="G1355">
        <f t="shared" si="249"/>
        <v>5</v>
      </c>
      <c r="H1355" t="str">
        <f t="shared" si="255"/>
        <v>BTC</v>
      </c>
      <c r="I1355" t="str">
        <f>LEFT(B1355,2)</f>
        <v>OP</v>
      </c>
      <c r="J1355" t="str">
        <f t="shared" si="250"/>
        <v>BTCOP</v>
      </c>
      <c r="K1355" t="str">
        <f t="shared" si="251"/>
        <v>OPBTC</v>
      </c>
      <c r="L1355">
        <f t="shared" si="252"/>
        <v>0</v>
      </c>
      <c r="M1355">
        <f t="shared" si="253"/>
        <v>1</v>
      </c>
      <c r="N1355" t="b">
        <f t="shared" si="254"/>
        <v>1</v>
      </c>
    </row>
    <row r="1356" spans="1:14" hidden="1" x14ac:dyDescent="0.25">
      <c r="A1356" t="s">
        <v>5</v>
      </c>
      <c r="B1356" t="s">
        <v>420</v>
      </c>
      <c r="C1356" s="1" t="s">
        <v>421</v>
      </c>
      <c r="D1356" s="1" t="s">
        <v>374</v>
      </c>
      <c r="E1356" s="1" t="s">
        <v>421</v>
      </c>
      <c r="F1356" s="1" t="s">
        <v>374</v>
      </c>
      <c r="G1356">
        <f t="shared" si="249"/>
        <v>7</v>
      </c>
      <c r="H1356" t="str">
        <f t="shared" si="255"/>
        <v>BTC</v>
      </c>
      <c r="I1356" t="str">
        <f>LEFT(B1356,4)</f>
        <v>OPES</v>
      </c>
      <c r="J1356" t="str">
        <f t="shared" si="250"/>
        <v>BTCOPES</v>
      </c>
      <c r="K1356" t="str">
        <f t="shared" si="251"/>
        <v>OPESBTC</v>
      </c>
      <c r="L1356">
        <f t="shared" si="252"/>
        <v>0</v>
      </c>
      <c r="M1356">
        <f t="shared" si="253"/>
        <v>1</v>
      </c>
      <c r="N1356" t="b">
        <f t="shared" si="254"/>
        <v>1</v>
      </c>
    </row>
    <row r="1357" spans="1:14" hidden="1" x14ac:dyDescent="0.25">
      <c r="A1357" t="s">
        <v>1403</v>
      </c>
      <c r="B1357" t="s">
        <v>1482</v>
      </c>
      <c r="C1357" s="1">
        <v>1.507E-5</v>
      </c>
      <c r="D1357" s="1">
        <v>3.9360000000000003E-5</v>
      </c>
      <c r="E1357" s="1">
        <v>1.7E-5</v>
      </c>
      <c r="F1357" s="1">
        <v>1.5140000000000001E-5</v>
      </c>
      <c r="G1357">
        <f t="shared" si="249"/>
        <v>7</v>
      </c>
      <c r="H1357" t="str">
        <f t="shared" si="255"/>
        <v>BTC</v>
      </c>
      <c r="I1357" t="str">
        <f>LEFT(B1357,4)</f>
        <v>OPNC</v>
      </c>
      <c r="J1357" t="str">
        <f t="shared" si="250"/>
        <v>BTCOPNC</v>
      </c>
      <c r="K1357" t="str">
        <f t="shared" si="251"/>
        <v>OPNCBTC</v>
      </c>
      <c r="L1357">
        <f t="shared" si="252"/>
        <v>0</v>
      </c>
      <c r="M1357">
        <f t="shared" si="253"/>
        <v>1</v>
      </c>
      <c r="N1357" t="b">
        <f t="shared" si="254"/>
        <v>1</v>
      </c>
    </row>
    <row r="1358" spans="1:14" hidden="1" x14ac:dyDescent="0.25">
      <c r="A1358" t="s">
        <v>1403</v>
      </c>
      <c r="B1358" t="s">
        <v>2020</v>
      </c>
      <c r="C1358" s="1">
        <v>0</v>
      </c>
      <c r="D1358" s="1">
        <v>0</v>
      </c>
      <c r="E1358" s="1">
        <v>1000051</v>
      </c>
      <c r="F1358" s="1">
        <v>10.510000509999999</v>
      </c>
      <c r="G1358">
        <f t="shared" si="249"/>
        <v>8</v>
      </c>
      <c r="H1358" t="str">
        <f>RIGHT(B1358,4)</f>
        <v>DOGE</v>
      </c>
      <c r="I1358" t="str">
        <f>LEFT(B1358,4)</f>
        <v>OPNC</v>
      </c>
      <c r="J1358" t="str">
        <f t="shared" si="250"/>
        <v>DOGEOPNC</v>
      </c>
      <c r="K1358" t="str">
        <f t="shared" si="251"/>
        <v>OPNCDOGE</v>
      </c>
      <c r="L1358">
        <f t="shared" si="252"/>
        <v>0</v>
      </c>
      <c r="M1358">
        <f t="shared" si="253"/>
        <v>1</v>
      </c>
      <c r="N1358" t="b">
        <f t="shared" si="254"/>
        <v>1</v>
      </c>
    </row>
    <row r="1359" spans="1:14" hidden="1" x14ac:dyDescent="0.25">
      <c r="A1359" t="s">
        <v>1403</v>
      </c>
      <c r="B1359" t="s">
        <v>1828</v>
      </c>
      <c r="C1359" s="1">
        <v>4.0025E-4</v>
      </c>
      <c r="D1359" s="1">
        <v>4.0025E-4</v>
      </c>
      <c r="E1359" s="1">
        <v>0.2</v>
      </c>
      <c r="F1359" s="1" t="s">
        <v>355</v>
      </c>
      <c r="G1359">
        <f t="shared" si="249"/>
        <v>7</v>
      </c>
      <c r="H1359" t="str">
        <f>RIGHT(B1359,3)</f>
        <v>LTC</v>
      </c>
      <c r="I1359" t="str">
        <f>LEFT(B1359,4)</f>
        <v>OPNC</v>
      </c>
      <c r="J1359" t="str">
        <f t="shared" si="250"/>
        <v>LTCOPNC</v>
      </c>
      <c r="K1359" t="str">
        <f t="shared" si="251"/>
        <v>OPNCLTC</v>
      </c>
      <c r="L1359">
        <f t="shared" si="252"/>
        <v>0</v>
      </c>
      <c r="M1359">
        <f t="shared" si="253"/>
        <v>1</v>
      </c>
      <c r="N1359" t="b">
        <f t="shared" si="254"/>
        <v>1</v>
      </c>
    </row>
    <row r="1360" spans="1:14" hidden="1" x14ac:dyDescent="0.25">
      <c r="A1360" t="s">
        <v>1403</v>
      </c>
      <c r="B1360" t="s">
        <v>1640</v>
      </c>
      <c r="C1360" s="1">
        <v>0</v>
      </c>
      <c r="D1360" s="1">
        <v>0</v>
      </c>
      <c r="E1360" s="1">
        <v>0.99999996999999996</v>
      </c>
      <c r="F1360" s="1">
        <v>4.0000210000000001E-2</v>
      </c>
      <c r="G1360">
        <f t="shared" si="249"/>
        <v>7</v>
      </c>
      <c r="H1360" t="str">
        <f>RIGHT(B1360,3)</f>
        <v>USD</v>
      </c>
      <c r="I1360" t="str">
        <f>LEFT(B1360,4)</f>
        <v>OPNC</v>
      </c>
      <c r="J1360" t="str">
        <f t="shared" si="250"/>
        <v>USDOPNC</v>
      </c>
      <c r="K1360" t="str">
        <f t="shared" si="251"/>
        <v>OPNCUSD</v>
      </c>
      <c r="L1360">
        <f t="shared" si="252"/>
        <v>0</v>
      </c>
      <c r="M1360">
        <f t="shared" si="253"/>
        <v>1</v>
      </c>
      <c r="N1360" t="b">
        <f t="shared" si="254"/>
        <v>1</v>
      </c>
    </row>
    <row r="1361" spans="1:14" hidden="1" x14ac:dyDescent="0.25">
      <c r="A1361" t="s">
        <v>5</v>
      </c>
      <c r="B1361" t="s">
        <v>855</v>
      </c>
      <c r="C1361" s="1">
        <v>1.6999999999999999E-7</v>
      </c>
      <c r="D1361" s="1">
        <v>1.4999999999999999E-7</v>
      </c>
      <c r="E1361" s="1">
        <v>1.6999999999999999E-7</v>
      </c>
      <c r="F1361" s="1">
        <v>1.4999999999999999E-7</v>
      </c>
      <c r="G1361">
        <f t="shared" si="249"/>
        <v>9</v>
      </c>
      <c r="H1361" t="str">
        <f>RIGHT(B1361,3)</f>
        <v>BTC</v>
      </c>
      <c r="I1361" t="str">
        <f>LEFT(B1361,6)</f>
        <v>OPTION</v>
      </c>
      <c r="J1361" t="str">
        <f t="shared" si="250"/>
        <v>BTCOPTION</v>
      </c>
      <c r="K1361" t="str">
        <f t="shared" si="251"/>
        <v>OPTIONBTC</v>
      </c>
      <c r="L1361">
        <f t="shared" si="252"/>
        <v>0</v>
      </c>
      <c r="M1361">
        <f t="shared" si="253"/>
        <v>1</v>
      </c>
      <c r="N1361" t="b">
        <f t="shared" si="254"/>
        <v>1</v>
      </c>
    </row>
    <row r="1362" spans="1:14" hidden="1" x14ac:dyDescent="0.25">
      <c r="A1362" t="s">
        <v>5</v>
      </c>
      <c r="B1362" t="s">
        <v>547</v>
      </c>
      <c r="C1362" s="1">
        <v>2.4999999999999999E-7</v>
      </c>
      <c r="D1362" s="1">
        <v>2.2999999999999999E-7</v>
      </c>
      <c r="E1362" s="1">
        <v>2.4999999999999999E-7</v>
      </c>
      <c r="F1362" s="1">
        <v>2.2999999999999999E-7</v>
      </c>
      <c r="G1362">
        <f t="shared" si="249"/>
        <v>7</v>
      </c>
      <c r="H1362" t="str">
        <f>RIGHT(B1362,3)</f>
        <v>BTC</v>
      </c>
      <c r="I1362" t="str">
        <f>LEFT(B1362,4)</f>
        <v>ORLY</v>
      </c>
      <c r="J1362" t="str">
        <f t="shared" si="250"/>
        <v>BTCORLY</v>
      </c>
      <c r="K1362" t="str">
        <f t="shared" si="251"/>
        <v>ORLYBTC</v>
      </c>
      <c r="L1362">
        <f t="shared" si="252"/>
        <v>0</v>
      </c>
      <c r="M1362">
        <f t="shared" si="253"/>
        <v>1</v>
      </c>
      <c r="N1362" t="b">
        <f t="shared" si="254"/>
        <v>1</v>
      </c>
    </row>
    <row r="1363" spans="1:14" hidden="1" x14ac:dyDescent="0.25">
      <c r="A1363" t="s">
        <v>1403</v>
      </c>
      <c r="B1363" t="s">
        <v>1483</v>
      </c>
      <c r="C1363" s="1">
        <v>3.7E-7</v>
      </c>
      <c r="D1363" s="1" t="s">
        <v>421</v>
      </c>
      <c r="E1363" s="1">
        <v>4.0999999999999999E-7</v>
      </c>
      <c r="F1363" s="1">
        <v>3.7E-7</v>
      </c>
      <c r="G1363">
        <f t="shared" si="249"/>
        <v>6</v>
      </c>
      <c r="H1363" t="str">
        <f>RIGHT(B1363,3)</f>
        <v>BTC</v>
      </c>
      <c r="I1363" t="str">
        <f>LEFT(B1363,3)</f>
        <v>ORO</v>
      </c>
      <c r="J1363" t="str">
        <f t="shared" si="250"/>
        <v>BTCORO</v>
      </c>
      <c r="K1363" t="str">
        <f t="shared" si="251"/>
        <v>OROBTC</v>
      </c>
      <c r="L1363">
        <f t="shared" si="252"/>
        <v>0</v>
      </c>
      <c r="M1363">
        <f t="shared" si="253"/>
        <v>1</v>
      </c>
      <c r="N1363" t="b">
        <f t="shared" si="254"/>
        <v>1</v>
      </c>
    </row>
    <row r="1364" spans="1:14" hidden="1" x14ac:dyDescent="0.25">
      <c r="A1364" t="s">
        <v>1403</v>
      </c>
      <c r="B1364" t="s">
        <v>2021</v>
      </c>
      <c r="C1364" s="1">
        <v>2.89999998</v>
      </c>
      <c r="D1364" s="1">
        <v>2.89999998</v>
      </c>
      <c r="E1364" s="1">
        <v>2</v>
      </c>
      <c r="F1364" s="1">
        <v>6.8001110000000003E-2</v>
      </c>
      <c r="G1364">
        <f t="shared" si="249"/>
        <v>7</v>
      </c>
      <c r="H1364" t="str">
        <f>RIGHT(B1364,4)</f>
        <v>DOGE</v>
      </c>
      <c r="I1364" t="str">
        <f>LEFT(B1364,3)</f>
        <v>ORO</v>
      </c>
      <c r="J1364" t="str">
        <f t="shared" si="250"/>
        <v>DOGEORO</v>
      </c>
      <c r="K1364" t="str">
        <f t="shared" si="251"/>
        <v>ORODOGE</v>
      </c>
      <c r="L1364">
        <f t="shared" si="252"/>
        <v>0</v>
      </c>
      <c r="M1364">
        <f t="shared" si="253"/>
        <v>1</v>
      </c>
      <c r="N1364" t="b">
        <f t="shared" si="254"/>
        <v>1</v>
      </c>
    </row>
    <row r="1365" spans="1:14" hidden="1" x14ac:dyDescent="0.25">
      <c r="A1365" t="s">
        <v>1403</v>
      </c>
      <c r="B1365" t="s">
        <v>1829</v>
      </c>
      <c r="C1365" s="1">
        <v>1.4999999999999999E-2</v>
      </c>
      <c r="D1365" s="1">
        <v>1.4999999999999999E-2</v>
      </c>
      <c r="E1365" s="1">
        <v>9.7999999999999997E-4</v>
      </c>
      <c r="F1365" s="1">
        <v>1.011E-5</v>
      </c>
      <c r="G1365">
        <f t="shared" si="249"/>
        <v>6</v>
      </c>
      <c r="H1365" t="str">
        <f>RIGHT(B1365,3)</f>
        <v>LTC</v>
      </c>
      <c r="I1365" t="str">
        <f>LEFT(B1365,3)</f>
        <v>ORO</v>
      </c>
      <c r="J1365" t="str">
        <f t="shared" si="250"/>
        <v>LTCORO</v>
      </c>
      <c r="K1365" t="str">
        <f t="shared" si="251"/>
        <v>OROLTC</v>
      </c>
      <c r="L1365">
        <f t="shared" si="252"/>
        <v>0</v>
      </c>
      <c r="M1365">
        <f t="shared" si="253"/>
        <v>1</v>
      </c>
      <c r="N1365" t="b">
        <f t="shared" si="254"/>
        <v>1</v>
      </c>
    </row>
    <row r="1366" spans="1:14" hidden="1" x14ac:dyDescent="0.25">
      <c r="A1366" t="s">
        <v>1403</v>
      </c>
      <c r="B1366" t="s">
        <v>1641</v>
      </c>
      <c r="C1366" s="1">
        <v>1.0999999999999999E-2</v>
      </c>
      <c r="D1366" s="1">
        <v>1.0999999999999999E-2</v>
      </c>
      <c r="E1366" s="1">
        <v>1.0999999999999999E-2</v>
      </c>
      <c r="F1366" s="1" t="s">
        <v>719</v>
      </c>
      <c r="G1366">
        <f t="shared" si="249"/>
        <v>6</v>
      </c>
      <c r="H1366" t="str">
        <f>RIGHT(B1366,3)</f>
        <v>USD</v>
      </c>
      <c r="I1366" t="str">
        <f>LEFT(B1366,3)</f>
        <v>ORO</v>
      </c>
      <c r="J1366" t="str">
        <f t="shared" si="250"/>
        <v>USDORO</v>
      </c>
      <c r="K1366" t="str">
        <f t="shared" si="251"/>
        <v>OROUSD</v>
      </c>
      <c r="L1366">
        <f t="shared" si="252"/>
        <v>0</v>
      </c>
      <c r="M1366">
        <f t="shared" si="253"/>
        <v>1</v>
      </c>
      <c r="N1366" t="b">
        <f t="shared" si="254"/>
        <v>1</v>
      </c>
    </row>
    <row r="1367" spans="1:14" hidden="1" x14ac:dyDescent="0.25">
      <c r="A1367" t="s">
        <v>5</v>
      </c>
      <c r="B1367" t="s">
        <v>488</v>
      </c>
      <c r="C1367" s="1">
        <v>6.4699999999999999E-6</v>
      </c>
      <c r="D1367" s="1">
        <v>4.9599999999999999E-6</v>
      </c>
      <c r="E1367" s="1">
        <v>6.4699999999999999E-6</v>
      </c>
      <c r="F1367" s="1">
        <v>4.9599999999999999E-6</v>
      </c>
      <c r="G1367">
        <f t="shared" si="249"/>
        <v>7</v>
      </c>
      <c r="H1367" t="str">
        <f>RIGHT(B1367,3)</f>
        <v>BTC</v>
      </c>
      <c r="I1367" t="str">
        <f>LEFT(B1367,4)</f>
        <v>OS76</v>
      </c>
      <c r="J1367" t="str">
        <f t="shared" si="250"/>
        <v>BTCOS76</v>
      </c>
      <c r="K1367" t="str">
        <f t="shared" si="251"/>
        <v>OS76BTC</v>
      </c>
      <c r="L1367">
        <f t="shared" si="252"/>
        <v>0</v>
      </c>
      <c r="M1367">
        <f t="shared" si="253"/>
        <v>1</v>
      </c>
      <c r="N1367" t="b">
        <f t="shared" si="254"/>
        <v>1</v>
      </c>
    </row>
    <row r="1368" spans="1:14" hidden="1" x14ac:dyDescent="0.25">
      <c r="A1368" t="s">
        <v>1403</v>
      </c>
      <c r="B1368" t="s">
        <v>2022</v>
      </c>
      <c r="C1368" s="1">
        <v>543893.76211000001</v>
      </c>
      <c r="D1368" s="1">
        <v>543893.76211000001</v>
      </c>
      <c r="E1368" s="1">
        <v>300.59100100000001</v>
      </c>
      <c r="F1368" s="1">
        <v>3.5910010099999998</v>
      </c>
      <c r="G1368">
        <f t="shared" si="249"/>
        <v>7</v>
      </c>
      <c r="H1368" t="str">
        <f>RIGHT(B1368,4)</f>
        <v>DOGE</v>
      </c>
      <c r="I1368" t="str">
        <f t="shared" ref="I1368:I1375" si="256">LEFT(B1368,3)</f>
        <v>OTX</v>
      </c>
      <c r="J1368" t="str">
        <f t="shared" si="250"/>
        <v>DOGEOTX</v>
      </c>
      <c r="K1368" t="str">
        <f t="shared" si="251"/>
        <v>OTXDOGE</v>
      </c>
      <c r="L1368">
        <f t="shared" si="252"/>
        <v>0</v>
      </c>
      <c r="M1368">
        <f t="shared" si="253"/>
        <v>1</v>
      </c>
      <c r="N1368" t="b">
        <f t="shared" si="254"/>
        <v>1</v>
      </c>
    </row>
    <row r="1369" spans="1:14" hidden="1" x14ac:dyDescent="0.25">
      <c r="A1369" t="s">
        <v>1239</v>
      </c>
      <c r="B1369" t="s">
        <v>1389</v>
      </c>
      <c r="C1369" s="1">
        <v>4.0000000000000002E-4</v>
      </c>
      <c r="D1369" s="1">
        <v>2.7999999999999998E-4</v>
      </c>
      <c r="E1369" s="1">
        <v>4.0000000000000002E-4</v>
      </c>
      <c r="F1369" s="1">
        <v>2.7999999999999998E-4</v>
      </c>
      <c r="G1369">
        <f t="shared" si="249"/>
        <v>6</v>
      </c>
      <c r="H1369" t="str">
        <f t="shared" ref="H1369:H1381" si="257">RIGHT(B1369,3)</f>
        <v>ETH</v>
      </c>
      <c r="I1369" t="str">
        <f t="shared" si="256"/>
        <v>OTX</v>
      </c>
      <c r="J1369" t="str">
        <f t="shared" si="250"/>
        <v>ETHOTX</v>
      </c>
      <c r="K1369" t="str">
        <f t="shared" si="251"/>
        <v>OTXETH</v>
      </c>
      <c r="L1369">
        <f t="shared" si="252"/>
        <v>0</v>
      </c>
      <c r="M1369">
        <f t="shared" si="253"/>
        <v>1</v>
      </c>
      <c r="N1369" t="b">
        <f t="shared" si="254"/>
        <v>1</v>
      </c>
    </row>
    <row r="1370" spans="1:14" hidden="1" x14ac:dyDescent="0.25">
      <c r="A1370" t="s">
        <v>1403</v>
      </c>
      <c r="B1370" t="s">
        <v>1830</v>
      </c>
      <c r="C1370" s="1">
        <v>0</v>
      </c>
      <c r="D1370" s="1">
        <v>0</v>
      </c>
      <c r="E1370" s="1">
        <v>0.01</v>
      </c>
      <c r="F1370" s="1">
        <v>1.1000000000000001E-7</v>
      </c>
      <c r="G1370">
        <f t="shared" si="249"/>
        <v>6</v>
      </c>
      <c r="H1370" t="str">
        <f t="shared" si="257"/>
        <v>LTC</v>
      </c>
      <c r="I1370" t="str">
        <f t="shared" si="256"/>
        <v>OTX</v>
      </c>
      <c r="J1370" t="str">
        <f t="shared" si="250"/>
        <v>LTCOTX</v>
      </c>
      <c r="K1370" t="str">
        <f t="shared" si="251"/>
        <v>OTXLTC</v>
      </c>
      <c r="L1370">
        <f t="shared" si="252"/>
        <v>0</v>
      </c>
      <c r="M1370">
        <f t="shared" si="253"/>
        <v>1</v>
      </c>
      <c r="N1370" t="b">
        <f t="shared" si="254"/>
        <v>1</v>
      </c>
    </row>
    <row r="1371" spans="1:14" hidden="1" x14ac:dyDescent="0.25">
      <c r="A1371" t="s">
        <v>5</v>
      </c>
      <c r="B1371" t="s">
        <v>975</v>
      </c>
      <c r="C1371" s="1" t="s">
        <v>384</v>
      </c>
      <c r="D1371" s="1" t="s">
        <v>362</v>
      </c>
      <c r="E1371" s="1" t="s">
        <v>384</v>
      </c>
      <c r="F1371" s="1" t="s">
        <v>362</v>
      </c>
      <c r="G1371">
        <f t="shared" si="249"/>
        <v>6</v>
      </c>
      <c r="H1371" t="str">
        <f t="shared" si="257"/>
        <v>BTC</v>
      </c>
      <c r="I1371" t="str">
        <f t="shared" si="256"/>
        <v>OZC</v>
      </c>
      <c r="J1371" t="str">
        <f t="shared" si="250"/>
        <v>BTCOZC</v>
      </c>
      <c r="K1371" t="str">
        <f t="shared" si="251"/>
        <v>OZCBTC</v>
      </c>
      <c r="L1371">
        <f t="shared" si="252"/>
        <v>0</v>
      </c>
      <c r="M1371">
        <f t="shared" si="253"/>
        <v>1</v>
      </c>
      <c r="N1371" t="b">
        <f t="shared" si="254"/>
        <v>1</v>
      </c>
    </row>
    <row r="1372" spans="1:14" hidden="1" x14ac:dyDescent="0.25">
      <c r="A1372" t="s">
        <v>5</v>
      </c>
      <c r="B1372" t="s">
        <v>508</v>
      </c>
      <c r="C1372" s="1" t="s">
        <v>356</v>
      </c>
      <c r="D1372" s="1" t="s">
        <v>381</v>
      </c>
      <c r="E1372" s="1" t="s">
        <v>356</v>
      </c>
      <c r="F1372" s="1" t="s">
        <v>381</v>
      </c>
      <c r="G1372">
        <f t="shared" si="249"/>
        <v>6</v>
      </c>
      <c r="H1372" t="str">
        <f t="shared" si="257"/>
        <v>BTC</v>
      </c>
      <c r="I1372" t="str">
        <f t="shared" si="256"/>
        <v>P7C</v>
      </c>
      <c r="J1372" t="str">
        <f t="shared" si="250"/>
        <v>BTCP7C</v>
      </c>
      <c r="K1372" t="str">
        <f t="shared" si="251"/>
        <v>P7CBTC</v>
      </c>
      <c r="L1372">
        <f t="shared" si="252"/>
        <v>0</v>
      </c>
      <c r="M1372">
        <f t="shared" si="253"/>
        <v>1</v>
      </c>
      <c r="N1372" t="b">
        <f t="shared" si="254"/>
        <v>1</v>
      </c>
    </row>
    <row r="1373" spans="1:14" hidden="1" x14ac:dyDescent="0.25">
      <c r="A1373" t="s">
        <v>5</v>
      </c>
      <c r="B1373" t="s">
        <v>1042</v>
      </c>
      <c r="C1373" s="1" t="s">
        <v>362</v>
      </c>
      <c r="D1373" s="1" t="s">
        <v>364</v>
      </c>
      <c r="E1373" s="1" t="s">
        <v>362</v>
      </c>
      <c r="F1373" s="1">
        <v>9.1999999999999998E-7</v>
      </c>
      <c r="G1373">
        <f t="shared" si="249"/>
        <v>6</v>
      </c>
      <c r="H1373" t="str">
        <f t="shared" si="257"/>
        <v>BTC</v>
      </c>
      <c r="I1373" t="str">
        <f t="shared" si="256"/>
        <v>PAC</v>
      </c>
      <c r="J1373" t="str">
        <f t="shared" si="250"/>
        <v>BTCPAC</v>
      </c>
      <c r="K1373" t="str">
        <f t="shared" si="251"/>
        <v>PACBTC</v>
      </c>
      <c r="L1373">
        <f t="shared" si="252"/>
        <v>0</v>
      </c>
      <c r="M1373">
        <f t="shared" si="253"/>
        <v>1</v>
      </c>
      <c r="N1373" t="b">
        <f t="shared" si="254"/>
        <v>1</v>
      </c>
    </row>
    <row r="1374" spans="1:14" hidden="1" x14ac:dyDescent="0.25">
      <c r="A1374" t="s">
        <v>5</v>
      </c>
      <c r="B1374" t="s">
        <v>1148</v>
      </c>
      <c r="C1374" s="1">
        <v>1.5999999999999999E-6</v>
      </c>
      <c r="D1374" s="1">
        <v>1.42E-6</v>
      </c>
      <c r="E1374" s="1">
        <v>1.5999999999999999E-6</v>
      </c>
      <c r="F1374" s="1">
        <v>1.42E-6</v>
      </c>
      <c r="G1374">
        <f t="shared" si="249"/>
        <v>6</v>
      </c>
      <c r="H1374" t="str">
        <f t="shared" si="257"/>
        <v>BTC</v>
      </c>
      <c r="I1374" t="str">
        <f t="shared" si="256"/>
        <v>PAK</v>
      </c>
      <c r="J1374" t="str">
        <f t="shared" si="250"/>
        <v>BTCPAK</v>
      </c>
      <c r="K1374" t="str">
        <f t="shared" si="251"/>
        <v>PAKBTC</v>
      </c>
      <c r="L1374">
        <f t="shared" si="252"/>
        <v>0</v>
      </c>
      <c r="M1374">
        <f t="shared" si="253"/>
        <v>1</v>
      </c>
      <c r="N1374" t="b">
        <f t="shared" si="254"/>
        <v>1</v>
      </c>
    </row>
    <row r="1375" spans="1:14" hidden="1" x14ac:dyDescent="0.25">
      <c r="A1375" t="s">
        <v>5</v>
      </c>
      <c r="B1375" t="s">
        <v>581</v>
      </c>
      <c r="C1375" s="1">
        <v>2.6509999999999999E-5</v>
      </c>
      <c r="D1375" s="1">
        <v>1.9519999999999999E-5</v>
      </c>
      <c r="E1375" s="1">
        <v>2.6509999999999999E-5</v>
      </c>
      <c r="F1375" s="1">
        <v>1.9519999999999999E-5</v>
      </c>
      <c r="G1375">
        <f t="shared" si="249"/>
        <v>6</v>
      </c>
      <c r="H1375" t="str">
        <f t="shared" si="257"/>
        <v>BTC</v>
      </c>
      <c r="I1375" t="str">
        <f t="shared" si="256"/>
        <v>PAL</v>
      </c>
      <c r="J1375" t="str">
        <f t="shared" si="250"/>
        <v>BTCPAL</v>
      </c>
      <c r="K1375" t="str">
        <f t="shared" si="251"/>
        <v>PALBTC</v>
      </c>
      <c r="L1375">
        <f t="shared" si="252"/>
        <v>0</v>
      </c>
      <c r="M1375">
        <f t="shared" si="253"/>
        <v>1</v>
      </c>
      <c r="N1375" t="b">
        <f t="shared" si="254"/>
        <v>1</v>
      </c>
    </row>
    <row r="1376" spans="1:14" hidden="1" x14ac:dyDescent="0.25">
      <c r="A1376" t="s">
        <v>5</v>
      </c>
      <c r="B1376" t="s">
        <v>1135</v>
      </c>
      <c r="C1376" s="1" t="s">
        <v>384</v>
      </c>
      <c r="D1376" s="1" t="s">
        <v>361</v>
      </c>
      <c r="E1376" s="1" t="s">
        <v>384</v>
      </c>
      <c r="F1376" s="1" t="s">
        <v>361</v>
      </c>
      <c r="G1376">
        <f t="shared" si="249"/>
        <v>7</v>
      </c>
      <c r="H1376" t="str">
        <f t="shared" si="257"/>
        <v>BTC</v>
      </c>
      <c r="I1376" t="str">
        <f>LEFT(B1376,4)</f>
        <v>PARA</v>
      </c>
      <c r="J1376" t="str">
        <f t="shared" si="250"/>
        <v>BTCPARA</v>
      </c>
      <c r="K1376" t="str">
        <f t="shared" si="251"/>
        <v>PARABTC</v>
      </c>
      <c r="L1376">
        <f t="shared" si="252"/>
        <v>0</v>
      </c>
      <c r="M1376">
        <f t="shared" si="253"/>
        <v>1</v>
      </c>
      <c r="N1376" t="b">
        <f t="shared" si="254"/>
        <v>1</v>
      </c>
    </row>
    <row r="1377" spans="1:14" hidden="1" x14ac:dyDescent="0.25">
      <c r="A1377" t="s">
        <v>5</v>
      </c>
      <c r="B1377" t="s">
        <v>629</v>
      </c>
      <c r="C1377" s="1">
        <v>4.4299999999999999E-6</v>
      </c>
      <c r="D1377" s="1">
        <v>3.0900000000000001E-6</v>
      </c>
      <c r="E1377" s="1">
        <v>4.4299999999999999E-6</v>
      </c>
      <c r="F1377" s="1">
        <v>3.0900000000000001E-6</v>
      </c>
      <c r="G1377">
        <f t="shared" si="249"/>
        <v>8</v>
      </c>
      <c r="H1377" t="str">
        <f t="shared" si="257"/>
        <v>BTC</v>
      </c>
      <c r="I1377" t="str">
        <f>LEFT(B1377,5)</f>
        <v>PARTY</v>
      </c>
      <c r="J1377" t="str">
        <f t="shared" si="250"/>
        <v>BTCPARTY</v>
      </c>
      <c r="K1377" t="str">
        <f t="shared" si="251"/>
        <v>PARTYBTC</v>
      </c>
      <c r="L1377">
        <f t="shared" si="252"/>
        <v>0</v>
      </c>
      <c r="M1377">
        <f t="shared" si="253"/>
        <v>1</v>
      </c>
      <c r="N1377" t="b">
        <f t="shared" si="254"/>
        <v>1</v>
      </c>
    </row>
    <row r="1378" spans="1:14" hidden="1" x14ac:dyDescent="0.25">
      <c r="A1378" t="s">
        <v>5</v>
      </c>
      <c r="B1378" t="s">
        <v>633</v>
      </c>
      <c r="C1378" s="1" t="s">
        <v>539</v>
      </c>
      <c r="D1378" s="1" t="s">
        <v>435</v>
      </c>
      <c r="E1378" s="1" t="s">
        <v>539</v>
      </c>
      <c r="F1378" s="1" t="s">
        <v>435</v>
      </c>
      <c r="G1378">
        <f t="shared" si="249"/>
        <v>6</v>
      </c>
      <c r="H1378" t="str">
        <f t="shared" si="257"/>
        <v>BTC</v>
      </c>
      <c r="I1378" t="str">
        <f>LEFT(B1378,3)</f>
        <v>PAY</v>
      </c>
      <c r="J1378" t="str">
        <f t="shared" si="250"/>
        <v>BTCPAY</v>
      </c>
      <c r="K1378" t="str">
        <f t="shared" si="251"/>
        <v>PAYBTC</v>
      </c>
      <c r="L1378">
        <f t="shared" si="252"/>
        <v>0</v>
      </c>
      <c r="M1378">
        <f t="shared" si="253"/>
        <v>1</v>
      </c>
      <c r="N1378" t="b">
        <f t="shared" si="254"/>
        <v>1</v>
      </c>
    </row>
    <row r="1379" spans="1:14" hidden="1" x14ac:dyDescent="0.25">
      <c r="A1379" t="s">
        <v>5</v>
      </c>
      <c r="B1379" t="s">
        <v>954</v>
      </c>
      <c r="C1379" s="1" t="s">
        <v>384</v>
      </c>
      <c r="D1379" s="1" t="s">
        <v>361</v>
      </c>
      <c r="E1379" s="1" t="s">
        <v>384</v>
      </c>
      <c r="F1379" s="1" t="s">
        <v>361</v>
      </c>
      <c r="G1379">
        <f t="shared" si="249"/>
        <v>7</v>
      </c>
      <c r="H1379" t="str">
        <f t="shared" si="257"/>
        <v>BTC</v>
      </c>
      <c r="I1379" t="str">
        <f>LEFT(B1379,4)</f>
        <v>PAYP</v>
      </c>
      <c r="J1379" t="str">
        <f t="shared" si="250"/>
        <v>BTCPAYP</v>
      </c>
      <c r="K1379" t="str">
        <f t="shared" si="251"/>
        <v>PAYPBTC</v>
      </c>
      <c r="L1379">
        <f t="shared" si="252"/>
        <v>0</v>
      </c>
      <c r="M1379">
        <f t="shared" si="253"/>
        <v>1</v>
      </c>
      <c r="N1379" t="b">
        <f t="shared" si="254"/>
        <v>1</v>
      </c>
    </row>
    <row r="1380" spans="1:14" hidden="1" x14ac:dyDescent="0.25">
      <c r="A1380" t="s">
        <v>5</v>
      </c>
      <c r="B1380" t="s">
        <v>464</v>
      </c>
      <c r="C1380" s="1">
        <v>1.3999999999999999E-6</v>
      </c>
      <c r="D1380" s="1">
        <v>1.3799999999999999E-6</v>
      </c>
      <c r="E1380" s="1">
        <v>1.3999999999999999E-6</v>
      </c>
      <c r="F1380" s="1">
        <v>1.3799999999999999E-6</v>
      </c>
      <c r="G1380">
        <f t="shared" si="249"/>
        <v>6</v>
      </c>
      <c r="H1380" t="str">
        <f t="shared" si="257"/>
        <v>BTC</v>
      </c>
      <c r="I1380" t="str">
        <f>LEFT(B1380,3)</f>
        <v>PCM</v>
      </c>
      <c r="J1380" t="str">
        <f t="shared" si="250"/>
        <v>BTCPCM</v>
      </c>
      <c r="K1380" t="str">
        <f t="shared" si="251"/>
        <v>PCMBTC</v>
      </c>
      <c r="L1380">
        <f t="shared" si="252"/>
        <v>0</v>
      </c>
      <c r="M1380">
        <f t="shared" si="253"/>
        <v>1</v>
      </c>
      <c r="N1380" t="b">
        <f t="shared" si="254"/>
        <v>1</v>
      </c>
    </row>
    <row r="1381" spans="1:14" hidden="1" x14ac:dyDescent="0.25">
      <c r="A1381" t="s">
        <v>1403</v>
      </c>
      <c r="B1381" t="s">
        <v>1485</v>
      </c>
      <c r="C1381" s="1">
        <v>6.8769999999999994E-5</v>
      </c>
      <c r="D1381" s="1">
        <v>8.7260000000000001E-5</v>
      </c>
      <c r="E1381" s="1">
        <v>8.2210000000000001E-5</v>
      </c>
      <c r="F1381" s="1">
        <v>6.9170000000000004E-5</v>
      </c>
      <c r="G1381">
        <f t="shared" si="249"/>
        <v>6</v>
      </c>
      <c r="H1381" t="str">
        <f t="shared" si="257"/>
        <v>BTC</v>
      </c>
      <c r="I1381" t="str">
        <f>LEFT(B1381,3)</f>
        <v>PCS</v>
      </c>
      <c r="J1381" t="str">
        <f t="shared" si="250"/>
        <v>BTCPCS</v>
      </c>
      <c r="K1381" t="str">
        <f t="shared" si="251"/>
        <v>PCSBTC</v>
      </c>
      <c r="L1381">
        <f t="shared" si="252"/>
        <v>0</v>
      </c>
      <c r="M1381">
        <f t="shared" si="253"/>
        <v>1</v>
      </c>
      <c r="N1381" t="b">
        <f t="shared" si="254"/>
        <v>1</v>
      </c>
    </row>
    <row r="1382" spans="1:14" hidden="1" x14ac:dyDescent="0.25">
      <c r="A1382" t="s">
        <v>1403</v>
      </c>
      <c r="B1382" t="s">
        <v>2024</v>
      </c>
      <c r="C1382" s="1">
        <v>46.28</v>
      </c>
      <c r="D1382" s="1">
        <v>46.28</v>
      </c>
      <c r="E1382" s="1">
        <v>46.28</v>
      </c>
      <c r="F1382" s="1">
        <v>1.0000001700000001</v>
      </c>
      <c r="G1382">
        <f t="shared" si="249"/>
        <v>7</v>
      </c>
      <c r="H1382" t="str">
        <f>RIGHT(B1382,4)</f>
        <v>DOGE</v>
      </c>
      <c r="I1382" t="str">
        <f>LEFT(B1382,3)</f>
        <v>PCS</v>
      </c>
      <c r="J1382" t="str">
        <f t="shared" si="250"/>
        <v>DOGEPCS</v>
      </c>
      <c r="K1382" t="str">
        <f t="shared" si="251"/>
        <v>PCSDOGE</v>
      </c>
      <c r="L1382">
        <f t="shared" si="252"/>
        <v>0</v>
      </c>
      <c r="M1382">
        <f t="shared" si="253"/>
        <v>1</v>
      </c>
      <c r="N1382" t="b">
        <f t="shared" si="254"/>
        <v>1</v>
      </c>
    </row>
    <row r="1383" spans="1:14" hidden="1" x14ac:dyDescent="0.25">
      <c r="A1383" t="s">
        <v>1403</v>
      </c>
      <c r="B1383" t="s">
        <v>1465</v>
      </c>
      <c r="C1383" s="1" t="s">
        <v>362</v>
      </c>
      <c r="D1383" s="1" t="s">
        <v>362</v>
      </c>
      <c r="E1383" s="1" t="s">
        <v>362</v>
      </c>
      <c r="F1383" s="1" t="s">
        <v>362</v>
      </c>
      <c r="G1383">
        <f t="shared" si="249"/>
        <v>7</v>
      </c>
      <c r="H1383" t="str">
        <f>RIGHT(B1383,3)</f>
        <v>BTC</v>
      </c>
      <c r="I1383" t="str">
        <f>LEFT(B1383,4)</f>
        <v>PCSH</v>
      </c>
      <c r="J1383" t="str">
        <f t="shared" si="250"/>
        <v>BTCPCSH</v>
      </c>
      <c r="K1383" t="str">
        <f t="shared" si="251"/>
        <v>PCSHBTC</v>
      </c>
      <c r="L1383">
        <f t="shared" si="252"/>
        <v>0</v>
      </c>
      <c r="M1383">
        <f t="shared" si="253"/>
        <v>1</v>
      </c>
      <c r="N1383" t="b">
        <f t="shared" si="254"/>
        <v>1</v>
      </c>
    </row>
    <row r="1384" spans="1:14" hidden="1" x14ac:dyDescent="0.25">
      <c r="A1384" t="s">
        <v>1403</v>
      </c>
      <c r="B1384" t="s">
        <v>1991</v>
      </c>
      <c r="C1384" s="1">
        <v>5.4390000000000003E-3</v>
      </c>
      <c r="D1384" s="1">
        <v>5.4390000000000003E-3</v>
      </c>
      <c r="E1384" s="1">
        <v>5.4390000000000003E-3</v>
      </c>
      <c r="F1384" s="1">
        <v>1.2110199999999999E-3</v>
      </c>
      <c r="G1384">
        <f t="shared" si="249"/>
        <v>8</v>
      </c>
      <c r="H1384" t="str">
        <f>RIGHT(B1384,4)</f>
        <v>DOGE</v>
      </c>
      <c r="I1384" t="str">
        <f>LEFT(B1384,4)</f>
        <v>PCSH</v>
      </c>
      <c r="J1384" t="str">
        <f t="shared" si="250"/>
        <v>DOGEPCSH</v>
      </c>
      <c r="K1384" t="str">
        <f t="shared" si="251"/>
        <v>PCSHDOGE</v>
      </c>
      <c r="L1384">
        <f t="shared" si="252"/>
        <v>0</v>
      </c>
      <c r="M1384">
        <f t="shared" si="253"/>
        <v>1</v>
      </c>
      <c r="N1384" t="b">
        <f t="shared" si="254"/>
        <v>1</v>
      </c>
    </row>
    <row r="1385" spans="1:14" hidden="1" x14ac:dyDescent="0.25">
      <c r="A1385" t="s">
        <v>1403</v>
      </c>
      <c r="B1385" t="s">
        <v>1799</v>
      </c>
      <c r="C1385" s="1" t="s">
        <v>539</v>
      </c>
      <c r="D1385" s="1" t="s">
        <v>539</v>
      </c>
      <c r="E1385" s="1">
        <v>1.9E-6</v>
      </c>
      <c r="F1385" s="1">
        <v>1.1000000000000001E-7</v>
      </c>
      <c r="G1385">
        <f t="shared" si="249"/>
        <v>7</v>
      </c>
      <c r="H1385" t="str">
        <f t="shared" ref="H1385:H1393" si="258">RIGHT(B1385,3)</f>
        <v>LTC</v>
      </c>
      <c r="I1385" t="str">
        <f>LEFT(B1385,4)</f>
        <v>PCSH</v>
      </c>
      <c r="J1385" t="str">
        <f t="shared" si="250"/>
        <v>LTCPCSH</v>
      </c>
      <c r="K1385" t="str">
        <f t="shared" si="251"/>
        <v>PCSHLTC</v>
      </c>
      <c r="L1385">
        <f t="shared" si="252"/>
        <v>0</v>
      </c>
      <c r="M1385">
        <f t="shared" si="253"/>
        <v>1</v>
      </c>
      <c r="N1385" t="b">
        <f t="shared" si="254"/>
        <v>1</v>
      </c>
    </row>
    <row r="1386" spans="1:14" hidden="1" x14ac:dyDescent="0.25">
      <c r="A1386" t="s">
        <v>1403</v>
      </c>
      <c r="B1386" t="s">
        <v>1615</v>
      </c>
      <c r="C1386" s="1">
        <v>6.4999999999999996E-6</v>
      </c>
      <c r="D1386" s="1">
        <v>6.4999999999999996E-6</v>
      </c>
      <c r="E1386" s="1">
        <v>6.4999999999999996E-6</v>
      </c>
      <c r="F1386" s="1">
        <v>1.5E-6</v>
      </c>
      <c r="G1386">
        <f t="shared" si="249"/>
        <v>7</v>
      </c>
      <c r="H1386" t="str">
        <f t="shared" si="258"/>
        <v>USD</v>
      </c>
      <c r="I1386" t="str">
        <f>LEFT(B1386,4)</f>
        <v>PCSH</v>
      </c>
      <c r="J1386" t="str">
        <f t="shared" si="250"/>
        <v>USDPCSH</v>
      </c>
      <c r="K1386" t="str">
        <f t="shared" si="251"/>
        <v>PCSHUSD</v>
      </c>
      <c r="L1386">
        <f t="shared" si="252"/>
        <v>0</v>
      </c>
      <c r="M1386">
        <f t="shared" si="253"/>
        <v>1</v>
      </c>
      <c r="N1386" t="b">
        <f t="shared" si="254"/>
        <v>1</v>
      </c>
    </row>
    <row r="1387" spans="1:14" hidden="1" x14ac:dyDescent="0.25">
      <c r="A1387" t="s">
        <v>1403</v>
      </c>
      <c r="B1387" t="s">
        <v>1832</v>
      </c>
      <c r="C1387" s="1">
        <v>0</v>
      </c>
      <c r="D1387" s="1">
        <v>0</v>
      </c>
      <c r="E1387" s="1">
        <v>0</v>
      </c>
      <c r="F1387" s="1">
        <v>2.1E-7</v>
      </c>
      <c r="G1387">
        <f t="shared" si="249"/>
        <v>6</v>
      </c>
      <c r="H1387" t="str">
        <f t="shared" si="258"/>
        <v>LTC</v>
      </c>
      <c r="I1387" t="str">
        <f t="shared" ref="I1387:I1396" si="259">LEFT(B1387,3)</f>
        <v>PCS</v>
      </c>
      <c r="J1387" t="str">
        <f t="shared" si="250"/>
        <v>LTCPCS</v>
      </c>
      <c r="K1387" t="str">
        <f t="shared" si="251"/>
        <v>PCSLTC</v>
      </c>
      <c r="L1387">
        <f t="shared" si="252"/>
        <v>0</v>
      </c>
      <c r="M1387">
        <f t="shared" si="253"/>
        <v>1</v>
      </c>
      <c r="N1387" t="b">
        <f t="shared" si="254"/>
        <v>1</v>
      </c>
    </row>
    <row r="1388" spans="1:14" hidden="1" x14ac:dyDescent="0.25">
      <c r="A1388" t="s">
        <v>1403</v>
      </c>
      <c r="B1388" t="s">
        <v>1643</v>
      </c>
      <c r="C1388" s="1">
        <v>0.5</v>
      </c>
      <c r="D1388" s="1">
        <v>0.5</v>
      </c>
      <c r="E1388" s="1">
        <v>0.5</v>
      </c>
      <c r="F1388" s="1">
        <v>8.0019999999999996E-5</v>
      </c>
      <c r="G1388">
        <f t="shared" si="249"/>
        <v>6</v>
      </c>
      <c r="H1388" t="str">
        <f t="shared" si="258"/>
        <v>USD</v>
      </c>
      <c r="I1388" t="str">
        <f t="shared" si="259"/>
        <v>PCS</v>
      </c>
      <c r="J1388" t="str">
        <f t="shared" si="250"/>
        <v>USDPCS</v>
      </c>
      <c r="K1388" t="str">
        <f t="shared" si="251"/>
        <v>PCSUSD</v>
      </c>
      <c r="L1388">
        <f t="shared" si="252"/>
        <v>0</v>
      </c>
      <c r="M1388">
        <f t="shared" si="253"/>
        <v>1</v>
      </c>
      <c r="N1388" t="b">
        <f t="shared" si="254"/>
        <v>1</v>
      </c>
    </row>
    <row r="1389" spans="1:14" hidden="1" x14ac:dyDescent="0.25">
      <c r="A1389" t="s">
        <v>5</v>
      </c>
      <c r="B1389" t="s">
        <v>425</v>
      </c>
      <c r="C1389" s="1">
        <v>7.9699999999999999E-6</v>
      </c>
      <c r="D1389" s="1">
        <v>5.0699999999999997E-6</v>
      </c>
      <c r="E1389" s="1">
        <v>7.9699999999999999E-6</v>
      </c>
      <c r="F1389" s="1">
        <v>5.0699999999999997E-6</v>
      </c>
      <c r="G1389">
        <f t="shared" si="249"/>
        <v>6</v>
      </c>
      <c r="H1389" t="str">
        <f t="shared" si="258"/>
        <v>BTC</v>
      </c>
      <c r="I1389" t="str">
        <f t="shared" si="259"/>
        <v>PEN</v>
      </c>
      <c r="J1389" t="str">
        <f t="shared" si="250"/>
        <v>BTCPEN</v>
      </c>
      <c r="K1389" t="str">
        <f t="shared" si="251"/>
        <v>PENBTC</v>
      </c>
      <c r="L1389">
        <f t="shared" si="252"/>
        <v>0</v>
      </c>
      <c r="M1389">
        <f t="shared" si="253"/>
        <v>1</v>
      </c>
      <c r="N1389" t="b">
        <f t="shared" si="254"/>
        <v>1</v>
      </c>
    </row>
    <row r="1390" spans="1:14" hidden="1" x14ac:dyDescent="0.25">
      <c r="A1390" t="s">
        <v>5</v>
      </c>
      <c r="B1390" t="s">
        <v>1151</v>
      </c>
      <c r="C1390" s="1">
        <v>2.4999999999999999E-7</v>
      </c>
      <c r="D1390" s="1">
        <v>1.8E-7</v>
      </c>
      <c r="E1390" s="1">
        <v>2.4999999999999999E-7</v>
      </c>
      <c r="F1390" s="1">
        <v>1.8E-7</v>
      </c>
      <c r="G1390">
        <f t="shared" si="249"/>
        <v>6</v>
      </c>
      <c r="H1390" t="str">
        <f t="shared" si="258"/>
        <v>BTC</v>
      </c>
      <c r="I1390" t="str">
        <f t="shared" si="259"/>
        <v>PEO</v>
      </c>
      <c r="J1390" t="str">
        <f t="shared" si="250"/>
        <v>BTCPEO</v>
      </c>
      <c r="K1390" t="str">
        <f t="shared" si="251"/>
        <v>PEOBTC</v>
      </c>
      <c r="L1390">
        <f t="shared" si="252"/>
        <v>0</v>
      </c>
      <c r="M1390">
        <f t="shared" si="253"/>
        <v>1</v>
      </c>
      <c r="N1390" t="b">
        <f t="shared" si="254"/>
        <v>1</v>
      </c>
    </row>
    <row r="1391" spans="1:14" hidden="1" x14ac:dyDescent="0.25">
      <c r="A1391" t="s">
        <v>5</v>
      </c>
      <c r="B1391" t="s">
        <v>706</v>
      </c>
      <c r="C1391" s="1">
        <v>9.7999999999999993E-7</v>
      </c>
      <c r="D1391" s="1">
        <v>7.4000000000000001E-7</v>
      </c>
      <c r="E1391" s="1">
        <v>9.7999999999999993E-7</v>
      </c>
      <c r="F1391" s="1">
        <v>7.4000000000000001E-7</v>
      </c>
      <c r="G1391">
        <f t="shared" si="249"/>
        <v>6</v>
      </c>
      <c r="H1391" t="str">
        <f t="shared" si="258"/>
        <v>BTC</v>
      </c>
      <c r="I1391" t="str">
        <f t="shared" si="259"/>
        <v>PEX</v>
      </c>
      <c r="J1391" t="str">
        <f t="shared" si="250"/>
        <v>BTCPEX</v>
      </c>
      <c r="K1391" t="str">
        <f t="shared" si="251"/>
        <v>PEXBTC</v>
      </c>
      <c r="L1391">
        <f t="shared" si="252"/>
        <v>0</v>
      </c>
      <c r="M1391">
        <f t="shared" si="253"/>
        <v>1</v>
      </c>
      <c r="N1391" t="b">
        <f t="shared" si="254"/>
        <v>1</v>
      </c>
    </row>
    <row r="1392" spans="1:14" hidden="1" x14ac:dyDescent="0.25">
      <c r="A1392" t="s">
        <v>5</v>
      </c>
      <c r="B1392" t="s">
        <v>459</v>
      </c>
      <c r="C1392" s="1">
        <v>1.4999999999999999E-7</v>
      </c>
      <c r="D1392" s="1">
        <v>1.4000000000000001E-7</v>
      </c>
      <c r="E1392" s="1">
        <v>1.4999999999999999E-7</v>
      </c>
      <c r="F1392" s="1">
        <v>1.4000000000000001E-7</v>
      </c>
      <c r="G1392">
        <f t="shared" si="249"/>
        <v>6</v>
      </c>
      <c r="H1392" t="str">
        <f t="shared" si="258"/>
        <v>BTC</v>
      </c>
      <c r="I1392" t="str">
        <f t="shared" si="259"/>
        <v>PHR</v>
      </c>
      <c r="J1392" t="str">
        <f t="shared" si="250"/>
        <v>BTCPHR</v>
      </c>
      <c r="K1392" t="str">
        <f t="shared" si="251"/>
        <v>PHRBTC</v>
      </c>
      <c r="L1392">
        <f t="shared" si="252"/>
        <v>0</v>
      </c>
      <c r="M1392">
        <f t="shared" si="253"/>
        <v>1</v>
      </c>
      <c r="N1392" t="b">
        <f t="shared" si="254"/>
        <v>1</v>
      </c>
    </row>
    <row r="1393" spans="1:14" hidden="1" x14ac:dyDescent="0.25">
      <c r="A1393" t="s">
        <v>1403</v>
      </c>
      <c r="B1393" t="s">
        <v>1486</v>
      </c>
      <c r="C1393" s="1">
        <v>3.1E-7</v>
      </c>
      <c r="D1393" s="1">
        <v>3.7E-7</v>
      </c>
      <c r="E1393" s="1">
        <v>3.4999999999999998E-7</v>
      </c>
      <c r="F1393" s="1">
        <v>3.1E-7</v>
      </c>
      <c r="G1393">
        <f t="shared" si="249"/>
        <v>6</v>
      </c>
      <c r="H1393" t="str">
        <f t="shared" si="258"/>
        <v>BTC</v>
      </c>
      <c r="I1393" t="str">
        <f t="shared" si="259"/>
        <v>PIE</v>
      </c>
      <c r="J1393" t="str">
        <f t="shared" si="250"/>
        <v>BTCPIE</v>
      </c>
      <c r="K1393" t="str">
        <f t="shared" si="251"/>
        <v>PIEBTC</v>
      </c>
      <c r="L1393">
        <f t="shared" si="252"/>
        <v>0</v>
      </c>
      <c r="M1393">
        <f t="shared" si="253"/>
        <v>1</v>
      </c>
      <c r="N1393" t="b">
        <f t="shared" si="254"/>
        <v>1</v>
      </c>
    </row>
    <row r="1394" spans="1:14" hidden="1" x14ac:dyDescent="0.25">
      <c r="A1394" t="s">
        <v>1403</v>
      </c>
      <c r="B1394" t="s">
        <v>2025</v>
      </c>
      <c r="C1394" s="1">
        <v>0.9</v>
      </c>
      <c r="D1394" s="1">
        <v>0.9</v>
      </c>
      <c r="E1394" s="1">
        <v>1.18</v>
      </c>
      <c r="F1394" s="1">
        <v>0.12500991</v>
      </c>
      <c r="G1394">
        <f t="shared" si="249"/>
        <v>7</v>
      </c>
      <c r="H1394" t="str">
        <f>RIGHT(B1394,4)</f>
        <v>DOGE</v>
      </c>
      <c r="I1394" t="str">
        <f t="shared" si="259"/>
        <v>PIE</v>
      </c>
      <c r="J1394" t="str">
        <f t="shared" si="250"/>
        <v>DOGEPIE</v>
      </c>
      <c r="K1394" t="str">
        <f t="shared" si="251"/>
        <v>PIEDOGE</v>
      </c>
      <c r="L1394">
        <f t="shared" si="252"/>
        <v>0</v>
      </c>
      <c r="M1394">
        <f t="shared" si="253"/>
        <v>1</v>
      </c>
      <c r="N1394" t="b">
        <f t="shared" si="254"/>
        <v>1</v>
      </c>
    </row>
    <row r="1395" spans="1:14" hidden="1" x14ac:dyDescent="0.25">
      <c r="A1395" t="s">
        <v>1403</v>
      </c>
      <c r="B1395" t="s">
        <v>1833</v>
      </c>
      <c r="C1395" s="1">
        <v>9.9840000000000006E-5</v>
      </c>
      <c r="D1395" s="1">
        <v>9.9840000000000006E-5</v>
      </c>
      <c r="E1395" s="1">
        <v>9.9840000000000006E-5</v>
      </c>
      <c r="F1395" s="1">
        <v>2.04E-6</v>
      </c>
      <c r="G1395">
        <f t="shared" si="249"/>
        <v>6</v>
      </c>
      <c r="H1395" t="str">
        <f>RIGHT(B1395,3)</f>
        <v>LTC</v>
      </c>
      <c r="I1395" t="str">
        <f t="shared" si="259"/>
        <v>PIE</v>
      </c>
      <c r="J1395" t="str">
        <f t="shared" si="250"/>
        <v>LTCPIE</v>
      </c>
      <c r="K1395" t="str">
        <f t="shared" si="251"/>
        <v>PIELTC</v>
      </c>
      <c r="L1395">
        <f t="shared" si="252"/>
        <v>0</v>
      </c>
      <c r="M1395">
        <f t="shared" si="253"/>
        <v>1</v>
      </c>
      <c r="N1395" t="b">
        <f t="shared" si="254"/>
        <v>1</v>
      </c>
    </row>
    <row r="1396" spans="1:14" hidden="1" x14ac:dyDescent="0.25">
      <c r="A1396" t="s">
        <v>1403</v>
      </c>
      <c r="B1396" t="s">
        <v>1644</v>
      </c>
      <c r="C1396" s="1">
        <v>1.4999799999999999E-3</v>
      </c>
      <c r="D1396" s="1">
        <v>1.4999799999999999E-3</v>
      </c>
      <c r="E1396" s="1">
        <v>1.49989E-3</v>
      </c>
      <c r="F1396" s="1">
        <v>5.1000999999999998E-4</v>
      </c>
      <c r="G1396">
        <f t="shared" si="249"/>
        <v>6</v>
      </c>
      <c r="H1396" t="str">
        <f>RIGHT(B1396,3)</f>
        <v>USD</v>
      </c>
      <c r="I1396" t="str">
        <f t="shared" si="259"/>
        <v>PIE</v>
      </c>
      <c r="J1396" t="str">
        <f t="shared" si="250"/>
        <v>USDPIE</v>
      </c>
      <c r="K1396" t="str">
        <f t="shared" si="251"/>
        <v>PIEUSD</v>
      </c>
      <c r="L1396">
        <f t="shared" si="252"/>
        <v>0</v>
      </c>
      <c r="M1396">
        <f t="shared" si="253"/>
        <v>1</v>
      </c>
      <c r="N1396" t="b">
        <f t="shared" si="254"/>
        <v>1</v>
      </c>
    </row>
    <row r="1397" spans="1:14" hidden="1" x14ac:dyDescent="0.25">
      <c r="A1397" t="s">
        <v>5</v>
      </c>
      <c r="B1397" t="s">
        <v>424</v>
      </c>
      <c r="C1397" s="1" t="s">
        <v>362</v>
      </c>
      <c r="D1397" s="1" t="s">
        <v>364</v>
      </c>
      <c r="E1397" s="1" t="s">
        <v>362</v>
      </c>
      <c r="F1397" s="1" t="s">
        <v>362</v>
      </c>
      <c r="G1397">
        <f t="shared" si="249"/>
        <v>8</v>
      </c>
      <c r="H1397" t="str">
        <f>RIGHT(B1397,3)</f>
        <v>BTC</v>
      </c>
      <c r="I1397" t="str">
        <f>LEFT(B1397,5)</f>
        <v>PINKX</v>
      </c>
      <c r="J1397" t="str">
        <f t="shared" si="250"/>
        <v>BTCPINKX</v>
      </c>
      <c r="K1397" t="str">
        <f t="shared" si="251"/>
        <v>PINKXBTC</v>
      </c>
      <c r="L1397">
        <f t="shared" si="252"/>
        <v>0</v>
      </c>
      <c r="M1397">
        <f t="shared" si="253"/>
        <v>1</v>
      </c>
      <c r="N1397" t="b">
        <f t="shared" si="254"/>
        <v>1</v>
      </c>
    </row>
    <row r="1398" spans="1:14" hidden="1" x14ac:dyDescent="0.25">
      <c r="A1398" t="s">
        <v>5</v>
      </c>
      <c r="B1398" t="s">
        <v>1060</v>
      </c>
      <c r="C1398" s="1">
        <v>3.0603E-4</v>
      </c>
      <c r="D1398" s="1">
        <v>2.8500999999999998E-4</v>
      </c>
      <c r="E1398" s="1">
        <v>3.0603E-4</v>
      </c>
      <c r="F1398" s="1">
        <v>2.8500999999999998E-4</v>
      </c>
      <c r="G1398">
        <f t="shared" si="249"/>
        <v>6</v>
      </c>
      <c r="H1398" t="str">
        <f>RIGHT(B1398,3)</f>
        <v>BTC</v>
      </c>
      <c r="I1398" t="str">
        <f>LEFT(B1398,3)</f>
        <v>PIO</v>
      </c>
      <c r="J1398" t="str">
        <f t="shared" si="250"/>
        <v>BTCPIO</v>
      </c>
      <c r="K1398" t="str">
        <f t="shared" si="251"/>
        <v>PIOBTC</v>
      </c>
      <c r="L1398">
        <f t="shared" si="252"/>
        <v>0</v>
      </c>
      <c r="M1398">
        <f t="shared" si="253"/>
        <v>1</v>
      </c>
      <c r="N1398" t="b">
        <f t="shared" si="254"/>
        <v>1</v>
      </c>
    </row>
    <row r="1399" spans="1:14" hidden="1" x14ac:dyDescent="0.25">
      <c r="A1399" t="s">
        <v>5</v>
      </c>
      <c r="B1399" t="s">
        <v>1179</v>
      </c>
      <c r="C1399" s="1">
        <v>4.6500000000000003E-4</v>
      </c>
      <c r="D1399" s="1">
        <v>2.4011E-4</v>
      </c>
      <c r="E1399" s="1">
        <v>4.6500000000000003E-4</v>
      </c>
      <c r="F1399" s="1">
        <v>2.4011E-4</v>
      </c>
      <c r="G1399">
        <f t="shared" si="249"/>
        <v>7</v>
      </c>
      <c r="H1399" t="str">
        <f>RIGHT(B1399,3)</f>
        <v>BTC</v>
      </c>
      <c r="I1399" t="str">
        <f t="shared" ref="I1399:I1405" si="260">LEFT(B1399,4)</f>
        <v>PIPR</v>
      </c>
      <c r="J1399" t="str">
        <f t="shared" si="250"/>
        <v>BTCPIPR</v>
      </c>
      <c r="K1399" t="str">
        <f t="shared" si="251"/>
        <v>PIPRBTC</v>
      </c>
      <c r="L1399">
        <f t="shared" si="252"/>
        <v>0</v>
      </c>
      <c r="M1399">
        <f t="shared" si="253"/>
        <v>1</v>
      </c>
      <c r="N1399" t="b">
        <f t="shared" si="254"/>
        <v>1</v>
      </c>
    </row>
    <row r="1400" spans="1:14" hidden="1" x14ac:dyDescent="0.25">
      <c r="A1400" t="s">
        <v>1239</v>
      </c>
      <c r="B1400" t="s">
        <v>1360</v>
      </c>
      <c r="C1400" s="1">
        <v>2.4989870000000001E-2</v>
      </c>
      <c r="D1400" s="1">
        <v>2.5000000000000001E-3</v>
      </c>
      <c r="E1400" s="1">
        <v>2.4989870000000001E-2</v>
      </c>
      <c r="F1400" s="1">
        <v>2.5000000000000001E-3</v>
      </c>
      <c r="G1400">
        <f t="shared" si="249"/>
        <v>8</v>
      </c>
      <c r="H1400" t="str">
        <f>RIGHT(B1400,4)</f>
        <v>DASH</v>
      </c>
      <c r="I1400" t="str">
        <f t="shared" si="260"/>
        <v>PIVX</v>
      </c>
      <c r="J1400" t="str">
        <f t="shared" si="250"/>
        <v>DASHPIVX</v>
      </c>
      <c r="K1400" t="str">
        <f t="shared" si="251"/>
        <v>PIVXDASH</v>
      </c>
      <c r="L1400">
        <f t="shared" si="252"/>
        <v>0</v>
      </c>
      <c r="M1400">
        <f t="shared" si="253"/>
        <v>1</v>
      </c>
      <c r="N1400" t="b">
        <f t="shared" si="254"/>
        <v>1</v>
      </c>
    </row>
    <row r="1401" spans="1:14" hidden="1" x14ac:dyDescent="0.25">
      <c r="A1401" t="s">
        <v>1239</v>
      </c>
      <c r="B1401" t="s">
        <v>1361</v>
      </c>
      <c r="C1401" s="1">
        <v>6.9909400000000002E-3</v>
      </c>
      <c r="D1401" s="1">
        <v>2.00001E-3</v>
      </c>
      <c r="E1401" s="1">
        <v>6.9909400000000002E-3</v>
      </c>
      <c r="F1401" s="1">
        <v>2.00001E-3</v>
      </c>
      <c r="G1401">
        <f t="shared" si="249"/>
        <v>7</v>
      </c>
      <c r="H1401" t="str">
        <f t="shared" ref="H1401:H1406" si="261">RIGHT(B1401,3)</f>
        <v>ETH</v>
      </c>
      <c r="I1401" t="str">
        <f t="shared" si="260"/>
        <v>PIVX</v>
      </c>
      <c r="J1401" t="str">
        <f t="shared" si="250"/>
        <v>ETHPIVX</v>
      </c>
      <c r="K1401" t="str">
        <f t="shared" si="251"/>
        <v>PIVXETH</v>
      </c>
      <c r="L1401">
        <f t="shared" si="252"/>
        <v>0</v>
      </c>
      <c r="M1401">
        <f t="shared" si="253"/>
        <v>1</v>
      </c>
      <c r="N1401" t="b">
        <f t="shared" si="254"/>
        <v>1</v>
      </c>
    </row>
    <row r="1402" spans="1:14" hidden="1" x14ac:dyDescent="0.25">
      <c r="A1402" t="s">
        <v>1239</v>
      </c>
      <c r="B1402" t="s">
        <v>1358</v>
      </c>
      <c r="C1402" s="1">
        <v>2.9990000000000001</v>
      </c>
      <c r="D1402" s="1">
        <v>2.4070000000000001E-2</v>
      </c>
      <c r="E1402" s="1">
        <v>2.9990000000000001</v>
      </c>
      <c r="F1402" s="1">
        <v>2.4070000000000001E-2</v>
      </c>
      <c r="G1402">
        <f t="shared" si="249"/>
        <v>7</v>
      </c>
      <c r="H1402" t="str">
        <f t="shared" si="261"/>
        <v>EUR</v>
      </c>
      <c r="I1402" t="str">
        <f t="shared" si="260"/>
        <v>PIVX</v>
      </c>
      <c r="J1402" t="str">
        <f t="shared" si="250"/>
        <v>EURPIVX</v>
      </c>
      <c r="K1402" t="str">
        <f t="shared" si="251"/>
        <v>PIVXEUR</v>
      </c>
      <c r="L1402">
        <f t="shared" si="252"/>
        <v>0</v>
      </c>
      <c r="M1402">
        <f t="shared" si="253"/>
        <v>1</v>
      </c>
      <c r="N1402" t="b">
        <f t="shared" si="254"/>
        <v>1</v>
      </c>
    </row>
    <row r="1403" spans="1:14" hidden="1" x14ac:dyDescent="0.25">
      <c r="A1403" t="s">
        <v>1239</v>
      </c>
      <c r="B1403" t="s">
        <v>1359</v>
      </c>
      <c r="C1403" s="1">
        <v>369</v>
      </c>
      <c r="D1403" s="1">
        <v>19.300129999999999</v>
      </c>
      <c r="E1403" s="1">
        <v>369</v>
      </c>
      <c r="F1403" s="1">
        <v>19.300129999999999</v>
      </c>
      <c r="G1403">
        <f t="shared" si="249"/>
        <v>7</v>
      </c>
      <c r="H1403" t="str">
        <f t="shared" si="261"/>
        <v>RUR</v>
      </c>
      <c r="I1403" t="str">
        <f t="shared" si="260"/>
        <v>PIVX</v>
      </c>
      <c r="J1403" t="str">
        <f t="shared" si="250"/>
        <v>RURPIVX</v>
      </c>
      <c r="K1403" t="str">
        <f t="shared" si="251"/>
        <v>PIVXRUR</v>
      </c>
      <c r="L1403">
        <f t="shared" si="252"/>
        <v>0</v>
      </c>
      <c r="M1403">
        <f t="shared" si="253"/>
        <v>1</v>
      </c>
      <c r="N1403" t="b">
        <f t="shared" si="254"/>
        <v>1</v>
      </c>
    </row>
    <row r="1404" spans="1:14" hidden="1" x14ac:dyDescent="0.25">
      <c r="A1404" t="s">
        <v>1239</v>
      </c>
      <c r="B1404" t="s">
        <v>1357</v>
      </c>
      <c r="C1404" s="1">
        <v>1.4215</v>
      </c>
      <c r="D1404" s="1">
        <v>1.2210000000000001</v>
      </c>
      <c r="E1404" s="1">
        <v>1.69999522094</v>
      </c>
      <c r="F1404" s="1">
        <v>1.2210000000000001</v>
      </c>
      <c r="G1404">
        <f t="shared" si="249"/>
        <v>7</v>
      </c>
      <c r="H1404" t="str">
        <f t="shared" si="261"/>
        <v>USD</v>
      </c>
      <c r="I1404" t="str">
        <f t="shared" si="260"/>
        <v>PIVX</v>
      </c>
      <c r="J1404" t="str">
        <f t="shared" si="250"/>
        <v>USDPIVX</v>
      </c>
      <c r="K1404" t="str">
        <f t="shared" si="251"/>
        <v>PIVXUSD</v>
      </c>
      <c r="L1404">
        <f t="shared" si="252"/>
        <v>0</v>
      </c>
      <c r="M1404">
        <f t="shared" si="253"/>
        <v>1</v>
      </c>
      <c r="N1404" t="b">
        <f t="shared" si="254"/>
        <v>1</v>
      </c>
    </row>
    <row r="1405" spans="1:14" hidden="1" x14ac:dyDescent="0.25">
      <c r="A1405" t="s">
        <v>1239</v>
      </c>
      <c r="B1405" t="s">
        <v>1362</v>
      </c>
      <c r="C1405" s="1">
        <v>0.16999984000000001</v>
      </c>
      <c r="D1405" s="1">
        <v>1.7001200000000001E-3</v>
      </c>
      <c r="E1405" s="1">
        <v>0.16999984000000001</v>
      </c>
      <c r="F1405" s="1">
        <v>1.7001200000000001E-3</v>
      </c>
      <c r="G1405">
        <f t="shared" si="249"/>
        <v>7</v>
      </c>
      <c r="H1405" t="str">
        <f t="shared" si="261"/>
        <v>XMR</v>
      </c>
      <c r="I1405" t="str">
        <f t="shared" si="260"/>
        <v>PIVX</v>
      </c>
      <c r="J1405" t="str">
        <f t="shared" si="250"/>
        <v>XMRPIVX</v>
      </c>
      <c r="K1405" t="str">
        <f t="shared" si="251"/>
        <v>PIVXXMR</v>
      </c>
      <c r="L1405">
        <f t="shared" si="252"/>
        <v>0</v>
      </c>
      <c r="M1405">
        <f t="shared" si="253"/>
        <v>1</v>
      </c>
      <c r="N1405" t="b">
        <f t="shared" si="254"/>
        <v>1</v>
      </c>
    </row>
    <row r="1406" spans="1:14" hidden="1" x14ac:dyDescent="0.25">
      <c r="A1406" t="s">
        <v>1403</v>
      </c>
      <c r="B1406" t="s">
        <v>1487</v>
      </c>
      <c r="C1406" s="1">
        <v>6.5000000000000002E-7</v>
      </c>
      <c r="D1406" s="1">
        <v>8.2999999999999999E-7</v>
      </c>
      <c r="E1406" s="1">
        <v>8.2999999999999999E-7</v>
      </c>
      <c r="F1406" s="1">
        <v>6.6000000000000003E-7</v>
      </c>
      <c r="G1406">
        <f t="shared" si="249"/>
        <v>8</v>
      </c>
      <c r="H1406" t="str">
        <f t="shared" si="261"/>
        <v>BTC</v>
      </c>
      <c r="I1406" t="str">
        <f>LEFT(B1406,5)</f>
        <v>PIZZA</v>
      </c>
      <c r="J1406" t="str">
        <f t="shared" si="250"/>
        <v>BTCPIZZA</v>
      </c>
      <c r="K1406" t="str">
        <f t="shared" si="251"/>
        <v>PIZZABTC</v>
      </c>
      <c r="L1406">
        <f t="shared" si="252"/>
        <v>0</v>
      </c>
      <c r="M1406">
        <f t="shared" si="253"/>
        <v>1</v>
      </c>
      <c r="N1406" t="b">
        <f t="shared" si="254"/>
        <v>1</v>
      </c>
    </row>
    <row r="1407" spans="1:14" hidden="1" x14ac:dyDescent="0.25">
      <c r="A1407" t="s">
        <v>1403</v>
      </c>
      <c r="B1407" t="s">
        <v>2026</v>
      </c>
      <c r="C1407" s="1">
        <v>0.5</v>
      </c>
      <c r="D1407" s="1">
        <v>0.5</v>
      </c>
      <c r="E1407" s="1">
        <v>2.5</v>
      </c>
      <c r="F1407" s="1">
        <v>5.0000040000000003E-2</v>
      </c>
      <c r="G1407">
        <f t="shared" si="249"/>
        <v>9</v>
      </c>
      <c r="H1407" t="str">
        <f>RIGHT(B1407,4)</f>
        <v>DOGE</v>
      </c>
      <c r="I1407" t="str">
        <f>LEFT(B1407,5)</f>
        <v>PIZZA</v>
      </c>
      <c r="J1407" t="str">
        <f t="shared" si="250"/>
        <v>DOGEPIZZA</v>
      </c>
      <c r="K1407" t="str">
        <f t="shared" si="251"/>
        <v>PIZZADOGE</v>
      </c>
      <c r="L1407">
        <f t="shared" si="252"/>
        <v>0</v>
      </c>
      <c r="M1407">
        <f t="shared" si="253"/>
        <v>1</v>
      </c>
      <c r="N1407" t="b">
        <f t="shared" si="254"/>
        <v>1</v>
      </c>
    </row>
    <row r="1408" spans="1:14" hidden="1" x14ac:dyDescent="0.25">
      <c r="A1408" t="s">
        <v>1403</v>
      </c>
      <c r="B1408" t="s">
        <v>1834</v>
      </c>
      <c r="C1408" s="1">
        <v>1.9999969999999999E-2</v>
      </c>
      <c r="D1408" s="1">
        <v>1.9999969999999999E-2</v>
      </c>
      <c r="E1408" s="1">
        <v>5.5999999999999999E-3</v>
      </c>
      <c r="F1408" s="1">
        <v>5.0999999999999999E-7</v>
      </c>
      <c r="G1408">
        <f t="shared" si="249"/>
        <v>8</v>
      </c>
      <c r="H1408" t="str">
        <f t="shared" ref="H1408:H1422" si="262">RIGHT(B1408,3)</f>
        <v>LTC</v>
      </c>
      <c r="I1408" t="str">
        <f>LEFT(B1408,5)</f>
        <v>PIZZA</v>
      </c>
      <c r="J1408" t="str">
        <f t="shared" si="250"/>
        <v>LTCPIZZA</v>
      </c>
      <c r="K1408" t="str">
        <f t="shared" si="251"/>
        <v>PIZZALTC</v>
      </c>
      <c r="L1408">
        <f t="shared" si="252"/>
        <v>0</v>
      </c>
      <c r="M1408">
        <f t="shared" si="253"/>
        <v>1</v>
      </c>
      <c r="N1408" t="b">
        <f t="shared" si="254"/>
        <v>1</v>
      </c>
    </row>
    <row r="1409" spans="1:14" hidden="1" x14ac:dyDescent="0.25">
      <c r="A1409" t="s">
        <v>1403</v>
      </c>
      <c r="B1409" t="s">
        <v>1645</v>
      </c>
      <c r="C1409" s="1">
        <v>9.7097899999999994E-3</v>
      </c>
      <c r="D1409" s="1">
        <v>9.7097899999999994E-3</v>
      </c>
      <c r="E1409" s="1">
        <v>9.6999900000000003E-3</v>
      </c>
      <c r="F1409" s="1">
        <v>9.0001000000000002E-4</v>
      </c>
      <c r="G1409">
        <f t="shared" ref="G1409:G1472" si="263">LEN(B1409)</f>
        <v>8</v>
      </c>
      <c r="H1409" t="str">
        <f t="shared" si="262"/>
        <v>USD</v>
      </c>
      <c r="I1409" t="str">
        <f>LEFT(B1409,5)</f>
        <v>PIZZA</v>
      </c>
      <c r="J1409" t="str">
        <f t="shared" ref="J1409:J1472" si="264">CONCATENATE(H1409,I1409)</f>
        <v>USDPIZZA</v>
      </c>
      <c r="K1409" t="str">
        <f t="shared" ref="K1409:K1472" si="265">CONCATENATE(I1409,H1409)</f>
        <v>PIZZAUSD</v>
      </c>
      <c r="L1409">
        <f t="shared" ref="L1409:L1472" si="266">COUNTIF(B:B,J1409)</f>
        <v>0</v>
      </c>
      <c r="M1409">
        <f t="shared" ref="M1409:M1472" si="267">COUNTIF(B:B,K1409)</f>
        <v>1</v>
      </c>
      <c r="N1409" t="b">
        <f t="shared" ref="N1409:N1472" si="268">L1409=0</f>
        <v>1</v>
      </c>
    </row>
    <row r="1410" spans="1:14" hidden="1" x14ac:dyDescent="0.25">
      <c r="A1410" t="s">
        <v>5</v>
      </c>
      <c r="B1410" t="s">
        <v>486</v>
      </c>
      <c r="C1410" s="1">
        <v>1.6500000000000001E-6</v>
      </c>
      <c r="D1410" s="1">
        <v>1.1000000000000001E-6</v>
      </c>
      <c r="E1410" s="1">
        <v>1.6500000000000001E-6</v>
      </c>
      <c r="F1410" s="1">
        <v>1.1000000000000001E-6</v>
      </c>
      <c r="G1410">
        <f t="shared" si="263"/>
        <v>9</v>
      </c>
      <c r="H1410" t="str">
        <f t="shared" si="262"/>
        <v>BTC</v>
      </c>
      <c r="I1410" t="str">
        <f>LEFT(B1410,6)</f>
        <v>PLANET</v>
      </c>
      <c r="J1410" t="str">
        <f t="shared" si="264"/>
        <v>BTCPLANET</v>
      </c>
      <c r="K1410" t="str">
        <f t="shared" si="265"/>
        <v>PLANETBTC</v>
      </c>
      <c r="L1410">
        <f t="shared" si="266"/>
        <v>0</v>
      </c>
      <c r="M1410">
        <f t="shared" si="267"/>
        <v>1</v>
      </c>
      <c r="N1410" t="b">
        <f t="shared" si="268"/>
        <v>1</v>
      </c>
    </row>
    <row r="1411" spans="1:14" hidden="1" x14ac:dyDescent="0.25">
      <c r="A1411" t="s">
        <v>4</v>
      </c>
      <c r="B1411" t="s">
        <v>348</v>
      </c>
      <c r="C1411" s="1">
        <v>8.2000000000000007E-3</v>
      </c>
      <c r="D1411" s="1">
        <v>8.0999999999999996E-3</v>
      </c>
      <c r="E1411" s="1">
        <v>8.2000000000000007E-3</v>
      </c>
      <c r="F1411" s="1">
        <v>8.0999999999999996E-3</v>
      </c>
      <c r="G1411">
        <f t="shared" si="263"/>
        <v>7</v>
      </c>
      <c r="H1411" t="str">
        <f t="shared" si="262"/>
        <v>BTC</v>
      </c>
      <c r="I1411" t="str">
        <f>LEFT(B1411,4)</f>
        <v>PLBT</v>
      </c>
      <c r="J1411" t="str">
        <f t="shared" si="264"/>
        <v>BTCPLBT</v>
      </c>
      <c r="K1411" t="str">
        <f t="shared" si="265"/>
        <v>PLBTBTC</v>
      </c>
      <c r="L1411">
        <f t="shared" si="266"/>
        <v>0</v>
      </c>
      <c r="M1411">
        <f t="shared" si="267"/>
        <v>1</v>
      </c>
      <c r="N1411" t="b">
        <f t="shared" si="268"/>
        <v>1</v>
      </c>
    </row>
    <row r="1412" spans="1:14" hidden="1" x14ac:dyDescent="0.25">
      <c r="A1412" t="s">
        <v>5</v>
      </c>
      <c r="B1412" t="s">
        <v>700</v>
      </c>
      <c r="C1412" s="1">
        <v>3.9000000000000002E-7</v>
      </c>
      <c r="D1412" s="1">
        <v>3.2000000000000001E-7</v>
      </c>
      <c r="E1412" s="1">
        <v>3.9000000000000002E-7</v>
      </c>
      <c r="F1412" s="1">
        <v>3.2000000000000001E-7</v>
      </c>
      <c r="G1412">
        <f t="shared" si="263"/>
        <v>7</v>
      </c>
      <c r="H1412" t="str">
        <f t="shared" si="262"/>
        <v>BTC</v>
      </c>
      <c r="I1412" t="str">
        <f>LEFT(B1412,4)</f>
        <v>PLNC</v>
      </c>
      <c r="J1412" t="str">
        <f t="shared" si="264"/>
        <v>BTCPLNC</v>
      </c>
      <c r="K1412" t="str">
        <f t="shared" si="265"/>
        <v>PLNCBTC</v>
      </c>
      <c r="L1412">
        <f t="shared" si="266"/>
        <v>0</v>
      </c>
      <c r="M1412">
        <f t="shared" si="267"/>
        <v>1</v>
      </c>
      <c r="N1412" t="b">
        <f t="shared" si="268"/>
        <v>1</v>
      </c>
    </row>
    <row r="1413" spans="1:14" hidden="1" x14ac:dyDescent="0.25">
      <c r="A1413" t="s">
        <v>4</v>
      </c>
      <c r="B1413" t="s">
        <v>339</v>
      </c>
      <c r="C1413" s="1">
        <v>0.05</v>
      </c>
      <c r="D1413" s="1">
        <v>5.00001E-3</v>
      </c>
      <c r="E1413" s="1">
        <v>0.05</v>
      </c>
      <c r="F1413" s="1">
        <v>5.00001E-3</v>
      </c>
      <c r="G1413">
        <f t="shared" si="263"/>
        <v>6</v>
      </c>
      <c r="H1413" t="str">
        <f t="shared" si="262"/>
        <v>BTC</v>
      </c>
      <c r="I1413" t="str">
        <f>LEFT(B1413,3)</f>
        <v>PLU</v>
      </c>
      <c r="J1413" t="str">
        <f t="shared" si="264"/>
        <v>BTCPLU</v>
      </c>
      <c r="K1413" t="str">
        <f t="shared" si="265"/>
        <v>PLUBTC</v>
      </c>
      <c r="L1413">
        <f t="shared" si="266"/>
        <v>0</v>
      </c>
      <c r="M1413">
        <f t="shared" si="267"/>
        <v>1</v>
      </c>
      <c r="N1413" t="b">
        <f t="shared" si="268"/>
        <v>1</v>
      </c>
    </row>
    <row r="1414" spans="1:14" hidden="1" x14ac:dyDescent="0.25">
      <c r="A1414" t="s">
        <v>5</v>
      </c>
      <c r="B1414" t="s">
        <v>485</v>
      </c>
      <c r="C1414" s="1">
        <v>8.3999999999999992E-6</v>
      </c>
      <c r="D1414" s="1">
        <v>8.1999999999999994E-6</v>
      </c>
      <c r="E1414" s="1">
        <v>8.3999999999999992E-6</v>
      </c>
      <c r="F1414" s="1">
        <v>8.1999999999999994E-6</v>
      </c>
      <c r="G1414">
        <f t="shared" si="263"/>
        <v>6</v>
      </c>
      <c r="H1414" t="str">
        <f t="shared" si="262"/>
        <v>BTC</v>
      </c>
      <c r="I1414" t="str">
        <f>LEFT(B1414,3)</f>
        <v>PNC</v>
      </c>
      <c r="J1414" t="str">
        <f t="shared" si="264"/>
        <v>BTCPNC</v>
      </c>
      <c r="K1414" t="str">
        <f t="shared" si="265"/>
        <v>PNCBTC</v>
      </c>
      <c r="L1414">
        <f t="shared" si="266"/>
        <v>0</v>
      </c>
      <c r="M1414">
        <f t="shared" si="267"/>
        <v>1</v>
      </c>
      <c r="N1414" t="b">
        <f t="shared" si="268"/>
        <v>1</v>
      </c>
    </row>
    <row r="1415" spans="1:14" hidden="1" x14ac:dyDescent="0.25">
      <c r="A1415" t="s">
        <v>5</v>
      </c>
      <c r="B1415" t="s">
        <v>671</v>
      </c>
      <c r="C1415" s="1" t="s">
        <v>361</v>
      </c>
      <c r="D1415" s="1" t="s">
        <v>362</v>
      </c>
      <c r="E1415" s="1" t="s">
        <v>361</v>
      </c>
      <c r="F1415" s="1" t="s">
        <v>362</v>
      </c>
      <c r="G1415">
        <f t="shared" si="263"/>
        <v>6</v>
      </c>
      <c r="H1415" t="str">
        <f t="shared" si="262"/>
        <v>BTC</v>
      </c>
      <c r="I1415" t="str">
        <f>LEFT(B1415,3)</f>
        <v>PND</v>
      </c>
      <c r="J1415" t="str">
        <f t="shared" si="264"/>
        <v>BTCPND</v>
      </c>
      <c r="K1415" t="str">
        <f t="shared" si="265"/>
        <v>PNDBTC</v>
      </c>
      <c r="L1415">
        <f t="shared" si="266"/>
        <v>0</v>
      </c>
      <c r="M1415">
        <f t="shared" si="267"/>
        <v>1</v>
      </c>
      <c r="N1415" t="b">
        <f t="shared" si="268"/>
        <v>1</v>
      </c>
    </row>
    <row r="1416" spans="1:14" hidden="1" x14ac:dyDescent="0.25">
      <c r="A1416" t="s">
        <v>5</v>
      </c>
      <c r="B1416" t="s">
        <v>624</v>
      </c>
      <c r="C1416" s="1">
        <v>4.7999999999999996E-7</v>
      </c>
      <c r="D1416" s="1">
        <v>3.5999999999999999E-7</v>
      </c>
      <c r="E1416" s="1">
        <v>4.7999999999999996E-7</v>
      </c>
      <c r="F1416" s="1">
        <v>3.5999999999999999E-7</v>
      </c>
      <c r="G1416">
        <f t="shared" si="263"/>
        <v>6</v>
      </c>
      <c r="H1416" t="str">
        <f t="shared" si="262"/>
        <v>BTC</v>
      </c>
      <c r="I1416" t="str">
        <f>LEFT(B1416,3)</f>
        <v>PNK</v>
      </c>
      <c r="J1416" t="str">
        <f t="shared" si="264"/>
        <v>BTCPNK</v>
      </c>
      <c r="K1416" t="str">
        <f t="shared" si="265"/>
        <v>PNKBTC</v>
      </c>
      <c r="L1416">
        <f t="shared" si="266"/>
        <v>0</v>
      </c>
      <c r="M1416">
        <f t="shared" si="267"/>
        <v>1</v>
      </c>
      <c r="N1416" t="b">
        <f t="shared" si="268"/>
        <v>1</v>
      </c>
    </row>
    <row r="1417" spans="1:14" hidden="1" x14ac:dyDescent="0.25">
      <c r="A1417" t="s">
        <v>5</v>
      </c>
      <c r="B1417" t="s">
        <v>940</v>
      </c>
      <c r="C1417" s="1" t="s">
        <v>384</v>
      </c>
      <c r="D1417" s="1" t="s">
        <v>362</v>
      </c>
      <c r="E1417" s="1" t="s">
        <v>384</v>
      </c>
      <c r="F1417" s="1" t="s">
        <v>362</v>
      </c>
      <c r="G1417">
        <f t="shared" si="263"/>
        <v>7</v>
      </c>
      <c r="H1417" t="str">
        <f t="shared" si="262"/>
        <v>BTC</v>
      </c>
      <c r="I1417" t="str">
        <f>LEFT(B1417,4)</f>
        <v>POKE</v>
      </c>
      <c r="J1417" t="str">
        <f t="shared" si="264"/>
        <v>BTCPOKE</v>
      </c>
      <c r="K1417" t="str">
        <f t="shared" si="265"/>
        <v>POKEBTC</v>
      </c>
      <c r="L1417">
        <f t="shared" si="266"/>
        <v>0</v>
      </c>
      <c r="M1417">
        <f t="shared" si="267"/>
        <v>1</v>
      </c>
      <c r="N1417" t="b">
        <f t="shared" si="268"/>
        <v>1</v>
      </c>
    </row>
    <row r="1418" spans="1:14" hidden="1" x14ac:dyDescent="0.25">
      <c r="A1418" t="s">
        <v>5</v>
      </c>
      <c r="B1418" t="s">
        <v>892</v>
      </c>
      <c r="C1418" s="1" t="s">
        <v>364</v>
      </c>
      <c r="D1418" s="1">
        <v>1.0001382299999999</v>
      </c>
      <c r="E1418" s="1">
        <v>5.2E-7</v>
      </c>
      <c r="F1418" s="1" t="s">
        <v>401</v>
      </c>
      <c r="G1418">
        <f t="shared" si="263"/>
        <v>7</v>
      </c>
      <c r="H1418" t="str">
        <f t="shared" si="262"/>
        <v>BTC</v>
      </c>
      <c r="I1418" t="str">
        <f>LEFT(B1418,4)</f>
        <v>POLY</v>
      </c>
      <c r="J1418" t="str">
        <f t="shared" si="264"/>
        <v>BTCPOLY</v>
      </c>
      <c r="K1418" t="str">
        <f t="shared" si="265"/>
        <v>POLYBTC</v>
      </c>
      <c r="L1418">
        <f t="shared" si="266"/>
        <v>0</v>
      </c>
      <c r="M1418">
        <f t="shared" si="267"/>
        <v>1</v>
      </c>
      <c r="N1418" t="b">
        <f t="shared" si="268"/>
        <v>1</v>
      </c>
    </row>
    <row r="1419" spans="1:14" hidden="1" x14ac:dyDescent="0.25">
      <c r="A1419" t="s">
        <v>5</v>
      </c>
      <c r="B1419" t="s">
        <v>655</v>
      </c>
      <c r="C1419" s="1">
        <v>2.2199999999999999E-6</v>
      </c>
      <c r="D1419" s="1">
        <v>1.9300000000000002E-6</v>
      </c>
      <c r="E1419" s="1">
        <v>2.2199999999999999E-6</v>
      </c>
      <c r="F1419" s="1">
        <v>1.9300000000000002E-6</v>
      </c>
      <c r="G1419">
        <f t="shared" si="263"/>
        <v>8</v>
      </c>
      <c r="H1419" t="str">
        <f t="shared" si="262"/>
        <v>BTC</v>
      </c>
      <c r="I1419" t="str">
        <f>LEFT(B1419,5)</f>
        <v>PONZ2</v>
      </c>
      <c r="J1419" t="str">
        <f t="shared" si="264"/>
        <v>BTCPONZ2</v>
      </c>
      <c r="K1419" t="str">
        <f t="shared" si="265"/>
        <v>PONZ2BTC</v>
      </c>
      <c r="L1419">
        <f t="shared" si="266"/>
        <v>0</v>
      </c>
      <c r="M1419">
        <f t="shared" si="267"/>
        <v>1</v>
      </c>
      <c r="N1419" t="b">
        <f t="shared" si="268"/>
        <v>1</v>
      </c>
    </row>
    <row r="1420" spans="1:14" hidden="1" x14ac:dyDescent="0.25">
      <c r="A1420" t="s">
        <v>5</v>
      </c>
      <c r="B1420" t="s">
        <v>359</v>
      </c>
      <c r="C1420" s="1">
        <v>2.7549999999999999E-5</v>
      </c>
      <c r="D1420" s="1">
        <v>2.0999999999999999E-5</v>
      </c>
      <c r="E1420" s="1">
        <v>2.7549999999999999E-5</v>
      </c>
      <c r="F1420" s="1">
        <v>2.0999999999999999E-5</v>
      </c>
      <c r="G1420">
        <f t="shared" si="263"/>
        <v>8</v>
      </c>
      <c r="H1420" t="str">
        <f t="shared" si="262"/>
        <v>BTC</v>
      </c>
      <c r="I1420" t="str">
        <f>LEFT(B1420,5)</f>
        <v>PONZI</v>
      </c>
      <c r="J1420" t="str">
        <f t="shared" si="264"/>
        <v>BTCPONZI</v>
      </c>
      <c r="K1420" t="str">
        <f t="shared" si="265"/>
        <v>PONZIBTC</v>
      </c>
      <c r="L1420">
        <f t="shared" si="266"/>
        <v>0</v>
      </c>
      <c r="M1420">
        <f t="shared" si="267"/>
        <v>1</v>
      </c>
      <c r="N1420" t="b">
        <f t="shared" si="268"/>
        <v>1</v>
      </c>
    </row>
    <row r="1421" spans="1:14" hidden="1" x14ac:dyDescent="0.25">
      <c r="A1421" t="s">
        <v>1239</v>
      </c>
      <c r="B1421" t="s">
        <v>1287</v>
      </c>
      <c r="C1421" s="1">
        <v>6.8999999999999997E-5</v>
      </c>
      <c r="D1421" s="1">
        <v>6.4510000000000004E-5</v>
      </c>
      <c r="E1421" s="1">
        <v>6.8999999999999997E-5</v>
      </c>
      <c r="F1421" s="1">
        <v>6.4510000000000004E-5</v>
      </c>
      <c r="G1421">
        <f t="shared" si="263"/>
        <v>7</v>
      </c>
      <c r="H1421" t="str">
        <f t="shared" si="262"/>
        <v>ETH</v>
      </c>
      <c r="I1421" t="str">
        <f>LEFT(B1421,4)</f>
        <v>POST</v>
      </c>
      <c r="J1421" t="str">
        <f t="shared" si="264"/>
        <v>ETHPOST</v>
      </c>
      <c r="K1421" t="str">
        <f t="shared" si="265"/>
        <v>POSTETH</v>
      </c>
      <c r="L1421">
        <f t="shared" si="266"/>
        <v>0</v>
      </c>
      <c r="M1421">
        <f t="shared" si="267"/>
        <v>1</v>
      </c>
      <c r="N1421" t="b">
        <f t="shared" si="268"/>
        <v>1</v>
      </c>
    </row>
    <row r="1422" spans="1:14" hidden="1" x14ac:dyDescent="0.25">
      <c r="A1422" t="s">
        <v>1239</v>
      </c>
      <c r="B1422" t="s">
        <v>1339</v>
      </c>
      <c r="C1422" s="1">
        <v>5.3999989999999998E-2</v>
      </c>
      <c r="D1422" s="1">
        <v>1.000002E-2</v>
      </c>
      <c r="E1422" s="1">
        <v>5.3999989999999998E-2</v>
      </c>
      <c r="F1422" s="1">
        <v>1.000002E-2</v>
      </c>
      <c r="G1422">
        <f t="shared" si="263"/>
        <v>9</v>
      </c>
      <c r="H1422" t="str">
        <f t="shared" si="262"/>
        <v>BIT</v>
      </c>
      <c r="I1422" t="str">
        <f>LEFT(B1422,6)</f>
        <v>POSWCR</v>
      </c>
      <c r="J1422" t="str">
        <f t="shared" si="264"/>
        <v>BITPOSWCR</v>
      </c>
      <c r="K1422" t="str">
        <f t="shared" si="265"/>
        <v>POSWCRBIT</v>
      </c>
      <c r="L1422">
        <f t="shared" si="266"/>
        <v>0</v>
      </c>
      <c r="M1422">
        <f t="shared" si="267"/>
        <v>1</v>
      </c>
      <c r="N1422" t="b">
        <f t="shared" si="268"/>
        <v>1</v>
      </c>
    </row>
    <row r="1423" spans="1:14" hidden="1" x14ac:dyDescent="0.25">
      <c r="A1423" t="s">
        <v>1239</v>
      </c>
      <c r="B1423" t="s">
        <v>1337</v>
      </c>
      <c r="C1423" s="1">
        <v>9.9898999999999995E-4</v>
      </c>
      <c r="D1423" s="1">
        <v>9.9889999999999994E-5</v>
      </c>
      <c r="E1423" s="1">
        <v>9.9898999999999995E-4</v>
      </c>
      <c r="F1423" s="1">
        <v>9.9889999999999994E-5</v>
      </c>
      <c r="G1423">
        <f t="shared" si="263"/>
        <v>8</v>
      </c>
      <c r="H1423" t="str">
        <f>RIGHT(B1423,4)</f>
        <v>DASH</v>
      </c>
      <c r="I1423" t="str">
        <f t="shared" ref="I1423:I1429" si="269">LEFT(B1423,4)</f>
        <v>POSW</v>
      </c>
      <c r="J1423" t="str">
        <f t="shared" si="264"/>
        <v>DASHPOSW</v>
      </c>
      <c r="K1423" t="str">
        <f t="shared" si="265"/>
        <v>POSWDASH</v>
      </c>
      <c r="L1423">
        <f t="shared" si="266"/>
        <v>0</v>
      </c>
      <c r="M1423">
        <f t="shared" si="267"/>
        <v>1</v>
      </c>
      <c r="N1423" t="b">
        <f t="shared" si="268"/>
        <v>1</v>
      </c>
    </row>
    <row r="1424" spans="1:14" hidden="1" x14ac:dyDescent="0.25">
      <c r="A1424" t="s">
        <v>1403</v>
      </c>
      <c r="B1424" t="s">
        <v>2027</v>
      </c>
      <c r="C1424" s="1">
        <v>97.999998000000005</v>
      </c>
      <c r="D1424" s="1">
        <v>97.999998000000005</v>
      </c>
      <c r="E1424" s="1">
        <v>97.999995999999996</v>
      </c>
      <c r="F1424" s="1">
        <v>15.000018000000001</v>
      </c>
      <c r="G1424">
        <f t="shared" si="263"/>
        <v>8</v>
      </c>
      <c r="H1424" t="str">
        <f>RIGHT(B1424,4)</f>
        <v>DOGE</v>
      </c>
      <c r="I1424" t="str">
        <f t="shared" si="269"/>
        <v>POSW</v>
      </c>
      <c r="J1424" t="str">
        <f t="shared" si="264"/>
        <v>DOGEPOSW</v>
      </c>
      <c r="K1424" t="str">
        <f t="shared" si="265"/>
        <v>POSWDOGE</v>
      </c>
      <c r="L1424">
        <f t="shared" si="266"/>
        <v>0</v>
      </c>
      <c r="M1424">
        <f t="shared" si="267"/>
        <v>1</v>
      </c>
      <c r="N1424" t="b">
        <f t="shared" si="268"/>
        <v>1</v>
      </c>
    </row>
    <row r="1425" spans="1:14" hidden="1" x14ac:dyDescent="0.25">
      <c r="A1425" t="s">
        <v>1239</v>
      </c>
      <c r="B1425" t="s">
        <v>1338</v>
      </c>
      <c r="C1425" s="1">
        <v>3.4437999999999998E-4</v>
      </c>
      <c r="D1425" s="1">
        <v>8.0160000000000005E-5</v>
      </c>
      <c r="E1425" s="1">
        <v>3.4437999999999998E-4</v>
      </c>
      <c r="F1425" s="1">
        <v>8.0160000000000005E-5</v>
      </c>
      <c r="G1425">
        <f t="shared" si="263"/>
        <v>7</v>
      </c>
      <c r="H1425" t="str">
        <f t="shared" ref="H1425:H1432" si="270">RIGHT(B1425,3)</f>
        <v>ETH</v>
      </c>
      <c r="I1425" t="str">
        <f t="shared" si="269"/>
        <v>POSW</v>
      </c>
      <c r="J1425" t="str">
        <f t="shared" si="264"/>
        <v>ETHPOSW</v>
      </c>
      <c r="K1425" t="str">
        <f t="shared" si="265"/>
        <v>POSWETH</v>
      </c>
      <c r="L1425">
        <f t="shared" si="266"/>
        <v>0</v>
      </c>
      <c r="M1425">
        <f t="shared" si="267"/>
        <v>1</v>
      </c>
      <c r="N1425" t="b">
        <f t="shared" si="268"/>
        <v>1</v>
      </c>
    </row>
    <row r="1426" spans="1:14" hidden="1" x14ac:dyDescent="0.25">
      <c r="A1426" t="s">
        <v>1239</v>
      </c>
      <c r="B1426" t="s">
        <v>1334</v>
      </c>
      <c r="C1426" s="1">
        <v>0.33977000000000002</v>
      </c>
      <c r="D1426" s="1">
        <v>1.15E-2</v>
      </c>
      <c r="E1426" s="1">
        <v>0.33977000000000002</v>
      </c>
      <c r="F1426" s="1">
        <v>1.15E-2</v>
      </c>
      <c r="G1426">
        <f t="shared" si="263"/>
        <v>7</v>
      </c>
      <c r="H1426" t="str">
        <f t="shared" si="270"/>
        <v>EUR</v>
      </c>
      <c r="I1426" t="str">
        <f t="shared" si="269"/>
        <v>POSW</v>
      </c>
      <c r="J1426" t="str">
        <f t="shared" si="264"/>
        <v>EURPOSW</v>
      </c>
      <c r="K1426" t="str">
        <f t="shared" si="265"/>
        <v>POSWEUR</v>
      </c>
      <c r="L1426">
        <f t="shared" si="266"/>
        <v>0</v>
      </c>
      <c r="M1426">
        <f t="shared" si="267"/>
        <v>1</v>
      </c>
      <c r="N1426" t="b">
        <f t="shared" si="268"/>
        <v>1</v>
      </c>
    </row>
    <row r="1427" spans="1:14" hidden="1" x14ac:dyDescent="0.25">
      <c r="A1427" t="s">
        <v>1239</v>
      </c>
      <c r="B1427" t="s">
        <v>1341</v>
      </c>
      <c r="C1427" s="1">
        <v>0.51999998999999997</v>
      </c>
      <c r="D1427" s="1">
        <v>0.02</v>
      </c>
      <c r="E1427" s="1">
        <v>0.51999998999999997</v>
      </c>
      <c r="F1427" s="1">
        <v>0.02</v>
      </c>
      <c r="G1427">
        <f t="shared" si="263"/>
        <v>7</v>
      </c>
      <c r="H1427" t="str">
        <f t="shared" si="270"/>
        <v>ICN</v>
      </c>
      <c r="I1427" t="str">
        <f t="shared" si="269"/>
        <v>POSW</v>
      </c>
      <c r="J1427" t="str">
        <f t="shared" si="264"/>
        <v>ICNPOSW</v>
      </c>
      <c r="K1427" t="str">
        <f t="shared" si="265"/>
        <v>POSWICN</v>
      </c>
      <c r="L1427">
        <f t="shared" si="266"/>
        <v>0</v>
      </c>
      <c r="M1427">
        <f t="shared" si="267"/>
        <v>1</v>
      </c>
      <c r="N1427" t="b">
        <f t="shared" si="268"/>
        <v>1</v>
      </c>
    </row>
    <row r="1428" spans="1:14" hidden="1" x14ac:dyDescent="0.25">
      <c r="A1428" t="s">
        <v>1239</v>
      </c>
      <c r="B1428" t="s">
        <v>1336</v>
      </c>
      <c r="C1428" s="1">
        <v>8.99</v>
      </c>
      <c r="D1428" s="1">
        <v>0.70550999999999997</v>
      </c>
      <c r="E1428" s="1">
        <v>8.99</v>
      </c>
      <c r="F1428" s="1">
        <v>0.70550999999999997</v>
      </c>
      <c r="G1428">
        <f t="shared" si="263"/>
        <v>7</v>
      </c>
      <c r="H1428" t="str">
        <f t="shared" si="270"/>
        <v>RUR</v>
      </c>
      <c r="I1428" t="str">
        <f t="shared" si="269"/>
        <v>POSW</v>
      </c>
      <c r="J1428" t="str">
        <f t="shared" si="264"/>
        <v>RURPOSW</v>
      </c>
      <c r="K1428" t="str">
        <f t="shared" si="265"/>
        <v>POSWRUR</v>
      </c>
      <c r="L1428">
        <f t="shared" si="266"/>
        <v>0</v>
      </c>
      <c r="M1428">
        <f t="shared" si="267"/>
        <v>1</v>
      </c>
      <c r="N1428" t="b">
        <f t="shared" si="268"/>
        <v>1</v>
      </c>
    </row>
    <row r="1429" spans="1:14" hidden="1" x14ac:dyDescent="0.25">
      <c r="A1429" t="s">
        <v>1239</v>
      </c>
      <c r="B1429" t="s">
        <v>1340</v>
      </c>
      <c r="C1429" s="1">
        <v>4.4995499999999997E-3</v>
      </c>
      <c r="D1429" s="1">
        <v>4.4978999999999999E-4</v>
      </c>
      <c r="E1429" s="1">
        <v>4.4995499999999997E-3</v>
      </c>
      <c r="F1429" s="1">
        <v>4.4978999999999999E-4</v>
      </c>
      <c r="G1429">
        <f t="shared" si="263"/>
        <v>7</v>
      </c>
      <c r="H1429" t="str">
        <f t="shared" si="270"/>
        <v>XMR</v>
      </c>
      <c r="I1429" t="str">
        <f t="shared" si="269"/>
        <v>POSW</v>
      </c>
      <c r="J1429" t="str">
        <f t="shared" si="264"/>
        <v>XMRPOSW</v>
      </c>
      <c r="K1429" t="str">
        <f t="shared" si="265"/>
        <v>POSWXMR</v>
      </c>
      <c r="L1429">
        <f t="shared" si="266"/>
        <v>0</v>
      </c>
      <c r="M1429">
        <f t="shared" si="267"/>
        <v>1</v>
      </c>
      <c r="N1429" t="b">
        <f t="shared" si="268"/>
        <v>1</v>
      </c>
    </row>
    <row r="1430" spans="1:14" hidden="1" x14ac:dyDescent="0.25">
      <c r="A1430" t="s">
        <v>5</v>
      </c>
      <c r="B1430" t="s">
        <v>365</v>
      </c>
      <c r="C1430" s="1">
        <v>8.0999999999999997E-7</v>
      </c>
      <c r="D1430" s="1">
        <v>6.4000000000000001E-7</v>
      </c>
      <c r="E1430" s="1">
        <v>8.0999999999999997E-7</v>
      </c>
      <c r="F1430" s="1">
        <v>6.4000000000000001E-7</v>
      </c>
      <c r="G1430">
        <f t="shared" si="263"/>
        <v>8</v>
      </c>
      <c r="H1430" t="str">
        <f t="shared" si="270"/>
        <v>BTC</v>
      </c>
      <c r="I1430" t="str">
        <f>LEFT(B1430,5)</f>
        <v>POWER</v>
      </c>
      <c r="J1430" t="str">
        <f t="shared" si="264"/>
        <v>BTCPOWER</v>
      </c>
      <c r="K1430" t="str">
        <f t="shared" si="265"/>
        <v>POWERBTC</v>
      </c>
      <c r="L1430">
        <f t="shared" si="266"/>
        <v>0</v>
      </c>
      <c r="M1430">
        <f t="shared" si="267"/>
        <v>1</v>
      </c>
      <c r="N1430" t="b">
        <f t="shared" si="268"/>
        <v>1</v>
      </c>
    </row>
    <row r="1431" spans="1:14" hidden="1" x14ac:dyDescent="0.25">
      <c r="A1431" t="s">
        <v>0</v>
      </c>
      <c r="B1431" t="s">
        <v>8</v>
      </c>
      <c r="C1431" s="1">
        <v>1.8140000000000001</v>
      </c>
      <c r="D1431" s="1">
        <v>1.7989999999999999</v>
      </c>
      <c r="E1431" s="1">
        <v>1.8140000000000001</v>
      </c>
      <c r="F1431" s="1">
        <v>1.7989132347999901</v>
      </c>
      <c r="G1431">
        <f t="shared" si="263"/>
        <v>6</v>
      </c>
      <c r="H1431" t="str">
        <f t="shared" si="270"/>
        <v>USD</v>
      </c>
      <c r="I1431" t="str">
        <f t="shared" ref="I1431:I1436" si="271">LEFT(B1431,3)</f>
        <v>PPC</v>
      </c>
      <c r="J1431" t="str">
        <f t="shared" si="264"/>
        <v>USDPPC</v>
      </c>
      <c r="K1431" t="str">
        <f t="shared" si="265"/>
        <v>PPCUSD</v>
      </c>
      <c r="L1431">
        <f t="shared" si="266"/>
        <v>0</v>
      </c>
      <c r="M1431">
        <f t="shared" si="267"/>
        <v>1</v>
      </c>
      <c r="N1431" t="b">
        <f t="shared" si="268"/>
        <v>1</v>
      </c>
    </row>
    <row r="1432" spans="1:14" hidden="1" x14ac:dyDescent="0.25">
      <c r="A1432" t="s">
        <v>1403</v>
      </c>
      <c r="B1432" t="s">
        <v>1488</v>
      </c>
      <c r="C1432" s="1" t="s">
        <v>1489</v>
      </c>
      <c r="D1432" s="1">
        <v>9.7699999999999996E-6</v>
      </c>
      <c r="E1432" s="1" t="s">
        <v>1489</v>
      </c>
      <c r="F1432" s="1">
        <v>8.7299999999999994E-6</v>
      </c>
      <c r="G1432">
        <f t="shared" si="263"/>
        <v>6</v>
      </c>
      <c r="H1432" t="str">
        <f t="shared" si="270"/>
        <v>BTC</v>
      </c>
      <c r="I1432" t="str">
        <f t="shared" si="271"/>
        <v>PRC</v>
      </c>
      <c r="J1432" t="str">
        <f t="shared" si="264"/>
        <v>BTCPRC</v>
      </c>
      <c r="K1432" t="str">
        <f t="shared" si="265"/>
        <v>PRCBTC</v>
      </c>
      <c r="L1432">
        <f t="shared" si="266"/>
        <v>0</v>
      </c>
      <c r="M1432">
        <f t="shared" si="267"/>
        <v>1</v>
      </c>
      <c r="N1432" t="b">
        <f t="shared" si="268"/>
        <v>1</v>
      </c>
    </row>
    <row r="1433" spans="1:14" hidden="1" x14ac:dyDescent="0.25">
      <c r="A1433" t="s">
        <v>1403</v>
      </c>
      <c r="B1433" t="s">
        <v>2028</v>
      </c>
      <c r="C1433" s="1">
        <v>0</v>
      </c>
      <c r="D1433" s="1">
        <v>0</v>
      </c>
      <c r="E1433" s="1">
        <v>2992.9979999699999</v>
      </c>
      <c r="F1433" s="1">
        <v>5.0000580000000003E-2</v>
      </c>
      <c r="G1433">
        <f t="shared" si="263"/>
        <v>7</v>
      </c>
      <c r="H1433" t="str">
        <f>RIGHT(B1433,4)</f>
        <v>DOGE</v>
      </c>
      <c r="I1433" t="str">
        <f t="shared" si="271"/>
        <v>PRC</v>
      </c>
      <c r="J1433" t="str">
        <f t="shared" si="264"/>
        <v>DOGEPRC</v>
      </c>
      <c r="K1433" t="str">
        <f t="shared" si="265"/>
        <v>PRCDOGE</v>
      </c>
      <c r="L1433">
        <f t="shared" si="266"/>
        <v>0</v>
      </c>
      <c r="M1433">
        <f t="shared" si="267"/>
        <v>1</v>
      </c>
      <c r="N1433" t="b">
        <f t="shared" si="268"/>
        <v>1</v>
      </c>
    </row>
    <row r="1434" spans="1:14" hidden="1" x14ac:dyDescent="0.25">
      <c r="A1434" t="s">
        <v>1403</v>
      </c>
      <c r="B1434" t="s">
        <v>1835</v>
      </c>
      <c r="C1434" s="1">
        <v>1.0998E-3</v>
      </c>
      <c r="D1434" s="1">
        <v>1.0998E-3</v>
      </c>
      <c r="E1434" s="1">
        <v>0.05</v>
      </c>
      <c r="F1434" s="1" t="s">
        <v>380</v>
      </c>
      <c r="G1434">
        <f t="shared" si="263"/>
        <v>6</v>
      </c>
      <c r="H1434" t="str">
        <f>RIGHT(B1434,3)</f>
        <v>LTC</v>
      </c>
      <c r="I1434" t="str">
        <f t="shared" si="271"/>
        <v>PRC</v>
      </c>
      <c r="J1434" t="str">
        <f t="shared" si="264"/>
        <v>LTCPRC</v>
      </c>
      <c r="K1434" t="str">
        <f t="shared" si="265"/>
        <v>PRCLTC</v>
      </c>
      <c r="L1434">
        <f t="shared" si="266"/>
        <v>0</v>
      </c>
      <c r="M1434">
        <f t="shared" si="267"/>
        <v>1</v>
      </c>
      <c r="N1434" t="b">
        <f t="shared" si="268"/>
        <v>1</v>
      </c>
    </row>
    <row r="1435" spans="1:14" hidden="1" x14ac:dyDescent="0.25">
      <c r="A1435" t="s">
        <v>1403</v>
      </c>
      <c r="B1435" t="s">
        <v>1646</v>
      </c>
      <c r="C1435" s="1">
        <v>0.03</v>
      </c>
      <c r="D1435" s="1">
        <v>0.03</v>
      </c>
      <c r="E1435" s="1">
        <v>0.03</v>
      </c>
      <c r="F1435" s="1">
        <v>2.0000009999999999E-2</v>
      </c>
      <c r="G1435">
        <f t="shared" si="263"/>
        <v>6</v>
      </c>
      <c r="H1435" t="str">
        <f>RIGHT(B1435,3)</f>
        <v>USD</v>
      </c>
      <c r="I1435" t="str">
        <f t="shared" si="271"/>
        <v>PRC</v>
      </c>
      <c r="J1435" t="str">
        <f t="shared" si="264"/>
        <v>USDPRC</v>
      </c>
      <c r="K1435" t="str">
        <f t="shared" si="265"/>
        <v>PRCUSD</v>
      </c>
      <c r="L1435">
        <f t="shared" si="266"/>
        <v>0</v>
      </c>
      <c r="M1435">
        <f t="shared" si="267"/>
        <v>1</v>
      </c>
      <c r="N1435" t="b">
        <f t="shared" si="268"/>
        <v>1</v>
      </c>
    </row>
    <row r="1436" spans="1:14" hidden="1" x14ac:dyDescent="0.25">
      <c r="A1436" t="s">
        <v>5</v>
      </c>
      <c r="B1436" t="s">
        <v>1002</v>
      </c>
      <c r="C1436" s="1">
        <v>3.19E-6</v>
      </c>
      <c r="D1436" s="1" t="s">
        <v>1003</v>
      </c>
      <c r="E1436" s="1">
        <v>3.19E-6</v>
      </c>
      <c r="F1436" s="1" t="s">
        <v>1003</v>
      </c>
      <c r="G1436">
        <f t="shared" si="263"/>
        <v>6</v>
      </c>
      <c r="H1436" t="str">
        <f>RIGHT(B1436,3)</f>
        <v>BTC</v>
      </c>
      <c r="I1436" t="str">
        <f t="shared" si="271"/>
        <v>PRE</v>
      </c>
      <c r="J1436" t="str">
        <f t="shared" si="264"/>
        <v>BTCPRE</v>
      </c>
      <c r="K1436" t="str">
        <f t="shared" si="265"/>
        <v>PREBTC</v>
      </c>
      <c r="L1436">
        <f t="shared" si="266"/>
        <v>0</v>
      </c>
      <c r="M1436">
        <f t="shared" si="267"/>
        <v>1</v>
      </c>
      <c r="N1436" t="b">
        <f t="shared" si="268"/>
        <v>1</v>
      </c>
    </row>
    <row r="1437" spans="1:14" hidden="1" x14ac:dyDescent="0.25">
      <c r="A1437" t="s">
        <v>1403</v>
      </c>
      <c r="B1437" t="s">
        <v>2029</v>
      </c>
      <c r="C1437" s="1">
        <v>4.0000000900000003</v>
      </c>
      <c r="D1437" s="1">
        <v>4.0000000900000003</v>
      </c>
      <c r="E1437" s="1">
        <v>53.998999869999999</v>
      </c>
      <c r="F1437" s="1">
        <v>1.04E-6</v>
      </c>
      <c r="G1437">
        <f t="shared" si="263"/>
        <v>8</v>
      </c>
      <c r="H1437" t="str">
        <f>RIGHT(B1437,4)</f>
        <v>DOGE</v>
      </c>
      <c r="I1437" t="str">
        <f>LEFT(B1437,4)</f>
        <v>PRES</v>
      </c>
      <c r="J1437" t="str">
        <f t="shared" si="264"/>
        <v>DOGEPRES</v>
      </c>
      <c r="K1437" t="str">
        <f t="shared" si="265"/>
        <v>PRESDOGE</v>
      </c>
      <c r="L1437">
        <f t="shared" si="266"/>
        <v>0</v>
      </c>
      <c r="M1437">
        <f t="shared" si="267"/>
        <v>1</v>
      </c>
      <c r="N1437" t="b">
        <f t="shared" si="268"/>
        <v>1</v>
      </c>
    </row>
    <row r="1438" spans="1:14" hidden="1" x14ac:dyDescent="0.25">
      <c r="A1438" t="s">
        <v>1403</v>
      </c>
      <c r="B1438" t="s">
        <v>1836</v>
      </c>
      <c r="C1438" s="1">
        <v>0.1</v>
      </c>
      <c r="D1438" s="1">
        <v>0.1</v>
      </c>
      <c r="E1438" s="1">
        <v>2.1099600000000001E-3</v>
      </c>
      <c r="F1438" s="1">
        <v>1.155E-5</v>
      </c>
      <c r="G1438">
        <f t="shared" si="263"/>
        <v>7</v>
      </c>
      <c r="H1438" t="str">
        <f>RIGHT(B1438,3)</f>
        <v>LTC</v>
      </c>
      <c r="I1438" t="str">
        <f>LEFT(B1438,4)</f>
        <v>PRES</v>
      </c>
      <c r="J1438" t="str">
        <f t="shared" si="264"/>
        <v>LTCPRES</v>
      </c>
      <c r="K1438" t="str">
        <f t="shared" si="265"/>
        <v>PRESLTC</v>
      </c>
      <c r="L1438">
        <f t="shared" si="266"/>
        <v>0</v>
      </c>
      <c r="M1438">
        <f t="shared" si="267"/>
        <v>1</v>
      </c>
      <c r="N1438" t="b">
        <f t="shared" si="268"/>
        <v>1</v>
      </c>
    </row>
    <row r="1439" spans="1:14" hidden="1" x14ac:dyDescent="0.25">
      <c r="A1439" t="s">
        <v>1403</v>
      </c>
      <c r="B1439" t="s">
        <v>1647</v>
      </c>
      <c r="C1439" s="1">
        <v>2.3900000000000001E-2</v>
      </c>
      <c r="D1439" s="1">
        <v>2.3900000000000001E-2</v>
      </c>
      <c r="E1439" s="1">
        <v>2.2016999999999998E-2</v>
      </c>
      <c r="F1439" s="1">
        <v>1.9199999999999998E-6</v>
      </c>
      <c r="G1439">
        <f t="shared" si="263"/>
        <v>7</v>
      </c>
      <c r="H1439" t="str">
        <f>RIGHT(B1439,3)</f>
        <v>USD</v>
      </c>
      <c r="I1439" t="str">
        <f>LEFT(B1439,4)</f>
        <v>PRES</v>
      </c>
      <c r="J1439" t="str">
        <f t="shared" si="264"/>
        <v>USDPRES</v>
      </c>
      <c r="K1439" t="str">
        <f t="shared" si="265"/>
        <v>PRESUSD</v>
      </c>
      <c r="L1439">
        <f t="shared" si="266"/>
        <v>0</v>
      </c>
      <c r="M1439">
        <f t="shared" si="267"/>
        <v>1</v>
      </c>
      <c r="N1439" t="b">
        <f t="shared" si="268"/>
        <v>1</v>
      </c>
    </row>
    <row r="1440" spans="1:14" hidden="1" x14ac:dyDescent="0.25">
      <c r="A1440" t="s">
        <v>1403</v>
      </c>
      <c r="B1440" t="s">
        <v>1484</v>
      </c>
      <c r="C1440" s="1">
        <v>6.6000000000000003E-7</v>
      </c>
      <c r="D1440" s="1">
        <v>6.7999999999999995E-7</v>
      </c>
      <c r="E1440" s="1">
        <v>6.7999999999999995E-7</v>
      </c>
      <c r="F1440" s="1" t="s">
        <v>421</v>
      </c>
      <c r="G1440">
        <f t="shared" si="263"/>
        <v>8</v>
      </c>
      <c r="H1440" t="str">
        <f>RIGHT(B1440,3)</f>
        <v>BTC</v>
      </c>
      <c r="I1440" t="str">
        <f>LEFT(B1440,5)</f>
        <v>PRIME</v>
      </c>
      <c r="J1440" t="str">
        <f t="shared" si="264"/>
        <v>BTCPRIME</v>
      </c>
      <c r="K1440" t="str">
        <f t="shared" si="265"/>
        <v>PRIMEBTC</v>
      </c>
      <c r="L1440">
        <f t="shared" si="266"/>
        <v>0</v>
      </c>
      <c r="M1440">
        <f t="shared" si="267"/>
        <v>1</v>
      </c>
      <c r="N1440" t="b">
        <f t="shared" si="268"/>
        <v>1</v>
      </c>
    </row>
    <row r="1441" spans="1:14" hidden="1" x14ac:dyDescent="0.25">
      <c r="A1441" t="s">
        <v>1403</v>
      </c>
      <c r="B1441" t="s">
        <v>2023</v>
      </c>
      <c r="C1441" s="1">
        <v>879</v>
      </c>
      <c r="D1441" s="1">
        <v>879</v>
      </c>
      <c r="E1441" s="1">
        <v>877.99999996999998</v>
      </c>
      <c r="F1441" s="1">
        <v>0.40200003000000001</v>
      </c>
      <c r="G1441">
        <f t="shared" si="263"/>
        <v>9</v>
      </c>
      <c r="H1441" t="str">
        <f>RIGHT(B1441,4)</f>
        <v>DOGE</v>
      </c>
      <c r="I1441" t="str">
        <f>LEFT(B1441,5)</f>
        <v>PRIME</v>
      </c>
      <c r="J1441" t="str">
        <f t="shared" si="264"/>
        <v>DOGEPRIME</v>
      </c>
      <c r="K1441" t="str">
        <f t="shared" si="265"/>
        <v>PRIMEDOGE</v>
      </c>
      <c r="L1441">
        <f t="shared" si="266"/>
        <v>0</v>
      </c>
      <c r="M1441">
        <f t="shared" si="267"/>
        <v>1</v>
      </c>
      <c r="N1441" t="b">
        <f t="shared" si="268"/>
        <v>1</v>
      </c>
    </row>
    <row r="1442" spans="1:14" hidden="1" x14ac:dyDescent="0.25">
      <c r="A1442" t="s">
        <v>1403</v>
      </c>
      <c r="B1442" t="s">
        <v>1831</v>
      </c>
      <c r="C1442" s="1">
        <v>5.9999999999999995E-4</v>
      </c>
      <c r="D1442" s="1">
        <v>1.8E-3</v>
      </c>
      <c r="E1442" s="1">
        <v>0.39999996999999998</v>
      </c>
      <c r="F1442" s="1">
        <v>1.4919999999999999E-5</v>
      </c>
      <c r="G1442">
        <f t="shared" si="263"/>
        <v>8</v>
      </c>
      <c r="H1442" t="str">
        <f>RIGHT(B1442,3)</f>
        <v>LTC</v>
      </c>
      <c r="I1442" t="str">
        <f>LEFT(B1442,5)</f>
        <v>PRIME</v>
      </c>
      <c r="J1442" t="str">
        <f t="shared" si="264"/>
        <v>LTCPRIME</v>
      </c>
      <c r="K1442" t="str">
        <f t="shared" si="265"/>
        <v>PRIMELTC</v>
      </c>
      <c r="L1442">
        <f t="shared" si="266"/>
        <v>0</v>
      </c>
      <c r="M1442">
        <f t="shared" si="267"/>
        <v>1</v>
      </c>
      <c r="N1442" t="b">
        <f t="shared" si="268"/>
        <v>1</v>
      </c>
    </row>
    <row r="1443" spans="1:14" hidden="1" x14ac:dyDescent="0.25">
      <c r="A1443" t="s">
        <v>1403</v>
      </c>
      <c r="B1443" t="s">
        <v>1642</v>
      </c>
      <c r="C1443" s="1">
        <v>8.9999999999999993E-3</v>
      </c>
      <c r="D1443" s="1">
        <v>8.9999999999999993E-3</v>
      </c>
      <c r="E1443" s="1">
        <v>1.9E-2</v>
      </c>
      <c r="F1443" s="1">
        <v>1.15123E-3</v>
      </c>
      <c r="G1443">
        <f t="shared" si="263"/>
        <v>8</v>
      </c>
      <c r="H1443" t="str">
        <f>RIGHT(B1443,3)</f>
        <v>USD</v>
      </c>
      <c r="I1443" t="str">
        <f>LEFT(B1443,5)</f>
        <v>PRIME</v>
      </c>
      <c r="J1443" t="str">
        <f t="shared" si="264"/>
        <v>USDPRIME</v>
      </c>
      <c r="K1443" t="str">
        <f t="shared" si="265"/>
        <v>PRIMEUSD</v>
      </c>
      <c r="L1443">
        <f t="shared" si="266"/>
        <v>0</v>
      </c>
      <c r="M1443">
        <f t="shared" si="267"/>
        <v>1</v>
      </c>
      <c r="N1443" t="b">
        <f t="shared" si="268"/>
        <v>1</v>
      </c>
    </row>
    <row r="1444" spans="1:14" hidden="1" x14ac:dyDescent="0.25">
      <c r="A1444" t="s">
        <v>5</v>
      </c>
      <c r="B1444" t="s">
        <v>583</v>
      </c>
      <c r="C1444" s="1">
        <v>1.8E-7</v>
      </c>
      <c r="D1444" s="1">
        <v>1.6E-7</v>
      </c>
      <c r="E1444" s="1">
        <v>1.8E-7</v>
      </c>
      <c r="F1444" s="1">
        <v>1.6E-7</v>
      </c>
      <c r="G1444">
        <f t="shared" si="263"/>
        <v>6</v>
      </c>
      <c r="H1444" t="str">
        <f>RIGHT(B1444,3)</f>
        <v>BTC</v>
      </c>
      <c r="I1444" t="str">
        <f>LEFT(B1444,3)</f>
        <v>PRM</v>
      </c>
      <c r="J1444" t="str">
        <f t="shared" si="264"/>
        <v>BTCPRM</v>
      </c>
      <c r="K1444" t="str">
        <f t="shared" si="265"/>
        <v>PRMBTC</v>
      </c>
      <c r="L1444">
        <f t="shared" si="266"/>
        <v>0</v>
      </c>
      <c r="M1444">
        <f t="shared" si="267"/>
        <v>1</v>
      </c>
      <c r="N1444" t="b">
        <f t="shared" si="268"/>
        <v>1</v>
      </c>
    </row>
    <row r="1445" spans="1:14" hidden="1" x14ac:dyDescent="0.25">
      <c r="A1445" t="s">
        <v>1403</v>
      </c>
      <c r="B1445" t="s">
        <v>2030</v>
      </c>
      <c r="C1445" s="1">
        <v>0</v>
      </c>
      <c r="D1445" s="1">
        <v>0</v>
      </c>
      <c r="E1445" s="1">
        <v>56001</v>
      </c>
      <c r="F1445" s="1">
        <v>5.000048E-2</v>
      </c>
      <c r="G1445">
        <f t="shared" si="263"/>
        <v>8</v>
      </c>
      <c r="H1445" t="str">
        <f>RIGHT(B1445,4)</f>
        <v>DOGE</v>
      </c>
      <c r="I1445" t="str">
        <f>LEFT(B1445,4)</f>
        <v>PROC</v>
      </c>
      <c r="J1445" t="str">
        <f t="shared" si="264"/>
        <v>DOGEPROC</v>
      </c>
      <c r="K1445" t="str">
        <f t="shared" si="265"/>
        <v>PROCDOGE</v>
      </c>
      <c r="L1445">
        <f t="shared" si="266"/>
        <v>0</v>
      </c>
      <c r="M1445">
        <f t="shared" si="267"/>
        <v>1</v>
      </c>
      <c r="N1445" t="b">
        <f t="shared" si="268"/>
        <v>1</v>
      </c>
    </row>
    <row r="1446" spans="1:14" hidden="1" x14ac:dyDescent="0.25">
      <c r="A1446" t="s">
        <v>1403</v>
      </c>
      <c r="B1446" t="s">
        <v>1837</v>
      </c>
      <c r="C1446" s="1">
        <v>0</v>
      </c>
      <c r="D1446" s="1">
        <v>0</v>
      </c>
      <c r="E1446" s="1">
        <v>7</v>
      </c>
      <c r="F1446" s="1">
        <v>1.6E-7</v>
      </c>
      <c r="G1446">
        <f t="shared" si="263"/>
        <v>7</v>
      </c>
      <c r="H1446" t="str">
        <f>RIGHT(B1446,3)</f>
        <v>LTC</v>
      </c>
      <c r="I1446" t="str">
        <f>LEFT(B1446,4)</f>
        <v>PROC</v>
      </c>
      <c r="J1446" t="str">
        <f t="shared" si="264"/>
        <v>LTCPROC</v>
      </c>
      <c r="K1446" t="str">
        <f t="shared" si="265"/>
        <v>PROCLTC</v>
      </c>
      <c r="L1446">
        <f t="shared" si="266"/>
        <v>0</v>
      </c>
      <c r="M1446">
        <f t="shared" si="267"/>
        <v>1</v>
      </c>
      <c r="N1446" t="b">
        <f t="shared" si="268"/>
        <v>1</v>
      </c>
    </row>
    <row r="1447" spans="1:14" hidden="1" x14ac:dyDescent="0.25">
      <c r="A1447" t="s">
        <v>1403</v>
      </c>
      <c r="B1447" t="s">
        <v>1648</v>
      </c>
      <c r="C1447" s="1">
        <v>0</v>
      </c>
      <c r="D1447" s="1">
        <v>0</v>
      </c>
      <c r="E1447" s="1">
        <v>0</v>
      </c>
      <c r="F1447" s="1">
        <v>1.000059E-2</v>
      </c>
      <c r="G1447">
        <f t="shared" si="263"/>
        <v>7</v>
      </c>
      <c r="H1447" t="str">
        <f>RIGHT(B1447,3)</f>
        <v>USD</v>
      </c>
      <c r="I1447" t="str">
        <f>LEFT(B1447,4)</f>
        <v>PROC</v>
      </c>
      <c r="J1447" t="str">
        <f t="shared" si="264"/>
        <v>USDPROC</v>
      </c>
      <c r="K1447" t="str">
        <f t="shared" si="265"/>
        <v>PROCUSD</v>
      </c>
      <c r="L1447">
        <f t="shared" si="266"/>
        <v>0</v>
      </c>
      <c r="M1447">
        <f t="shared" si="267"/>
        <v>1</v>
      </c>
      <c r="N1447" t="b">
        <f t="shared" si="268"/>
        <v>1</v>
      </c>
    </row>
    <row r="1448" spans="1:14" hidden="1" x14ac:dyDescent="0.25">
      <c r="A1448" t="s">
        <v>5</v>
      </c>
      <c r="B1448" t="s">
        <v>437</v>
      </c>
      <c r="C1448" s="1">
        <v>1.02E-6</v>
      </c>
      <c r="D1448" s="1">
        <v>9.9000000000000005E-7</v>
      </c>
      <c r="E1448" s="1">
        <v>1.02E-6</v>
      </c>
      <c r="F1448" s="1">
        <v>9.9000000000000005E-7</v>
      </c>
      <c r="G1448">
        <f t="shared" si="263"/>
        <v>6</v>
      </c>
      <c r="H1448" t="str">
        <f>RIGHT(B1448,3)</f>
        <v>BTC</v>
      </c>
      <c r="I1448" t="str">
        <f t="shared" ref="I1448:I1454" si="272">LEFT(B1448,3)</f>
        <v>PRX</v>
      </c>
      <c r="J1448" t="str">
        <f t="shared" si="264"/>
        <v>BTCPRX</v>
      </c>
      <c r="K1448" t="str">
        <f t="shared" si="265"/>
        <v>PRXBTC</v>
      </c>
      <c r="L1448">
        <f t="shared" si="266"/>
        <v>0</v>
      </c>
      <c r="M1448">
        <f t="shared" si="267"/>
        <v>1</v>
      </c>
      <c r="N1448" t="b">
        <f t="shared" si="268"/>
        <v>1</v>
      </c>
    </row>
    <row r="1449" spans="1:14" hidden="1" x14ac:dyDescent="0.25">
      <c r="A1449" t="s">
        <v>1403</v>
      </c>
      <c r="B1449" t="s">
        <v>2031</v>
      </c>
      <c r="C1449" s="1">
        <v>4.4000000000000004</v>
      </c>
      <c r="D1449" s="1">
        <v>4.4000000000000004</v>
      </c>
      <c r="E1449" s="1">
        <v>4.4999998999999997</v>
      </c>
      <c r="F1449" s="1">
        <v>1</v>
      </c>
      <c r="G1449">
        <f t="shared" si="263"/>
        <v>7</v>
      </c>
      <c r="H1449" t="str">
        <f>RIGHT(B1449,4)</f>
        <v>DOGE</v>
      </c>
      <c r="I1449" t="str">
        <f t="shared" si="272"/>
        <v>PSB</v>
      </c>
      <c r="J1449" t="str">
        <f t="shared" si="264"/>
        <v>DOGEPSB</v>
      </c>
      <c r="K1449" t="str">
        <f t="shared" si="265"/>
        <v>PSBDOGE</v>
      </c>
      <c r="L1449">
        <f t="shared" si="266"/>
        <v>0</v>
      </c>
      <c r="M1449">
        <f t="shared" si="267"/>
        <v>1</v>
      </c>
      <c r="N1449" t="b">
        <f t="shared" si="268"/>
        <v>1</v>
      </c>
    </row>
    <row r="1450" spans="1:14" hidden="1" x14ac:dyDescent="0.25">
      <c r="A1450" t="s">
        <v>1403</v>
      </c>
      <c r="B1450" t="s">
        <v>1838</v>
      </c>
      <c r="C1450" s="1">
        <v>5.0000000000000001E-3</v>
      </c>
      <c r="D1450" s="1">
        <v>5.0000000000000001E-3</v>
      </c>
      <c r="E1450" s="1">
        <v>4.4999899999999997E-3</v>
      </c>
      <c r="F1450" s="1">
        <v>1.0001E-4</v>
      </c>
      <c r="G1450">
        <f t="shared" si="263"/>
        <v>6</v>
      </c>
      <c r="H1450" t="str">
        <f t="shared" ref="H1450:H1473" si="273">RIGHT(B1450,3)</f>
        <v>LTC</v>
      </c>
      <c r="I1450" t="str">
        <f t="shared" si="272"/>
        <v>PSB</v>
      </c>
      <c r="J1450" t="str">
        <f t="shared" si="264"/>
        <v>LTCPSB</v>
      </c>
      <c r="K1450" t="str">
        <f t="shared" si="265"/>
        <v>PSBLTC</v>
      </c>
      <c r="L1450">
        <f t="shared" si="266"/>
        <v>0</v>
      </c>
      <c r="M1450">
        <f t="shared" si="267"/>
        <v>1</v>
      </c>
      <c r="N1450" t="b">
        <f t="shared" si="268"/>
        <v>1</v>
      </c>
    </row>
    <row r="1451" spans="1:14" hidden="1" x14ac:dyDescent="0.25">
      <c r="A1451" t="s">
        <v>1403</v>
      </c>
      <c r="B1451" t="s">
        <v>1649</v>
      </c>
      <c r="C1451" s="1">
        <v>1.5999800000000002E-2</v>
      </c>
      <c r="D1451" s="1">
        <v>1.5999800000000002E-2</v>
      </c>
      <c r="E1451" s="1">
        <v>1.5980000000000001E-2</v>
      </c>
      <c r="F1451" s="1">
        <v>6.9800000000000001E-3</v>
      </c>
      <c r="G1451">
        <f t="shared" si="263"/>
        <v>6</v>
      </c>
      <c r="H1451" t="str">
        <f t="shared" si="273"/>
        <v>USD</v>
      </c>
      <c r="I1451" t="str">
        <f t="shared" si="272"/>
        <v>PSB</v>
      </c>
      <c r="J1451" t="str">
        <f t="shared" si="264"/>
        <v>USDPSB</v>
      </c>
      <c r="K1451" t="str">
        <f t="shared" si="265"/>
        <v>PSBUSD</v>
      </c>
      <c r="L1451">
        <f t="shared" si="266"/>
        <v>0</v>
      </c>
      <c r="M1451">
        <f t="shared" si="267"/>
        <v>1</v>
      </c>
      <c r="N1451" t="b">
        <f t="shared" si="268"/>
        <v>1</v>
      </c>
    </row>
    <row r="1452" spans="1:14" hidden="1" x14ac:dyDescent="0.25">
      <c r="A1452" t="s">
        <v>5</v>
      </c>
      <c r="B1452" t="s">
        <v>779</v>
      </c>
      <c r="C1452" s="1">
        <v>2.529E-5</v>
      </c>
      <c r="D1452" s="1">
        <v>1.554E-5</v>
      </c>
      <c r="E1452" s="1">
        <v>2.529E-5</v>
      </c>
      <c r="F1452" s="1">
        <v>1.554E-5</v>
      </c>
      <c r="G1452">
        <f t="shared" si="263"/>
        <v>6</v>
      </c>
      <c r="H1452" t="str">
        <f t="shared" si="273"/>
        <v>BTC</v>
      </c>
      <c r="I1452" t="str">
        <f t="shared" si="272"/>
        <v>PSI</v>
      </c>
      <c r="J1452" t="str">
        <f t="shared" si="264"/>
        <v>BTCPSI</v>
      </c>
      <c r="K1452" t="str">
        <f t="shared" si="265"/>
        <v>PSIBTC</v>
      </c>
      <c r="L1452">
        <f t="shared" si="266"/>
        <v>0</v>
      </c>
      <c r="M1452">
        <f t="shared" si="267"/>
        <v>1</v>
      </c>
      <c r="N1452" t="b">
        <f t="shared" si="268"/>
        <v>1</v>
      </c>
    </row>
    <row r="1453" spans="1:14" hidden="1" x14ac:dyDescent="0.25">
      <c r="A1453" t="s">
        <v>5</v>
      </c>
      <c r="B1453" t="s">
        <v>358</v>
      </c>
      <c r="C1453" s="1">
        <v>2.1900000000000002E-6</v>
      </c>
      <c r="D1453" s="1">
        <v>1.9599999999999999E-6</v>
      </c>
      <c r="E1453" s="1">
        <v>2.1900000000000002E-6</v>
      </c>
      <c r="F1453" s="1">
        <v>1.9599999999999999E-6</v>
      </c>
      <c r="G1453">
        <f t="shared" si="263"/>
        <v>6</v>
      </c>
      <c r="H1453" t="str">
        <f t="shared" si="273"/>
        <v>BTC</v>
      </c>
      <c r="I1453" t="str">
        <f t="shared" si="272"/>
        <v>PSY</v>
      </c>
      <c r="J1453" t="str">
        <f t="shared" si="264"/>
        <v>BTCPSY</v>
      </c>
      <c r="K1453" t="str">
        <f t="shared" si="265"/>
        <v>PSYBTC</v>
      </c>
      <c r="L1453">
        <f t="shared" si="266"/>
        <v>0</v>
      </c>
      <c r="M1453">
        <f t="shared" si="267"/>
        <v>1</v>
      </c>
      <c r="N1453" t="b">
        <f t="shared" si="268"/>
        <v>1</v>
      </c>
    </row>
    <row r="1454" spans="1:14" hidden="1" x14ac:dyDescent="0.25">
      <c r="A1454" t="s">
        <v>5</v>
      </c>
      <c r="B1454" t="s">
        <v>1096</v>
      </c>
      <c r="C1454" s="1">
        <v>1.6500000000000001E-6</v>
      </c>
      <c r="D1454" s="1">
        <v>1.64E-6</v>
      </c>
      <c r="E1454" s="1">
        <v>1.6500000000000001E-6</v>
      </c>
      <c r="F1454" s="1">
        <v>1.64E-6</v>
      </c>
      <c r="G1454">
        <f t="shared" si="263"/>
        <v>6</v>
      </c>
      <c r="H1454" t="str">
        <f t="shared" si="273"/>
        <v>BTC</v>
      </c>
      <c r="I1454" t="str">
        <f t="shared" si="272"/>
        <v>PTA</v>
      </c>
      <c r="J1454" t="str">
        <f t="shared" si="264"/>
        <v>BTCPTA</v>
      </c>
      <c r="K1454" t="str">
        <f t="shared" si="265"/>
        <v>PTABTC</v>
      </c>
      <c r="L1454">
        <f t="shared" si="266"/>
        <v>0</v>
      </c>
      <c r="M1454">
        <f t="shared" si="267"/>
        <v>1</v>
      </c>
      <c r="N1454" t="b">
        <f t="shared" si="268"/>
        <v>1</v>
      </c>
    </row>
    <row r="1455" spans="1:14" hidden="1" x14ac:dyDescent="0.25">
      <c r="A1455" t="s">
        <v>4</v>
      </c>
      <c r="B1455" t="s">
        <v>341</v>
      </c>
      <c r="C1455" s="1">
        <v>1.2400000000000001E-4</v>
      </c>
      <c r="D1455" s="1">
        <v>9.0000000000000006E-5</v>
      </c>
      <c r="E1455" s="1">
        <v>1.2400000000000001E-4</v>
      </c>
      <c r="F1455" s="1" t="s">
        <v>121</v>
      </c>
      <c r="G1455">
        <f t="shared" si="263"/>
        <v>7</v>
      </c>
      <c r="H1455" t="str">
        <f t="shared" si="273"/>
        <v>BTC</v>
      </c>
      <c r="I1455" t="str">
        <f>LEFT(B1455,4)</f>
        <v>PTOY</v>
      </c>
      <c r="J1455" t="str">
        <f t="shared" si="264"/>
        <v>BTCPTOY</v>
      </c>
      <c r="K1455" t="str">
        <f t="shared" si="265"/>
        <v>PTOYBTC</v>
      </c>
      <c r="L1455">
        <f t="shared" si="266"/>
        <v>0</v>
      </c>
      <c r="M1455">
        <f t="shared" si="267"/>
        <v>1</v>
      </c>
      <c r="N1455" t="b">
        <f t="shared" si="268"/>
        <v>1</v>
      </c>
    </row>
    <row r="1456" spans="1:14" hidden="1" x14ac:dyDescent="0.25">
      <c r="A1456" t="s">
        <v>5</v>
      </c>
      <c r="B1456" t="s">
        <v>799</v>
      </c>
      <c r="C1456" s="1">
        <v>11.74998373</v>
      </c>
      <c r="D1456" s="1">
        <v>6.45000018</v>
      </c>
      <c r="E1456" s="1" t="s">
        <v>384</v>
      </c>
      <c r="F1456" s="1" t="s">
        <v>361</v>
      </c>
      <c r="G1456">
        <f t="shared" si="263"/>
        <v>6</v>
      </c>
      <c r="H1456" t="str">
        <f t="shared" si="273"/>
        <v>BTC</v>
      </c>
      <c r="I1456" t="str">
        <f>LEFT(B1456,3)</f>
        <v>PTY</v>
      </c>
      <c r="J1456" t="str">
        <f t="shared" si="264"/>
        <v>BTCPTY</v>
      </c>
      <c r="K1456" t="str">
        <f t="shared" si="265"/>
        <v>PTYBTC</v>
      </c>
      <c r="L1456">
        <f t="shared" si="266"/>
        <v>0</v>
      </c>
      <c r="M1456">
        <f t="shared" si="267"/>
        <v>1</v>
      </c>
      <c r="N1456" t="b">
        <f t="shared" si="268"/>
        <v>1</v>
      </c>
    </row>
    <row r="1457" spans="1:14" hidden="1" x14ac:dyDescent="0.25">
      <c r="A1457" t="s">
        <v>5</v>
      </c>
      <c r="B1457" t="s">
        <v>1142</v>
      </c>
      <c r="C1457" s="1">
        <v>6.3E-7</v>
      </c>
      <c r="D1457" s="1">
        <v>4.3000000000000001E-7</v>
      </c>
      <c r="E1457" s="1">
        <v>6.3E-7</v>
      </c>
      <c r="F1457" s="1">
        <v>4.3000000000000001E-7</v>
      </c>
      <c r="G1457">
        <f t="shared" si="263"/>
        <v>8</v>
      </c>
      <c r="H1457" t="str">
        <f t="shared" si="273"/>
        <v>BTC</v>
      </c>
      <c r="I1457" t="str">
        <f>LEFT(B1457,5)</f>
        <v>PULSE</v>
      </c>
      <c r="J1457" t="str">
        <f t="shared" si="264"/>
        <v>BTCPULSE</v>
      </c>
      <c r="K1457" t="str">
        <f t="shared" si="265"/>
        <v>PULSEBTC</v>
      </c>
      <c r="L1457">
        <f t="shared" si="266"/>
        <v>0</v>
      </c>
      <c r="M1457">
        <f t="shared" si="267"/>
        <v>1</v>
      </c>
      <c r="N1457" t="b">
        <f t="shared" si="268"/>
        <v>1</v>
      </c>
    </row>
    <row r="1458" spans="1:14" hidden="1" x14ac:dyDescent="0.25">
      <c r="A1458" t="s">
        <v>5</v>
      </c>
      <c r="B1458" t="s">
        <v>675</v>
      </c>
      <c r="C1458" s="1" t="s">
        <v>361</v>
      </c>
      <c r="D1458" s="1" t="s">
        <v>362</v>
      </c>
      <c r="E1458" s="1" t="s">
        <v>361</v>
      </c>
      <c r="F1458" s="1" t="s">
        <v>362</v>
      </c>
      <c r="G1458">
        <f t="shared" si="263"/>
        <v>7</v>
      </c>
      <c r="H1458" t="str">
        <f t="shared" si="273"/>
        <v>BTC</v>
      </c>
      <c r="I1458" t="str">
        <f>LEFT(B1458,4)</f>
        <v>PUPA</v>
      </c>
      <c r="J1458" t="str">
        <f t="shared" si="264"/>
        <v>BTCPUPA</v>
      </c>
      <c r="K1458" t="str">
        <f t="shared" si="265"/>
        <v>PUPABTC</v>
      </c>
      <c r="L1458">
        <f t="shared" si="266"/>
        <v>0</v>
      </c>
      <c r="M1458">
        <f t="shared" si="267"/>
        <v>1</v>
      </c>
      <c r="N1458" t="b">
        <f t="shared" si="268"/>
        <v>1</v>
      </c>
    </row>
    <row r="1459" spans="1:14" hidden="1" x14ac:dyDescent="0.25">
      <c r="A1459" t="s">
        <v>5</v>
      </c>
      <c r="B1459" t="s">
        <v>379</v>
      </c>
      <c r="C1459" s="1" t="s">
        <v>380</v>
      </c>
      <c r="D1459" s="1" t="s">
        <v>381</v>
      </c>
      <c r="E1459" s="1" t="s">
        <v>380</v>
      </c>
      <c r="F1459" s="1" t="s">
        <v>381</v>
      </c>
      <c r="G1459">
        <f t="shared" si="263"/>
        <v>7</v>
      </c>
      <c r="H1459" t="str">
        <f t="shared" si="273"/>
        <v>BTC</v>
      </c>
      <c r="I1459" t="str">
        <f>LEFT(B1459,4)</f>
        <v>PURE</v>
      </c>
      <c r="J1459" t="str">
        <f t="shared" si="264"/>
        <v>BTCPURE</v>
      </c>
      <c r="K1459" t="str">
        <f t="shared" si="265"/>
        <v>PUREBTC</v>
      </c>
      <c r="L1459">
        <f t="shared" si="266"/>
        <v>0</v>
      </c>
      <c r="M1459">
        <f t="shared" si="267"/>
        <v>1</v>
      </c>
      <c r="N1459" t="b">
        <f t="shared" si="268"/>
        <v>1</v>
      </c>
    </row>
    <row r="1460" spans="1:14" hidden="1" x14ac:dyDescent="0.25">
      <c r="A1460" t="s">
        <v>1239</v>
      </c>
      <c r="B1460" t="s">
        <v>1367</v>
      </c>
      <c r="C1460" s="1">
        <v>8.3000000000000002E-6</v>
      </c>
      <c r="D1460" s="1">
        <v>7.8499999999999994E-6</v>
      </c>
      <c r="E1460" s="1">
        <v>8.3000000000000002E-6</v>
      </c>
      <c r="F1460" s="1">
        <v>7.8499999999999994E-6</v>
      </c>
      <c r="G1460">
        <f t="shared" si="263"/>
        <v>6</v>
      </c>
      <c r="H1460" t="str">
        <f t="shared" si="273"/>
        <v>BTC</v>
      </c>
      <c r="I1460" t="str">
        <f>LEFT(B1460,3)</f>
        <v>PUT</v>
      </c>
      <c r="J1460" t="str">
        <f t="shared" si="264"/>
        <v>BTCPUT</v>
      </c>
      <c r="K1460" t="str">
        <f t="shared" si="265"/>
        <v>PUTBTC</v>
      </c>
      <c r="L1460">
        <f t="shared" si="266"/>
        <v>0</v>
      </c>
      <c r="M1460">
        <f t="shared" si="267"/>
        <v>1</v>
      </c>
      <c r="N1460" t="b">
        <f t="shared" si="268"/>
        <v>1</v>
      </c>
    </row>
    <row r="1461" spans="1:14" hidden="1" x14ac:dyDescent="0.25">
      <c r="A1461" t="s">
        <v>1239</v>
      </c>
      <c r="B1461" t="s">
        <v>1368</v>
      </c>
      <c r="C1461" s="1">
        <v>1.4992E-4</v>
      </c>
      <c r="D1461" s="1">
        <v>4.8000000000000001E-5</v>
      </c>
      <c r="E1461" s="1">
        <v>1.4992E-4</v>
      </c>
      <c r="F1461" s="1">
        <v>4.8000000000000001E-5</v>
      </c>
      <c r="G1461">
        <f t="shared" si="263"/>
        <v>6</v>
      </c>
      <c r="H1461" t="str">
        <f t="shared" si="273"/>
        <v>ETH</v>
      </c>
      <c r="I1461" t="str">
        <f>LEFT(B1461,3)</f>
        <v>PUT</v>
      </c>
      <c r="J1461" t="str">
        <f t="shared" si="264"/>
        <v>ETHPUT</v>
      </c>
      <c r="K1461" t="str">
        <f t="shared" si="265"/>
        <v>PUTETH</v>
      </c>
      <c r="L1461">
        <f t="shared" si="266"/>
        <v>0</v>
      </c>
      <c r="M1461">
        <f t="shared" si="267"/>
        <v>1</v>
      </c>
      <c r="N1461" t="b">
        <f t="shared" si="268"/>
        <v>1</v>
      </c>
    </row>
    <row r="1462" spans="1:14" hidden="1" x14ac:dyDescent="0.25">
      <c r="A1462" t="s">
        <v>5</v>
      </c>
      <c r="B1462" t="s">
        <v>639</v>
      </c>
      <c r="C1462" s="1">
        <v>1.28E-6</v>
      </c>
      <c r="D1462" s="1">
        <v>1.24E-6</v>
      </c>
      <c r="E1462" s="1">
        <v>1.28E-6</v>
      </c>
      <c r="F1462" s="1">
        <v>1.24E-6</v>
      </c>
      <c r="G1462">
        <f t="shared" si="263"/>
        <v>8</v>
      </c>
      <c r="H1462" t="str">
        <f t="shared" si="273"/>
        <v>BTC</v>
      </c>
      <c r="I1462" t="str">
        <f>LEFT(B1462,5)</f>
        <v>PUTIN</v>
      </c>
      <c r="J1462" t="str">
        <f t="shared" si="264"/>
        <v>BTCPUTIN</v>
      </c>
      <c r="K1462" t="str">
        <f t="shared" si="265"/>
        <v>PUTINBTC</v>
      </c>
      <c r="L1462">
        <f t="shared" si="266"/>
        <v>0</v>
      </c>
      <c r="M1462">
        <f t="shared" si="267"/>
        <v>1</v>
      </c>
      <c r="N1462" t="b">
        <f t="shared" si="268"/>
        <v>1</v>
      </c>
    </row>
    <row r="1463" spans="1:14" hidden="1" x14ac:dyDescent="0.25">
      <c r="A1463" t="s">
        <v>1239</v>
      </c>
      <c r="B1463" t="s">
        <v>1366</v>
      </c>
      <c r="C1463" s="1">
        <v>0.02</v>
      </c>
      <c r="D1463" s="1">
        <v>1.4619999999999999E-2</v>
      </c>
      <c r="E1463" s="1">
        <v>0.02</v>
      </c>
      <c r="F1463" s="1">
        <v>1.4619999999999999E-2</v>
      </c>
      <c r="G1463">
        <f t="shared" si="263"/>
        <v>6</v>
      </c>
      <c r="H1463" t="str">
        <f t="shared" si="273"/>
        <v>USD</v>
      </c>
      <c r="I1463" t="str">
        <f>LEFT(B1463,3)</f>
        <v>PUT</v>
      </c>
      <c r="J1463" t="str">
        <f t="shared" si="264"/>
        <v>USDPUT</v>
      </c>
      <c r="K1463" t="str">
        <f t="shared" si="265"/>
        <v>PUTUSD</v>
      </c>
      <c r="L1463">
        <f t="shared" si="266"/>
        <v>0</v>
      </c>
      <c r="M1463">
        <f t="shared" si="267"/>
        <v>1</v>
      </c>
      <c r="N1463" t="b">
        <f t="shared" si="268"/>
        <v>1</v>
      </c>
    </row>
    <row r="1464" spans="1:14" hidden="1" x14ac:dyDescent="0.25">
      <c r="A1464" t="s">
        <v>5</v>
      </c>
      <c r="B1464" t="s">
        <v>642</v>
      </c>
      <c r="C1464" s="1" t="s">
        <v>362</v>
      </c>
      <c r="D1464" s="1" t="s">
        <v>364</v>
      </c>
      <c r="E1464" s="1" t="s">
        <v>362</v>
      </c>
      <c r="F1464" s="1">
        <v>1.8520699999999999E-3</v>
      </c>
      <c r="G1464">
        <f t="shared" si="263"/>
        <v>6</v>
      </c>
      <c r="H1464" t="str">
        <f t="shared" si="273"/>
        <v>BTC</v>
      </c>
      <c r="I1464" t="str">
        <f>LEFT(B1464,3)</f>
        <v>PWR</v>
      </c>
      <c r="J1464" t="str">
        <f t="shared" si="264"/>
        <v>BTCPWR</v>
      </c>
      <c r="K1464" t="str">
        <f t="shared" si="265"/>
        <v>PWRBTC</v>
      </c>
      <c r="L1464">
        <f t="shared" si="266"/>
        <v>0</v>
      </c>
      <c r="M1464">
        <f t="shared" si="267"/>
        <v>1</v>
      </c>
      <c r="N1464" t="b">
        <f t="shared" si="268"/>
        <v>1</v>
      </c>
    </row>
    <row r="1465" spans="1:14" hidden="1" x14ac:dyDescent="0.25">
      <c r="A1465" t="s">
        <v>5</v>
      </c>
      <c r="B1465" t="s">
        <v>1153</v>
      </c>
      <c r="C1465" s="1">
        <v>2.3999999999999998E-7</v>
      </c>
      <c r="D1465" s="1">
        <v>2.1E-7</v>
      </c>
      <c r="E1465" s="1">
        <v>2.3999999999999998E-7</v>
      </c>
      <c r="F1465" s="1">
        <v>2.1E-7</v>
      </c>
      <c r="G1465">
        <f t="shared" si="263"/>
        <v>5</v>
      </c>
      <c r="H1465" t="str">
        <f t="shared" si="273"/>
        <v>BTC</v>
      </c>
      <c r="I1465" t="str">
        <f>LEFT(B1465,2)</f>
        <v>PX</v>
      </c>
      <c r="J1465" t="str">
        <f t="shared" si="264"/>
        <v>BTCPX</v>
      </c>
      <c r="K1465" t="str">
        <f t="shared" si="265"/>
        <v>PXBTC</v>
      </c>
      <c r="L1465">
        <f t="shared" si="266"/>
        <v>0</v>
      </c>
      <c r="M1465">
        <f t="shared" si="267"/>
        <v>1</v>
      </c>
      <c r="N1465" t="b">
        <f t="shared" si="268"/>
        <v>1</v>
      </c>
    </row>
    <row r="1466" spans="1:14" hidden="1" x14ac:dyDescent="0.25">
      <c r="A1466" t="s">
        <v>5</v>
      </c>
      <c r="B1466" t="s">
        <v>385</v>
      </c>
      <c r="C1466" s="1">
        <v>1.1599999999999999E-6</v>
      </c>
      <c r="D1466" s="1">
        <v>9.4E-7</v>
      </c>
      <c r="E1466" s="1">
        <v>1.1599999999999999E-6</v>
      </c>
      <c r="F1466" s="1">
        <v>9.4E-7</v>
      </c>
      <c r="G1466">
        <f t="shared" si="263"/>
        <v>6</v>
      </c>
      <c r="H1466" t="str">
        <f t="shared" si="273"/>
        <v>BTC</v>
      </c>
      <c r="I1466" t="str">
        <f t="shared" ref="I1466:I1478" si="274">LEFT(B1466,3)</f>
        <v>PXI</v>
      </c>
      <c r="J1466" t="str">
        <f t="shared" si="264"/>
        <v>BTCPXI</v>
      </c>
      <c r="K1466" t="str">
        <f t="shared" si="265"/>
        <v>PXIBTC</v>
      </c>
      <c r="L1466">
        <f t="shared" si="266"/>
        <v>0</v>
      </c>
      <c r="M1466">
        <f t="shared" si="267"/>
        <v>1</v>
      </c>
      <c r="N1466" t="b">
        <f t="shared" si="268"/>
        <v>1</v>
      </c>
    </row>
    <row r="1467" spans="1:14" hidden="1" x14ac:dyDescent="0.25">
      <c r="A1467" t="s">
        <v>5</v>
      </c>
      <c r="B1467" t="s">
        <v>791</v>
      </c>
      <c r="C1467" s="1">
        <v>6.8700000000000003E-6</v>
      </c>
      <c r="D1467" s="1">
        <v>5.2000000000000002E-6</v>
      </c>
      <c r="E1467" s="1">
        <v>6.8700000000000003E-6</v>
      </c>
      <c r="F1467" s="1">
        <v>5.2000000000000002E-6</v>
      </c>
      <c r="G1467">
        <f t="shared" si="263"/>
        <v>6</v>
      </c>
      <c r="H1467" t="str">
        <f t="shared" si="273"/>
        <v>BTC</v>
      </c>
      <c r="I1467" t="str">
        <f t="shared" si="274"/>
        <v>PXL</v>
      </c>
      <c r="J1467" t="str">
        <f t="shared" si="264"/>
        <v>BTCPXL</v>
      </c>
      <c r="K1467" t="str">
        <f t="shared" si="265"/>
        <v>PXLBTC</v>
      </c>
      <c r="L1467">
        <f t="shared" si="266"/>
        <v>0</v>
      </c>
      <c r="M1467">
        <f t="shared" si="267"/>
        <v>1</v>
      </c>
      <c r="N1467" t="b">
        <f t="shared" si="268"/>
        <v>1</v>
      </c>
    </row>
    <row r="1468" spans="1:14" hidden="1" x14ac:dyDescent="0.25">
      <c r="A1468" t="s">
        <v>1239</v>
      </c>
      <c r="B1468" t="s">
        <v>1397</v>
      </c>
      <c r="C1468" s="1">
        <v>1.1449E-4</v>
      </c>
      <c r="D1468" s="1">
        <v>1.025E-4</v>
      </c>
      <c r="E1468" s="1">
        <v>1.1449E-4</v>
      </c>
      <c r="F1468" s="1">
        <v>1.025E-4</v>
      </c>
      <c r="G1468">
        <f t="shared" si="263"/>
        <v>6</v>
      </c>
      <c r="H1468" t="str">
        <f t="shared" si="273"/>
        <v>BTC</v>
      </c>
      <c r="I1468" t="str">
        <f t="shared" si="274"/>
        <v>QAU</v>
      </c>
      <c r="J1468" t="str">
        <f t="shared" si="264"/>
        <v>BTCQAU</v>
      </c>
      <c r="K1468" t="str">
        <f t="shared" si="265"/>
        <v>QAUBTC</v>
      </c>
      <c r="L1468">
        <f t="shared" si="266"/>
        <v>0</v>
      </c>
      <c r="M1468">
        <f t="shared" si="267"/>
        <v>1</v>
      </c>
      <c r="N1468" t="b">
        <f t="shared" si="268"/>
        <v>1</v>
      </c>
    </row>
    <row r="1469" spans="1:14" hidden="1" x14ac:dyDescent="0.25">
      <c r="A1469" t="s">
        <v>1239</v>
      </c>
      <c r="B1469" t="s">
        <v>1398</v>
      </c>
      <c r="C1469" s="1">
        <v>1.07E-3</v>
      </c>
      <c r="D1469" s="1">
        <v>7.0012999999999998E-4</v>
      </c>
      <c r="E1469" s="1">
        <v>1.07E-3</v>
      </c>
      <c r="F1469" s="1">
        <v>7.0012999999999998E-4</v>
      </c>
      <c r="G1469">
        <f t="shared" si="263"/>
        <v>6</v>
      </c>
      <c r="H1469" t="str">
        <f t="shared" si="273"/>
        <v>ETH</v>
      </c>
      <c r="I1469" t="str">
        <f t="shared" si="274"/>
        <v>QAU</v>
      </c>
      <c r="J1469" t="str">
        <f t="shared" si="264"/>
        <v>ETHQAU</v>
      </c>
      <c r="K1469" t="str">
        <f t="shared" si="265"/>
        <v>QAUETH</v>
      </c>
      <c r="L1469">
        <f t="shared" si="266"/>
        <v>0</v>
      </c>
      <c r="M1469">
        <f t="shared" si="267"/>
        <v>1</v>
      </c>
      <c r="N1469" t="b">
        <f t="shared" si="268"/>
        <v>1</v>
      </c>
    </row>
    <row r="1470" spans="1:14" hidden="1" x14ac:dyDescent="0.25">
      <c r="A1470" t="s">
        <v>1239</v>
      </c>
      <c r="B1470" t="s">
        <v>1396</v>
      </c>
      <c r="C1470" s="1">
        <v>0.32</v>
      </c>
      <c r="D1470" s="1">
        <v>0.25163999999999997</v>
      </c>
      <c r="E1470" s="1">
        <v>0.32</v>
      </c>
      <c r="F1470" s="1">
        <v>0.25163999999999997</v>
      </c>
      <c r="G1470">
        <f t="shared" si="263"/>
        <v>6</v>
      </c>
      <c r="H1470" t="str">
        <f t="shared" si="273"/>
        <v>USD</v>
      </c>
      <c r="I1470" t="str">
        <f t="shared" si="274"/>
        <v>QAU</v>
      </c>
      <c r="J1470" t="str">
        <f t="shared" si="264"/>
        <v>USDQAU</v>
      </c>
      <c r="K1470" t="str">
        <f t="shared" si="265"/>
        <v>QAUUSD</v>
      </c>
      <c r="L1470">
        <f t="shared" si="266"/>
        <v>0</v>
      </c>
      <c r="M1470">
        <f t="shared" si="267"/>
        <v>1</v>
      </c>
      <c r="N1470" t="b">
        <f t="shared" si="268"/>
        <v>1</v>
      </c>
    </row>
    <row r="1471" spans="1:14" hidden="1" x14ac:dyDescent="0.25">
      <c r="A1471" t="s">
        <v>5</v>
      </c>
      <c r="B1471" t="s">
        <v>961</v>
      </c>
      <c r="C1471" s="1">
        <v>4.0999999999999999E-7</v>
      </c>
      <c r="D1471" s="1">
        <v>3.3999999999999997E-7</v>
      </c>
      <c r="E1471" s="1">
        <v>4.0999999999999999E-7</v>
      </c>
      <c r="F1471" s="1">
        <v>3.3999999999999997E-7</v>
      </c>
      <c r="G1471">
        <f t="shared" si="263"/>
        <v>6</v>
      </c>
      <c r="H1471" t="str">
        <f t="shared" si="273"/>
        <v>BTC</v>
      </c>
      <c r="I1471" t="str">
        <f t="shared" si="274"/>
        <v>QBC</v>
      </c>
      <c r="J1471" t="str">
        <f t="shared" si="264"/>
        <v>BTCQBC</v>
      </c>
      <c r="K1471" t="str">
        <f t="shared" si="265"/>
        <v>QBCBTC</v>
      </c>
      <c r="L1471">
        <f t="shared" si="266"/>
        <v>0</v>
      </c>
      <c r="M1471">
        <f t="shared" si="267"/>
        <v>1</v>
      </c>
      <c r="N1471" t="b">
        <f t="shared" si="268"/>
        <v>1</v>
      </c>
    </row>
    <row r="1472" spans="1:14" hidden="1" x14ac:dyDescent="0.25">
      <c r="A1472" t="s">
        <v>4</v>
      </c>
      <c r="B1472" t="s">
        <v>305</v>
      </c>
      <c r="C1472" s="1">
        <v>1.7E-5</v>
      </c>
      <c r="D1472" s="1">
        <v>1.2999999999999999E-5</v>
      </c>
      <c r="E1472" s="1">
        <v>1.7E-5</v>
      </c>
      <c r="F1472" s="1">
        <v>1.2999999999999999E-5</v>
      </c>
      <c r="G1472">
        <f t="shared" si="263"/>
        <v>6</v>
      </c>
      <c r="H1472" t="str">
        <f t="shared" si="273"/>
        <v>BTC</v>
      </c>
      <c r="I1472" t="str">
        <f t="shared" si="274"/>
        <v>QCN</v>
      </c>
      <c r="J1472" t="str">
        <f t="shared" si="264"/>
        <v>BTCQCN</v>
      </c>
      <c r="K1472" t="str">
        <f t="shared" si="265"/>
        <v>QCNBTC</v>
      </c>
      <c r="L1472">
        <f t="shared" si="266"/>
        <v>0</v>
      </c>
      <c r="M1472">
        <f t="shared" si="267"/>
        <v>1</v>
      </c>
      <c r="N1472" t="b">
        <f t="shared" si="268"/>
        <v>1</v>
      </c>
    </row>
    <row r="1473" spans="1:14" hidden="1" x14ac:dyDescent="0.25">
      <c r="A1473" t="s">
        <v>1403</v>
      </c>
      <c r="B1473" t="s">
        <v>1490</v>
      </c>
      <c r="C1473" s="1">
        <v>1.9000000000000001E-7</v>
      </c>
      <c r="D1473" s="1">
        <v>1.9000000000000001E-7</v>
      </c>
      <c r="E1473" s="1">
        <v>2.2999999999999999E-7</v>
      </c>
      <c r="F1473" s="1">
        <v>1.6E-7</v>
      </c>
      <c r="G1473">
        <f t="shared" ref="G1473:G1536" si="275">LEN(B1473)</f>
        <v>6</v>
      </c>
      <c r="H1473" t="str">
        <f t="shared" si="273"/>
        <v>BTC</v>
      </c>
      <c r="I1473" t="str">
        <f t="shared" si="274"/>
        <v>QRZ</v>
      </c>
      <c r="J1473" t="str">
        <f t="shared" ref="J1473:J1536" si="276">CONCATENATE(H1473,I1473)</f>
        <v>BTCQRZ</v>
      </c>
      <c r="K1473" t="str">
        <f t="shared" ref="K1473:K1536" si="277">CONCATENATE(I1473,H1473)</f>
        <v>QRZBTC</v>
      </c>
      <c r="L1473">
        <f t="shared" ref="L1473:L1536" si="278">COUNTIF(B:B,J1473)</f>
        <v>0</v>
      </c>
      <c r="M1473">
        <f t="shared" ref="M1473:M1536" si="279">COUNTIF(B:B,K1473)</f>
        <v>1</v>
      </c>
      <c r="N1473" t="b">
        <f t="shared" ref="N1473:N1536" si="280">L1473=0</f>
        <v>1</v>
      </c>
    </row>
    <row r="1474" spans="1:14" hidden="1" x14ac:dyDescent="0.25">
      <c r="A1474" t="s">
        <v>1403</v>
      </c>
      <c r="B1474" t="s">
        <v>2032</v>
      </c>
      <c r="C1474" s="1">
        <v>9.9899999000000008</v>
      </c>
      <c r="D1474" s="1">
        <v>9.9899999000000008</v>
      </c>
      <c r="E1474" s="1">
        <v>8.8879998899999997</v>
      </c>
      <c r="F1474" s="1">
        <v>0.161</v>
      </c>
      <c r="G1474">
        <f t="shared" si="275"/>
        <v>7</v>
      </c>
      <c r="H1474" t="str">
        <f>RIGHT(B1474,4)</f>
        <v>DOGE</v>
      </c>
      <c r="I1474" t="str">
        <f t="shared" si="274"/>
        <v>QRZ</v>
      </c>
      <c r="J1474" t="str">
        <f t="shared" si="276"/>
        <v>DOGEQRZ</v>
      </c>
      <c r="K1474" t="str">
        <f t="shared" si="277"/>
        <v>QRZDOGE</v>
      </c>
      <c r="L1474">
        <f t="shared" si="278"/>
        <v>0</v>
      </c>
      <c r="M1474">
        <f t="shared" si="279"/>
        <v>1</v>
      </c>
      <c r="N1474" t="b">
        <f t="shared" si="280"/>
        <v>1</v>
      </c>
    </row>
    <row r="1475" spans="1:14" hidden="1" x14ac:dyDescent="0.25">
      <c r="A1475" t="s">
        <v>1403</v>
      </c>
      <c r="B1475" t="s">
        <v>1839</v>
      </c>
      <c r="C1475" s="1">
        <v>9.9900000000000002E-5</v>
      </c>
      <c r="D1475" s="1">
        <v>9.9900000000000002E-5</v>
      </c>
      <c r="E1475" s="1">
        <v>1.2540000000000001E-2</v>
      </c>
      <c r="F1475" s="1">
        <v>4.0199999999999996E-6</v>
      </c>
      <c r="G1475">
        <f t="shared" si="275"/>
        <v>6</v>
      </c>
      <c r="H1475" t="str">
        <f t="shared" ref="H1475:H1480" si="281">RIGHT(B1475,3)</f>
        <v>LTC</v>
      </c>
      <c r="I1475" t="str">
        <f t="shared" si="274"/>
        <v>QRZ</v>
      </c>
      <c r="J1475" t="str">
        <f t="shared" si="276"/>
        <v>LTCQRZ</v>
      </c>
      <c r="K1475" t="str">
        <f t="shared" si="277"/>
        <v>QRZLTC</v>
      </c>
      <c r="L1475">
        <f t="shared" si="278"/>
        <v>0</v>
      </c>
      <c r="M1475">
        <f t="shared" si="279"/>
        <v>1</v>
      </c>
      <c r="N1475" t="b">
        <f t="shared" si="280"/>
        <v>1</v>
      </c>
    </row>
    <row r="1476" spans="1:14" hidden="1" x14ac:dyDescent="0.25">
      <c r="A1476" t="s">
        <v>1403</v>
      </c>
      <c r="B1476" t="s">
        <v>1650</v>
      </c>
      <c r="C1476" s="1">
        <v>0.05</v>
      </c>
      <c r="D1476" s="1">
        <v>0.05</v>
      </c>
      <c r="E1476" s="1">
        <v>9.9988999999999998E-3</v>
      </c>
      <c r="F1476" s="1">
        <v>2.1000000000000001E-4</v>
      </c>
      <c r="G1476">
        <f t="shared" si="275"/>
        <v>6</v>
      </c>
      <c r="H1476" t="str">
        <f t="shared" si="281"/>
        <v>USD</v>
      </c>
      <c r="I1476" t="str">
        <f t="shared" si="274"/>
        <v>QRZ</v>
      </c>
      <c r="J1476" t="str">
        <f t="shared" si="276"/>
        <v>USDQRZ</v>
      </c>
      <c r="K1476" t="str">
        <f t="shared" si="277"/>
        <v>QRZUSD</v>
      </c>
      <c r="L1476">
        <f t="shared" si="278"/>
        <v>0</v>
      </c>
      <c r="M1476">
        <f t="shared" si="279"/>
        <v>1</v>
      </c>
      <c r="N1476" t="b">
        <f t="shared" si="280"/>
        <v>1</v>
      </c>
    </row>
    <row r="1477" spans="1:14" hidden="1" x14ac:dyDescent="0.25">
      <c r="A1477" t="s">
        <v>5</v>
      </c>
      <c r="B1477" t="s">
        <v>587</v>
      </c>
      <c r="C1477" s="1">
        <v>1.19E-6</v>
      </c>
      <c r="D1477" s="1">
        <v>1.11E-6</v>
      </c>
      <c r="E1477" s="1">
        <v>1.19E-6</v>
      </c>
      <c r="F1477" s="1">
        <v>1.11E-6</v>
      </c>
      <c r="G1477">
        <f t="shared" si="275"/>
        <v>6</v>
      </c>
      <c r="H1477" t="str">
        <f t="shared" si="281"/>
        <v>BTC</v>
      </c>
      <c r="I1477" t="str">
        <f t="shared" si="274"/>
        <v>QTZ</v>
      </c>
      <c r="J1477" t="str">
        <f t="shared" si="276"/>
        <v>BTCQTZ</v>
      </c>
      <c r="K1477" t="str">
        <f t="shared" si="277"/>
        <v>QTZBTC</v>
      </c>
      <c r="L1477">
        <f t="shared" si="278"/>
        <v>0</v>
      </c>
      <c r="M1477">
        <f t="shared" si="279"/>
        <v>1</v>
      </c>
      <c r="N1477" t="b">
        <f t="shared" si="280"/>
        <v>1</v>
      </c>
    </row>
    <row r="1478" spans="1:14" hidden="1" x14ac:dyDescent="0.25">
      <c r="A1478" t="s">
        <v>5</v>
      </c>
      <c r="B1478" t="s">
        <v>509</v>
      </c>
      <c r="C1478" s="1">
        <v>1.7855799999999999E-3</v>
      </c>
      <c r="D1478" s="1">
        <v>1.00497E-3</v>
      </c>
      <c r="E1478" s="1">
        <v>1.7856345787904001E-3</v>
      </c>
      <c r="F1478" s="1">
        <v>1.00464910980319E-3</v>
      </c>
      <c r="G1478">
        <f t="shared" si="275"/>
        <v>6</v>
      </c>
      <c r="H1478" t="str">
        <f t="shared" si="281"/>
        <v>BTC</v>
      </c>
      <c r="I1478" t="str">
        <f t="shared" si="274"/>
        <v>RAD</v>
      </c>
      <c r="J1478" t="str">
        <f t="shared" si="276"/>
        <v>BTCRAD</v>
      </c>
      <c r="K1478" t="str">
        <f t="shared" si="277"/>
        <v>RADBTC</v>
      </c>
      <c r="L1478">
        <f t="shared" si="278"/>
        <v>0</v>
      </c>
      <c r="M1478">
        <f t="shared" si="279"/>
        <v>1</v>
      </c>
      <c r="N1478" t="b">
        <f t="shared" si="280"/>
        <v>1</v>
      </c>
    </row>
    <row r="1479" spans="1:14" hidden="1" x14ac:dyDescent="0.25">
      <c r="A1479" t="s">
        <v>5</v>
      </c>
      <c r="B1479" t="s">
        <v>548</v>
      </c>
      <c r="C1479" s="1" t="s">
        <v>361</v>
      </c>
      <c r="D1479" s="1" t="s">
        <v>362</v>
      </c>
      <c r="E1479" s="1" t="s">
        <v>361</v>
      </c>
      <c r="F1479" s="1" t="s">
        <v>362</v>
      </c>
      <c r="G1479">
        <f t="shared" si="275"/>
        <v>7</v>
      </c>
      <c r="H1479" t="str">
        <f t="shared" si="281"/>
        <v>BTC</v>
      </c>
      <c r="I1479" t="str">
        <f>LEFT(B1479,4)</f>
        <v>RADI</v>
      </c>
      <c r="J1479" t="str">
        <f t="shared" si="276"/>
        <v>BTCRADI</v>
      </c>
      <c r="K1479" t="str">
        <f t="shared" si="277"/>
        <v>RADIBTC</v>
      </c>
      <c r="L1479">
        <f t="shared" si="278"/>
        <v>0</v>
      </c>
      <c r="M1479">
        <f t="shared" si="279"/>
        <v>1</v>
      </c>
      <c r="N1479" t="b">
        <f t="shared" si="280"/>
        <v>1</v>
      </c>
    </row>
    <row r="1480" spans="1:14" hidden="1" x14ac:dyDescent="0.25">
      <c r="A1480" t="s">
        <v>5</v>
      </c>
      <c r="B1480" t="s">
        <v>1058</v>
      </c>
      <c r="C1480" s="1">
        <v>1.6999999999999999E-7</v>
      </c>
      <c r="D1480" s="1">
        <v>1.1000000000000001E-7</v>
      </c>
      <c r="E1480" s="1">
        <v>1.6999999999999999E-7</v>
      </c>
      <c r="F1480" s="1">
        <v>1.1000000000000001E-7</v>
      </c>
      <c r="G1480">
        <f t="shared" si="275"/>
        <v>8</v>
      </c>
      <c r="H1480" t="str">
        <f t="shared" si="281"/>
        <v>BTC</v>
      </c>
      <c r="I1480" t="str">
        <f>LEFT(B1480,5)</f>
        <v>RATIO</v>
      </c>
      <c r="J1480" t="str">
        <f t="shared" si="276"/>
        <v>BTCRATIO</v>
      </c>
      <c r="K1480" t="str">
        <f t="shared" si="277"/>
        <v>RATIOBTC</v>
      </c>
      <c r="L1480">
        <f t="shared" si="278"/>
        <v>0</v>
      </c>
      <c r="M1480">
        <f t="shared" si="279"/>
        <v>1</v>
      </c>
      <c r="N1480" t="b">
        <f t="shared" si="280"/>
        <v>1</v>
      </c>
    </row>
    <row r="1481" spans="1:14" hidden="1" x14ac:dyDescent="0.25">
      <c r="A1481" t="s">
        <v>1403</v>
      </c>
      <c r="B1481" t="s">
        <v>2033</v>
      </c>
      <c r="C1481" s="1">
        <v>40</v>
      </c>
      <c r="D1481" s="1">
        <v>40</v>
      </c>
      <c r="E1481" s="1">
        <v>194.408128</v>
      </c>
      <c r="F1481" s="1">
        <v>3.7800000100000002</v>
      </c>
      <c r="G1481">
        <f t="shared" si="275"/>
        <v>9</v>
      </c>
      <c r="H1481" t="str">
        <f>RIGHT(B1481,4)</f>
        <v>DOGE</v>
      </c>
      <c r="I1481" t="str">
        <f>LEFT(B1481,5)</f>
        <v>RBIES</v>
      </c>
      <c r="J1481" t="str">
        <f t="shared" si="276"/>
        <v>DOGERBIES</v>
      </c>
      <c r="K1481" t="str">
        <f t="shared" si="277"/>
        <v>RBIESDOGE</v>
      </c>
      <c r="L1481">
        <f t="shared" si="278"/>
        <v>0</v>
      </c>
      <c r="M1481">
        <f t="shared" si="279"/>
        <v>1</v>
      </c>
      <c r="N1481" t="b">
        <f t="shared" si="280"/>
        <v>1</v>
      </c>
    </row>
    <row r="1482" spans="1:14" hidden="1" x14ac:dyDescent="0.25">
      <c r="A1482" t="s">
        <v>1403</v>
      </c>
      <c r="B1482" t="s">
        <v>1840</v>
      </c>
      <c r="C1482" s="1">
        <v>0</v>
      </c>
      <c r="D1482" s="1">
        <v>0</v>
      </c>
      <c r="E1482" s="1">
        <v>4.9995051165199998E-3</v>
      </c>
      <c r="F1482" s="1">
        <v>1.0001E-4</v>
      </c>
      <c r="G1482">
        <f t="shared" si="275"/>
        <v>8</v>
      </c>
      <c r="H1482" t="str">
        <f t="shared" ref="H1482:H1490" si="282">RIGHT(B1482,3)</f>
        <v>LTC</v>
      </c>
      <c r="I1482" t="str">
        <f>LEFT(B1482,5)</f>
        <v>RBIES</v>
      </c>
      <c r="J1482" t="str">
        <f t="shared" si="276"/>
        <v>LTCRBIES</v>
      </c>
      <c r="K1482" t="str">
        <f t="shared" si="277"/>
        <v>RBIESLTC</v>
      </c>
      <c r="L1482">
        <f t="shared" si="278"/>
        <v>0</v>
      </c>
      <c r="M1482">
        <f t="shared" si="279"/>
        <v>1</v>
      </c>
      <c r="N1482" t="b">
        <f t="shared" si="280"/>
        <v>1</v>
      </c>
    </row>
    <row r="1483" spans="1:14" hidden="1" x14ac:dyDescent="0.25">
      <c r="A1483" t="s">
        <v>1403</v>
      </c>
      <c r="B1483" t="s">
        <v>1651</v>
      </c>
      <c r="C1483" s="1">
        <v>0.9</v>
      </c>
      <c r="D1483" s="1">
        <v>0.9</v>
      </c>
      <c r="E1483" s="1">
        <v>0.99738016713599997</v>
      </c>
      <c r="F1483" s="1">
        <v>1.6007E-3</v>
      </c>
      <c r="G1483">
        <f t="shared" si="275"/>
        <v>8</v>
      </c>
      <c r="H1483" t="str">
        <f t="shared" si="282"/>
        <v>USD</v>
      </c>
      <c r="I1483" t="str">
        <f>LEFT(B1483,5)</f>
        <v>RBIES</v>
      </c>
      <c r="J1483" t="str">
        <f t="shared" si="276"/>
        <v>USDRBIES</v>
      </c>
      <c r="K1483" t="str">
        <f t="shared" si="277"/>
        <v>RBIESUSD</v>
      </c>
      <c r="L1483">
        <f t="shared" si="278"/>
        <v>0</v>
      </c>
      <c r="M1483">
        <f t="shared" si="279"/>
        <v>1</v>
      </c>
      <c r="N1483" t="b">
        <f t="shared" si="280"/>
        <v>1</v>
      </c>
    </row>
    <row r="1484" spans="1:14" hidden="1" x14ac:dyDescent="0.25">
      <c r="A1484" t="s">
        <v>5</v>
      </c>
      <c r="B1484" t="s">
        <v>602</v>
      </c>
      <c r="C1484" s="1" t="s">
        <v>356</v>
      </c>
      <c r="D1484" s="1" t="s">
        <v>380</v>
      </c>
      <c r="E1484" s="1" t="s">
        <v>356</v>
      </c>
      <c r="F1484" s="1" t="s">
        <v>380</v>
      </c>
      <c r="G1484">
        <f t="shared" si="275"/>
        <v>7</v>
      </c>
      <c r="H1484" t="str">
        <f t="shared" si="282"/>
        <v>BTC</v>
      </c>
      <c r="I1484" t="str">
        <f>LEFT(B1484,4)</f>
        <v>RBIT</v>
      </c>
      <c r="J1484" t="str">
        <f t="shared" si="276"/>
        <v>BTCRBIT</v>
      </c>
      <c r="K1484" t="str">
        <f t="shared" si="277"/>
        <v>RBITBTC</v>
      </c>
      <c r="L1484">
        <f t="shared" si="278"/>
        <v>0</v>
      </c>
      <c r="M1484">
        <f t="shared" si="279"/>
        <v>1</v>
      </c>
      <c r="N1484" t="b">
        <f t="shared" si="280"/>
        <v>1</v>
      </c>
    </row>
    <row r="1485" spans="1:14" hidden="1" x14ac:dyDescent="0.25">
      <c r="A1485" t="s">
        <v>5</v>
      </c>
      <c r="B1485" t="s">
        <v>1078</v>
      </c>
      <c r="C1485" s="1">
        <v>3.9000000000000002E-7</v>
      </c>
      <c r="D1485" s="1">
        <v>2.4999999999999999E-7</v>
      </c>
      <c r="E1485" s="1">
        <v>3.9000000000000002E-7</v>
      </c>
      <c r="F1485" s="1">
        <v>2.4999999999999999E-7</v>
      </c>
      <c r="G1485">
        <f t="shared" si="275"/>
        <v>6</v>
      </c>
      <c r="H1485" t="str">
        <f t="shared" si="282"/>
        <v>BTC</v>
      </c>
      <c r="I1485" t="str">
        <f t="shared" ref="I1485:I1493" si="283">LEFT(B1485,3)</f>
        <v>RBT</v>
      </c>
      <c r="J1485" t="str">
        <f t="shared" si="276"/>
        <v>BTCRBT</v>
      </c>
      <c r="K1485" t="str">
        <f t="shared" si="277"/>
        <v>RBTBTC</v>
      </c>
      <c r="L1485">
        <f t="shared" si="278"/>
        <v>0</v>
      </c>
      <c r="M1485">
        <f t="shared" si="279"/>
        <v>1</v>
      </c>
      <c r="N1485" t="b">
        <f t="shared" si="280"/>
        <v>1</v>
      </c>
    </row>
    <row r="1486" spans="1:14" hidden="1" x14ac:dyDescent="0.25">
      <c r="A1486" t="s">
        <v>5</v>
      </c>
      <c r="B1486" t="s">
        <v>1086</v>
      </c>
      <c r="C1486" s="1" t="s">
        <v>361</v>
      </c>
      <c r="D1486" s="1" t="s">
        <v>362</v>
      </c>
      <c r="E1486" s="1" t="s">
        <v>361</v>
      </c>
      <c r="F1486" s="1" t="s">
        <v>362</v>
      </c>
      <c r="G1486">
        <f t="shared" si="275"/>
        <v>6</v>
      </c>
      <c r="H1486" t="str">
        <f t="shared" si="282"/>
        <v>BTC</v>
      </c>
      <c r="I1486" t="str">
        <f t="shared" si="283"/>
        <v>RCN</v>
      </c>
      <c r="J1486" t="str">
        <f t="shared" si="276"/>
        <v>BTCRCN</v>
      </c>
      <c r="K1486" t="str">
        <f t="shared" si="277"/>
        <v>RCNBTC</v>
      </c>
      <c r="L1486">
        <f t="shared" si="278"/>
        <v>0</v>
      </c>
      <c r="M1486">
        <f t="shared" si="279"/>
        <v>1</v>
      </c>
      <c r="N1486" t="b">
        <f t="shared" si="280"/>
        <v>1</v>
      </c>
    </row>
    <row r="1487" spans="1:14" hidden="1" x14ac:dyDescent="0.25">
      <c r="A1487" t="s">
        <v>5</v>
      </c>
      <c r="B1487" t="s">
        <v>756</v>
      </c>
      <c r="C1487" s="1" t="s">
        <v>361</v>
      </c>
      <c r="D1487" s="1" t="s">
        <v>362</v>
      </c>
      <c r="E1487" s="1" t="s">
        <v>361</v>
      </c>
      <c r="F1487" s="1" t="s">
        <v>362</v>
      </c>
      <c r="G1487">
        <f t="shared" si="275"/>
        <v>6</v>
      </c>
      <c r="H1487" t="str">
        <f t="shared" si="282"/>
        <v>BTC</v>
      </c>
      <c r="I1487" t="str">
        <f t="shared" si="283"/>
        <v>RCX</v>
      </c>
      <c r="J1487" t="str">
        <f t="shared" si="276"/>
        <v>BTCRCX</v>
      </c>
      <c r="K1487" t="str">
        <f t="shared" si="277"/>
        <v>RCXBTC</v>
      </c>
      <c r="L1487">
        <f t="shared" si="278"/>
        <v>0</v>
      </c>
      <c r="M1487">
        <f t="shared" si="279"/>
        <v>1</v>
      </c>
      <c r="N1487" t="b">
        <f t="shared" si="280"/>
        <v>1</v>
      </c>
    </row>
    <row r="1488" spans="1:14" hidden="1" x14ac:dyDescent="0.25">
      <c r="A1488" t="s">
        <v>3</v>
      </c>
      <c r="B1488" t="s">
        <v>295</v>
      </c>
      <c r="C1488" s="1">
        <v>23.2</v>
      </c>
      <c r="D1488" s="1">
        <v>23.195799999999998</v>
      </c>
      <c r="E1488" s="1">
        <v>23.2</v>
      </c>
      <c r="F1488" s="1">
        <v>23.2</v>
      </c>
      <c r="G1488">
        <f t="shared" si="275"/>
        <v>6</v>
      </c>
      <c r="H1488" t="str">
        <f t="shared" si="282"/>
        <v>EUR</v>
      </c>
      <c r="I1488" t="str">
        <f t="shared" si="283"/>
        <v>REP</v>
      </c>
      <c r="J1488" t="str">
        <f t="shared" si="276"/>
        <v>EURREP</v>
      </c>
      <c r="K1488" t="str">
        <f t="shared" si="277"/>
        <v>REPEUR</v>
      </c>
      <c r="L1488">
        <f t="shared" si="278"/>
        <v>0</v>
      </c>
      <c r="M1488">
        <f t="shared" si="279"/>
        <v>1</v>
      </c>
      <c r="N1488" t="b">
        <f t="shared" si="280"/>
        <v>1</v>
      </c>
    </row>
    <row r="1489" spans="1:14" hidden="1" x14ac:dyDescent="0.25">
      <c r="A1489" t="s">
        <v>3</v>
      </c>
      <c r="B1489" t="s">
        <v>290</v>
      </c>
      <c r="C1489" s="1">
        <v>26.136410000000001</v>
      </c>
      <c r="D1489" s="1">
        <v>25.653130000000001</v>
      </c>
      <c r="E1489" s="1">
        <v>26.136379999999999</v>
      </c>
      <c r="F1489" s="1">
        <v>25.65316</v>
      </c>
      <c r="G1489">
        <f t="shared" si="275"/>
        <v>6</v>
      </c>
      <c r="H1489" t="str">
        <f t="shared" si="282"/>
        <v>USD</v>
      </c>
      <c r="I1489" t="str">
        <f t="shared" si="283"/>
        <v>REP</v>
      </c>
      <c r="J1489" t="str">
        <f t="shared" si="276"/>
        <v>USDREP</v>
      </c>
      <c r="K1489" t="str">
        <f t="shared" si="277"/>
        <v>REPUSD</v>
      </c>
      <c r="L1489">
        <f t="shared" si="278"/>
        <v>0</v>
      </c>
      <c r="M1489">
        <f t="shared" si="279"/>
        <v>1</v>
      </c>
      <c r="N1489" t="b">
        <f t="shared" si="280"/>
        <v>1</v>
      </c>
    </row>
    <row r="1490" spans="1:14" hidden="1" x14ac:dyDescent="0.25">
      <c r="A1490" t="s">
        <v>1403</v>
      </c>
      <c r="B1490" t="s">
        <v>1491</v>
      </c>
      <c r="C1490" s="1">
        <v>1.5400000000000001E-6</v>
      </c>
      <c r="D1490" s="1">
        <v>2.48E-6</v>
      </c>
      <c r="E1490" s="1">
        <v>2.4600000000000002E-6</v>
      </c>
      <c r="F1490" s="1">
        <v>1.5400000000000001E-6</v>
      </c>
      <c r="G1490">
        <f t="shared" si="275"/>
        <v>6</v>
      </c>
      <c r="H1490" t="str">
        <f t="shared" si="282"/>
        <v>BTC</v>
      </c>
      <c r="I1490" t="str">
        <f t="shared" si="283"/>
        <v>REV</v>
      </c>
      <c r="J1490" t="str">
        <f t="shared" si="276"/>
        <v>BTCREV</v>
      </c>
      <c r="K1490" t="str">
        <f t="shared" si="277"/>
        <v>REVBTC</v>
      </c>
      <c r="L1490">
        <f t="shared" si="278"/>
        <v>0</v>
      </c>
      <c r="M1490">
        <f t="shared" si="279"/>
        <v>1</v>
      </c>
      <c r="N1490" t="b">
        <f t="shared" si="280"/>
        <v>1</v>
      </c>
    </row>
    <row r="1491" spans="1:14" hidden="1" x14ac:dyDescent="0.25">
      <c r="A1491" t="s">
        <v>1403</v>
      </c>
      <c r="B1491" t="s">
        <v>2034</v>
      </c>
      <c r="C1491" s="1">
        <v>4</v>
      </c>
      <c r="D1491" s="1">
        <v>4</v>
      </c>
      <c r="E1491" s="1">
        <v>40.999999000000003</v>
      </c>
      <c r="F1491" s="1">
        <v>0.25000003999999998</v>
      </c>
      <c r="G1491">
        <f t="shared" si="275"/>
        <v>7</v>
      </c>
      <c r="H1491" t="str">
        <f>RIGHT(B1491,4)</f>
        <v>DOGE</v>
      </c>
      <c r="I1491" t="str">
        <f t="shared" si="283"/>
        <v>REV</v>
      </c>
      <c r="J1491" t="str">
        <f t="shared" si="276"/>
        <v>DOGEREV</v>
      </c>
      <c r="K1491" t="str">
        <f t="shared" si="277"/>
        <v>REVDOGE</v>
      </c>
      <c r="L1491">
        <f t="shared" si="278"/>
        <v>0</v>
      </c>
      <c r="M1491">
        <f t="shared" si="279"/>
        <v>1</v>
      </c>
      <c r="N1491" t="b">
        <f t="shared" si="280"/>
        <v>1</v>
      </c>
    </row>
    <row r="1492" spans="1:14" hidden="1" x14ac:dyDescent="0.25">
      <c r="A1492" t="s">
        <v>1403</v>
      </c>
      <c r="B1492" t="s">
        <v>1841</v>
      </c>
      <c r="C1492" s="1">
        <v>2.7099990000000001E-2</v>
      </c>
      <c r="D1492" s="1">
        <v>2.7099990000000001E-2</v>
      </c>
      <c r="E1492" s="1">
        <v>2.7099990000000001E-2</v>
      </c>
      <c r="F1492" s="1">
        <v>6.0019999999999998E-5</v>
      </c>
      <c r="G1492">
        <f t="shared" si="275"/>
        <v>6</v>
      </c>
      <c r="H1492" t="str">
        <f>RIGHT(B1492,3)</f>
        <v>LTC</v>
      </c>
      <c r="I1492" t="str">
        <f t="shared" si="283"/>
        <v>REV</v>
      </c>
      <c r="J1492" t="str">
        <f t="shared" si="276"/>
        <v>LTCREV</v>
      </c>
      <c r="K1492" t="str">
        <f t="shared" si="277"/>
        <v>REVLTC</v>
      </c>
      <c r="L1492">
        <f t="shared" si="278"/>
        <v>0</v>
      </c>
      <c r="M1492">
        <f t="shared" si="279"/>
        <v>1</v>
      </c>
      <c r="N1492" t="b">
        <f t="shared" si="280"/>
        <v>1</v>
      </c>
    </row>
    <row r="1493" spans="1:14" hidden="1" x14ac:dyDescent="0.25">
      <c r="A1493" t="s">
        <v>1403</v>
      </c>
      <c r="B1493" t="s">
        <v>1652</v>
      </c>
      <c r="C1493" s="1">
        <v>2.8699990000000002E-2</v>
      </c>
      <c r="D1493" s="1">
        <v>2.8699990000000002E-2</v>
      </c>
      <c r="E1493" s="1">
        <v>2.869992E-2</v>
      </c>
      <c r="F1493" s="1">
        <v>3.5085999999999998E-4</v>
      </c>
      <c r="G1493">
        <f t="shared" si="275"/>
        <v>6</v>
      </c>
      <c r="H1493" t="str">
        <f>RIGHT(B1493,3)</f>
        <v>USD</v>
      </c>
      <c r="I1493" t="str">
        <f t="shared" si="283"/>
        <v>REV</v>
      </c>
      <c r="J1493" t="str">
        <f t="shared" si="276"/>
        <v>USDREV</v>
      </c>
      <c r="K1493" t="str">
        <f t="shared" si="277"/>
        <v>REVUSD</v>
      </c>
      <c r="L1493">
        <f t="shared" si="278"/>
        <v>0</v>
      </c>
      <c r="M1493">
        <f t="shared" si="279"/>
        <v>1</v>
      </c>
      <c r="N1493" t="b">
        <f t="shared" si="280"/>
        <v>1</v>
      </c>
    </row>
    <row r="1494" spans="1:14" hidden="1" x14ac:dyDescent="0.25">
      <c r="A1494" t="s">
        <v>1403</v>
      </c>
      <c r="B1494" t="s">
        <v>1492</v>
      </c>
      <c r="C1494" s="1" t="s">
        <v>401</v>
      </c>
      <c r="D1494" s="1">
        <v>5.5000000000000003E-7</v>
      </c>
      <c r="E1494" s="1">
        <v>5.3000000000000001E-7</v>
      </c>
      <c r="F1494" s="1" t="s">
        <v>401</v>
      </c>
      <c r="G1494">
        <f t="shared" si="275"/>
        <v>7</v>
      </c>
      <c r="H1494" t="str">
        <f>RIGHT(B1494,3)</f>
        <v>BTC</v>
      </c>
      <c r="I1494" t="str">
        <f>LEFT(B1494,4)</f>
        <v>RHFC</v>
      </c>
      <c r="J1494" t="str">
        <f t="shared" si="276"/>
        <v>BTCRHFC</v>
      </c>
      <c r="K1494" t="str">
        <f t="shared" si="277"/>
        <v>RHFCBTC</v>
      </c>
      <c r="L1494">
        <f t="shared" si="278"/>
        <v>0</v>
      </c>
      <c r="M1494">
        <f t="shared" si="279"/>
        <v>1</v>
      </c>
      <c r="N1494" t="b">
        <f t="shared" si="280"/>
        <v>1</v>
      </c>
    </row>
    <row r="1495" spans="1:14" hidden="1" x14ac:dyDescent="0.25">
      <c r="A1495" t="s">
        <v>1403</v>
      </c>
      <c r="B1495" t="s">
        <v>2035</v>
      </c>
      <c r="C1495" s="1">
        <v>999</v>
      </c>
      <c r="D1495" s="1">
        <v>999</v>
      </c>
      <c r="E1495" s="1">
        <v>9.9999999899999992</v>
      </c>
      <c r="F1495" s="1">
        <v>4.5878899999999999E-3</v>
      </c>
      <c r="G1495">
        <f t="shared" si="275"/>
        <v>8</v>
      </c>
      <c r="H1495" t="str">
        <f>RIGHT(B1495,4)</f>
        <v>DOGE</v>
      </c>
      <c r="I1495" t="str">
        <f>LEFT(B1495,4)</f>
        <v>RHFC</v>
      </c>
      <c r="J1495" t="str">
        <f t="shared" si="276"/>
        <v>DOGERHFC</v>
      </c>
      <c r="K1495" t="str">
        <f t="shared" si="277"/>
        <v>RHFCDOGE</v>
      </c>
      <c r="L1495">
        <f t="shared" si="278"/>
        <v>0</v>
      </c>
      <c r="M1495">
        <f t="shared" si="279"/>
        <v>1</v>
      </c>
      <c r="N1495" t="b">
        <f t="shared" si="280"/>
        <v>1</v>
      </c>
    </row>
    <row r="1496" spans="1:14" hidden="1" x14ac:dyDescent="0.25">
      <c r="A1496" t="s">
        <v>1403</v>
      </c>
      <c r="B1496" t="s">
        <v>1842</v>
      </c>
      <c r="C1496" s="1">
        <v>1E-4</v>
      </c>
      <c r="D1496" s="1">
        <v>1E-4</v>
      </c>
      <c r="E1496" s="1">
        <v>0.39999899999999999</v>
      </c>
      <c r="F1496" s="1">
        <v>1.9300000000000002E-6</v>
      </c>
      <c r="G1496">
        <f t="shared" si="275"/>
        <v>7</v>
      </c>
      <c r="H1496" t="str">
        <f>RIGHT(B1496,3)</f>
        <v>LTC</v>
      </c>
      <c r="I1496" t="str">
        <f>LEFT(B1496,4)</f>
        <v>RHFC</v>
      </c>
      <c r="J1496" t="str">
        <f t="shared" si="276"/>
        <v>LTCRHFC</v>
      </c>
      <c r="K1496" t="str">
        <f t="shared" si="277"/>
        <v>RHFCLTC</v>
      </c>
      <c r="L1496">
        <f t="shared" si="278"/>
        <v>0</v>
      </c>
      <c r="M1496">
        <f t="shared" si="279"/>
        <v>1</v>
      </c>
      <c r="N1496" t="b">
        <f t="shared" si="280"/>
        <v>1</v>
      </c>
    </row>
    <row r="1497" spans="1:14" hidden="1" x14ac:dyDescent="0.25">
      <c r="A1497" t="s">
        <v>1403</v>
      </c>
      <c r="B1497" t="s">
        <v>1653</v>
      </c>
      <c r="C1497" s="1">
        <v>9.4199799999999997E-3</v>
      </c>
      <c r="D1497" s="1">
        <v>9.4199799999999997E-3</v>
      </c>
      <c r="E1497" s="1">
        <v>9.4105100000000004E-3</v>
      </c>
      <c r="F1497" s="1">
        <v>2.6060000000000001E-5</v>
      </c>
      <c r="G1497">
        <f t="shared" si="275"/>
        <v>7</v>
      </c>
      <c r="H1497" t="str">
        <f>RIGHT(B1497,3)</f>
        <v>USD</v>
      </c>
      <c r="I1497" t="str">
        <f>LEFT(B1497,4)</f>
        <v>RHFC</v>
      </c>
      <c r="J1497" t="str">
        <f t="shared" si="276"/>
        <v>USDRHFC</v>
      </c>
      <c r="K1497" t="str">
        <f t="shared" si="277"/>
        <v>RHFCUSD</v>
      </c>
      <c r="L1497">
        <f t="shared" si="278"/>
        <v>0</v>
      </c>
      <c r="M1497">
        <f t="shared" si="279"/>
        <v>1</v>
      </c>
      <c r="N1497" t="b">
        <f t="shared" si="280"/>
        <v>1</v>
      </c>
    </row>
    <row r="1498" spans="1:14" hidden="1" x14ac:dyDescent="0.25">
      <c r="A1498" t="s">
        <v>5</v>
      </c>
      <c r="B1498" t="s">
        <v>418</v>
      </c>
      <c r="C1498" s="1">
        <v>5.2599999999999998E-5</v>
      </c>
      <c r="D1498" s="1">
        <v>2.5000000000000001E-5</v>
      </c>
      <c r="E1498" s="1">
        <v>5.2599999999999998E-5</v>
      </c>
      <c r="F1498" s="1">
        <v>2.5000000000000001E-5</v>
      </c>
      <c r="G1498">
        <f t="shared" si="275"/>
        <v>7</v>
      </c>
      <c r="H1498" t="str">
        <f>RIGHT(B1498,3)</f>
        <v>BTC</v>
      </c>
      <c r="I1498" t="str">
        <f>LEFT(B1498,4)</f>
        <v>RICE</v>
      </c>
      <c r="J1498" t="str">
        <f t="shared" si="276"/>
        <v>BTCRICE</v>
      </c>
      <c r="K1498" t="str">
        <f t="shared" si="277"/>
        <v>RICEBTC</v>
      </c>
      <c r="L1498">
        <f t="shared" si="278"/>
        <v>0</v>
      </c>
      <c r="M1498">
        <f t="shared" si="279"/>
        <v>1</v>
      </c>
      <c r="N1498" t="b">
        <f t="shared" si="280"/>
        <v>1</v>
      </c>
    </row>
    <row r="1499" spans="1:14" hidden="1" x14ac:dyDescent="0.25">
      <c r="A1499" t="s">
        <v>5</v>
      </c>
      <c r="B1499" t="s">
        <v>473</v>
      </c>
      <c r="C1499" s="1">
        <v>1.06E-6</v>
      </c>
      <c r="D1499" s="1">
        <v>1.0499999999999999E-6</v>
      </c>
      <c r="E1499" s="1">
        <v>1.06E-6</v>
      </c>
      <c r="F1499" s="1">
        <v>1.0499999999999999E-6</v>
      </c>
      <c r="G1499">
        <f t="shared" si="275"/>
        <v>8</v>
      </c>
      <c r="H1499" t="str">
        <f>RIGHT(B1499,3)</f>
        <v>BTC</v>
      </c>
      <c r="I1499" t="str">
        <f>LEFT(B1499,5)</f>
        <v>RICHX</v>
      </c>
      <c r="J1499" t="str">
        <f t="shared" si="276"/>
        <v>BTCRICHX</v>
      </c>
      <c r="K1499" t="str">
        <f t="shared" si="277"/>
        <v>RICHXBTC</v>
      </c>
      <c r="L1499">
        <f t="shared" si="278"/>
        <v>0</v>
      </c>
      <c r="M1499">
        <f t="shared" si="279"/>
        <v>1</v>
      </c>
      <c r="N1499" t="b">
        <f t="shared" si="280"/>
        <v>1</v>
      </c>
    </row>
    <row r="1500" spans="1:14" hidden="1" x14ac:dyDescent="0.25">
      <c r="A1500" t="s">
        <v>1403</v>
      </c>
      <c r="B1500" t="s">
        <v>2036</v>
      </c>
      <c r="C1500" s="1">
        <v>7.9999999900000001</v>
      </c>
      <c r="D1500" s="1">
        <v>7.9999999900000001</v>
      </c>
      <c r="E1500" s="1">
        <v>7.4</v>
      </c>
      <c r="F1500" s="1">
        <v>1.10004E-3</v>
      </c>
      <c r="G1500">
        <f t="shared" si="275"/>
        <v>8</v>
      </c>
      <c r="H1500" t="str">
        <f>RIGHT(B1500,4)</f>
        <v>DOGE</v>
      </c>
      <c r="I1500" t="str">
        <f>LEFT(B1500,4)</f>
        <v>RIDE</v>
      </c>
      <c r="J1500" t="str">
        <f t="shared" si="276"/>
        <v>DOGERIDE</v>
      </c>
      <c r="K1500" t="str">
        <f t="shared" si="277"/>
        <v>RIDEDOGE</v>
      </c>
      <c r="L1500">
        <f t="shared" si="278"/>
        <v>0</v>
      </c>
      <c r="M1500">
        <f t="shared" si="279"/>
        <v>1</v>
      </c>
      <c r="N1500" t="b">
        <f t="shared" si="280"/>
        <v>1</v>
      </c>
    </row>
    <row r="1501" spans="1:14" hidden="1" x14ac:dyDescent="0.25">
      <c r="A1501" t="s">
        <v>1403</v>
      </c>
      <c r="B1501" t="s">
        <v>1843</v>
      </c>
      <c r="C1501" s="1">
        <v>1.2330000000000001E-5</v>
      </c>
      <c r="D1501" s="1">
        <v>1.2330000000000001E-5</v>
      </c>
      <c r="E1501" s="1">
        <v>5.9069999999999999E-4</v>
      </c>
      <c r="F1501" s="1" t="s">
        <v>401</v>
      </c>
      <c r="G1501">
        <f t="shared" si="275"/>
        <v>7</v>
      </c>
      <c r="H1501" t="str">
        <f t="shared" ref="H1501:H1512" si="284">RIGHT(B1501,3)</f>
        <v>LTC</v>
      </c>
      <c r="I1501" t="str">
        <f>LEFT(B1501,4)</f>
        <v>RIDE</v>
      </c>
      <c r="J1501" t="str">
        <f t="shared" si="276"/>
        <v>LTCRIDE</v>
      </c>
      <c r="K1501" t="str">
        <f t="shared" si="277"/>
        <v>RIDELTC</v>
      </c>
      <c r="L1501">
        <f t="shared" si="278"/>
        <v>0</v>
      </c>
      <c r="M1501">
        <f t="shared" si="279"/>
        <v>1</v>
      </c>
      <c r="N1501" t="b">
        <f t="shared" si="280"/>
        <v>1</v>
      </c>
    </row>
    <row r="1502" spans="1:14" hidden="1" x14ac:dyDescent="0.25">
      <c r="A1502" t="s">
        <v>1403</v>
      </c>
      <c r="B1502" t="s">
        <v>1654</v>
      </c>
      <c r="C1502" s="1">
        <v>2.2989999999999998E-3</v>
      </c>
      <c r="D1502" s="1">
        <v>2.2989999999999998E-3</v>
      </c>
      <c r="E1502" s="1">
        <v>2.4547900000000001E-3</v>
      </c>
      <c r="F1502" s="1">
        <v>3.0110000000000001E-5</v>
      </c>
      <c r="G1502">
        <f t="shared" si="275"/>
        <v>7</v>
      </c>
      <c r="H1502" t="str">
        <f t="shared" si="284"/>
        <v>USD</v>
      </c>
      <c r="I1502" t="str">
        <f>LEFT(B1502,4)</f>
        <v>RIDE</v>
      </c>
      <c r="J1502" t="str">
        <f t="shared" si="276"/>
        <v>USDRIDE</v>
      </c>
      <c r="K1502" t="str">
        <f t="shared" si="277"/>
        <v>RIDEUSD</v>
      </c>
      <c r="L1502">
        <f t="shared" si="278"/>
        <v>0</v>
      </c>
      <c r="M1502">
        <f t="shared" si="279"/>
        <v>1</v>
      </c>
      <c r="N1502" t="b">
        <f t="shared" si="280"/>
        <v>1</v>
      </c>
    </row>
    <row r="1503" spans="1:14" hidden="1" x14ac:dyDescent="0.25">
      <c r="A1503" t="s">
        <v>5</v>
      </c>
      <c r="B1503" t="s">
        <v>378</v>
      </c>
      <c r="C1503" s="1" t="s">
        <v>362</v>
      </c>
      <c r="D1503" s="1" t="s">
        <v>364</v>
      </c>
      <c r="E1503" s="1" t="s">
        <v>362</v>
      </c>
      <c r="F1503" s="1">
        <v>4.2799999999999997E-6</v>
      </c>
      <c r="G1503">
        <f t="shared" si="275"/>
        <v>7</v>
      </c>
      <c r="H1503" t="str">
        <f t="shared" si="284"/>
        <v>BTC</v>
      </c>
      <c r="I1503" t="str">
        <f>LEFT(B1503,4)</f>
        <v>RING</v>
      </c>
      <c r="J1503" t="str">
        <f t="shared" si="276"/>
        <v>BTCRING</v>
      </c>
      <c r="K1503" t="str">
        <f t="shared" si="277"/>
        <v>RINGBTC</v>
      </c>
      <c r="L1503">
        <f t="shared" si="278"/>
        <v>0</v>
      </c>
      <c r="M1503">
        <f t="shared" si="279"/>
        <v>1</v>
      </c>
      <c r="N1503" t="b">
        <f t="shared" si="280"/>
        <v>1</v>
      </c>
    </row>
    <row r="1504" spans="1:14" hidden="1" x14ac:dyDescent="0.25">
      <c r="A1504" t="s">
        <v>5</v>
      </c>
      <c r="B1504" t="s">
        <v>449</v>
      </c>
      <c r="C1504" s="1" t="s">
        <v>361</v>
      </c>
      <c r="D1504" s="1" t="s">
        <v>362</v>
      </c>
      <c r="E1504" s="1" t="s">
        <v>361</v>
      </c>
      <c r="F1504" s="1" t="s">
        <v>362</v>
      </c>
      <c r="G1504">
        <f t="shared" si="275"/>
        <v>6</v>
      </c>
      <c r="H1504" t="str">
        <f t="shared" si="284"/>
        <v>BTC</v>
      </c>
      <c r="I1504" t="str">
        <f t="shared" ref="I1504:I1510" si="285">LEFT(B1504,3)</f>
        <v>RIO</v>
      </c>
      <c r="J1504" t="str">
        <f t="shared" si="276"/>
        <v>BTCRIO</v>
      </c>
      <c r="K1504" t="str">
        <f t="shared" si="277"/>
        <v>RIOBTC</v>
      </c>
      <c r="L1504">
        <f t="shared" si="278"/>
        <v>0</v>
      </c>
      <c r="M1504">
        <f t="shared" si="279"/>
        <v>1</v>
      </c>
      <c r="N1504" t="b">
        <f t="shared" si="280"/>
        <v>1</v>
      </c>
    </row>
    <row r="1505" spans="1:14" hidden="1" x14ac:dyDescent="0.25">
      <c r="A1505" t="s">
        <v>1239</v>
      </c>
      <c r="B1505" t="s">
        <v>1376</v>
      </c>
      <c r="C1505" s="1">
        <v>2.699E-4</v>
      </c>
      <c r="D1505" s="1">
        <v>2.5501000000000001E-4</v>
      </c>
      <c r="E1505" s="1">
        <v>2.699E-4</v>
      </c>
      <c r="F1505" s="1">
        <v>2.5501000000000001E-4</v>
      </c>
      <c r="G1505">
        <f t="shared" si="275"/>
        <v>6</v>
      </c>
      <c r="H1505" t="str">
        <f t="shared" si="284"/>
        <v>BTC</v>
      </c>
      <c r="I1505" t="str">
        <f t="shared" si="285"/>
        <v>RLT</v>
      </c>
      <c r="J1505" t="str">
        <f t="shared" si="276"/>
        <v>BTCRLT</v>
      </c>
      <c r="K1505" t="str">
        <f t="shared" si="277"/>
        <v>RLTBTC</v>
      </c>
      <c r="L1505">
        <f t="shared" si="278"/>
        <v>0</v>
      </c>
      <c r="M1505">
        <f t="shared" si="279"/>
        <v>1</v>
      </c>
      <c r="N1505" t="b">
        <f t="shared" si="280"/>
        <v>1</v>
      </c>
    </row>
    <row r="1506" spans="1:14" hidden="1" x14ac:dyDescent="0.25">
      <c r="A1506" t="s">
        <v>1239</v>
      </c>
      <c r="B1506" t="s">
        <v>1378</v>
      </c>
      <c r="C1506" s="1">
        <v>3.9999600000000003E-3</v>
      </c>
      <c r="D1506" s="1">
        <v>1.1230000000000001E-3</v>
      </c>
      <c r="E1506" s="1">
        <v>3.9999600000000003E-3</v>
      </c>
      <c r="F1506" s="1">
        <v>1.12301E-3</v>
      </c>
      <c r="G1506">
        <f t="shared" si="275"/>
        <v>6</v>
      </c>
      <c r="H1506" t="str">
        <f t="shared" si="284"/>
        <v>ETH</v>
      </c>
      <c r="I1506" t="str">
        <f t="shared" si="285"/>
        <v>RLT</v>
      </c>
      <c r="J1506" t="str">
        <f t="shared" si="276"/>
        <v>ETHRLT</v>
      </c>
      <c r="K1506" t="str">
        <f t="shared" si="277"/>
        <v>RLTETH</v>
      </c>
      <c r="L1506">
        <f t="shared" si="278"/>
        <v>0</v>
      </c>
      <c r="M1506">
        <f t="shared" si="279"/>
        <v>1</v>
      </c>
      <c r="N1506" t="b">
        <f t="shared" si="280"/>
        <v>1</v>
      </c>
    </row>
    <row r="1507" spans="1:14" hidden="1" x14ac:dyDescent="0.25">
      <c r="A1507" t="s">
        <v>1239</v>
      </c>
      <c r="B1507" t="s">
        <v>1377</v>
      </c>
      <c r="C1507" s="1">
        <v>333.69</v>
      </c>
      <c r="D1507" s="1">
        <v>7.3600199999999996</v>
      </c>
      <c r="E1507" s="1">
        <v>333.69</v>
      </c>
      <c r="F1507" s="1">
        <v>7.3600199999999996</v>
      </c>
      <c r="G1507">
        <f t="shared" si="275"/>
        <v>6</v>
      </c>
      <c r="H1507" t="str">
        <f t="shared" si="284"/>
        <v>RUR</v>
      </c>
      <c r="I1507" t="str">
        <f t="shared" si="285"/>
        <v>RLT</v>
      </c>
      <c r="J1507" t="str">
        <f t="shared" si="276"/>
        <v>RURRLT</v>
      </c>
      <c r="K1507" t="str">
        <f t="shared" si="277"/>
        <v>RLTRUR</v>
      </c>
      <c r="L1507">
        <f t="shared" si="278"/>
        <v>0</v>
      </c>
      <c r="M1507">
        <f t="shared" si="279"/>
        <v>1</v>
      </c>
      <c r="N1507" t="b">
        <f t="shared" si="280"/>
        <v>1</v>
      </c>
    </row>
    <row r="1508" spans="1:14" hidden="1" x14ac:dyDescent="0.25">
      <c r="A1508" t="s">
        <v>1239</v>
      </c>
      <c r="B1508" t="s">
        <v>1375</v>
      </c>
      <c r="C1508" s="1">
        <v>0.75870000000000004</v>
      </c>
      <c r="D1508" s="1">
        <v>0.58021</v>
      </c>
      <c r="E1508" s="1">
        <v>0.75870000000000004</v>
      </c>
      <c r="F1508" s="1">
        <v>0.58021</v>
      </c>
      <c r="G1508">
        <f t="shared" si="275"/>
        <v>6</v>
      </c>
      <c r="H1508" t="str">
        <f t="shared" si="284"/>
        <v>USD</v>
      </c>
      <c r="I1508" t="str">
        <f t="shared" si="285"/>
        <v>RLT</v>
      </c>
      <c r="J1508" t="str">
        <f t="shared" si="276"/>
        <v>USDRLT</v>
      </c>
      <c r="K1508" t="str">
        <f t="shared" si="277"/>
        <v>RLTUSD</v>
      </c>
      <c r="L1508">
        <f t="shared" si="278"/>
        <v>0</v>
      </c>
      <c r="M1508">
        <f t="shared" si="279"/>
        <v>1</v>
      </c>
      <c r="N1508" t="b">
        <f t="shared" si="280"/>
        <v>1</v>
      </c>
    </row>
    <row r="1509" spans="1:14" hidden="1" x14ac:dyDescent="0.25">
      <c r="A1509" t="s">
        <v>5</v>
      </c>
      <c r="B1509" t="s">
        <v>747</v>
      </c>
      <c r="C1509" s="1">
        <v>2.667E-5</v>
      </c>
      <c r="D1509" s="1">
        <v>1.6820000000000002E-5</v>
      </c>
      <c r="E1509" s="1">
        <v>2.667E-5</v>
      </c>
      <c r="F1509" s="1">
        <v>1.6820000000000002E-5</v>
      </c>
      <c r="G1509">
        <f t="shared" si="275"/>
        <v>6</v>
      </c>
      <c r="H1509" t="str">
        <f t="shared" si="284"/>
        <v>BTC</v>
      </c>
      <c r="I1509" t="str">
        <f t="shared" si="285"/>
        <v>RMS</v>
      </c>
      <c r="J1509" t="str">
        <f t="shared" si="276"/>
        <v>BTCRMS</v>
      </c>
      <c r="K1509" t="str">
        <f t="shared" si="277"/>
        <v>RMSBTC</v>
      </c>
      <c r="L1509">
        <f t="shared" si="278"/>
        <v>0</v>
      </c>
      <c r="M1509">
        <f t="shared" si="279"/>
        <v>1</v>
      </c>
      <c r="N1509" t="b">
        <f t="shared" si="280"/>
        <v>1</v>
      </c>
    </row>
    <row r="1510" spans="1:14" hidden="1" x14ac:dyDescent="0.25">
      <c r="A1510" t="s">
        <v>5</v>
      </c>
      <c r="B1510" t="s">
        <v>567</v>
      </c>
      <c r="C1510" s="1">
        <v>1.4999999999999999E-7</v>
      </c>
      <c r="D1510" s="1">
        <v>1.3E-7</v>
      </c>
      <c r="E1510" s="1">
        <v>1.4999999999999999E-7</v>
      </c>
      <c r="F1510" s="1">
        <v>1.3E-7</v>
      </c>
      <c r="G1510">
        <f t="shared" si="275"/>
        <v>6</v>
      </c>
      <c r="H1510" t="str">
        <f t="shared" si="284"/>
        <v>BTC</v>
      </c>
      <c r="I1510" t="str">
        <f t="shared" si="285"/>
        <v>RNC</v>
      </c>
      <c r="J1510" t="str">
        <f t="shared" si="276"/>
        <v>BTCRNC</v>
      </c>
      <c r="K1510" t="str">
        <f t="shared" si="277"/>
        <v>RNCBTC</v>
      </c>
      <c r="L1510">
        <f t="shared" si="278"/>
        <v>0</v>
      </c>
      <c r="M1510">
        <f t="shared" si="279"/>
        <v>1</v>
      </c>
      <c r="N1510" t="b">
        <f t="shared" si="280"/>
        <v>1</v>
      </c>
    </row>
    <row r="1511" spans="1:14" hidden="1" x14ac:dyDescent="0.25">
      <c r="A1511" t="s">
        <v>5</v>
      </c>
      <c r="B1511" t="s">
        <v>1103</v>
      </c>
      <c r="C1511" s="1">
        <v>1.4999999999999999E-7</v>
      </c>
      <c r="D1511" s="1">
        <v>1.4000000000000001E-7</v>
      </c>
      <c r="E1511" s="1">
        <v>1.4999999999999999E-7</v>
      </c>
      <c r="F1511" s="1">
        <v>1.4000000000000001E-7</v>
      </c>
      <c r="G1511">
        <f t="shared" si="275"/>
        <v>8</v>
      </c>
      <c r="H1511" t="str">
        <f t="shared" si="284"/>
        <v>BTC</v>
      </c>
      <c r="I1511" t="str">
        <f>LEFT(B1511,5)</f>
        <v>RONIN</v>
      </c>
      <c r="J1511" t="str">
        <f t="shared" si="276"/>
        <v>BTCRONIN</v>
      </c>
      <c r="K1511" t="str">
        <f t="shared" si="277"/>
        <v>RONINBTC</v>
      </c>
      <c r="L1511">
        <f t="shared" si="278"/>
        <v>0</v>
      </c>
      <c r="M1511">
        <f t="shared" si="279"/>
        <v>1</v>
      </c>
      <c r="N1511" t="b">
        <f t="shared" si="280"/>
        <v>1</v>
      </c>
    </row>
    <row r="1512" spans="1:14" hidden="1" x14ac:dyDescent="0.25">
      <c r="A1512" t="s">
        <v>5</v>
      </c>
      <c r="B1512" t="s">
        <v>545</v>
      </c>
      <c r="C1512" s="1">
        <v>1.1000000000000001E-7</v>
      </c>
      <c r="D1512" s="1" t="s">
        <v>355</v>
      </c>
      <c r="E1512" s="1">
        <v>1.1000000000000001E-7</v>
      </c>
      <c r="F1512" s="1" t="s">
        <v>355</v>
      </c>
      <c r="G1512">
        <f t="shared" si="275"/>
        <v>6</v>
      </c>
      <c r="H1512" t="str">
        <f t="shared" si="284"/>
        <v>BTC</v>
      </c>
      <c r="I1512" t="str">
        <f>LEFT(B1512,3)</f>
        <v>ROS</v>
      </c>
      <c r="J1512" t="str">
        <f t="shared" si="276"/>
        <v>BTCROS</v>
      </c>
      <c r="K1512" t="str">
        <f t="shared" si="277"/>
        <v>ROSBTC</v>
      </c>
      <c r="L1512">
        <f t="shared" si="278"/>
        <v>0</v>
      </c>
      <c r="M1512">
        <f t="shared" si="279"/>
        <v>1</v>
      </c>
      <c r="N1512" t="b">
        <f t="shared" si="280"/>
        <v>1</v>
      </c>
    </row>
    <row r="1513" spans="1:14" hidden="1" x14ac:dyDescent="0.25">
      <c r="A1513" t="s">
        <v>1403</v>
      </c>
      <c r="B1513" t="s">
        <v>2037</v>
      </c>
      <c r="C1513" s="1">
        <v>1.25</v>
      </c>
      <c r="D1513" s="1">
        <v>1.25</v>
      </c>
      <c r="E1513" s="1">
        <v>1.25</v>
      </c>
      <c r="F1513" s="1">
        <v>0.29120001000000001</v>
      </c>
      <c r="G1513">
        <f t="shared" si="275"/>
        <v>9</v>
      </c>
      <c r="H1513" t="str">
        <f>RIGHT(B1513,4)</f>
        <v>DOGE</v>
      </c>
      <c r="I1513" t="str">
        <f>LEFT(B1513,5)</f>
        <v>ROYAL</v>
      </c>
      <c r="J1513" t="str">
        <f t="shared" si="276"/>
        <v>DOGEROYAL</v>
      </c>
      <c r="K1513" t="str">
        <f t="shared" si="277"/>
        <v>ROYALDOGE</v>
      </c>
      <c r="L1513">
        <f t="shared" si="278"/>
        <v>0</v>
      </c>
      <c r="M1513">
        <f t="shared" si="279"/>
        <v>1</v>
      </c>
      <c r="N1513" t="b">
        <f t="shared" si="280"/>
        <v>1</v>
      </c>
    </row>
    <row r="1514" spans="1:14" hidden="1" x14ac:dyDescent="0.25">
      <c r="A1514" t="s">
        <v>1403</v>
      </c>
      <c r="B1514" t="s">
        <v>1844</v>
      </c>
      <c r="C1514" s="1" t="s">
        <v>1013</v>
      </c>
      <c r="D1514" s="1" t="s">
        <v>1013</v>
      </c>
      <c r="E1514" s="1">
        <v>6.0000000000000001E-3</v>
      </c>
      <c r="F1514" s="1">
        <v>5.0100000000000003E-6</v>
      </c>
      <c r="G1514">
        <f t="shared" si="275"/>
        <v>8</v>
      </c>
      <c r="H1514" t="str">
        <f t="shared" ref="H1514:H1521" si="286">RIGHT(B1514,3)</f>
        <v>LTC</v>
      </c>
      <c r="I1514" t="str">
        <f>LEFT(B1514,5)</f>
        <v>ROYAL</v>
      </c>
      <c r="J1514" t="str">
        <f t="shared" si="276"/>
        <v>LTCROYAL</v>
      </c>
      <c r="K1514" t="str">
        <f t="shared" si="277"/>
        <v>ROYALLTC</v>
      </c>
      <c r="L1514">
        <f t="shared" si="278"/>
        <v>0</v>
      </c>
      <c r="M1514">
        <f t="shared" si="279"/>
        <v>1</v>
      </c>
      <c r="N1514" t="b">
        <f t="shared" si="280"/>
        <v>1</v>
      </c>
    </row>
    <row r="1515" spans="1:14" hidden="1" x14ac:dyDescent="0.25">
      <c r="A1515" t="s">
        <v>1403</v>
      </c>
      <c r="B1515" t="s">
        <v>1655</v>
      </c>
      <c r="C1515" s="1">
        <v>7.0000000000000001E-3</v>
      </c>
      <c r="D1515" s="1">
        <v>7.0000000000000001E-3</v>
      </c>
      <c r="E1515" s="1">
        <v>6.9999900000000002E-3</v>
      </c>
      <c r="F1515" s="1">
        <v>8.0990999999999995E-4</v>
      </c>
      <c r="G1515">
        <f t="shared" si="275"/>
        <v>8</v>
      </c>
      <c r="H1515" t="str">
        <f t="shared" si="286"/>
        <v>USD</v>
      </c>
      <c r="I1515" t="str">
        <f>LEFT(B1515,5)</f>
        <v>ROYAL</v>
      </c>
      <c r="J1515" t="str">
        <f t="shared" si="276"/>
        <v>USDROYAL</v>
      </c>
      <c r="K1515" t="str">
        <f t="shared" si="277"/>
        <v>ROYALUSD</v>
      </c>
      <c r="L1515">
        <f t="shared" si="278"/>
        <v>0</v>
      </c>
      <c r="M1515">
        <f t="shared" si="279"/>
        <v>1</v>
      </c>
      <c r="N1515" t="b">
        <f t="shared" si="280"/>
        <v>1</v>
      </c>
    </row>
    <row r="1516" spans="1:14" hidden="1" x14ac:dyDescent="0.25">
      <c r="A1516" t="s">
        <v>5</v>
      </c>
      <c r="B1516" t="s">
        <v>382</v>
      </c>
      <c r="C1516" s="1">
        <v>1.984E-5</v>
      </c>
      <c r="D1516" s="1">
        <v>1.169E-5</v>
      </c>
      <c r="E1516" s="1">
        <v>1.984E-5</v>
      </c>
      <c r="F1516" s="1">
        <v>1.169E-5</v>
      </c>
      <c r="G1516">
        <f t="shared" si="275"/>
        <v>6</v>
      </c>
      <c r="H1516" t="str">
        <f t="shared" si="286"/>
        <v>BTC</v>
      </c>
      <c r="I1516" t="str">
        <f>LEFT(B1516,3)</f>
        <v>RPC</v>
      </c>
      <c r="J1516" t="str">
        <f t="shared" si="276"/>
        <v>BTCRPC</v>
      </c>
      <c r="K1516" t="str">
        <f t="shared" si="277"/>
        <v>RPCBTC</v>
      </c>
      <c r="L1516">
        <f t="shared" si="278"/>
        <v>0</v>
      </c>
      <c r="M1516">
        <f t="shared" si="279"/>
        <v>1</v>
      </c>
      <c r="N1516" t="b">
        <f t="shared" si="280"/>
        <v>1</v>
      </c>
    </row>
    <row r="1517" spans="1:14" hidden="1" x14ac:dyDescent="0.25">
      <c r="A1517" t="s">
        <v>27</v>
      </c>
      <c r="B1517" t="s">
        <v>31</v>
      </c>
      <c r="C1517" s="1">
        <v>3.3859999999999998E-5</v>
      </c>
      <c r="D1517" s="1">
        <v>3.1999999999999999E-5</v>
      </c>
      <c r="E1517" s="1">
        <v>3.43131999999999E-5</v>
      </c>
      <c r="F1517" s="1">
        <v>3.1999999999999999E-5</v>
      </c>
      <c r="G1517">
        <f t="shared" si="275"/>
        <v>6</v>
      </c>
      <c r="H1517" t="str">
        <f t="shared" si="286"/>
        <v>BTC</v>
      </c>
      <c r="I1517" t="str">
        <f>LEFT(B1517,3)</f>
        <v>RRT</v>
      </c>
      <c r="J1517" t="str">
        <f t="shared" si="276"/>
        <v>BTCRRT</v>
      </c>
      <c r="K1517" t="str">
        <f t="shared" si="277"/>
        <v>RRTBTC</v>
      </c>
      <c r="L1517">
        <f t="shared" si="278"/>
        <v>0</v>
      </c>
      <c r="M1517">
        <f t="shared" si="279"/>
        <v>1</v>
      </c>
      <c r="N1517" t="b">
        <f t="shared" si="280"/>
        <v>1</v>
      </c>
    </row>
    <row r="1518" spans="1:14" hidden="1" x14ac:dyDescent="0.25">
      <c r="A1518" t="s">
        <v>27</v>
      </c>
      <c r="B1518" t="s">
        <v>30</v>
      </c>
      <c r="C1518" s="1">
        <v>7.4490000000000001E-2</v>
      </c>
      <c r="D1518" s="1">
        <v>7.2873999999999994E-2</v>
      </c>
      <c r="E1518" s="1">
        <v>7.4490000000000001E-2</v>
      </c>
      <c r="F1518" s="1">
        <v>7.2873999999999994E-2</v>
      </c>
      <c r="G1518">
        <f t="shared" si="275"/>
        <v>6</v>
      </c>
      <c r="H1518" t="str">
        <f t="shared" si="286"/>
        <v>USD</v>
      </c>
      <c r="I1518" t="str">
        <f>LEFT(B1518,3)</f>
        <v>RRT</v>
      </c>
      <c r="J1518" t="str">
        <f t="shared" si="276"/>
        <v>USDRRT</v>
      </c>
      <c r="K1518" t="str">
        <f t="shared" si="277"/>
        <v>RRTUSD</v>
      </c>
      <c r="L1518">
        <f t="shared" si="278"/>
        <v>0</v>
      </c>
      <c r="M1518">
        <f t="shared" si="279"/>
        <v>1</v>
      </c>
      <c r="N1518" t="b">
        <f t="shared" si="280"/>
        <v>1</v>
      </c>
    </row>
    <row r="1519" spans="1:14" hidden="1" x14ac:dyDescent="0.25">
      <c r="A1519" t="s">
        <v>5</v>
      </c>
      <c r="B1519" t="s">
        <v>373</v>
      </c>
      <c r="C1519" s="1" t="s">
        <v>374</v>
      </c>
      <c r="D1519" s="1">
        <v>2.7000000000000001E-7</v>
      </c>
      <c r="E1519" s="1" t="s">
        <v>374</v>
      </c>
      <c r="F1519" s="1">
        <v>2.7000000000000001E-7</v>
      </c>
      <c r="G1519">
        <f t="shared" si="275"/>
        <v>8</v>
      </c>
      <c r="H1519" t="str">
        <f t="shared" si="286"/>
        <v>BTC</v>
      </c>
      <c r="I1519" t="str">
        <f>LEFT(B1519,5)</f>
        <v>RUBIT</v>
      </c>
      <c r="J1519" t="str">
        <f t="shared" si="276"/>
        <v>BTCRUBIT</v>
      </c>
      <c r="K1519" t="str">
        <f t="shared" si="277"/>
        <v>RUBITBTC</v>
      </c>
      <c r="L1519">
        <f t="shared" si="278"/>
        <v>0</v>
      </c>
      <c r="M1519">
        <f t="shared" si="279"/>
        <v>1</v>
      </c>
      <c r="N1519" t="b">
        <f t="shared" si="280"/>
        <v>1</v>
      </c>
    </row>
    <row r="1520" spans="1:14" hidden="1" x14ac:dyDescent="0.25">
      <c r="A1520" t="s">
        <v>5</v>
      </c>
      <c r="B1520" t="s">
        <v>768</v>
      </c>
      <c r="C1520" s="1">
        <v>2.7499999999999999E-6</v>
      </c>
      <c r="D1520" s="1">
        <v>2.4200000000000001E-6</v>
      </c>
      <c r="E1520" s="1">
        <v>2.7499999999999999E-6</v>
      </c>
      <c r="F1520" s="1">
        <v>2.4200000000000001E-6</v>
      </c>
      <c r="G1520">
        <f t="shared" si="275"/>
        <v>7</v>
      </c>
      <c r="H1520" t="str">
        <f t="shared" si="286"/>
        <v>BTC</v>
      </c>
      <c r="I1520" t="str">
        <f>LEFT(B1520,4)</f>
        <v>RUST</v>
      </c>
      <c r="J1520" t="str">
        <f t="shared" si="276"/>
        <v>BTCRUST</v>
      </c>
      <c r="K1520" t="str">
        <f t="shared" si="277"/>
        <v>RUSTBTC</v>
      </c>
      <c r="L1520">
        <f t="shared" si="278"/>
        <v>0</v>
      </c>
      <c r="M1520">
        <f t="shared" si="279"/>
        <v>1</v>
      </c>
      <c r="N1520" t="b">
        <f t="shared" si="280"/>
        <v>1</v>
      </c>
    </row>
    <row r="1521" spans="1:14" hidden="1" x14ac:dyDescent="0.25">
      <c r="A1521" t="s">
        <v>1403</v>
      </c>
      <c r="B1521" t="s">
        <v>1493</v>
      </c>
      <c r="C1521" s="1" t="s">
        <v>528</v>
      </c>
      <c r="D1521" s="1">
        <v>1.24E-6</v>
      </c>
      <c r="E1521" s="1">
        <v>1.2100000000000001E-6</v>
      </c>
      <c r="F1521" s="1" t="s">
        <v>528</v>
      </c>
      <c r="G1521">
        <f t="shared" si="275"/>
        <v>7</v>
      </c>
      <c r="H1521" t="str">
        <f t="shared" si="286"/>
        <v>BTC</v>
      </c>
      <c r="I1521" t="str">
        <f>LEFT(B1521,4)</f>
        <v>RYCN</v>
      </c>
      <c r="J1521" t="str">
        <f t="shared" si="276"/>
        <v>BTCRYCN</v>
      </c>
      <c r="K1521" t="str">
        <f t="shared" si="277"/>
        <v>RYCNBTC</v>
      </c>
      <c r="L1521">
        <f t="shared" si="278"/>
        <v>0</v>
      </c>
      <c r="M1521">
        <f t="shared" si="279"/>
        <v>1</v>
      </c>
      <c r="N1521" t="b">
        <f t="shared" si="280"/>
        <v>1</v>
      </c>
    </row>
    <row r="1522" spans="1:14" hidden="1" x14ac:dyDescent="0.25">
      <c r="A1522" t="s">
        <v>1403</v>
      </c>
      <c r="B1522" t="s">
        <v>2038</v>
      </c>
      <c r="C1522" s="1">
        <v>0.70000004999999998</v>
      </c>
      <c r="D1522" s="1">
        <v>0.70000004999999998</v>
      </c>
      <c r="E1522" s="1">
        <v>2.7000000399999999</v>
      </c>
      <c r="F1522" s="1">
        <v>0.70000004999999998</v>
      </c>
      <c r="G1522">
        <f t="shared" si="275"/>
        <v>8</v>
      </c>
      <c r="H1522" t="str">
        <f>RIGHT(B1522,4)</f>
        <v>DOGE</v>
      </c>
      <c r="I1522" t="str">
        <f>LEFT(B1522,4)</f>
        <v>RYCN</v>
      </c>
      <c r="J1522" t="str">
        <f t="shared" si="276"/>
        <v>DOGERYCN</v>
      </c>
      <c r="K1522" t="str">
        <f t="shared" si="277"/>
        <v>RYCNDOGE</v>
      </c>
      <c r="L1522">
        <f t="shared" si="278"/>
        <v>0</v>
      </c>
      <c r="M1522">
        <f t="shared" si="279"/>
        <v>1</v>
      </c>
      <c r="N1522" t="b">
        <f t="shared" si="280"/>
        <v>1</v>
      </c>
    </row>
    <row r="1523" spans="1:14" hidden="1" x14ac:dyDescent="0.25">
      <c r="A1523" t="s">
        <v>1403</v>
      </c>
      <c r="B1523" t="s">
        <v>1845</v>
      </c>
      <c r="C1523" s="1">
        <v>1.1116E-4</v>
      </c>
      <c r="D1523" s="1">
        <v>1.1116E-4</v>
      </c>
      <c r="E1523" s="1">
        <v>4.3299799999999998E-3</v>
      </c>
      <c r="F1523" s="1">
        <v>1.22E-6</v>
      </c>
      <c r="G1523">
        <f t="shared" si="275"/>
        <v>7</v>
      </c>
      <c r="H1523" t="str">
        <f t="shared" ref="H1523:H1542" si="287">RIGHT(B1523,3)</f>
        <v>LTC</v>
      </c>
      <c r="I1523" t="str">
        <f>LEFT(B1523,4)</f>
        <v>RYCN</v>
      </c>
      <c r="J1523" t="str">
        <f t="shared" si="276"/>
        <v>LTCRYCN</v>
      </c>
      <c r="K1523" t="str">
        <f t="shared" si="277"/>
        <v>RYCNLTC</v>
      </c>
      <c r="L1523">
        <f t="shared" si="278"/>
        <v>0</v>
      </c>
      <c r="M1523">
        <f t="shared" si="279"/>
        <v>1</v>
      </c>
      <c r="N1523" t="b">
        <f t="shared" si="280"/>
        <v>1</v>
      </c>
    </row>
    <row r="1524" spans="1:14" hidden="1" x14ac:dyDescent="0.25">
      <c r="A1524" t="s">
        <v>1403</v>
      </c>
      <c r="B1524" t="s">
        <v>1656</v>
      </c>
      <c r="C1524" s="1">
        <v>1.79898E-2</v>
      </c>
      <c r="D1524" s="1">
        <v>1.79898E-2</v>
      </c>
      <c r="E1524" s="1">
        <v>1.4999999999999999E-2</v>
      </c>
      <c r="F1524" s="1">
        <v>1.50114E-3</v>
      </c>
      <c r="G1524">
        <f t="shared" si="275"/>
        <v>7</v>
      </c>
      <c r="H1524" t="str">
        <f t="shared" si="287"/>
        <v>USD</v>
      </c>
      <c r="I1524" t="str">
        <f>LEFT(B1524,4)</f>
        <v>RYCN</v>
      </c>
      <c r="J1524" t="str">
        <f t="shared" si="276"/>
        <v>USDRYCN</v>
      </c>
      <c r="K1524" t="str">
        <f t="shared" si="277"/>
        <v>RYCNUSD</v>
      </c>
      <c r="L1524">
        <f t="shared" si="278"/>
        <v>0</v>
      </c>
      <c r="M1524">
        <f t="shared" si="279"/>
        <v>1</v>
      </c>
      <c r="N1524" t="b">
        <f t="shared" si="280"/>
        <v>1</v>
      </c>
    </row>
    <row r="1525" spans="1:14" hidden="1" x14ac:dyDescent="0.25">
      <c r="A1525" t="s">
        <v>5</v>
      </c>
      <c r="B1525" t="s">
        <v>1133</v>
      </c>
      <c r="C1525" s="1">
        <v>1.007E-5</v>
      </c>
      <c r="D1525" s="1">
        <v>8.1100000000000003E-6</v>
      </c>
      <c r="E1525" s="1">
        <v>1.007E-5</v>
      </c>
      <c r="F1525" s="1">
        <v>8.1100000000000003E-6</v>
      </c>
      <c r="G1525">
        <f t="shared" si="275"/>
        <v>6</v>
      </c>
      <c r="H1525" t="str">
        <f t="shared" si="287"/>
        <v>BTC</v>
      </c>
      <c r="I1525" t="str">
        <f>LEFT(B1525,3)</f>
        <v>SAK</v>
      </c>
      <c r="J1525" t="str">
        <f t="shared" si="276"/>
        <v>BTCSAK</v>
      </c>
      <c r="K1525" t="str">
        <f t="shared" si="277"/>
        <v>SAKBTC</v>
      </c>
      <c r="L1525">
        <f t="shared" si="278"/>
        <v>0</v>
      </c>
      <c r="M1525">
        <f t="shared" si="279"/>
        <v>1</v>
      </c>
      <c r="N1525" t="b">
        <f t="shared" si="280"/>
        <v>1</v>
      </c>
    </row>
    <row r="1526" spans="1:14" hidden="1" x14ac:dyDescent="0.25">
      <c r="A1526" t="s">
        <v>5</v>
      </c>
      <c r="B1526" t="s">
        <v>1174</v>
      </c>
      <c r="C1526" s="1">
        <v>8.6000000000000002E-7</v>
      </c>
      <c r="D1526" s="1" t="s">
        <v>520</v>
      </c>
      <c r="E1526" s="1">
        <v>8.6000000000000002E-7</v>
      </c>
      <c r="F1526" s="1" t="s">
        <v>520</v>
      </c>
      <c r="G1526">
        <f t="shared" si="275"/>
        <v>8</v>
      </c>
      <c r="H1526" t="str">
        <f t="shared" si="287"/>
        <v>BTC</v>
      </c>
      <c r="I1526" t="str">
        <f>LEFT(B1526,5)</f>
        <v>SANDG</v>
      </c>
      <c r="J1526" t="str">
        <f t="shared" si="276"/>
        <v>BTCSANDG</v>
      </c>
      <c r="K1526" t="str">
        <f t="shared" si="277"/>
        <v>SANDGBTC</v>
      </c>
      <c r="L1526">
        <f t="shared" si="278"/>
        <v>0</v>
      </c>
      <c r="M1526">
        <f t="shared" si="279"/>
        <v>1</v>
      </c>
      <c r="N1526" t="b">
        <f t="shared" si="280"/>
        <v>1</v>
      </c>
    </row>
    <row r="1527" spans="1:14" hidden="1" x14ac:dyDescent="0.25">
      <c r="A1527" t="s">
        <v>5</v>
      </c>
      <c r="B1527" t="s">
        <v>1105</v>
      </c>
      <c r="C1527" s="1">
        <v>7.1999999999999997E-6</v>
      </c>
      <c r="D1527" s="1">
        <v>7.1799999999999999E-6</v>
      </c>
      <c r="E1527" s="1">
        <v>7.1999999999999997E-6</v>
      </c>
      <c r="F1527" s="1">
        <v>7.1799999999999999E-6</v>
      </c>
      <c r="G1527">
        <f t="shared" si="275"/>
        <v>7</v>
      </c>
      <c r="H1527" t="str">
        <f t="shared" si="287"/>
        <v>BTC</v>
      </c>
      <c r="I1527" t="str">
        <f>LEFT(B1527,4)</f>
        <v>SBIT</v>
      </c>
      <c r="J1527" t="str">
        <f t="shared" si="276"/>
        <v>BTCSBIT</v>
      </c>
      <c r="K1527" t="str">
        <f t="shared" si="277"/>
        <v>SBITBTC</v>
      </c>
      <c r="L1527">
        <f t="shared" si="278"/>
        <v>0</v>
      </c>
      <c r="M1527">
        <f t="shared" si="279"/>
        <v>1</v>
      </c>
      <c r="N1527" t="b">
        <f t="shared" si="280"/>
        <v>1</v>
      </c>
    </row>
    <row r="1528" spans="1:14" hidden="1" x14ac:dyDescent="0.25">
      <c r="A1528" t="s">
        <v>5</v>
      </c>
      <c r="B1528" t="s">
        <v>765</v>
      </c>
      <c r="C1528" s="1" t="s">
        <v>361</v>
      </c>
      <c r="D1528" s="1" t="s">
        <v>364</v>
      </c>
      <c r="E1528" s="1" t="s">
        <v>361</v>
      </c>
      <c r="F1528" s="1">
        <v>6.99E-6</v>
      </c>
      <c r="G1528">
        <f t="shared" si="275"/>
        <v>7</v>
      </c>
      <c r="H1528" t="str">
        <f t="shared" si="287"/>
        <v>BTC</v>
      </c>
      <c r="I1528" t="str">
        <f>LEFT(B1528,4)</f>
        <v>SCAN</v>
      </c>
      <c r="J1528" t="str">
        <f t="shared" si="276"/>
        <v>BTCSCAN</v>
      </c>
      <c r="K1528" t="str">
        <f t="shared" si="277"/>
        <v>SCANBTC</v>
      </c>
      <c r="L1528">
        <f t="shared" si="278"/>
        <v>0</v>
      </c>
      <c r="M1528">
        <f t="shared" si="279"/>
        <v>1</v>
      </c>
      <c r="N1528" t="b">
        <f t="shared" si="280"/>
        <v>1</v>
      </c>
    </row>
    <row r="1529" spans="1:14" hidden="1" x14ac:dyDescent="0.25">
      <c r="A1529" t="s">
        <v>5</v>
      </c>
      <c r="B1529" t="s">
        <v>709</v>
      </c>
      <c r="C1529" s="1">
        <v>8.8000000000000004E-6</v>
      </c>
      <c r="D1529" s="1">
        <v>4.5000000000000001E-6</v>
      </c>
      <c r="E1529" s="1">
        <v>8.8000000000000004E-6</v>
      </c>
      <c r="F1529" s="1">
        <v>4.5000000000000001E-6</v>
      </c>
      <c r="G1529">
        <f t="shared" si="275"/>
        <v>8</v>
      </c>
      <c r="H1529" t="str">
        <f t="shared" si="287"/>
        <v>BTC</v>
      </c>
      <c r="I1529" t="str">
        <f>LEFT(B1529,5)</f>
        <v>SCASH</v>
      </c>
      <c r="J1529" t="str">
        <f t="shared" si="276"/>
        <v>BTCSCASH</v>
      </c>
      <c r="K1529" t="str">
        <f t="shared" si="277"/>
        <v>SCASHBTC</v>
      </c>
      <c r="L1529">
        <f t="shared" si="278"/>
        <v>0</v>
      </c>
      <c r="M1529">
        <f t="shared" si="279"/>
        <v>1</v>
      </c>
      <c r="N1529" t="b">
        <f t="shared" si="280"/>
        <v>1</v>
      </c>
    </row>
    <row r="1530" spans="1:14" hidden="1" x14ac:dyDescent="0.25">
      <c r="A1530" t="s">
        <v>5</v>
      </c>
      <c r="B1530" t="s">
        <v>1210</v>
      </c>
      <c r="C1530" s="1" t="s">
        <v>361</v>
      </c>
      <c r="D1530" s="1" t="s">
        <v>362</v>
      </c>
      <c r="E1530" s="1" t="s">
        <v>361</v>
      </c>
      <c r="F1530" s="1" t="s">
        <v>362</v>
      </c>
      <c r="G1530">
        <f t="shared" si="275"/>
        <v>8</v>
      </c>
      <c r="H1530" t="str">
        <f t="shared" si="287"/>
        <v>BTC</v>
      </c>
      <c r="I1530" t="str">
        <f>LEFT(B1530,5)</f>
        <v>SCITW</v>
      </c>
      <c r="J1530" t="str">
        <f t="shared" si="276"/>
        <v>BTCSCITW</v>
      </c>
      <c r="K1530" t="str">
        <f t="shared" si="277"/>
        <v>SCITWBTC</v>
      </c>
      <c r="L1530">
        <f t="shared" si="278"/>
        <v>0</v>
      </c>
      <c r="M1530">
        <f t="shared" si="279"/>
        <v>1</v>
      </c>
      <c r="N1530" t="b">
        <f t="shared" si="280"/>
        <v>1</v>
      </c>
    </row>
    <row r="1531" spans="1:14" hidden="1" x14ac:dyDescent="0.25">
      <c r="A1531" t="s">
        <v>5</v>
      </c>
      <c r="B1531" t="s">
        <v>1197</v>
      </c>
      <c r="C1531" s="1">
        <v>1.6E-7</v>
      </c>
      <c r="D1531" s="1">
        <v>1.3E-7</v>
      </c>
      <c r="E1531" s="1">
        <v>1.6E-7</v>
      </c>
      <c r="F1531" s="1">
        <v>1.3E-7</v>
      </c>
      <c r="G1531">
        <f t="shared" si="275"/>
        <v>8</v>
      </c>
      <c r="H1531" t="str">
        <f t="shared" si="287"/>
        <v>BTC</v>
      </c>
      <c r="I1531" t="str">
        <f>LEFT(B1531,5)</f>
        <v>SCRPT</v>
      </c>
      <c r="J1531" t="str">
        <f t="shared" si="276"/>
        <v>BTCSCRPT</v>
      </c>
      <c r="K1531" t="str">
        <f t="shared" si="277"/>
        <v>SCRPTBTC</v>
      </c>
      <c r="L1531">
        <f t="shared" si="278"/>
        <v>0</v>
      </c>
      <c r="M1531">
        <f t="shared" si="279"/>
        <v>1</v>
      </c>
      <c r="N1531" t="b">
        <f t="shared" si="280"/>
        <v>1</v>
      </c>
    </row>
    <row r="1532" spans="1:14" hidden="1" x14ac:dyDescent="0.25">
      <c r="A1532" t="s">
        <v>5</v>
      </c>
      <c r="B1532" t="s">
        <v>674</v>
      </c>
      <c r="C1532" s="1">
        <v>3.6799999999999999E-6</v>
      </c>
      <c r="D1532" s="1">
        <v>2.0600000000000002E-6</v>
      </c>
      <c r="E1532" s="1">
        <v>3.6799999999999999E-6</v>
      </c>
      <c r="F1532" s="1">
        <v>2.0600000000000002E-6</v>
      </c>
      <c r="G1532">
        <f t="shared" si="275"/>
        <v>7</v>
      </c>
      <c r="H1532" t="str">
        <f t="shared" si="287"/>
        <v>BTC</v>
      </c>
      <c r="I1532" t="str">
        <f>LEFT(B1532,4)</f>
        <v>SCRT</v>
      </c>
      <c r="J1532" t="str">
        <f t="shared" si="276"/>
        <v>BTCSCRT</v>
      </c>
      <c r="K1532" t="str">
        <f t="shared" si="277"/>
        <v>SCRTBTC</v>
      </c>
      <c r="L1532">
        <f t="shared" si="278"/>
        <v>0</v>
      </c>
      <c r="M1532">
        <f t="shared" si="279"/>
        <v>1</v>
      </c>
      <c r="N1532" t="b">
        <f t="shared" si="280"/>
        <v>1</v>
      </c>
    </row>
    <row r="1533" spans="1:14" hidden="1" x14ac:dyDescent="0.25">
      <c r="A1533" t="s">
        <v>5</v>
      </c>
      <c r="B1533" t="s">
        <v>772</v>
      </c>
      <c r="C1533" s="1">
        <v>3.4990000000000002E-5</v>
      </c>
      <c r="D1533" s="1">
        <v>1.6909999999999999E-5</v>
      </c>
      <c r="E1533" s="1">
        <v>3.4990000000000002E-5</v>
      </c>
      <c r="F1533" s="1">
        <v>1.6909999999999999E-5</v>
      </c>
      <c r="G1533">
        <f t="shared" si="275"/>
        <v>6</v>
      </c>
      <c r="H1533" t="str">
        <f t="shared" si="287"/>
        <v>BTC</v>
      </c>
      <c r="I1533" t="str">
        <f>LEFT(B1533,3)</f>
        <v>SCS</v>
      </c>
      <c r="J1533" t="str">
        <f t="shared" si="276"/>
        <v>BTCSCS</v>
      </c>
      <c r="K1533" t="str">
        <f t="shared" si="277"/>
        <v>SCSBTC</v>
      </c>
      <c r="L1533">
        <f t="shared" si="278"/>
        <v>0</v>
      </c>
      <c r="M1533">
        <f t="shared" si="279"/>
        <v>1</v>
      </c>
      <c r="N1533" t="b">
        <f t="shared" si="280"/>
        <v>1</v>
      </c>
    </row>
    <row r="1534" spans="1:14" hidden="1" x14ac:dyDescent="0.25">
      <c r="A1534" t="s">
        <v>5</v>
      </c>
      <c r="B1534" t="s">
        <v>697</v>
      </c>
      <c r="C1534" s="1">
        <v>3.1E-7</v>
      </c>
      <c r="D1534" s="1">
        <v>2.4999999999999999E-7</v>
      </c>
      <c r="E1534" s="1">
        <v>3.1E-7</v>
      </c>
      <c r="F1534" s="1">
        <v>2.4999999999999999E-7</v>
      </c>
      <c r="G1534">
        <f t="shared" si="275"/>
        <v>6</v>
      </c>
      <c r="H1534" t="str">
        <f t="shared" si="287"/>
        <v>BTC</v>
      </c>
      <c r="I1534" t="str">
        <f>LEFT(B1534,3)</f>
        <v>SCT</v>
      </c>
      <c r="J1534" t="str">
        <f t="shared" si="276"/>
        <v>BTCSCT</v>
      </c>
      <c r="K1534" t="str">
        <f t="shared" si="277"/>
        <v>SCTBTC</v>
      </c>
      <c r="L1534">
        <f t="shared" si="278"/>
        <v>0</v>
      </c>
      <c r="M1534">
        <f t="shared" si="279"/>
        <v>1</v>
      </c>
      <c r="N1534" t="b">
        <f t="shared" si="280"/>
        <v>1</v>
      </c>
    </row>
    <row r="1535" spans="1:14" hidden="1" x14ac:dyDescent="0.25">
      <c r="A1535" t="s">
        <v>5</v>
      </c>
      <c r="B1535" t="s">
        <v>1168</v>
      </c>
      <c r="C1535" s="1">
        <v>4.1990000000000003E-5</v>
      </c>
      <c r="D1535" s="1">
        <v>3.5009999999999999E-5</v>
      </c>
      <c r="E1535" s="1">
        <v>4.1990000000000003E-5</v>
      </c>
      <c r="F1535" s="1">
        <v>3.5009999999999999E-5</v>
      </c>
      <c r="G1535">
        <f t="shared" si="275"/>
        <v>6</v>
      </c>
      <c r="H1535" t="str">
        <f t="shared" si="287"/>
        <v>BTC</v>
      </c>
      <c r="I1535" t="str">
        <f>LEFT(B1535,3)</f>
        <v>SDC</v>
      </c>
      <c r="J1535" t="str">
        <f t="shared" si="276"/>
        <v>BTCSDC</v>
      </c>
      <c r="K1535" t="str">
        <f t="shared" si="277"/>
        <v>SDCBTC</v>
      </c>
      <c r="L1535">
        <f t="shared" si="278"/>
        <v>0</v>
      </c>
      <c r="M1535">
        <f t="shared" si="279"/>
        <v>1</v>
      </c>
      <c r="N1535" t="b">
        <f t="shared" si="280"/>
        <v>1</v>
      </c>
    </row>
    <row r="1536" spans="1:14" hidden="1" x14ac:dyDescent="0.25">
      <c r="A1536" t="s">
        <v>5</v>
      </c>
      <c r="B1536" t="s">
        <v>684</v>
      </c>
      <c r="C1536" s="1">
        <v>1.8980000000000001E-5</v>
      </c>
      <c r="D1536" s="1">
        <v>1.5489999999999999E-5</v>
      </c>
      <c r="E1536" s="1">
        <v>1.8980000000000001E-5</v>
      </c>
      <c r="F1536" s="1">
        <v>1.5489999999999999E-5</v>
      </c>
      <c r="G1536">
        <f t="shared" si="275"/>
        <v>6</v>
      </c>
      <c r="H1536" t="str">
        <f t="shared" si="287"/>
        <v>BTC</v>
      </c>
      <c r="I1536" t="str">
        <f>LEFT(B1536,3)</f>
        <v>SDP</v>
      </c>
      <c r="J1536" t="str">
        <f t="shared" si="276"/>
        <v>BTCSDP</v>
      </c>
      <c r="K1536" t="str">
        <f t="shared" si="277"/>
        <v>SDPBTC</v>
      </c>
      <c r="L1536">
        <f t="shared" si="278"/>
        <v>0</v>
      </c>
      <c r="M1536">
        <f t="shared" si="279"/>
        <v>1</v>
      </c>
      <c r="N1536" t="b">
        <f t="shared" si="280"/>
        <v>1</v>
      </c>
    </row>
    <row r="1537" spans="1:14" hidden="1" x14ac:dyDescent="0.25">
      <c r="A1537" t="s">
        <v>5</v>
      </c>
      <c r="B1537" t="s">
        <v>1005</v>
      </c>
      <c r="C1537" s="1">
        <v>3.7500000000000001E-6</v>
      </c>
      <c r="D1537" s="1">
        <v>2.9000000000000002E-6</v>
      </c>
      <c r="E1537" s="1">
        <v>3.7500000000000001E-6</v>
      </c>
      <c r="F1537" s="1">
        <v>2.9000000000000002E-6</v>
      </c>
      <c r="G1537">
        <f t="shared" ref="G1537:G1600" si="288">LEN(B1537)</f>
        <v>6</v>
      </c>
      <c r="H1537" t="str">
        <f t="shared" si="287"/>
        <v>BTC</v>
      </c>
      <c r="I1537" t="str">
        <f>LEFT(B1537,3)</f>
        <v>SED</v>
      </c>
      <c r="J1537" t="str">
        <f t="shared" ref="J1537:J1600" si="289">CONCATENATE(H1537,I1537)</f>
        <v>BTCSED</v>
      </c>
      <c r="K1537" t="str">
        <f t="shared" ref="K1537:K1600" si="290">CONCATENATE(I1537,H1537)</f>
        <v>SEDBTC</v>
      </c>
      <c r="L1537">
        <f t="shared" ref="L1537:L1600" si="291">COUNTIF(B:B,J1537)</f>
        <v>0</v>
      </c>
      <c r="M1537">
        <f t="shared" ref="M1537:M1600" si="292">COUNTIF(B:B,K1537)</f>
        <v>1</v>
      </c>
      <c r="N1537" t="b">
        <f t="shared" ref="N1537:N1600" si="293">L1537=0</f>
        <v>1</v>
      </c>
    </row>
    <row r="1538" spans="1:14" hidden="1" x14ac:dyDescent="0.25">
      <c r="A1538" t="s">
        <v>5</v>
      </c>
      <c r="B1538" t="s">
        <v>1054</v>
      </c>
      <c r="C1538" s="1">
        <v>6.63E-6</v>
      </c>
      <c r="D1538" s="1">
        <v>4.2599999999999999E-6</v>
      </c>
      <c r="E1538" s="1">
        <v>6.63E-6</v>
      </c>
      <c r="F1538" s="1">
        <v>4.2599999999999999E-6</v>
      </c>
      <c r="G1538">
        <f t="shared" si="288"/>
        <v>8</v>
      </c>
      <c r="H1538" t="str">
        <f t="shared" si="287"/>
        <v>BTC</v>
      </c>
      <c r="I1538" t="str">
        <f>LEFT(B1538,5)</f>
        <v>SEEDS</v>
      </c>
      <c r="J1538" t="str">
        <f t="shared" si="289"/>
        <v>BTCSEEDS</v>
      </c>
      <c r="K1538" t="str">
        <f t="shared" si="290"/>
        <v>SEEDSBTC</v>
      </c>
      <c r="L1538">
        <f t="shared" si="291"/>
        <v>0</v>
      </c>
      <c r="M1538">
        <f t="shared" si="292"/>
        <v>1</v>
      </c>
      <c r="N1538" t="b">
        <f t="shared" si="293"/>
        <v>1</v>
      </c>
    </row>
    <row r="1539" spans="1:14" hidden="1" x14ac:dyDescent="0.25">
      <c r="A1539" t="s">
        <v>5</v>
      </c>
      <c r="B1539" t="s">
        <v>1203</v>
      </c>
      <c r="C1539" s="1">
        <v>3.1200000000000002E-6</v>
      </c>
      <c r="D1539" s="1">
        <v>2.1799999999999999E-6</v>
      </c>
      <c r="E1539" s="1">
        <v>3.1200000000000002E-6</v>
      </c>
      <c r="F1539" s="1">
        <v>2.1799999999999999E-6</v>
      </c>
      <c r="G1539">
        <f t="shared" si="288"/>
        <v>6</v>
      </c>
      <c r="H1539" t="str">
        <f t="shared" si="287"/>
        <v>BTC</v>
      </c>
      <c r="I1539" t="str">
        <f t="shared" ref="I1539:I1545" si="294">LEFT(B1539,3)</f>
        <v>SEN</v>
      </c>
      <c r="J1539" t="str">
        <f t="shared" si="289"/>
        <v>BTCSEN</v>
      </c>
      <c r="K1539" t="str">
        <f t="shared" si="290"/>
        <v>SENBTC</v>
      </c>
      <c r="L1539">
        <f t="shared" si="291"/>
        <v>0</v>
      </c>
      <c r="M1539">
        <f t="shared" si="292"/>
        <v>1</v>
      </c>
      <c r="N1539" t="b">
        <f t="shared" si="293"/>
        <v>1</v>
      </c>
    </row>
    <row r="1540" spans="1:14" hidden="1" x14ac:dyDescent="0.25">
      <c r="A1540" t="s">
        <v>5</v>
      </c>
      <c r="B1540" t="s">
        <v>1160</v>
      </c>
      <c r="C1540" s="1">
        <v>1.397E-5</v>
      </c>
      <c r="D1540" s="1">
        <v>9.02E-6</v>
      </c>
      <c r="E1540" s="1">
        <v>1.397E-5</v>
      </c>
      <c r="F1540" s="1">
        <v>9.02E-6</v>
      </c>
      <c r="G1540">
        <f t="shared" si="288"/>
        <v>6</v>
      </c>
      <c r="H1540" t="str">
        <f t="shared" si="287"/>
        <v>BTC</v>
      </c>
      <c r="I1540" t="str">
        <f t="shared" si="294"/>
        <v>SEV</v>
      </c>
      <c r="J1540" t="str">
        <f t="shared" si="289"/>
        <v>BTCSEV</v>
      </c>
      <c r="K1540" t="str">
        <f t="shared" si="290"/>
        <v>SEVBTC</v>
      </c>
      <c r="L1540">
        <f t="shared" si="291"/>
        <v>0</v>
      </c>
      <c r="M1540">
        <f t="shared" si="292"/>
        <v>1</v>
      </c>
      <c r="N1540" t="b">
        <f t="shared" si="293"/>
        <v>1</v>
      </c>
    </row>
    <row r="1541" spans="1:14" hidden="1" x14ac:dyDescent="0.25">
      <c r="A1541" t="s">
        <v>5</v>
      </c>
      <c r="B1541" t="s">
        <v>827</v>
      </c>
      <c r="C1541" s="1" t="s">
        <v>362</v>
      </c>
      <c r="D1541" s="1" t="s">
        <v>364</v>
      </c>
      <c r="E1541" s="1" t="s">
        <v>362</v>
      </c>
      <c r="F1541" s="1">
        <v>6.8999999999999996E-7</v>
      </c>
      <c r="G1541">
        <f t="shared" si="288"/>
        <v>6</v>
      </c>
      <c r="H1541" t="str">
        <f t="shared" si="287"/>
        <v>BTC</v>
      </c>
      <c r="I1541" t="str">
        <f t="shared" si="294"/>
        <v>SFE</v>
      </c>
      <c r="J1541" t="str">
        <f t="shared" si="289"/>
        <v>BTCSFE</v>
      </c>
      <c r="K1541" t="str">
        <f t="shared" si="290"/>
        <v>SFEBTC</v>
      </c>
      <c r="L1541">
        <f t="shared" si="291"/>
        <v>0</v>
      </c>
      <c r="M1541">
        <f t="shared" si="292"/>
        <v>1</v>
      </c>
      <c r="N1541" t="b">
        <f t="shared" si="293"/>
        <v>1</v>
      </c>
    </row>
    <row r="1542" spans="1:14" hidden="1" x14ac:dyDescent="0.25">
      <c r="A1542" t="s">
        <v>1403</v>
      </c>
      <c r="B1542" t="s">
        <v>1495</v>
      </c>
      <c r="C1542" s="1">
        <v>1.007E-5</v>
      </c>
      <c r="D1542" s="1" t="s">
        <v>121</v>
      </c>
      <c r="E1542" s="1" t="s">
        <v>121</v>
      </c>
      <c r="F1542" s="1" t="s">
        <v>1413</v>
      </c>
      <c r="G1542">
        <f t="shared" si="288"/>
        <v>6</v>
      </c>
      <c r="H1542" t="str">
        <f t="shared" si="287"/>
        <v>BTC</v>
      </c>
      <c r="I1542" t="str">
        <f t="shared" si="294"/>
        <v>SFT</v>
      </c>
      <c r="J1542" t="str">
        <f t="shared" si="289"/>
        <v>BTCSFT</v>
      </c>
      <c r="K1542" t="str">
        <f t="shared" si="290"/>
        <v>SFTBTC</v>
      </c>
      <c r="L1542">
        <f t="shared" si="291"/>
        <v>0</v>
      </c>
      <c r="M1542">
        <f t="shared" si="292"/>
        <v>1</v>
      </c>
      <c r="N1542" t="b">
        <f t="shared" si="293"/>
        <v>1</v>
      </c>
    </row>
    <row r="1543" spans="1:14" hidden="1" x14ac:dyDescent="0.25">
      <c r="A1543" t="s">
        <v>1403</v>
      </c>
      <c r="B1543" t="s">
        <v>2040</v>
      </c>
      <c r="C1543" s="1">
        <v>0</v>
      </c>
      <c r="D1543" s="1">
        <v>0</v>
      </c>
      <c r="E1543" s="1">
        <v>8999999.9999999907</v>
      </c>
      <c r="F1543" s="1">
        <v>2.0002E-4</v>
      </c>
      <c r="G1543">
        <f t="shared" si="288"/>
        <v>7</v>
      </c>
      <c r="H1543" t="str">
        <f>RIGHT(B1543,4)</f>
        <v>DOGE</v>
      </c>
      <c r="I1543" t="str">
        <f t="shared" si="294"/>
        <v>SFT</v>
      </c>
      <c r="J1543" t="str">
        <f t="shared" si="289"/>
        <v>DOGESFT</v>
      </c>
      <c r="K1543" t="str">
        <f t="shared" si="290"/>
        <v>SFTDOGE</v>
      </c>
      <c r="L1543">
        <f t="shared" si="291"/>
        <v>0</v>
      </c>
      <c r="M1543">
        <f t="shared" si="292"/>
        <v>1</v>
      </c>
      <c r="N1543" t="b">
        <f t="shared" si="293"/>
        <v>1</v>
      </c>
    </row>
    <row r="1544" spans="1:14" hidden="1" x14ac:dyDescent="0.25">
      <c r="A1544" t="s">
        <v>1403</v>
      </c>
      <c r="B1544" t="s">
        <v>1847</v>
      </c>
      <c r="C1544" s="1">
        <v>0</v>
      </c>
      <c r="D1544" s="1">
        <v>0</v>
      </c>
      <c r="E1544" s="1">
        <v>0.1</v>
      </c>
      <c r="F1544" s="1" t="s">
        <v>356</v>
      </c>
      <c r="G1544">
        <f t="shared" si="288"/>
        <v>6</v>
      </c>
      <c r="H1544" t="str">
        <f t="shared" ref="H1544:H1550" si="295">RIGHT(B1544,3)</f>
        <v>LTC</v>
      </c>
      <c r="I1544" t="str">
        <f t="shared" si="294"/>
        <v>SFT</v>
      </c>
      <c r="J1544" t="str">
        <f t="shared" si="289"/>
        <v>LTCSFT</v>
      </c>
      <c r="K1544" t="str">
        <f t="shared" si="290"/>
        <v>SFTLTC</v>
      </c>
      <c r="L1544">
        <f t="shared" si="291"/>
        <v>0</v>
      </c>
      <c r="M1544">
        <f t="shared" si="292"/>
        <v>1</v>
      </c>
      <c r="N1544" t="b">
        <f t="shared" si="293"/>
        <v>1</v>
      </c>
    </row>
    <row r="1545" spans="1:14" hidden="1" x14ac:dyDescent="0.25">
      <c r="A1545" t="s">
        <v>1403</v>
      </c>
      <c r="B1545" t="s">
        <v>1658</v>
      </c>
      <c r="C1545" s="1">
        <v>0.9</v>
      </c>
      <c r="D1545" s="1">
        <v>0.9</v>
      </c>
      <c r="E1545" s="1">
        <v>0.89991919479679905</v>
      </c>
      <c r="F1545" s="1">
        <v>1.000006E-2</v>
      </c>
      <c r="G1545">
        <f t="shared" si="288"/>
        <v>6</v>
      </c>
      <c r="H1545" t="str">
        <f t="shared" si="295"/>
        <v>USD</v>
      </c>
      <c r="I1545" t="str">
        <f t="shared" si="294"/>
        <v>SFT</v>
      </c>
      <c r="J1545" t="str">
        <f t="shared" si="289"/>
        <v>USDSFT</v>
      </c>
      <c r="K1545" t="str">
        <f t="shared" si="290"/>
        <v>SFTUSD</v>
      </c>
      <c r="L1545">
        <f t="shared" si="291"/>
        <v>0</v>
      </c>
      <c r="M1545">
        <f t="shared" si="292"/>
        <v>1</v>
      </c>
      <c r="N1545" t="b">
        <f t="shared" si="293"/>
        <v>1</v>
      </c>
    </row>
    <row r="1546" spans="1:14" hidden="1" x14ac:dyDescent="0.25">
      <c r="A1546" t="s">
        <v>5</v>
      </c>
      <c r="B1546" t="s">
        <v>658</v>
      </c>
      <c r="C1546" s="1">
        <v>1.37E-6</v>
      </c>
      <c r="D1546" s="1">
        <v>9.2999999999999999E-7</v>
      </c>
      <c r="E1546" s="1">
        <v>1.37E-6</v>
      </c>
      <c r="F1546" s="1">
        <v>9.2999999999999999E-7</v>
      </c>
      <c r="G1546">
        <f t="shared" si="288"/>
        <v>5</v>
      </c>
      <c r="H1546" t="str">
        <f t="shared" si="295"/>
        <v>BTC</v>
      </c>
      <c r="I1546" t="str">
        <f>LEFT(B1546,2)</f>
        <v>SH</v>
      </c>
      <c r="J1546" t="str">
        <f t="shared" si="289"/>
        <v>BTCSH</v>
      </c>
      <c r="K1546" t="str">
        <f t="shared" si="290"/>
        <v>SHBTC</v>
      </c>
      <c r="L1546">
        <f t="shared" si="291"/>
        <v>0</v>
      </c>
      <c r="M1546">
        <f t="shared" si="292"/>
        <v>1</v>
      </c>
      <c r="N1546" t="b">
        <f t="shared" si="293"/>
        <v>1</v>
      </c>
    </row>
    <row r="1547" spans="1:14" hidden="1" x14ac:dyDescent="0.25">
      <c r="A1547" t="s">
        <v>5</v>
      </c>
      <c r="B1547" t="s">
        <v>366</v>
      </c>
      <c r="C1547" s="1">
        <v>2.2500000000000001E-6</v>
      </c>
      <c r="D1547" s="1">
        <v>1.5600000000000001E-6</v>
      </c>
      <c r="E1547" s="1">
        <v>2.2500000000000001E-6</v>
      </c>
      <c r="F1547" s="1">
        <v>1.5600000000000001E-6</v>
      </c>
      <c r="G1547">
        <f t="shared" si="288"/>
        <v>8</v>
      </c>
      <c r="H1547" t="str">
        <f t="shared" si="295"/>
        <v>BTC</v>
      </c>
      <c r="I1547" t="str">
        <f>LEFT(B1547,5)</f>
        <v>SHELL</v>
      </c>
      <c r="J1547" t="str">
        <f t="shared" si="289"/>
        <v>BTCSHELL</v>
      </c>
      <c r="K1547" t="str">
        <f t="shared" si="290"/>
        <v>SHELLBTC</v>
      </c>
      <c r="L1547">
        <f t="shared" si="291"/>
        <v>0</v>
      </c>
      <c r="M1547">
        <f t="shared" si="292"/>
        <v>1</v>
      </c>
      <c r="N1547" t="b">
        <f t="shared" si="293"/>
        <v>1</v>
      </c>
    </row>
    <row r="1548" spans="1:14" hidden="1" x14ac:dyDescent="0.25">
      <c r="A1548" t="s">
        <v>5</v>
      </c>
      <c r="B1548" t="s">
        <v>1006</v>
      </c>
      <c r="C1548" s="1">
        <v>1.5E-6</v>
      </c>
      <c r="D1548" s="1">
        <v>1.06E-6</v>
      </c>
      <c r="E1548" s="1">
        <v>1.5E-6</v>
      </c>
      <c r="F1548" s="1">
        <v>1.06E-6</v>
      </c>
      <c r="G1548">
        <f t="shared" si="288"/>
        <v>9</v>
      </c>
      <c r="H1548" t="str">
        <f t="shared" si="295"/>
        <v>BTC</v>
      </c>
      <c r="I1548" t="str">
        <f>LEFT(B1548,6)</f>
        <v>SHORTY</v>
      </c>
      <c r="J1548" t="str">
        <f t="shared" si="289"/>
        <v>BTCSHORTY</v>
      </c>
      <c r="K1548" t="str">
        <f t="shared" si="290"/>
        <v>SHORTYBTC</v>
      </c>
      <c r="L1548">
        <f t="shared" si="291"/>
        <v>0</v>
      </c>
      <c r="M1548">
        <f t="shared" si="292"/>
        <v>1</v>
      </c>
      <c r="N1548" t="b">
        <f t="shared" si="293"/>
        <v>1</v>
      </c>
    </row>
    <row r="1549" spans="1:14" hidden="1" x14ac:dyDescent="0.25">
      <c r="A1549" t="s">
        <v>5</v>
      </c>
      <c r="B1549" t="s">
        <v>902</v>
      </c>
      <c r="C1549" s="1" t="s">
        <v>362</v>
      </c>
      <c r="D1549" s="1" t="s">
        <v>364</v>
      </c>
      <c r="E1549" s="1" t="s">
        <v>362</v>
      </c>
      <c r="F1549" s="1">
        <v>2.52E-6</v>
      </c>
      <c r="G1549">
        <f t="shared" si="288"/>
        <v>8</v>
      </c>
      <c r="H1549" t="str">
        <f t="shared" si="295"/>
        <v>BTC</v>
      </c>
      <c r="I1549" t="str">
        <f>LEFT(B1549,5)</f>
        <v>SHREK</v>
      </c>
      <c r="J1549" t="str">
        <f t="shared" si="289"/>
        <v>BTCSHREK</v>
      </c>
      <c r="K1549" t="str">
        <f t="shared" si="290"/>
        <v>SHREKBTC</v>
      </c>
      <c r="L1549">
        <f t="shared" si="291"/>
        <v>0</v>
      </c>
      <c r="M1549">
        <f t="shared" si="292"/>
        <v>1</v>
      </c>
      <c r="N1549" t="b">
        <f t="shared" si="293"/>
        <v>1</v>
      </c>
    </row>
    <row r="1550" spans="1:14" hidden="1" x14ac:dyDescent="0.25">
      <c r="A1550" t="s">
        <v>5</v>
      </c>
      <c r="B1550" t="s">
        <v>392</v>
      </c>
      <c r="C1550" s="1">
        <v>1.9850000000000001E-5</v>
      </c>
      <c r="D1550" s="1">
        <v>1.013E-5</v>
      </c>
      <c r="E1550" s="1">
        <v>1.9850000000000001E-5</v>
      </c>
      <c r="F1550" s="1">
        <v>1.013E-5</v>
      </c>
      <c r="G1550">
        <f t="shared" si="288"/>
        <v>7</v>
      </c>
      <c r="H1550" t="str">
        <f t="shared" si="295"/>
        <v>BTC</v>
      </c>
      <c r="I1550" t="str">
        <f>LEFT(B1550,4)</f>
        <v>SHRM</v>
      </c>
      <c r="J1550" t="str">
        <f t="shared" si="289"/>
        <v>BTCSHRM</v>
      </c>
      <c r="K1550" t="str">
        <f t="shared" si="290"/>
        <v>SHRMBTC</v>
      </c>
      <c r="L1550">
        <f t="shared" si="291"/>
        <v>0</v>
      </c>
      <c r="M1550">
        <f t="shared" si="292"/>
        <v>1</v>
      </c>
      <c r="N1550" t="b">
        <f t="shared" si="293"/>
        <v>1</v>
      </c>
    </row>
    <row r="1551" spans="1:14" hidden="1" x14ac:dyDescent="0.25">
      <c r="A1551" t="s">
        <v>1403</v>
      </c>
      <c r="B1551" t="s">
        <v>2041</v>
      </c>
      <c r="C1551" s="1">
        <v>150</v>
      </c>
      <c r="D1551" s="1">
        <v>150</v>
      </c>
      <c r="E1551" s="1">
        <v>1051.68156</v>
      </c>
      <c r="F1551" s="1">
        <v>2.1200004099999998</v>
      </c>
      <c r="G1551">
        <f t="shared" si="288"/>
        <v>7</v>
      </c>
      <c r="H1551" t="str">
        <f>RIGHT(B1551,4)</f>
        <v>DOGE</v>
      </c>
      <c r="I1551" t="str">
        <f>LEFT(B1551,3)</f>
        <v>SIB</v>
      </c>
      <c r="J1551" t="str">
        <f t="shared" si="289"/>
        <v>DOGESIB</v>
      </c>
      <c r="K1551" t="str">
        <f t="shared" si="290"/>
        <v>SIBDOGE</v>
      </c>
      <c r="L1551">
        <f t="shared" si="291"/>
        <v>0</v>
      </c>
      <c r="M1551">
        <f t="shared" si="292"/>
        <v>1</v>
      </c>
      <c r="N1551" t="b">
        <f t="shared" si="293"/>
        <v>1</v>
      </c>
    </row>
    <row r="1552" spans="1:14" hidden="1" x14ac:dyDescent="0.25">
      <c r="A1552" t="s">
        <v>1403</v>
      </c>
      <c r="B1552" t="s">
        <v>1848</v>
      </c>
      <c r="C1552" s="1">
        <v>0.1</v>
      </c>
      <c r="D1552" s="1">
        <v>0.1</v>
      </c>
      <c r="E1552" s="1">
        <v>0.1</v>
      </c>
      <c r="F1552" s="1">
        <v>1.00001E-3</v>
      </c>
      <c r="G1552">
        <f t="shared" si="288"/>
        <v>6</v>
      </c>
      <c r="H1552" t="str">
        <f t="shared" ref="H1552:H1564" si="296">RIGHT(B1552,3)</f>
        <v>LTC</v>
      </c>
      <c r="I1552" t="str">
        <f>LEFT(B1552,3)</f>
        <v>SIB</v>
      </c>
      <c r="J1552" t="str">
        <f t="shared" si="289"/>
        <v>LTCSIB</v>
      </c>
      <c r="K1552" t="str">
        <f t="shared" si="290"/>
        <v>SIBLTC</v>
      </c>
      <c r="L1552">
        <f t="shared" si="291"/>
        <v>0</v>
      </c>
      <c r="M1552">
        <f t="shared" si="292"/>
        <v>1</v>
      </c>
      <c r="N1552" t="b">
        <f t="shared" si="293"/>
        <v>1</v>
      </c>
    </row>
    <row r="1553" spans="1:14" hidden="1" x14ac:dyDescent="0.25">
      <c r="A1553" t="s">
        <v>1403</v>
      </c>
      <c r="B1553" t="s">
        <v>1659</v>
      </c>
      <c r="C1553" s="1">
        <v>0.5</v>
      </c>
      <c r="D1553" s="1">
        <v>0.5</v>
      </c>
      <c r="E1553" s="1">
        <v>0.5</v>
      </c>
      <c r="F1553" s="1">
        <v>0.45000001000000001</v>
      </c>
      <c r="G1553">
        <f t="shared" si="288"/>
        <v>6</v>
      </c>
      <c r="H1553" t="str">
        <f t="shared" si="296"/>
        <v>USD</v>
      </c>
      <c r="I1553" t="str">
        <f>LEFT(B1553,3)</f>
        <v>SIB</v>
      </c>
      <c r="J1553" t="str">
        <f t="shared" si="289"/>
        <v>USDSIB</v>
      </c>
      <c r="K1553" t="str">
        <f t="shared" si="290"/>
        <v>SIBUSD</v>
      </c>
      <c r="L1553">
        <f t="shared" si="291"/>
        <v>0</v>
      </c>
      <c r="M1553">
        <f t="shared" si="292"/>
        <v>1</v>
      </c>
      <c r="N1553" t="b">
        <f t="shared" si="293"/>
        <v>1</v>
      </c>
    </row>
    <row r="1554" spans="1:14" hidden="1" x14ac:dyDescent="0.25">
      <c r="A1554" t="s">
        <v>5</v>
      </c>
      <c r="B1554" t="s">
        <v>377</v>
      </c>
      <c r="C1554" s="1">
        <v>7.3799999999999996E-6</v>
      </c>
      <c r="D1554" s="1">
        <v>4.2799999999999997E-6</v>
      </c>
      <c r="E1554" s="1">
        <v>7.3799999999999996E-6</v>
      </c>
      <c r="F1554" s="1">
        <v>4.2799999999999997E-6</v>
      </c>
      <c r="G1554">
        <f t="shared" si="288"/>
        <v>6</v>
      </c>
      <c r="H1554" t="str">
        <f t="shared" si="296"/>
        <v>BTC</v>
      </c>
      <c r="I1554" t="str">
        <f>LEFT(B1554,3)</f>
        <v>SIC</v>
      </c>
      <c r="J1554" t="str">
        <f t="shared" si="289"/>
        <v>BTCSIC</v>
      </c>
      <c r="K1554" t="str">
        <f t="shared" si="290"/>
        <v>SICBTC</v>
      </c>
      <c r="L1554">
        <f t="shared" si="291"/>
        <v>0</v>
      </c>
      <c r="M1554">
        <f t="shared" si="292"/>
        <v>1</v>
      </c>
      <c r="N1554" t="b">
        <f t="shared" si="293"/>
        <v>1</v>
      </c>
    </row>
    <row r="1555" spans="1:14" hidden="1" x14ac:dyDescent="0.25">
      <c r="A1555" t="s">
        <v>5</v>
      </c>
      <c r="B1555" t="s">
        <v>603</v>
      </c>
      <c r="C1555" s="1">
        <v>2.7949999999999998E-5</v>
      </c>
      <c r="D1555" s="1">
        <v>1.29E-5</v>
      </c>
      <c r="E1555" s="1">
        <v>2.7949999999999998E-5</v>
      </c>
      <c r="F1555" s="1">
        <v>1.29E-5</v>
      </c>
      <c r="G1555">
        <f t="shared" si="288"/>
        <v>7</v>
      </c>
      <c r="H1555" t="str">
        <f t="shared" si="296"/>
        <v>BTC</v>
      </c>
      <c r="I1555" t="str">
        <f>LEFT(B1555,4)</f>
        <v>SIGU</v>
      </c>
      <c r="J1555" t="str">
        <f t="shared" si="289"/>
        <v>BTCSIGU</v>
      </c>
      <c r="K1555" t="str">
        <f t="shared" si="290"/>
        <v>SIGUBTC</v>
      </c>
      <c r="L1555">
        <f t="shared" si="291"/>
        <v>0</v>
      </c>
      <c r="M1555">
        <f t="shared" si="292"/>
        <v>1</v>
      </c>
      <c r="N1555" t="b">
        <f t="shared" si="293"/>
        <v>1</v>
      </c>
    </row>
    <row r="1556" spans="1:14" hidden="1" x14ac:dyDescent="0.25">
      <c r="A1556" t="s">
        <v>5</v>
      </c>
      <c r="B1556" t="s">
        <v>743</v>
      </c>
      <c r="C1556" s="1">
        <v>2.1E-7</v>
      </c>
      <c r="D1556" s="1">
        <v>1.6E-7</v>
      </c>
      <c r="E1556" s="1">
        <v>2.1E-7</v>
      </c>
      <c r="F1556" s="1">
        <v>1.6E-7</v>
      </c>
      <c r="G1556">
        <f t="shared" si="288"/>
        <v>6</v>
      </c>
      <c r="H1556" t="str">
        <f t="shared" si="296"/>
        <v>BTC</v>
      </c>
      <c r="I1556" t="str">
        <f>LEFT(B1556,3)</f>
        <v>SIX</v>
      </c>
      <c r="J1556" t="str">
        <f t="shared" si="289"/>
        <v>BTCSIX</v>
      </c>
      <c r="K1556" t="str">
        <f t="shared" si="290"/>
        <v>SIXBTC</v>
      </c>
      <c r="L1556">
        <f t="shared" si="291"/>
        <v>0</v>
      </c>
      <c r="M1556">
        <f t="shared" si="292"/>
        <v>1</v>
      </c>
      <c r="N1556" t="b">
        <f t="shared" si="293"/>
        <v>1</v>
      </c>
    </row>
    <row r="1557" spans="1:14" hidden="1" x14ac:dyDescent="0.25">
      <c r="A1557" t="s">
        <v>5</v>
      </c>
      <c r="B1557" t="s">
        <v>1114</v>
      </c>
      <c r="C1557" s="1" t="s">
        <v>361</v>
      </c>
      <c r="D1557" s="1" t="s">
        <v>362</v>
      </c>
      <c r="E1557" s="1" t="s">
        <v>361</v>
      </c>
      <c r="F1557" s="1" t="s">
        <v>362</v>
      </c>
      <c r="G1557">
        <f t="shared" si="288"/>
        <v>6</v>
      </c>
      <c r="H1557" t="str">
        <f t="shared" si="296"/>
        <v>BTC</v>
      </c>
      <c r="I1557" t="str">
        <f>LEFT(B1557,3)</f>
        <v>SJW</v>
      </c>
      <c r="J1557" t="str">
        <f t="shared" si="289"/>
        <v>BTCSJW</v>
      </c>
      <c r="K1557" t="str">
        <f t="shared" si="290"/>
        <v>SJWBTC</v>
      </c>
      <c r="L1557">
        <f t="shared" si="291"/>
        <v>0</v>
      </c>
      <c r="M1557">
        <f t="shared" si="292"/>
        <v>1</v>
      </c>
      <c r="N1557" t="b">
        <f t="shared" si="293"/>
        <v>1</v>
      </c>
    </row>
    <row r="1558" spans="1:14" hidden="1" x14ac:dyDescent="0.25">
      <c r="A1558" t="s">
        <v>5</v>
      </c>
      <c r="B1558" t="s">
        <v>898</v>
      </c>
      <c r="C1558" s="1">
        <v>4.42E-6</v>
      </c>
      <c r="D1558" s="1">
        <v>3.7000000000000002E-6</v>
      </c>
      <c r="E1558" s="1">
        <v>4.42E-6</v>
      </c>
      <c r="F1558" s="1">
        <v>3.7000000000000002E-6</v>
      </c>
      <c r="G1558">
        <f t="shared" si="288"/>
        <v>6</v>
      </c>
      <c r="H1558" t="str">
        <f t="shared" si="296"/>
        <v>BTC</v>
      </c>
      <c r="I1558" t="str">
        <f>LEFT(B1558,3)</f>
        <v>SKB</v>
      </c>
      <c r="J1558" t="str">
        <f t="shared" si="289"/>
        <v>BTCSKB</v>
      </c>
      <c r="K1558" t="str">
        <f t="shared" si="290"/>
        <v>SKBBTC</v>
      </c>
      <c r="L1558">
        <f t="shared" si="291"/>
        <v>0</v>
      </c>
      <c r="M1558">
        <f t="shared" si="292"/>
        <v>1</v>
      </c>
      <c r="N1558" t="b">
        <f t="shared" si="293"/>
        <v>1</v>
      </c>
    </row>
    <row r="1559" spans="1:14" hidden="1" x14ac:dyDescent="0.25">
      <c r="A1559" t="s">
        <v>5</v>
      </c>
      <c r="B1559" t="s">
        <v>451</v>
      </c>
      <c r="C1559" s="1" t="s">
        <v>362</v>
      </c>
      <c r="D1559" s="1" t="s">
        <v>364</v>
      </c>
      <c r="E1559" s="1" t="s">
        <v>362</v>
      </c>
      <c r="F1559" s="1" t="s">
        <v>362</v>
      </c>
      <c r="G1559">
        <f t="shared" si="288"/>
        <v>7</v>
      </c>
      <c r="H1559" t="str">
        <f t="shared" si="296"/>
        <v>BTC</v>
      </c>
      <c r="I1559" t="str">
        <f>LEFT(B1559,4)</f>
        <v>SLFI</v>
      </c>
      <c r="J1559" t="str">
        <f t="shared" si="289"/>
        <v>BTCSLFI</v>
      </c>
      <c r="K1559" t="str">
        <f t="shared" si="290"/>
        <v>SLFIBTC</v>
      </c>
      <c r="L1559">
        <f t="shared" si="291"/>
        <v>0</v>
      </c>
      <c r="M1559">
        <f t="shared" si="292"/>
        <v>1</v>
      </c>
      <c r="N1559" t="b">
        <f t="shared" si="293"/>
        <v>1</v>
      </c>
    </row>
    <row r="1560" spans="1:14" hidden="1" x14ac:dyDescent="0.25">
      <c r="A1560" t="s">
        <v>5</v>
      </c>
      <c r="B1560" t="s">
        <v>475</v>
      </c>
      <c r="C1560" s="1">
        <v>8.9700000000000005E-6</v>
      </c>
      <c r="D1560" s="1">
        <v>8.6999999999999997E-6</v>
      </c>
      <c r="E1560" s="1">
        <v>8.9700000000000005E-6</v>
      </c>
      <c r="F1560" s="1">
        <v>8.6999999999999997E-6</v>
      </c>
      <c r="G1560">
        <f t="shared" si="288"/>
        <v>8</v>
      </c>
      <c r="H1560" t="str">
        <f t="shared" si="296"/>
        <v>BTC</v>
      </c>
      <c r="I1560" t="str">
        <f>LEFT(B1560,5)</f>
        <v>SLING</v>
      </c>
      <c r="J1560" t="str">
        <f t="shared" si="289"/>
        <v>BTCSLING</v>
      </c>
      <c r="K1560" t="str">
        <f t="shared" si="290"/>
        <v>SLINGBTC</v>
      </c>
      <c r="L1560">
        <f t="shared" si="291"/>
        <v>0</v>
      </c>
      <c r="M1560">
        <f t="shared" si="292"/>
        <v>1</v>
      </c>
      <c r="N1560" t="b">
        <f t="shared" si="293"/>
        <v>1</v>
      </c>
    </row>
    <row r="1561" spans="1:14" hidden="1" x14ac:dyDescent="0.25">
      <c r="A1561" t="s">
        <v>5</v>
      </c>
      <c r="B1561" t="s">
        <v>856</v>
      </c>
      <c r="C1561" s="1">
        <v>0.16542214999999999</v>
      </c>
      <c r="D1561" s="1">
        <v>0.10000269000000001</v>
      </c>
      <c r="E1561" s="1">
        <v>1.6999999999999999E-7</v>
      </c>
      <c r="F1561" s="1">
        <v>0.100002653959725</v>
      </c>
      <c r="G1561">
        <f t="shared" si="288"/>
        <v>7</v>
      </c>
      <c r="H1561" t="str">
        <f t="shared" si="296"/>
        <v>BTC</v>
      </c>
      <c r="I1561" t="str">
        <f>LEFT(B1561,4)</f>
        <v>SMBR</v>
      </c>
      <c r="J1561" t="str">
        <f t="shared" si="289"/>
        <v>BTCSMBR</v>
      </c>
      <c r="K1561" t="str">
        <f t="shared" si="290"/>
        <v>SMBRBTC</v>
      </c>
      <c r="L1561">
        <f t="shared" si="291"/>
        <v>0</v>
      </c>
      <c r="M1561">
        <f t="shared" si="292"/>
        <v>1</v>
      </c>
      <c r="N1561" t="b">
        <f t="shared" si="293"/>
        <v>1</v>
      </c>
    </row>
    <row r="1562" spans="1:14" hidden="1" x14ac:dyDescent="0.25">
      <c r="A1562" t="s">
        <v>5</v>
      </c>
      <c r="B1562" t="s">
        <v>1137</v>
      </c>
      <c r="C1562" s="1">
        <v>6.5699999999999998E-6</v>
      </c>
      <c r="D1562" s="1">
        <v>4.3200000000000001E-6</v>
      </c>
      <c r="E1562" s="1">
        <v>6.5699999999999998E-6</v>
      </c>
      <c r="F1562" s="1">
        <v>4.3200000000000001E-6</v>
      </c>
      <c r="G1562">
        <f t="shared" si="288"/>
        <v>6</v>
      </c>
      <c r="H1562" t="str">
        <f t="shared" si="296"/>
        <v>BTC</v>
      </c>
      <c r="I1562" t="str">
        <f>LEFT(B1562,3)</f>
        <v>SMC</v>
      </c>
      <c r="J1562" t="str">
        <f t="shared" si="289"/>
        <v>BTCSMC</v>
      </c>
      <c r="K1562" t="str">
        <f t="shared" si="290"/>
        <v>SMCBTC</v>
      </c>
      <c r="L1562">
        <f t="shared" si="291"/>
        <v>0</v>
      </c>
      <c r="M1562">
        <f t="shared" si="292"/>
        <v>1</v>
      </c>
      <c r="N1562" t="b">
        <f t="shared" si="293"/>
        <v>1</v>
      </c>
    </row>
    <row r="1563" spans="1:14" hidden="1" x14ac:dyDescent="0.25">
      <c r="A1563" t="s">
        <v>5</v>
      </c>
      <c r="B1563" t="s">
        <v>729</v>
      </c>
      <c r="C1563" s="1" t="s">
        <v>362</v>
      </c>
      <c r="D1563" s="1" t="s">
        <v>364</v>
      </c>
      <c r="E1563" s="1" t="s">
        <v>362</v>
      </c>
      <c r="F1563" s="1">
        <v>1733.0000001599999</v>
      </c>
      <c r="G1563">
        <f t="shared" si="288"/>
        <v>6</v>
      </c>
      <c r="H1563" t="str">
        <f t="shared" si="296"/>
        <v>BTC</v>
      </c>
      <c r="I1563" t="str">
        <f>LEFT(B1563,3)</f>
        <v>SMF</v>
      </c>
      <c r="J1563" t="str">
        <f t="shared" si="289"/>
        <v>BTCSMF</v>
      </c>
      <c r="K1563" t="str">
        <f t="shared" si="290"/>
        <v>SMFBTC</v>
      </c>
      <c r="L1563">
        <f t="shared" si="291"/>
        <v>0</v>
      </c>
      <c r="M1563">
        <f t="shared" si="292"/>
        <v>1</v>
      </c>
      <c r="N1563" t="b">
        <f t="shared" si="293"/>
        <v>1</v>
      </c>
    </row>
    <row r="1564" spans="1:14" hidden="1" x14ac:dyDescent="0.25">
      <c r="A1564" t="s">
        <v>5</v>
      </c>
      <c r="B1564" t="s">
        <v>1025</v>
      </c>
      <c r="C1564" s="1">
        <v>4.4999999999999998E-7</v>
      </c>
      <c r="D1564" s="1">
        <v>3.3999999999999997E-7</v>
      </c>
      <c r="E1564" s="1">
        <v>4.4999999999999998E-7</v>
      </c>
      <c r="F1564" s="1">
        <v>3.3999999999999997E-7</v>
      </c>
      <c r="G1564">
        <f t="shared" si="288"/>
        <v>7</v>
      </c>
      <c r="H1564" t="str">
        <f t="shared" si="296"/>
        <v>BTC</v>
      </c>
      <c r="I1564" t="str">
        <f t="shared" ref="I1564:I1572" si="297">LEFT(B1564,4)</f>
        <v>SMSR</v>
      </c>
      <c r="J1564" t="str">
        <f t="shared" si="289"/>
        <v>BTCSMSR</v>
      </c>
      <c r="K1564" t="str">
        <f t="shared" si="290"/>
        <v>SMSRBTC</v>
      </c>
      <c r="L1564">
        <f t="shared" si="291"/>
        <v>0</v>
      </c>
      <c r="M1564">
        <f t="shared" si="292"/>
        <v>1</v>
      </c>
      <c r="N1564" t="b">
        <f t="shared" si="293"/>
        <v>1</v>
      </c>
    </row>
    <row r="1565" spans="1:14" hidden="1" x14ac:dyDescent="0.25">
      <c r="A1565" t="s">
        <v>1403</v>
      </c>
      <c r="B1565" t="s">
        <v>2042</v>
      </c>
      <c r="C1565" s="1">
        <v>1258.6500000000001</v>
      </c>
      <c r="D1565" s="1">
        <v>1258.6500000000001</v>
      </c>
      <c r="E1565" s="1">
        <v>499.999999</v>
      </c>
      <c r="F1565" s="1">
        <v>1.1111113500000001</v>
      </c>
      <c r="G1565">
        <f t="shared" si="288"/>
        <v>8</v>
      </c>
      <c r="H1565" t="str">
        <f>RIGHT(B1565,4)</f>
        <v>DOGE</v>
      </c>
      <c r="I1565" t="str">
        <f t="shared" si="297"/>
        <v>SOAR</v>
      </c>
      <c r="J1565" t="str">
        <f t="shared" si="289"/>
        <v>DOGESOAR</v>
      </c>
      <c r="K1565" t="str">
        <f t="shared" si="290"/>
        <v>SOARDOGE</v>
      </c>
      <c r="L1565">
        <f t="shared" si="291"/>
        <v>0</v>
      </c>
      <c r="M1565">
        <f t="shared" si="292"/>
        <v>1</v>
      </c>
      <c r="N1565" t="b">
        <f t="shared" si="293"/>
        <v>1</v>
      </c>
    </row>
    <row r="1566" spans="1:14" hidden="1" x14ac:dyDescent="0.25">
      <c r="A1566" t="s">
        <v>1403</v>
      </c>
      <c r="B1566" t="s">
        <v>1849</v>
      </c>
      <c r="C1566" s="1">
        <v>2.179998E-2</v>
      </c>
      <c r="D1566" s="1">
        <v>2.179998E-2</v>
      </c>
      <c r="E1566" s="1">
        <v>2.1799990000000002E-2</v>
      </c>
      <c r="F1566" s="1" t="s">
        <v>719</v>
      </c>
      <c r="G1566">
        <f t="shared" si="288"/>
        <v>7</v>
      </c>
      <c r="H1566" t="str">
        <f>RIGHT(B1566,3)</f>
        <v>LTC</v>
      </c>
      <c r="I1566" t="str">
        <f t="shared" si="297"/>
        <v>SOAR</v>
      </c>
      <c r="J1566" t="str">
        <f t="shared" si="289"/>
        <v>LTCSOAR</v>
      </c>
      <c r="K1566" t="str">
        <f t="shared" si="290"/>
        <v>SOARLTC</v>
      </c>
      <c r="L1566">
        <f t="shared" si="291"/>
        <v>0</v>
      </c>
      <c r="M1566">
        <f t="shared" si="292"/>
        <v>1</v>
      </c>
      <c r="N1566" t="b">
        <f t="shared" si="293"/>
        <v>1</v>
      </c>
    </row>
    <row r="1567" spans="1:14" hidden="1" x14ac:dyDescent="0.25">
      <c r="A1567" t="s">
        <v>1403</v>
      </c>
      <c r="B1567" t="s">
        <v>1660</v>
      </c>
      <c r="C1567" s="1">
        <v>3.7999999999999999E-2</v>
      </c>
      <c r="D1567" s="1">
        <v>3.7999999999999999E-2</v>
      </c>
      <c r="E1567" s="1">
        <v>3.9999899999999998E-2</v>
      </c>
      <c r="F1567" s="1">
        <v>0.01</v>
      </c>
      <c r="G1567">
        <f t="shared" si="288"/>
        <v>7</v>
      </c>
      <c r="H1567" t="str">
        <f>RIGHT(B1567,3)</f>
        <v>USD</v>
      </c>
      <c r="I1567" t="str">
        <f t="shared" si="297"/>
        <v>SOAR</v>
      </c>
      <c r="J1567" t="str">
        <f t="shared" si="289"/>
        <v>USDSOAR</v>
      </c>
      <c r="K1567" t="str">
        <f t="shared" si="290"/>
        <v>SOARUSD</v>
      </c>
      <c r="L1567">
        <f t="shared" si="291"/>
        <v>0</v>
      </c>
      <c r="M1567">
        <f t="shared" si="292"/>
        <v>1</v>
      </c>
      <c r="N1567" t="b">
        <f t="shared" si="293"/>
        <v>1</v>
      </c>
    </row>
    <row r="1568" spans="1:14" hidden="1" x14ac:dyDescent="0.25">
      <c r="A1568" t="s">
        <v>5</v>
      </c>
      <c r="B1568" t="s">
        <v>1201</v>
      </c>
      <c r="C1568" s="1">
        <v>2.64233765</v>
      </c>
      <c r="D1568" s="1">
        <v>1.5000077599999999</v>
      </c>
      <c r="E1568" s="1">
        <v>5.4000000000000002E-7</v>
      </c>
      <c r="F1568" s="1" t="s">
        <v>421</v>
      </c>
      <c r="G1568">
        <f t="shared" si="288"/>
        <v>7</v>
      </c>
      <c r="H1568" t="str">
        <f>RIGHT(B1568,3)</f>
        <v>BTC</v>
      </c>
      <c r="I1568" t="str">
        <f t="shared" si="297"/>
        <v>SOLO</v>
      </c>
      <c r="J1568" t="str">
        <f t="shared" si="289"/>
        <v>BTCSOLO</v>
      </c>
      <c r="K1568" t="str">
        <f t="shared" si="290"/>
        <v>SOLOBTC</v>
      </c>
      <c r="L1568">
        <f t="shared" si="291"/>
        <v>0</v>
      </c>
      <c r="M1568">
        <f t="shared" si="292"/>
        <v>1</v>
      </c>
      <c r="N1568" t="b">
        <f t="shared" si="293"/>
        <v>1</v>
      </c>
    </row>
    <row r="1569" spans="1:14" hidden="1" x14ac:dyDescent="0.25">
      <c r="A1569" t="s">
        <v>1403</v>
      </c>
      <c r="B1569" t="s">
        <v>2043</v>
      </c>
      <c r="C1569" s="1">
        <v>1.187526E-2</v>
      </c>
      <c r="D1569" s="1">
        <v>1.79999997</v>
      </c>
      <c r="E1569" s="1">
        <v>1.79999997</v>
      </c>
      <c r="F1569" s="1">
        <v>1.012E-5</v>
      </c>
      <c r="G1569">
        <f t="shared" si="288"/>
        <v>8</v>
      </c>
      <c r="H1569" t="str">
        <f>RIGHT(B1569,4)</f>
        <v>DOGE</v>
      </c>
      <c r="I1569" t="str">
        <f t="shared" si="297"/>
        <v>SONG</v>
      </c>
      <c r="J1569" t="str">
        <f t="shared" si="289"/>
        <v>DOGESONG</v>
      </c>
      <c r="K1569" t="str">
        <f t="shared" si="290"/>
        <v>SONGDOGE</v>
      </c>
      <c r="L1569">
        <f t="shared" si="291"/>
        <v>0</v>
      </c>
      <c r="M1569">
        <f t="shared" si="292"/>
        <v>1</v>
      </c>
      <c r="N1569" t="b">
        <f t="shared" si="293"/>
        <v>1</v>
      </c>
    </row>
    <row r="1570" spans="1:14" hidden="1" x14ac:dyDescent="0.25">
      <c r="A1570" t="s">
        <v>1403</v>
      </c>
      <c r="B1570" t="s">
        <v>1850</v>
      </c>
      <c r="C1570" s="1">
        <v>5.0900000000000004E-6</v>
      </c>
      <c r="D1570" s="1">
        <v>9.412E-5</v>
      </c>
      <c r="E1570" s="1">
        <v>1.5637E-4</v>
      </c>
      <c r="F1570" s="1">
        <v>7.0500000000000003E-6</v>
      </c>
      <c r="G1570">
        <f t="shared" si="288"/>
        <v>7</v>
      </c>
      <c r="H1570" t="str">
        <f t="shared" ref="H1570:H1587" si="298">RIGHT(B1570,3)</f>
        <v>LTC</v>
      </c>
      <c r="I1570" t="str">
        <f t="shared" si="297"/>
        <v>SONG</v>
      </c>
      <c r="J1570" t="str">
        <f t="shared" si="289"/>
        <v>LTCSONG</v>
      </c>
      <c r="K1570" t="str">
        <f t="shared" si="290"/>
        <v>SONGLTC</v>
      </c>
      <c r="L1570">
        <f t="shared" si="291"/>
        <v>0</v>
      </c>
      <c r="M1570">
        <f t="shared" si="292"/>
        <v>1</v>
      </c>
      <c r="N1570" t="b">
        <f t="shared" si="293"/>
        <v>1</v>
      </c>
    </row>
    <row r="1571" spans="1:14" hidden="1" x14ac:dyDescent="0.25">
      <c r="A1571" t="s">
        <v>1403</v>
      </c>
      <c r="B1571" t="s">
        <v>1661</v>
      </c>
      <c r="C1571" s="1">
        <v>3.49E-6</v>
      </c>
      <c r="D1571" s="1">
        <v>9.990000000000001E-4</v>
      </c>
      <c r="E1571" s="1">
        <v>3.3999999999999998E-3</v>
      </c>
      <c r="F1571" s="1">
        <v>3.0001000000000002E-4</v>
      </c>
      <c r="G1571">
        <f t="shared" si="288"/>
        <v>7</v>
      </c>
      <c r="H1571" t="str">
        <f t="shared" si="298"/>
        <v>USD</v>
      </c>
      <c r="I1571" t="str">
        <f t="shared" si="297"/>
        <v>SONG</v>
      </c>
      <c r="J1571" t="str">
        <f t="shared" si="289"/>
        <v>USDSONG</v>
      </c>
      <c r="K1571" t="str">
        <f t="shared" si="290"/>
        <v>SONGUSD</v>
      </c>
      <c r="L1571">
        <f t="shared" si="291"/>
        <v>0</v>
      </c>
      <c r="M1571">
        <f t="shared" si="292"/>
        <v>1</v>
      </c>
      <c r="N1571" t="b">
        <f t="shared" si="293"/>
        <v>1</v>
      </c>
    </row>
    <row r="1572" spans="1:14" hidden="1" x14ac:dyDescent="0.25">
      <c r="A1572" t="s">
        <v>5</v>
      </c>
      <c r="B1572" t="s">
        <v>834</v>
      </c>
      <c r="C1572" s="1" t="s">
        <v>362</v>
      </c>
      <c r="D1572" s="1" t="s">
        <v>364</v>
      </c>
      <c r="E1572" s="1" t="s">
        <v>362</v>
      </c>
      <c r="F1572" s="1">
        <v>5.84E-6</v>
      </c>
      <c r="G1572">
        <f t="shared" si="288"/>
        <v>7</v>
      </c>
      <c r="H1572" t="str">
        <f t="shared" si="298"/>
        <v>BTC</v>
      </c>
      <c r="I1572" t="str">
        <f t="shared" si="297"/>
        <v>SOUL</v>
      </c>
      <c r="J1572" t="str">
        <f t="shared" si="289"/>
        <v>BTCSOUL</v>
      </c>
      <c r="K1572" t="str">
        <f t="shared" si="290"/>
        <v>SOULBTC</v>
      </c>
      <c r="L1572">
        <f t="shared" si="291"/>
        <v>0</v>
      </c>
      <c r="M1572">
        <f t="shared" si="292"/>
        <v>1</v>
      </c>
      <c r="N1572" t="b">
        <f t="shared" si="293"/>
        <v>1</v>
      </c>
    </row>
    <row r="1573" spans="1:14" hidden="1" x14ac:dyDescent="0.25">
      <c r="A1573" t="s">
        <v>5</v>
      </c>
      <c r="B1573" t="s">
        <v>1099</v>
      </c>
      <c r="C1573" s="1">
        <v>1.15E-6</v>
      </c>
      <c r="D1573" s="1">
        <v>9.2999999999999999E-7</v>
      </c>
      <c r="E1573" s="1">
        <v>1.15E-6</v>
      </c>
      <c r="F1573" s="1">
        <v>9.2999999999999999E-7</v>
      </c>
      <c r="G1573">
        <f t="shared" si="288"/>
        <v>8</v>
      </c>
      <c r="H1573" t="str">
        <f t="shared" si="298"/>
        <v>BTC</v>
      </c>
      <c r="I1573" t="str">
        <f>LEFT(B1573,5)</f>
        <v>SPACE</v>
      </c>
      <c r="J1573" t="str">
        <f t="shared" si="289"/>
        <v>BTCSPACE</v>
      </c>
      <c r="K1573" t="str">
        <f t="shared" si="290"/>
        <v>SPACEBTC</v>
      </c>
      <c r="L1573">
        <f t="shared" si="291"/>
        <v>0</v>
      </c>
      <c r="M1573">
        <f t="shared" si="292"/>
        <v>1</v>
      </c>
      <c r="N1573" t="b">
        <f t="shared" si="293"/>
        <v>1</v>
      </c>
    </row>
    <row r="1574" spans="1:14" hidden="1" x14ac:dyDescent="0.25">
      <c r="A1574" t="s">
        <v>5</v>
      </c>
      <c r="B1574" t="s">
        <v>901</v>
      </c>
      <c r="C1574" s="1" t="s">
        <v>361</v>
      </c>
      <c r="D1574" s="1" t="s">
        <v>364</v>
      </c>
      <c r="E1574" s="1" t="s">
        <v>361</v>
      </c>
      <c r="F1574" s="1">
        <v>2.52E-6</v>
      </c>
      <c r="G1574">
        <f t="shared" si="288"/>
        <v>5</v>
      </c>
      <c r="H1574" t="str">
        <f t="shared" si="298"/>
        <v>BTC</v>
      </c>
      <c r="I1574" t="str">
        <f>LEFT(B1574,2)</f>
        <v>SP</v>
      </c>
      <c r="J1574" t="str">
        <f t="shared" si="289"/>
        <v>BTCSP</v>
      </c>
      <c r="K1574" t="str">
        <f t="shared" si="290"/>
        <v>SPBTC</v>
      </c>
      <c r="L1574">
        <f t="shared" si="291"/>
        <v>0</v>
      </c>
      <c r="M1574">
        <f t="shared" si="292"/>
        <v>1</v>
      </c>
      <c r="N1574" t="b">
        <f t="shared" si="293"/>
        <v>1</v>
      </c>
    </row>
    <row r="1575" spans="1:14" hidden="1" x14ac:dyDescent="0.25">
      <c r="A1575" t="s">
        <v>5</v>
      </c>
      <c r="B1575" t="s">
        <v>668</v>
      </c>
      <c r="C1575" s="1">
        <v>7.7999000000000005E-4</v>
      </c>
      <c r="D1575" s="1">
        <v>6.7004E-4</v>
      </c>
      <c r="E1575" s="1">
        <v>7.7999000000000005E-4</v>
      </c>
      <c r="F1575" s="1">
        <v>6.7004E-4</v>
      </c>
      <c r="G1575">
        <f t="shared" si="288"/>
        <v>6</v>
      </c>
      <c r="H1575" t="str">
        <f t="shared" si="298"/>
        <v>BTC</v>
      </c>
      <c r="I1575" t="str">
        <f>LEFT(B1575,3)</f>
        <v>SPC</v>
      </c>
      <c r="J1575" t="str">
        <f t="shared" si="289"/>
        <v>BTCSPC</v>
      </c>
      <c r="K1575" t="str">
        <f t="shared" si="290"/>
        <v>SPCBTC</v>
      </c>
      <c r="L1575">
        <f t="shared" si="291"/>
        <v>0</v>
      </c>
      <c r="M1575">
        <f t="shared" si="292"/>
        <v>1</v>
      </c>
      <c r="N1575" t="b">
        <f t="shared" si="293"/>
        <v>1</v>
      </c>
    </row>
    <row r="1576" spans="1:14" hidden="1" x14ac:dyDescent="0.25">
      <c r="A1576" t="s">
        <v>5</v>
      </c>
      <c r="B1576" t="s">
        <v>996</v>
      </c>
      <c r="C1576" s="1" t="s">
        <v>384</v>
      </c>
      <c r="D1576" s="1" t="s">
        <v>361</v>
      </c>
      <c r="E1576" s="1" t="s">
        <v>384</v>
      </c>
      <c r="F1576" s="1" t="s">
        <v>361</v>
      </c>
      <c r="G1576">
        <f t="shared" si="288"/>
        <v>7</v>
      </c>
      <c r="H1576" t="str">
        <f t="shared" si="298"/>
        <v>BTC</v>
      </c>
      <c r="I1576" t="str">
        <f>LEFT(B1576,4)</f>
        <v>SPEC</v>
      </c>
      <c r="J1576" t="str">
        <f t="shared" si="289"/>
        <v>BTCSPEC</v>
      </c>
      <c r="K1576" t="str">
        <f t="shared" si="290"/>
        <v>SPECBTC</v>
      </c>
      <c r="L1576">
        <f t="shared" si="291"/>
        <v>0</v>
      </c>
      <c r="M1576">
        <f t="shared" si="292"/>
        <v>1</v>
      </c>
      <c r="N1576" t="b">
        <f t="shared" si="293"/>
        <v>1</v>
      </c>
    </row>
    <row r="1577" spans="1:14" hidden="1" x14ac:dyDescent="0.25">
      <c r="A1577" t="s">
        <v>5</v>
      </c>
      <c r="B1577" t="s">
        <v>795</v>
      </c>
      <c r="C1577" s="1" t="s">
        <v>362</v>
      </c>
      <c r="D1577" s="1" t="s">
        <v>364</v>
      </c>
      <c r="E1577" s="1" t="s">
        <v>362</v>
      </c>
      <c r="F1577" s="1">
        <v>5.7000000000000005E-7</v>
      </c>
      <c r="G1577">
        <f t="shared" si="288"/>
        <v>7</v>
      </c>
      <c r="H1577" t="str">
        <f t="shared" si="298"/>
        <v>BTC</v>
      </c>
      <c r="I1577" t="str">
        <f>LEFT(B1577,4)</f>
        <v>SPEX</v>
      </c>
      <c r="J1577" t="str">
        <f t="shared" si="289"/>
        <v>BTCSPEX</v>
      </c>
      <c r="K1577" t="str">
        <f t="shared" si="290"/>
        <v>SPEXBTC</v>
      </c>
      <c r="L1577">
        <f t="shared" si="291"/>
        <v>0</v>
      </c>
      <c r="M1577">
        <f t="shared" si="292"/>
        <v>1</v>
      </c>
      <c r="N1577" t="b">
        <f t="shared" si="293"/>
        <v>1</v>
      </c>
    </row>
    <row r="1578" spans="1:14" hidden="1" x14ac:dyDescent="0.25">
      <c r="A1578" t="s">
        <v>5</v>
      </c>
      <c r="B1578" t="s">
        <v>720</v>
      </c>
      <c r="C1578" s="1">
        <v>1.64E-6</v>
      </c>
      <c r="D1578" s="1">
        <v>1.0899999999999999E-6</v>
      </c>
      <c r="E1578" s="1">
        <v>1.64E-6</v>
      </c>
      <c r="F1578" s="1">
        <v>1.0899999999999999E-6</v>
      </c>
      <c r="G1578">
        <f t="shared" si="288"/>
        <v>8</v>
      </c>
      <c r="H1578" t="str">
        <f t="shared" si="298"/>
        <v>BTC</v>
      </c>
      <c r="I1578" t="str">
        <f>LEFT(B1578,5)</f>
        <v>SPKTR</v>
      </c>
      <c r="J1578" t="str">
        <f t="shared" si="289"/>
        <v>BTCSPKTR</v>
      </c>
      <c r="K1578" t="str">
        <f t="shared" si="290"/>
        <v>SPKTRBTC</v>
      </c>
      <c r="L1578">
        <f t="shared" si="291"/>
        <v>0</v>
      </c>
      <c r="M1578">
        <f t="shared" si="292"/>
        <v>1</v>
      </c>
      <c r="N1578" t="b">
        <f t="shared" si="293"/>
        <v>1</v>
      </c>
    </row>
    <row r="1579" spans="1:14" hidden="1" x14ac:dyDescent="0.25">
      <c r="A1579" t="s">
        <v>5</v>
      </c>
      <c r="B1579" t="s">
        <v>715</v>
      </c>
      <c r="C1579" s="1" t="s">
        <v>355</v>
      </c>
      <c r="D1579" s="1" t="s">
        <v>380</v>
      </c>
      <c r="E1579" s="1" t="s">
        <v>355</v>
      </c>
      <c r="F1579" s="1" t="s">
        <v>380</v>
      </c>
      <c r="G1579">
        <f t="shared" si="288"/>
        <v>6</v>
      </c>
      <c r="H1579" t="str">
        <f t="shared" si="298"/>
        <v>BTC</v>
      </c>
      <c r="I1579" t="str">
        <f>LEFT(B1579,3)</f>
        <v>SPM</v>
      </c>
      <c r="J1579" t="str">
        <f t="shared" si="289"/>
        <v>BTCSPM</v>
      </c>
      <c r="K1579" t="str">
        <f t="shared" si="290"/>
        <v>SPMBTC</v>
      </c>
      <c r="L1579">
        <f t="shared" si="291"/>
        <v>0</v>
      </c>
      <c r="M1579">
        <f t="shared" si="292"/>
        <v>1</v>
      </c>
      <c r="N1579" t="b">
        <f t="shared" si="293"/>
        <v>1</v>
      </c>
    </row>
    <row r="1580" spans="1:14" hidden="1" x14ac:dyDescent="0.25">
      <c r="A1580" t="s">
        <v>5</v>
      </c>
      <c r="B1580" t="s">
        <v>550</v>
      </c>
      <c r="C1580" s="1">
        <v>9.1999999999999998E-7</v>
      </c>
      <c r="D1580" s="1">
        <v>8.8000000000000004E-7</v>
      </c>
      <c r="E1580" s="1">
        <v>9.1999999999999998E-7</v>
      </c>
      <c r="F1580" s="1">
        <v>8.8000000000000004E-7</v>
      </c>
      <c r="G1580">
        <f t="shared" si="288"/>
        <v>8</v>
      </c>
      <c r="H1580" t="str">
        <f t="shared" si="298"/>
        <v>BTC</v>
      </c>
      <c r="I1580" t="str">
        <f>LEFT(B1580,5)</f>
        <v>SPORT</v>
      </c>
      <c r="J1580" t="str">
        <f t="shared" si="289"/>
        <v>BTCSPORT</v>
      </c>
      <c r="K1580" t="str">
        <f t="shared" si="290"/>
        <v>SPORTBTC</v>
      </c>
      <c r="L1580">
        <f t="shared" si="291"/>
        <v>0</v>
      </c>
      <c r="M1580">
        <f t="shared" si="292"/>
        <v>1</v>
      </c>
      <c r="N1580" t="b">
        <f t="shared" si="293"/>
        <v>1</v>
      </c>
    </row>
    <row r="1581" spans="1:14" hidden="1" x14ac:dyDescent="0.25">
      <c r="A1581" t="s">
        <v>5</v>
      </c>
      <c r="B1581" t="s">
        <v>1141</v>
      </c>
      <c r="C1581" s="1">
        <v>2.26E-6</v>
      </c>
      <c r="D1581" s="1">
        <v>1.0499999999999999E-6</v>
      </c>
      <c r="E1581" s="1">
        <v>2.26E-6</v>
      </c>
      <c r="F1581" s="1">
        <v>1.0499999999999999E-6</v>
      </c>
      <c r="G1581">
        <f t="shared" si="288"/>
        <v>6</v>
      </c>
      <c r="H1581" t="str">
        <f t="shared" si="298"/>
        <v>BTC</v>
      </c>
      <c r="I1581" t="str">
        <f>LEFT(B1581,3)</f>
        <v>SPT</v>
      </c>
      <c r="J1581" t="str">
        <f t="shared" si="289"/>
        <v>BTCSPT</v>
      </c>
      <c r="K1581" t="str">
        <f t="shared" si="290"/>
        <v>SPTBTC</v>
      </c>
      <c r="L1581">
        <f t="shared" si="291"/>
        <v>0</v>
      </c>
      <c r="M1581">
        <f t="shared" si="292"/>
        <v>1</v>
      </c>
      <c r="N1581" t="b">
        <f t="shared" si="293"/>
        <v>1</v>
      </c>
    </row>
    <row r="1582" spans="1:14" hidden="1" x14ac:dyDescent="0.25">
      <c r="A1582" t="s">
        <v>5</v>
      </c>
      <c r="B1582" t="s">
        <v>766</v>
      </c>
      <c r="C1582" s="1">
        <v>8.1499999999999999E-6</v>
      </c>
      <c r="D1582" s="1">
        <v>5.0200000000000002E-6</v>
      </c>
      <c r="E1582" s="1">
        <v>8.1499999999999999E-6</v>
      </c>
      <c r="F1582" s="1">
        <v>5.0200000000000002E-6</v>
      </c>
      <c r="G1582">
        <f t="shared" si="288"/>
        <v>6</v>
      </c>
      <c r="H1582" t="str">
        <f t="shared" si="298"/>
        <v>BTC</v>
      </c>
      <c r="I1582" t="str">
        <f>LEFT(B1582,3)</f>
        <v>SPX</v>
      </c>
      <c r="J1582" t="str">
        <f t="shared" si="289"/>
        <v>BTCSPX</v>
      </c>
      <c r="K1582" t="str">
        <f t="shared" si="290"/>
        <v>SPXBTC</v>
      </c>
      <c r="L1582">
        <f t="shared" si="291"/>
        <v>0</v>
      </c>
      <c r="M1582">
        <f t="shared" si="292"/>
        <v>1</v>
      </c>
      <c r="N1582" t="b">
        <f t="shared" si="293"/>
        <v>1</v>
      </c>
    </row>
    <row r="1583" spans="1:14" hidden="1" x14ac:dyDescent="0.25">
      <c r="A1583" t="s">
        <v>5</v>
      </c>
      <c r="B1583" t="s">
        <v>1218</v>
      </c>
      <c r="C1583" s="1">
        <v>3.4669999999999998E-5</v>
      </c>
      <c r="D1583" s="1">
        <v>1.9130000000000001E-5</v>
      </c>
      <c r="E1583" s="1">
        <v>3.4669999999999998E-5</v>
      </c>
      <c r="F1583" s="1">
        <v>1.9130000000000001E-5</v>
      </c>
      <c r="G1583">
        <f t="shared" si="288"/>
        <v>6</v>
      </c>
      <c r="H1583" t="str">
        <f t="shared" si="298"/>
        <v>BTC</v>
      </c>
      <c r="I1583" t="str">
        <f>LEFT(B1583,3)</f>
        <v>SQL</v>
      </c>
      <c r="J1583" t="str">
        <f t="shared" si="289"/>
        <v>BTCSQL</v>
      </c>
      <c r="K1583" t="str">
        <f t="shared" si="290"/>
        <v>SQLBTC</v>
      </c>
      <c r="L1583">
        <f t="shared" si="291"/>
        <v>0</v>
      </c>
      <c r="M1583">
        <f t="shared" si="292"/>
        <v>1</v>
      </c>
      <c r="N1583" t="b">
        <f t="shared" si="293"/>
        <v>1</v>
      </c>
    </row>
    <row r="1584" spans="1:14" hidden="1" x14ac:dyDescent="0.25">
      <c r="A1584" t="s">
        <v>5</v>
      </c>
      <c r="B1584" t="s">
        <v>569</v>
      </c>
      <c r="C1584" s="1">
        <v>3.1E-7</v>
      </c>
      <c r="D1584" s="1">
        <v>2.7000000000000001E-7</v>
      </c>
      <c r="E1584" s="1">
        <v>3.1E-7</v>
      </c>
      <c r="F1584" s="1">
        <v>2.7000000000000001E-7</v>
      </c>
      <c r="G1584">
        <f t="shared" si="288"/>
        <v>7</v>
      </c>
      <c r="H1584" t="str">
        <f t="shared" si="298"/>
        <v>BTC</v>
      </c>
      <c r="I1584" t="str">
        <f>LEFT(B1584,4)</f>
        <v>SRND</v>
      </c>
      <c r="J1584" t="str">
        <f t="shared" si="289"/>
        <v>BTCSRND</v>
      </c>
      <c r="K1584" t="str">
        <f t="shared" si="290"/>
        <v>SRNDBTC</v>
      </c>
      <c r="L1584">
        <f t="shared" si="291"/>
        <v>0</v>
      </c>
      <c r="M1584">
        <f t="shared" si="292"/>
        <v>1</v>
      </c>
      <c r="N1584" t="b">
        <f t="shared" si="293"/>
        <v>1</v>
      </c>
    </row>
    <row r="1585" spans="1:14" hidden="1" x14ac:dyDescent="0.25">
      <c r="A1585" t="s">
        <v>5</v>
      </c>
      <c r="B1585" t="s">
        <v>483</v>
      </c>
      <c r="C1585" s="1">
        <v>9.5899999999999997E-6</v>
      </c>
      <c r="D1585" s="1">
        <v>5.7899999999999996E-6</v>
      </c>
      <c r="E1585" s="1">
        <v>9.5899999999999997E-6</v>
      </c>
      <c r="F1585" s="1">
        <v>5.7899999999999996E-6</v>
      </c>
      <c r="G1585">
        <f t="shared" si="288"/>
        <v>6</v>
      </c>
      <c r="H1585" t="str">
        <f t="shared" si="298"/>
        <v>BTC</v>
      </c>
      <c r="I1585" t="str">
        <f>LEFT(B1585,3)</f>
        <v>SSC</v>
      </c>
      <c r="J1585" t="str">
        <f t="shared" si="289"/>
        <v>BTCSSC</v>
      </c>
      <c r="K1585" t="str">
        <f t="shared" si="290"/>
        <v>SSCBTC</v>
      </c>
      <c r="L1585">
        <f t="shared" si="291"/>
        <v>0</v>
      </c>
      <c r="M1585">
        <f t="shared" si="292"/>
        <v>1</v>
      </c>
      <c r="N1585" t="b">
        <f t="shared" si="293"/>
        <v>1</v>
      </c>
    </row>
    <row r="1586" spans="1:14" hidden="1" x14ac:dyDescent="0.25">
      <c r="A1586" t="s">
        <v>5</v>
      </c>
      <c r="B1586" t="s">
        <v>389</v>
      </c>
      <c r="C1586" s="1" t="s">
        <v>384</v>
      </c>
      <c r="D1586" s="1" t="s">
        <v>362</v>
      </c>
      <c r="E1586" s="1" t="s">
        <v>384</v>
      </c>
      <c r="F1586" s="1" t="s">
        <v>362</v>
      </c>
      <c r="G1586">
        <f t="shared" si="288"/>
        <v>7</v>
      </c>
      <c r="H1586" t="str">
        <f t="shared" si="298"/>
        <v>BTC</v>
      </c>
      <c r="I1586" t="str">
        <f>LEFT(B1586,4)</f>
        <v>SSTC</v>
      </c>
      <c r="J1586" t="str">
        <f t="shared" si="289"/>
        <v>BTCSSTC</v>
      </c>
      <c r="K1586" t="str">
        <f t="shared" si="290"/>
        <v>SSTCBTC</v>
      </c>
      <c r="L1586">
        <f t="shared" si="291"/>
        <v>0</v>
      </c>
      <c r="M1586">
        <f t="shared" si="292"/>
        <v>1</v>
      </c>
      <c r="N1586" t="b">
        <f t="shared" si="293"/>
        <v>1</v>
      </c>
    </row>
    <row r="1587" spans="1:14" hidden="1" x14ac:dyDescent="0.25">
      <c r="A1587" t="s">
        <v>1403</v>
      </c>
      <c r="B1587" t="s">
        <v>1496</v>
      </c>
      <c r="C1587" s="1">
        <v>5.5000000000000003E-7</v>
      </c>
      <c r="D1587" s="1">
        <v>6.3E-7</v>
      </c>
      <c r="E1587" s="1">
        <v>6.3E-7</v>
      </c>
      <c r="F1587" s="1">
        <v>5.5000000000000003E-7</v>
      </c>
      <c r="G1587">
        <f t="shared" si="288"/>
        <v>7</v>
      </c>
      <c r="H1587" t="str">
        <f t="shared" si="298"/>
        <v>BTC</v>
      </c>
      <c r="I1587" t="str">
        <f>LEFT(B1587,4)</f>
        <v>SSUC</v>
      </c>
      <c r="J1587" t="str">
        <f t="shared" si="289"/>
        <v>BTCSSUC</v>
      </c>
      <c r="K1587" t="str">
        <f t="shared" si="290"/>
        <v>SSUCBTC</v>
      </c>
      <c r="L1587">
        <f t="shared" si="291"/>
        <v>0</v>
      </c>
      <c r="M1587">
        <f t="shared" si="292"/>
        <v>1</v>
      </c>
      <c r="N1587" t="b">
        <f t="shared" si="293"/>
        <v>1</v>
      </c>
    </row>
    <row r="1588" spans="1:14" hidden="1" x14ac:dyDescent="0.25">
      <c r="A1588" t="s">
        <v>1403</v>
      </c>
      <c r="B1588" t="s">
        <v>2044</v>
      </c>
      <c r="C1588" s="1">
        <v>0.36399999999999999</v>
      </c>
      <c r="D1588" s="1">
        <v>0.36399999999999999</v>
      </c>
      <c r="E1588" s="1">
        <v>89.999989999999997</v>
      </c>
      <c r="F1588" s="1">
        <v>6.500003E-2</v>
      </c>
      <c r="G1588">
        <f t="shared" si="288"/>
        <v>8</v>
      </c>
      <c r="H1588" t="str">
        <f>RIGHT(B1588,4)</f>
        <v>DOGE</v>
      </c>
      <c r="I1588" t="str">
        <f>LEFT(B1588,4)</f>
        <v>SSUC</v>
      </c>
      <c r="J1588" t="str">
        <f t="shared" si="289"/>
        <v>DOGESSUC</v>
      </c>
      <c r="K1588" t="str">
        <f t="shared" si="290"/>
        <v>SSUCDOGE</v>
      </c>
      <c r="L1588">
        <f t="shared" si="291"/>
        <v>0</v>
      </c>
      <c r="M1588">
        <f t="shared" si="292"/>
        <v>1</v>
      </c>
      <c r="N1588" t="b">
        <f t="shared" si="293"/>
        <v>1</v>
      </c>
    </row>
    <row r="1589" spans="1:14" hidden="1" x14ac:dyDescent="0.25">
      <c r="A1589" t="s">
        <v>1403</v>
      </c>
      <c r="B1589" t="s">
        <v>1851</v>
      </c>
      <c r="C1589" s="1">
        <v>0</v>
      </c>
      <c r="D1589" s="1">
        <v>0</v>
      </c>
      <c r="E1589" s="1">
        <v>8.7544999999999998E-2</v>
      </c>
      <c r="F1589" s="1">
        <v>1.24E-6</v>
      </c>
      <c r="G1589">
        <f t="shared" si="288"/>
        <v>7</v>
      </c>
      <c r="H1589" t="str">
        <f t="shared" ref="H1589:H1601" si="299">RIGHT(B1589,3)</f>
        <v>LTC</v>
      </c>
      <c r="I1589" t="str">
        <f>LEFT(B1589,4)</f>
        <v>SSUC</v>
      </c>
      <c r="J1589" t="str">
        <f t="shared" si="289"/>
        <v>LTCSSUC</v>
      </c>
      <c r="K1589" t="str">
        <f t="shared" si="290"/>
        <v>SSUCLTC</v>
      </c>
      <c r="L1589">
        <f t="shared" si="291"/>
        <v>0</v>
      </c>
      <c r="M1589">
        <f t="shared" si="292"/>
        <v>1</v>
      </c>
      <c r="N1589" t="b">
        <f t="shared" si="293"/>
        <v>1</v>
      </c>
    </row>
    <row r="1590" spans="1:14" hidden="1" x14ac:dyDescent="0.25">
      <c r="A1590" t="s">
        <v>1403</v>
      </c>
      <c r="B1590" t="s">
        <v>1662</v>
      </c>
      <c r="C1590" s="1">
        <v>0.1</v>
      </c>
      <c r="D1590" s="1">
        <v>0.1</v>
      </c>
      <c r="E1590" s="1">
        <v>4.9000000000000002E-2</v>
      </c>
      <c r="F1590" s="1" t="s">
        <v>329</v>
      </c>
      <c r="G1590">
        <f t="shared" si="288"/>
        <v>7</v>
      </c>
      <c r="H1590" t="str">
        <f t="shared" si="299"/>
        <v>USD</v>
      </c>
      <c r="I1590" t="str">
        <f>LEFT(B1590,4)</f>
        <v>SSUC</v>
      </c>
      <c r="J1590" t="str">
        <f t="shared" si="289"/>
        <v>USDSSUC</v>
      </c>
      <c r="K1590" t="str">
        <f t="shared" si="290"/>
        <v>SSUCUSD</v>
      </c>
      <c r="L1590">
        <f t="shared" si="291"/>
        <v>0</v>
      </c>
      <c r="M1590">
        <f t="shared" si="292"/>
        <v>1</v>
      </c>
      <c r="N1590" t="b">
        <f t="shared" si="293"/>
        <v>1</v>
      </c>
    </row>
    <row r="1591" spans="1:14" hidden="1" x14ac:dyDescent="0.25">
      <c r="A1591" t="s">
        <v>5</v>
      </c>
      <c r="B1591" t="s">
        <v>1077</v>
      </c>
      <c r="C1591" s="1" t="s">
        <v>361</v>
      </c>
      <c r="D1591" s="1" t="s">
        <v>362</v>
      </c>
      <c r="E1591" s="1" t="s">
        <v>361</v>
      </c>
      <c r="F1591" s="1" t="s">
        <v>362</v>
      </c>
      <c r="G1591">
        <f t="shared" si="288"/>
        <v>6</v>
      </c>
      <c r="H1591" t="str">
        <f t="shared" si="299"/>
        <v>BTC</v>
      </c>
      <c r="I1591" t="str">
        <f>LEFT(B1591,3)</f>
        <v>STA</v>
      </c>
      <c r="J1591" t="str">
        <f t="shared" si="289"/>
        <v>BTCSTA</v>
      </c>
      <c r="K1591" t="str">
        <f t="shared" si="290"/>
        <v>STABTC</v>
      </c>
      <c r="L1591">
        <f t="shared" si="291"/>
        <v>0</v>
      </c>
      <c r="M1591">
        <f t="shared" si="292"/>
        <v>1</v>
      </c>
      <c r="N1591" t="b">
        <f t="shared" si="293"/>
        <v>1</v>
      </c>
    </row>
    <row r="1592" spans="1:14" hidden="1" x14ac:dyDescent="0.25">
      <c r="A1592" t="s">
        <v>5</v>
      </c>
      <c r="B1592" t="s">
        <v>476</v>
      </c>
      <c r="C1592" s="1" t="s">
        <v>361</v>
      </c>
      <c r="D1592" s="1" t="s">
        <v>362</v>
      </c>
      <c r="E1592" s="1" t="s">
        <v>361</v>
      </c>
      <c r="F1592" s="1" t="s">
        <v>362</v>
      </c>
      <c r="G1592">
        <f t="shared" si="288"/>
        <v>9</v>
      </c>
      <c r="H1592" t="str">
        <f t="shared" si="299"/>
        <v>BTC</v>
      </c>
      <c r="I1592" t="str">
        <f>LEFT(B1592,6)</f>
        <v>STALIN</v>
      </c>
      <c r="J1592" t="str">
        <f t="shared" si="289"/>
        <v>BTCSTALIN</v>
      </c>
      <c r="K1592" t="str">
        <f t="shared" si="290"/>
        <v>STALINBTC</v>
      </c>
      <c r="L1592">
        <f t="shared" si="291"/>
        <v>0</v>
      </c>
      <c r="M1592">
        <f t="shared" si="292"/>
        <v>1</v>
      </c>
      <c r="N1592" t="b">
        <f t="shared" si="293"/>
        <v>1</v>
      </c>
    </row>
    <row r="1593" spans="1:14" hidden="1" x14ac:dyDescent="0.25">
      <c r="A1593" t="s">
        <v>5</v>
      </c>
      <c r="B1593" t="s">
        <v>423</v>
      </c>
      <c r="C1593" s="1" t="s">
        <v>361</v>
      </c>
      <c r="D1593" s="1" t="s">
        <v>362</v>
      </c>
      <c r="E1593" s="1" t="s">
        <v>361</v>
      </c>
      <c r="F1593" s="1" t="s">
        <v>362</v>
      </c>
      <c r="G1593">
        <f t="shared" si="288"/>
        <v>7</v>
      </c>
      <c r="H1593" t="str">
        <f t="shared" si="299"/>
        <v>BTC</v>
      </c>
      <c r="I1593" t="str">
        <f>LEFT(B1593,4)</f>
        <v>STAR</v>
      </c>
      <c r="J1593" t="str">
        <f t="shared" si="289"/>
        <v>BTCSTAR</v>
      </c>
      <c r="K1593" t="str">
        <f t="shared" si="290"/>
        <v>STARBTC</v>
      </c>
      <c r="L1593">
        <f t="shared" si="291"/>
        <v>0</v>
      </c>
      <c r="M1593">
        <f t="shared" si="292"/>
        <v>1</v>
      </c>
      <c r="N1593" t="b">
        <f t="shared" si="293"/>
        <v>1</v>
      </c>
    </row>
    <row r="1594" spans="1:14" hidden="1" x14ac:dyDescent="0.25">
      <c r="A1594" t="s">
        <v>4</v>
      </c>
      <c r="B1594" t="s">
        <v>317</v>
      </c>
      <c r="C1594" s="1">
        <v>2.4</v>
      </c>
      <c r="D1594" s="1">
        <v>0.66</v>
      </c>
      <c r="E1594" s="1">
        <v>2.459136</v>
      </c>
      <c r="F1594" s="1">
        <v>0.66</v>
      </c>
      <c r="G1594">
        <f t="shared" si="288"/>
        <v>8</v>
      </c>
      <c r="H1594" t="str">
        <f t="shared" si="299"/>
        <v>EUR</v>
      </c>
      <c r="I1594" t="str">
        <f>LEFT(B1594,5)</f>
        <v>STEEM</v>
      </c>
      <c r="J1594" t="str">
        <f t="shared" si="289"/>
        <v>EURSTEEM</v>
      </c>
      <c r="K1594" t="str">
        <f t="shared" si="290"/>
        <v>STEEMEUR</v>
      </c>
      <c r="L1594">
        <f t="shared" si="291"/>
        <v>0</v>
      </c>
      <c r="M1594">
        <f t="shared" si="292"/>
        <v>1</v>
      </c>
      <c r="N1594" t="b">
        <f t="shared" si="293"/>
        <v>1</v>
      </c>
    </row>
    <row r="1595" spans="1:14" hidden="1" x14ac:dyDescent="0.25">
      <c r="A1595" t="s">
        <v>5</v>
      </c>
      <c r="B1595" t="s">
        <v>1165</v>
      </c>
      <c r="C1595" s="1">
        <v>4.7E-7</v>
      </c>
      <c r="D1595" s="1" t="s">
        <v>421</v>
      </c>
      <c r="E1595" s="1">
        <v>4.7E-7</v>
      </c>
      <c r="F1595" s="1" t="s">
        <v>421</v>
      </c>
      <c r="G1595">
        <f t="shared" si="288"/>
        <v>8</v>
      </c>
      <c r="H1595" t="str">
        <f t="shared" si="299"/>
        <v>BTC</v>
      </c>
      <c r="I1595" t="str">
        <f>LEFT(B1595,5)</f>
        <v>STEPS</v>
      </c>
      <c r="J1595" t="str">
        <f t="shared" si="289"/>
        <v>BTCSTEPS</v>
      </c>
      <c r="K1595" t="str">
        <f t="shared" si="290"/>
        <v>STEPSBTC</v>
      </c>
      <c r="L1595">
        <f t="shared" si="291"/>
        <v>0</v>
      </c>
      <c r="M1595">
        <f t="shared" si="292"/>
        <v>1</v>
      </c>
      <c r="N1595" t="b">
        <f t="shared" si="293"/>
        <v>1</v>
      </c>
    </row>
    <row r="1596" spans="1:14" hidden="1" x14ac:dyDescent="0.25">
      <c r="A1596" t="s">
        <v>5</v>
      </c>
      <c r="B1596" t="s">
        <v>994</v>
      </c>
      <c r="C1596" s="1">
        <v>5.0149999999999999E-5</v>
      </c>
      <c r="D1596" s="1">
        <v>5.0139999999999998E-5</v>
      </c>
      <c r="E1596" s="1">
        <v>5.0149999999999999E-5</v>
      </c>
      <c r="F1596" s="1">
        <v>5.0139999999999998E-5</v>
      </c>
      <c r="G1596">
        <f t="shared" si="288"/>
        <v>7</v>
      </c>
      <c r="H1596" t="str">
        <f t="shared" si="299"/>
        <v>BTC</v>
      </c>
      <c r="I1596" t="str">
        <f>LEFT(B1596,4)</f>
        <v>STHR</v>
      </c>
      <c r="J1596" t="str">
        <f t="shared" si="289"/>
        <v>BTCSTHR</v>
      </c>
      <c r="K1596" t="str">
        <f t="shared" si="290"/>
        <v>STHRBTC</v>
      </c>
      <c r="L1596">
        <f t="shared" si="291"/>
        <v>0</v>
      </c>
      <c r="M1596">
        <f t="shared" si="292"/>
        <v>1</v>
      </c>
      <c r="N1596" t="b">
        <f t="shared" si="293"/>
        <v>1</v>
      </c>
    </row>
    <row r="1597" spans="1:14" hidden="1" x14ac:dyDescent="0.25">
      <c r="A1597" t="s">
        <v>5</v>
      </c>
      <c r="B1597" t="s">
        <v>448</v>
      </c>
      <c r="C1597" s="1">
        <v>7.8178000000000004E-4</v>
      </c>
      <c r="D1597" s="1">
        <v>6.2122000000000002E-4</v>
      </c>
      <c r="E1597" s="1">
        <v>7.8178000000000004E-4</v>
      </c>
      <c r="F1597" s="1">
        <v>6.2122000000000002E-4</v>
      </c>
      <c r="G1597">
        <f t="shared" si="288"/>
        <v>6</v>
      </c>
      <c r="H1597" t="str">
        <f t="shared" si="299"/>
        <v>BTC</v>
      </c>
      <c r="I1597" t="str">
        <f>LEFT(B1597,3)</f>
        <v>STK</v>
      </c>
      <c r="J1597" t="str">
        <f t="shared" si="289"/>
        <v>BTCSTK</v>
      </c>
      <c r="K1597" t="str">
        <f t="shared" si="290"/>
        <v>STKBTC</v>
      </c>
      <c r="L1597">
        <f t="shared" si="291"/>
        <v>0</v>
      </c>
      <c r="M1597">
        <f t="shared" si="292"/>
        <v>1</v>
      </c>
      <c r="N1597" t="b">
        <f t="shared" si="293"/>
        <v>1</v>
      </c>
    </row>
    <row r="1598" spans="1:14" hidden="1" x14ac:dyDescent="0.25">
      <c r="A1598" t="s">
        <v>5</v>
      </c>
      <c r="B1598" t="s">
        <v>838</v>
      </c>
      <c r="C1598" s="1" t="s">
        <v>381</v>
      </c>
      <c r="D1598" s="1" t="s">
        <v>384</v>
      </c>
      <c r="E1598" s="1" t="s">
        <v>381</v>
      </c>
      <c r="F1598" s="1" t="s">
        <v>384</v>
      </c>
      <c r="G1598">
        <f t="shared" si="288"/>
        <v>6</v>
      </c>
      <c r="H1598" t="str">
        <f t="shared" si="299"/>
        <v>BTC</v>
      </c>
      <c r="I1598" t="str">
        <f>LEFT(B1598,3)</f>
        <v>STO</v>
      </c>
      <c r="J1598" t="str">
        <f t="shared" si="289"/>
        <v>BTCSTO</v>
      </c>
      <c r="K1598" t="str">
        <f t="shared" si="290"/>
        <v>STOBTC</v>
      </c>
      <c r="L1598">
        <f t="shared" si="291"/>
        <v>0</v>
      </c>
      <c r="M1598">
        <f t="shared" si="292"/>
        <v>1</v>
      </c>
      <c r="N1598" t="b">
        <f t="shared" si="293"/>
        <v>1</v>
      </c>
    </row>
    <row r="1599" spans="1:14" hidden="1" x14ac:dyDescent="0.25">
      <c r="A1599" t="s">
        <v>5</v>
      </c>
      <c r="B1599" t="s">
        <v>568</v>
      </c>
      <c r="C1599" s="1">
        <v>4.7E-7</v>
      </c>
      <c r="D1599" s="1">
        <v>2.7000000000000001E-7</v>
      </c>
      <c r="E1599" s="1">
        <v>4.7E-7</v>
      </c>
      <c r="F1599" s="1">
        <v>2.7000000000000001E-7</v>
      </c>
      <c r="G1599">
        <f t="shared" si="288"/>
        <v>8</v>
      </c>
      <c r="H1599" t="str">
        <f t="shared" si="299"/>
        <v>BTC</v>
      </c>
      <c r="I1599" t="str">
        <f>LEFT(B1599,5)</f>
        <v>STONK</v>
      </c>
      <c r="J1599" t="str">
        <f t="shared" si="289"/>
        <v>BTCSTONK</v>
      </c>
      <c r="K1599" t="str">
        <f t="shared" si="290"/>
        <v>STONKBTC</v>
      </c>
      <c r="L1599">
        <f t="shared" si="291"/>
        <v>0</v>
      </c>
      <c r="M1599">
        <f t="shared" si="292"/>
        <v>1</v>
      </c>
      <c r="N1599" t="b">
        <f t="shared" si="293"/>
        <v>1</v>
      </c>
    </row>
    <row r="1600" spans="1:14" hidden="1" x14ac:dyDescent="0.25">
      <c r="A1600" t="s">
        <v>5</v>
      </c>
      <c r="B1600" t="s">
        <v>1138</v>
      </c>
      <c r="C1600" s="1" t="s">
        <v>409</v>
      </c>
      <c r="D1600" s="1" t="s">
        <v>401</v>
      </c>
      <c r="E1600" s="1" t="s">
        <v>409</v>
      </c>
      <c r="F1600" s="1" t="s">
        <v>401</v>
      </c>
      <c r="G1600">
        <f t="shared" si="288"/>
        <v>6</v>
      </c>
      <c r="H1600" t="str">
        <f t="shared" si="299"/>
        <v>BTC</v>
      </c>
      <c r="I1600" t="str">
        <f>LEFT(B1600,3)</f>
        <v>STP</v>
      </c>
      <c r="J1600" t="str">
        <f t="shared" si="289"/>
        <v>BTCSTP</v>
      </c>
      <c r="K1600" t="str">
        <f t="shared" si="290"/>
        <v>STPBTC</v>
      </c>
      <c r="L1600">
        <f t="shared" si="291"/>
        <v>0</v>
      </c>
      <c r="M1600">
        <f t="shared" si="292"/>
        <v>1</v>
      </c>
      <c r="N1600" t="b">
        <f t="shared" si="293"/>
        <v>1</v>
      </c>
    </row>
    <row r="1601" spans="1:14" hidden="1" x14ac:dyDescent="0.25">
      <c r="A1601" t="s">
        <v>1403</v>
      </c>
      <c r="B1601" t="s">
        <v>1497</v>
      </c>
      <c r="C1601" s="1" t="s">
        <v>374</v>
      </c>
      <c r="D1601" s="1">
        <v>7.3E-7</v>
      </c>
      <c r="E1601" s="1" t="s">
        <v>403</v>
      </c>
      <c r="F1601" s="1">
        <v>3.8000000000000001E-7</v>
      </c>
      <c r="G1601">
        <f t="shared" ref="G1601:G1664" si="300">LEN(B1601)</f>
        <v>7</v>
      </c>
      <c r="H1601" t="str">
        <f t="shared" si="299"/>
        <v>BTC</v>
      </c>
      <c r="I1601" t="str">
        <f>LEFT(B1601,4)</f>
        <v>STPC</v>
      </c>
      <c r="J1601" t="str">
        <f t="shared" ref="J1601:J1664" si="301">CONCATENATE(H1601,I1601)</f>
        <v>BTCSTPC</v>
      </c>
      <c r="K1601" t="str">
        <f t="shared" ref="K1601:K1664" si="302">CONCATENATE(I1601,H1601)</f>
        <v>STPCBTC</v>
      </c>
      <c r="L1601">
        <f t="shared" ref="L1601:L1664" si="303">COUNTIF(B:B,J1601)</f>
        <v>0</v>
      </c>
      <c r="M1601">
        <f t="shared" ref="M1601:M1664" si="304">COUNTIF(B:B,K1601)</f>
        <v>1</v>
      </c>
      <c r="N1601" t="b">
        <f t="shared" ref="N1601:N1664" si="305">L1601=0</f>
        <v>1</v>
      </c>
    </row>
    <row r="1602" spans="1:14" hidden="1" x14ac:dyDescent="0.25">
      <c r="A1602" t="s">
        <v>1403</v>
      </c>
      <c r="B1602" t="s">
        <v>2045</v>
      </c>
      <c r="C1602" s="1">
        <v>0.52109139999999998</v>
      </c>
      <c r="D1602" s="1">
        <v>0.52109139999999998</v>
      </c>
      <c r="E1602" s="1">
        <v>7.2</v>
      </c>
      <c r="F1602" s="1">
        <v>0.59040013999999996</v>
      </c>
      <c r="G1602">
        <f t="shared" si="300"/>
        <v>8</v>
      </c>
      <c r="H1602" t="str">
        <f>RIGHT(B1602,4)</f>
        <v>DOGE</v>
      </c>
      <c r="I1602" t="str">
        <f>LEFT(B1602,4)</f>
        <v>STPC</v>
      </c>
      <c r="J1602" t="str">
        <f t="shared" si="301"/>
        <v>DOGESTPC</v>
      </c>
      <c r="K1602" t="str">
        <f t="shared" si="302"/>
        <v>STPCDOGE</v>
      </c>
      <c r="L1602">
        <f t="shared" si="303"/>
        <v>0</v>
      </c>
      <c r="M1602">
        <f t="shared" si="304"/>
        <v>1</v>
      </c>
      <c r="N1602" t="b">
        <f t="shared" si="305"/>
        <v>1</v>
      </c>
    </row>
    <row r="1603" spans="1:14" hidden="1" x14ac:dyDescent="0.25">
      <c r="A1603" t="s">
        <v>1403</v>
      </c>
      <c r="B1603" t="s">
        <v>1852</v>
      </c>
      <c r="C1603" s="1">
        <v>0</v>
      </c>
      <c r="D1603" s="1">
        <v>0</v>
      </c>
      <c r="E1603" s="1">
        <v>1.45340634483903E-2</v>
      </c>
      <c r="F1603" s="1">
        <v>1.5E-6</v>
      </c>
      <c r="G1603">
        <f t="shared" si="300"/>
        <v>7</v>
      </c>
      <c r="H1603" t="str">
        <f t="shared" ref="H1603:H1613" si="306">RIGHT(B1603,3)</f>
        <v>LTC</v>
      </c>
      <c r="I1603" t="str">
        <f>LEFT(B1603,4)</f>
        <v>STPC</v>
      </c>
      <c r="J1603" t="str">
        <f t="shared" si="301"/>
        <v>LTCSTPC</v>
      </c>
      <c r="K1603" t="str">
        <f t="shared" si="302"/>
        <v>STPCLTC</v>
      </c>
      <c r="L1603">
        <f t="shared" si="303"/>
        <v>0</v>
      </c>
      <c r="M1603">
        <f t="shared" si="304"/>
        <v>1</v>
      </c>
      <c r="N1603" t="b">
        <f t="shared" si="305"/>
        <v>1</v>
      </c>
    </row>
    <row r="1604" spans="1:14" hidden="1" x14ac:dyDescent="0.25">
      <c r="A1604" t="s">
        <v>1403</v>
      </c>
      <c r="B1604" t="s">
        <v>1663</v>
      </c>
      <c r="C1604" s="1">
        <v>1.499998E-2</v>
      </c>
      <c r="D1604" s="1">
        <v>1.499998E-2</v>
      </c>
      <c r="E1604" s="1">
        <v>1.49899E-2</v>
      </c>
      <c r="F1604" s="1">
        <v>9.1030000000000001E-5</v>
      </c>
      <c r="G1604">
        <f t="shared" si="300"/>
        <v>7</v>
      </c>
      <c r="H1604" t="str">
        <f t="shared" si="306"/>
        <v>USD</v>
      </c>
      <c r="I1604" t="str">
        <f>LEFT(B1604,4)</f>
        <v>STPC</v>
      </c>
      <c r="J1604" t="str">
        <f t="shared" si="301"/>
        <v>USDSTPC</v>
      </c>
      <c r="K1604" t="str">
        <f t="shared" si="302"/>
        <v>STPCUSD</v>
      </c>
      <c r="L1604">
        <f t="shared" si="303"/>
        <v>0</v>
      </c>
      <c r="M1604">
        <f t="shared" si="304"/>
        <v>1</v>
      </c>
      <c r="N1604" t="b">
        <f t="shared" si="305"/>
        <v>1</v>
      </c>
    </row>
    <row r="1605" spans="1:14" hidden="1" x14ac:dyDescent="0.25">
      <c r="A1605" t="s">
        <v>1239</v>
      </c>
      <c r="B1605" t="s">
        <v>1385</v>
      </c>
      <c r="C1605" s="1">
        <v>3.2555689999999998E-2</v>
      </c>
      <c r="D1605" s="1">
        <v>1.1555899999999999E-2</v>
      </c>
      <c r="E1605" s="1">
        <v>3.2555689999999998E-2</v>
      </c>
      <c r="F1605" s="1">
        <v>1.1555899999999999E-2</v>
      </c>
      <c r="G1605">
        <f t="shared" si="300"/>
        <v>8</v>
      </c>
      <c r="H1605" t="str">
        <f t="shared" si="306"/>
        <v>ETH</v>
      </c>
      <c r="I1605" t="str">
        <f>LEFT(B1605,5)</f>
        <v>STRAT</v>
      </c>
      <c r="J1605" t="str">
        <f t="shared" si="301"/>
        <v>ETHSTRAT</v>
      </c>
      <c r="K1605" t="str">
        <f t="shared" si="302"/>
        <v>STRATETH</v>
      </c>
      <c r="L1605">
        <f t="shared" si="303"/>
        <v>0</v>
      </c>
      <c r="M1605">
        <f t="shared" si="304"/>
        <v>1</v>
      </c>
      <c r="N1605" t="b">
        <f t="shared" si="305"/>
        <v>1</v>
      </c>
    </row>
    <row r="1606" spans="1:14" hidden="1" x14ac:dyDescent="0.25">
      <c r="A1606" t="s">
        <v>1239</v>
      </c>
      <c r="B1606" t="s">
        <v>1383</v>
      </c>
      <c r="C1606" s="1">
        <v>10.199999999999999</v>
      </c>
      <c r="D1606" s="1">
        <v>7.0001199999999999</v>
      </c>
      <c r="E1606" s="1">
        <v>10.199999999999999</v>
      </c>
      <c r="F1606" s="1">
        <v>6.4001079999999897</v>
      </c>
      <c r="G1606">
        <f t="shared" si="300"/>
        <v>8</v>
      </c>
      <c r="H1606" t="str">
        <f t="shared" si="306"/>
        <v>USD</v>
      </c>
      <c r="I1606" t="str">
        <f>LEFT(B1606,5)</f>
        <v>STRAT</v>
      </c>
      <c r="J1606" t="str">
        <f t="shared" si="301"/>
        <v>USDSTRAT</v>
      </c>
      <c r="K1606" t="str">
        <f t="shared" si="302"/>
        <v>STRATUSD</v>
      </c>
      <c r="L1606">
        <f t="shared" si="303"/>
        <v>0</v>
      </c>
      <c r="M1606">
        <f t="shared" si="304"/>
        <v>1</v>
      </c>
      <c r="N1606" t="b">
        <f t="shared" si="305"/>
        <v>1</v>
      </c>
    </row>
    <row r="1607" spans="1:14" hidden="1" x14ac:dyDescent="0.25">
      <c r="A1607" t="s">
        <v>5</v>
      </c>
      <c r="B1607" t="s">
        <v>1026</v>
      </c>
      <c r="C1607" s="1" t="s">
        <v>362</v>
      </c>
      <c r="D1607" s="1" t="s">
        <v>364</v>
      </c>
      <c r="E1607" s="1" t="s">
        <v>362</v>
      </c>
      <c r="F1607" s="1">
        <v>3.3999999999999997E-7</v>
      </c>
      <c r="G1607">
        <f t="shared" si="300"/>
        <v>7</v>
      </c>
      <c r="H1607" t="str">
        <f t="shared" si="306"/>
        <v>BTC</v>
      </c>
      <c r="I1607" t="str">
        <f>LEFT(B1607,4)</f>
        <v>STRB</v>
      </c>
      <c r="J1607" t="str">
        <f t="shared" si="301"/>
        <v>BTCSTRB</v>
      </c>
      <c r="K1607" t="str">
        <f t="shared" si="302"/>
        <v>STRBBTC</v>
      </c>
      <c r="L1607">
        <f t="shared" si="303"/>
        <v>0</v>
      </c>
      <c r="M1607">
        <f t="shared" si="304"/>
        <v>1</v>
      </c>
      <c r="N1607" t="b">
        <f t="shared" si="305"/>
        <v>1</v>
      </c>
    </row>
    <row r="1608" spans="1:14" hidden="1" x14ac:dyDescent="0.25">
      <c r="A1608" t="s">
        <v>5</v>
      </c>
      <c r="B1608" t="s">
        <v>1152</v>
      </c>
      <c r="C1608" s="1">
        <v>2.52E-6</v>
      </c>
      <c r="D1608" s="1">
        <v>2.08E-6</v>
      </c>
      <c r="E1608" s="1">
        <v>2.52E-6</v>
      </c>
      <c r="F1608" s="1">
        <v>2.08E-6</v>
      </c>
      <c r="G1608">
        <f t="shared" si="300"/>
        <v>7</v>
      </c>
      <c r="H1608" t="str">
        <f t="shared" si="306"/>
        <v>BTC</v>
      </c>
      <c r="I1608" t="str">
        <f>LEFT(B1608,4)</f>
        <v>STRP</v>
      </c>
      <c r="J1608" t="str">
        <f t="shared" si="301"/>
        <v>BTCSTRP</v>
      </c>
      <c r="K1608" t="str">
        <f t="shared" si="302"/>
        <v>STRPBTC</v>
      </c>
      <c r="L1608">
        <f t="shared" si="303"/>
        <v>0</v>
      </c>
      <c r="M1608">
        <f t="shared" si="304"/>
        <v>1</v>
      </c>
      <c r="N1608" t="b">
        <f t="shared" si="305"/>
        <v>1</v>
      </c>
    </row>
    <row r="1609" spans="1:14" hidden="1" x14ac:dyDescent="0.25">
      <c r="A1609" t="s">
        <v>5</v>
      </c>
      <c r="B1609" t="s">
        <v>1081</v>
      </c>
      <c r="C1609" s="1">
        <v>1.1000000000000001E-7</v>
      </c>
      <c r="D1609" s="1" t="s">
        <v>540</v>
      </c>
      <c r="E1609" s="1">
        <v>1.1000000000000001E-7</v>
      </c>
      <c r="F1609" s="1" t="s">
        <v>540</v>
      </c>
      <c r="G1609">
        <f t="shared" si="300"/>
        <v>6</v>
      </c>
      <c r="H1609" t="str">
        <f t="shared" si="306"/>
        <v>BTC</v>
      </c>
      <c r="I1609" t="str">
        <f>LEFT(B1609,3)</f>
        <v>STS</v>
      </c>
      <c r="J1609" t="str">
        <f t="shared" si="301"/>
        <v>BTCSTS</v>
      </c>
      <c r="K1609" t="str">
        <f t="shared" si="302"/>
        <v>STSBTC</v>
      </c>
      <c r="L1609">
        <f t="shared" si="303"/>
        <v>0</v>
      </c>
      <c r="M1609">
        <f t="shared" si="304"/>
        <v>1</v>
      </c>
      <c r="N1609" t="b">
        <f t="shared" si="305"/>
        <v>1</v>
      </c>
    </row>
    <row r="1610" spans="1:14" hidden="1" x14ac:dyDescent="0.25">
      <c r="A1610" t="s">
        <v>5</v>
      </c>
      <c r="B1610" t="s">
        <v>816</v>
      </c>
      <c r="C1610" s="1">
        <v>4.4700000000000004E-6</v>
      </c>
      <c r="D1610" s="1">
        <v>2.2400000000000002E-6</v>
      </c>
      <c r="E1610" s="1">
        <v>4.4700000000000004E-6</v>
      </c>
      <c r="F1610" s="1">
        <v>2.2400000000000002E-6</v>
      </c>
      <c r="G1610">
        <f t="shared" si="300"/>
        <v>6</v>
      </c>
      <c r="H1610" t="str">
        <f t="shared" si="306"/>
        <v>BTC</v>
      </c>
      <c r="I1610" t="str">
        <f>LEFT(B1610,3)</f>
        <v>STV</v>
      </c>
      <c r="J1610" t="str">
        <f t="shared" si="301"/>
        <v>BTCSTV</v>
      </c>
      <c r="K1610" t="str">
        <f t="shared" si="302"/>
        <v>STVBTC</v>
      </c>
      <c r="L1610">
        <f t="shared" si="303"/>
        <v>0</v>
      </c>
      <c r="M1610">
        <f t="shared" si="304"/>
        <v>1</v>
      </c>
      <c r="N1610" t="b">
        <f t="shared" si="305"/>
        <v>1</v>
      </c>
    </row>
    <row r="1611" spans="1:14" hidden="1" x14ac:dyDescent="0.25">
      <c r="A1611" t="s">
        <v>5</v>
      </c>
      <c r="B1611" t="s">
        <v>1104</v>
      </c>
      <c r="C1611" s="1">
        <v>1.9000000000000001E-7</v>
      </c>
      <c r="D1611" s="1">
        <v>1.8E-7</v>
      </c>
      <c r="E1611" s="1">
        <v>1.9000000000000001E-7</v>
      </c>
      <c r="F1611" s="1">
        <v>1.8E-7</v>
      </c>
      <c r="G1611">
        <f t="shared" si="300"/>
        <v>6</v>
      </c>
      <c r="H1611" t="str">
        <f t="shared" si="306"/>
        <v>BTC</v>
      </c>
      <c r="I1611" t="str">
        <f>LEFT(B1611,3)</f>
        <v>SUB</v>
      </c>
      <c r="J1611" t="str">
        <f t="shared" si="301"/>
        <v>BTCSUB</v>
      </c>
      <c r="K1611" t="str">
        <f t="shared" si="302"/>
        <v>SUBBTC</v>
      </c>
      <c r="L1611">
        <f t="shared" si="303"/>
        <v>0</v>
      </c>
      <c r="M1611">
        <f t="shared" si="304"/>
        <v>1</v>
      </c>
      <c r="N1611" t="b">
        <f t="shared" si="305"/>
        <v>1</v>
      </c>
    </row>
    <row r="1612" spans="1:14" hidden="1" x14ac:dyDescent="0.25">
      <c r="A1612" t="s">
        <v>5</v>
      </c>
      <c r="B1612" t="s">
        <v>371</v>
      </c>
      <c r="C1612" s="1">
        <v>6.5200000000000003E-6</v>
      </c>
      <c r="D1612" s="1">
        <v>3.7000000000000002E-6</v>
      </c>
      <c r="E1612" s="1">
        <v>6.5200000000000003E-6</v>
      </c>
      <c r="F1612" s="1">
        <v>3.7000000000000002E-6</v>
      </c>
      <c r="G1612">
        <f t="shared" si="300"/>
        <v>8</v>
      </c>
      <c r="H1612" t="str">
        <f t="shared" si="306"/>
        <v>BTC</v>
      </c>
      <c r="I1612" t="str">
        <f>LEFT(B1612,5)</f>
        <v>SUPER</v>
      </c>
      <c r="J1612" t="str">
        <f t="shared" si="301"/>
        <v>BTCSUPER</v>
      </c>
      <c r="K1612" t="str">
        <f t="shared" si="302"/>
        <v>SUPERBTC</v>
      </c>
      <c r="L1612">
        <f t="shared" si="303"/>
        <v>0</v>
      </c>
      <c r="M1612">
        <f t="shared" si="304"/>
        <v>1</v>
      </c>
      <c r="N1612" t="b">
        <f t="shared" si="305"/>
        <v>1</v>
      </c>
    </row>
    <row r="1613" spans="1:14" hidden="1" x14ac:dyDescent="0.25">
      <c r="A1613" t="s">
        <v>1403</v>
      </c>
      <c r="B1613" t="s">
        <v>1498</v>
      </c>
      <c r="C1613" s="1">
        <v>0</v>
      </c>
      <c r="D1613" s="1">
        <v>0</v>
      </c>
      <c r="E1613" s="1">
        <v>0</v>
      </c>
      <c r="F1613" s="1" t="s">
        <v>121</v>
      </c>
      <c r="G1613">
        <f t="shared" si="300"/>
        <v>6</v>
      </c>
      <c r="H1613" t="str">
        <f t="shared" si="306"/>
        <v>BTC</v>
      </c>
      <c r="I1613" t="str">
        <f>LEFT(B1613,3)</f>
        <v>SVC</v>
      </c>
      <c r="J1613" t="str">
        <f t="shared" si="301"/>
        <v>BTCSVC</v>
      </c>
      <c r="K1613" t="str">
        <f t="shared" si="302"/>
        <v>SVCBTC</v>
      </c>
      <c r="L1613">
        <f t="shared" si="303"/>
        <v>0</v>
      </c>
      <c r="M1613">
        <f t="shared" si="304"/>
        <v>1</v>
      </c>
      <c r="N1613" t="b">
        <f t="shared" si="305"/>
        <v>1</v>
      </c>
    </row>
    <row r="1614" spans="1:14" hidden="1" x14ac:dyDescent="0.25">
      <c r="A1614" t="s">
        <v>1403</v>
      </c>
      <c r="B1614" t="s">
        <v>2046</v>
      </c>
      <c r="C1614" s="1">
        <v>0</v>
      </c>
      <c r="D1614" s="1">
        <v>0</v>
      </c>
      <c r="E1614" s="1">
        <v>0</v>
      </c>
      <c r="F1614" s="1">
        <v>1.02E-6</v>
      </c>
      <c r="G1614">
        <f t="shared" si="300"/>
        <v>7</v>
      </c>
      <c r="H1614" t="str">
        <f>RIGHT(B1614,4)</f>
        <v>DOGE</v>
      </c>
      <c r="I1614" t="str">
        <f>LEFT(B1614,3)</f>
        <v>SVC</v>
      </c>
      <c r="J1614" t="str">
        <f t="shared" si="301"/>
        <v>DOGESVC</v>
      </c>
      <c r="K1614" t="str">
        <f t="shared" si="302"/>
        <v>SVCDOGE</v>
      </c>
      <c r="L1614">
        <f t="shared" si="303"/>
        <v>0</v>
      </c>
      <c r="M1614">
        <f t="shared" si="304"/>
        <v>1</v>
      </c>
      <c r="N1614" t="b">
        <f t="shared" si="305"/>
        <v>1</v>
      </c>
    </row>
    <row r="1615" spans="1:14" hidden="1" x14ac:dyDescent="0.25">
      <c r="A1615" t="s">
        <v>1403</v>
      </c>
      <c r="B1615" t="s">
        <v>1853</v>
      </c>
      <c r="C1615" s="1">
        <v>0</v>
      </c>
      <c r="D1615" s="1">
        <v>0</v>
      </c>
      <c r="E1615" s="1">
        <v>0</v>
      </c>
      <c r="F1615" s="1">
        <v>2.1E-7</v>
      </c>
      <c r="G1615">
        <f t="shared" si="300"/>
        <v>6</v>
      </c>
      <c r="H1615" t="str">
        <f>RIGHT(B1615,3)</f>
        <v>LTC</v>
      </c>
      <c r="I1615" t="str">
        <f>LEFT(B1615,3)</f>
        <v>SVC</v>
      </c>
      <c r="J1615" t="str">
        <f t="shared" si="301"/>
        <v>LTCSVC</v>
      </c>
      <c r="K1615" t="str">
        <f t="shared" si="302"/>
        <v>SVCLTC</v>
      </c>
      <c r="L1615">
        <f t="shared" si="303"/>
        <v>0</v>
      </c>
      <c r="M1615">
        <f t="shared" si="304"/>
        <v>1</v>
      </c>
      <c r="N1615" t="b">
        <f t="shared" si="305"/>
        <v>1</v>
      </c>
    </row>
    <row r="1616" spans="1:14" hidden="1" x14ac:dyDescent="0.25">
      <c r="A1616" t="s">
        <v>1403</v>
      </c>
      <c r="B1616" t="s">
        <v>1664</v>
      </c>
      <c r="C1616" s="1">
        <v>0</v>
      </c>
      <c r="D1616" s="1">
        <v>0</v>
      </c>
      <c r="E1616" s="1">
        <v>0</v>
      </c>
      <c r="F1616" s="1">
        <v>1.0030000000000001E-5</v>
      </c>
      <c r="G1616">
        <f t="shared" si="300"/>
        <v>6</v>
      </c>
      <c r="H1616" t="str">
        <f>RIGHT(B1616,3)</f>
        <v>USD</v>
      </c>
      <c r="I1616" t="str">
        <f>LEFT(B1616,3)</f>
        <v>SVC</v>
      </c>
      <c r="J1616" t="str">
        <f t="shared" si="301"/>
        <v>USDSVC</v>
      </c>
      <c r="K1616" t="str">
        <f t="shared" si="302"/>
        <v>SVCUSD</v>
      </c>
      <c r="L1616">
        <f t="shared" si="303"/>
        <v>0</v>
      </c>
      <c r="M1616">
        <f t="shared" si="304"/>
        <v>1</v>
      </c>
      <c r="N1616" t="b">
        <f t="shared" si="305"/>
        <v>1</v>
      </c>
    </row>
    <row r="1617" spans="1:14" hidden="1" x14ac:dyDescent="0.25">
      <c r="A1617" t="s">
        <v>1403</v>
      </c>
      <c r="B1617" t="s">
        <v>1499</v>
      </c>
      <c r="C1617" s="1" t="s">
        <v>1489</v>
      </c>
      <c r="D1617" s="1">
        <v>2.192E-5</v>
      </c>
      <c r="E1617" s="1">
        <v>1.999E-5</v>
      </c>
      <c r="F1617" s="1">
        <v>9.0100000000000001E-6</v>
      </c>
      <c r="G1617">
        <f t="shared" si="300"/>
        <v>7</v>
      </c>
      <c r="H1617" t="str">
        <f>RIGHT(B1617,3)</f>
        <v>BTC</v>
      </c>
      <c r="I1617" t="str">
        <f>LEFT(B1617,4)</f>
        <v>SWCO</v>
      </c>
      <c r="J1617" t="str">
        <f t="shared" si="301"/>
        <v>BTCSWCO</v>
      </c>
      <c r="K1617" t="str">
        <f t="shared" si="302"/>
        <v>SWCOBTC</v>
      </c>
      <c r="L1617">
        <f t="shared" si="303"/>
        <v>0</v>
      </c>
      <c r="M1617">
        <f t="shared" si="304"/>
        <v>1</v>
      </c>
      <c r="N1617" t="b">
        <f t="shared" si="305"/>
        <v>1</v>
      </c>
    </row>
    <row r="1618" spans="1:14" hidden="1" x14ac:dyDescent="0.25">
      <c r="A1618" t="s">
        <v>1403</v>
      </c>
      <c r="B1618" t="s">
        <v>2047</v>
      </c>
      <c r="C1618" s="1">
        <v>40470</v>
      </c>
      <c r="D1618" s="1">
        <v>40470</v>
      </c>
      <c r="E1618" s="1">
        <v>40470</v>
      </c>
      <c r="F1618" s="1">
        <v>2.1000002900000001</v>
      </c>
      <c r="G1618">
        <f t="shared" si="300"/>
        <v>8</v>
      </c>
      <c r="H1618" t="str">
        <f>RIGHT(B1618,4)</f>
        <v>DOGE</v>
      </c>
      <c r="I1618" t="str">
        <f>LEFT(B1618,4)</f>
        <v>SWCO</v>
      </c>
      <c r="J1618" t="str">
        <f t="shared" si="301"/>
        <v>DOGESWCO</v>
      </c>
      <c r="K1618" t="str">
        <f t="shared" si="302"/>
        <v>SWCODOGE</v>
      </c>
      <c r="L1618">
        <f t="shared" si="303"/>
        <v>0</v>
      </c>
      <c r="M1618">
        <f t="shared" si="304"/>
        <v>1</v>
      </c>
      <c r="N1618" t="b">
        <f t="shared" si="305"/>
        <v>1</v>
      </c>
    </row>
    <row r="1619" spans="1:14" hidden="1" x14ac:dyDescent="0.25">
      <c r="A1619" t="s">
        <v>1403</v>
      </c>
      <c r="B1619" t="s">
        <v>1854</v>
      </c>
      <c r="C1619" s="1">
        <v>0</v>
      </c>
      <c r="D1619" s="1">
        <v>0</v>
      </c>
      <c r="E1619" s="1">
        <v>0</v>
      </c>
      <c r="F1619" s="1">
        <v>9.0001000000000002E-4</v>
      </c>
      <c r="G1619">
        <f t="shared" si="300"/>
        <v>7</v>
      </c>
      <c r="H1619" t="str">
        <f t="shared" ref="H1619:H1635" si="307">RIGHT(B1619,3)</f>
        <v>LTC</v>
      </c>
      <c r="I1619" t="str">
        <f>LEFT(B1619,4)</f>
        <v>SWCO</v>
      </c>
      <c r="J1619" t="str">
        <f t="shared" si="301"/>
        <v>LTCSWCO</v>
      </c>
      <c r="K1619" t="str">
        <f t="shared" si="302"/>
        <v>SWCOLTC</v>
      </c>
      <c r="L1619">
        <f t="shared" si="303"/>
        <v>0</v>
      </c>
      <c r="M1619">
        <f t="shared" si="304"/>
        <v>1</v>
      </c>
      <c r="N1619" t="b">
        <f t="shared" si="305"/>
        <v>1</v>
      </c>
    </row>
    <row r="1620" spans="1:14" hidden="1" x14ac:dyDescent="0.25">
      <c r="A1620" t="s">
        <v>1403</v>
      </c>
      <c r="B1620" t="s">
        <v>1665</v>
      </c>
      <c r="C1620" s="1">
        <v>0.89899989999999996</v>
      </c>
      <c r="D1620" s="1">
        <v>0.89899989999999996</v>
      </c>
      <c r="E1620" s="1">
        <v>0.89899989999999996</v>
      </c>
      <c r="F1620" s="1">
        <v>8.0042999999999998E-4</v>
      </c>
      <c r="G1620">
        <f t="shared" si="300"/>
        <v>7</v>
      </c>
      <c r="H1620" t="str">
        <f t="shared" si="307"/>
        <v>USD</v>
      </c>
      <c r="I1620" t="str">
        <f>LEFT(B1620,4)</f>
        <v>SWCO</v>
      </c>
      <c r="J1620" t="str">
        <f t="shared" si="301"/>
        <v>USDSWCO</v>
      </c>
      <c r="K1620" t="str">
        <f t="shared" si="302"/>
        <v>SWCOUSD</v>
      </c>
      <c r="L1620">
        <f t="shared" si="303"/>
        <v>0</v>
      </c>
      <c r="M1620">
        <f t="shared" si="304"/>
        <v>1</v>
      </c>
      <c r="N1620" t="b">
        <f t="shared" si="305"/>
        <v>1</v>
      </c>
    </row>
    <row r="1621" spans="1:14" hidden="1" x14ac:dyDescent="0.25">
      <c r="A1621" t="s">
        <v>5</v>
      </c>
      <c r="B1621" t="s">
        <v>875</v>
      </c>
      <c r="C1621" s="1" t="s">
        <v>384</v>
      </c>
      <c r="D1621" s="1" t="s">
        <v>361</v>
      </c>
      <c r="E1621" s="1" t="s">
        <v>384</v>
      </c>
      <c r="F1621" s="1" t="s">
        <v>361</v>
      </c>
      <c r="G1621">
        <f t="shared" si="300"/>
        <v>8</v>
      </c>
      <c r="H1621" t="str">
        <f t="shared" si="307"/>
        <v>BTC</v>
      </c>
      <c r="I1621" t="str">
        <f>LEFT(B1621,5)</f>
        <v>SWEET</v>
      </c>
      <c r="J1621" t="str">
        <f t="shared" si="301"/>
        <v>BTCSWEET</v>
      </c>
      <c r="K1621" t="str">
        <f t="shared" si="302"/>
        <v>SWEETBTC</v>
      </c>
      <c r="L1621">
        <f t="shared" si="303"/>
        <v>0</v>
      </c>
      <c r="M1621">
        <f t="shared" si="304"/>
        <v>1</v>
      </c>
      <c r="N1621" t="b">
        <f t="shared" si="305"/>
        <v>1</v>
      </c>
    </row>
    <row r="1622" spans="1:14" hidden="1" x14ac:dyDescent="0.25">
      <c r="A1622" t="s">
        <v>5</v>
      </c>
      <c r="B1622" t="s">
        <v>1126</v>
      </c>
      <c r="C1622" s="1">
        <v>1.9700000000000001E-5</v>
      </c>
      <c r="D1622" s="1">
        <v>1.506E-5</v>
      </c>
      <c r="E1622" s="1">
        <v>1.9700000000000001E-5</v>
      </c>
      <c r="F1622" s="1">
        <v>1.506E-5</v>
      </c>
      <c r="G1622">
        <f t="shared" si="300"/>
        <v>8</v>
      </c>
      <c r="H1622" t="str">
        <f t="shared" si="307"/>
        <v>BTC</v>
      </c>
      <c r="I1622" t="str">
        <f>LEFT(B1622,5)</f>
        <v>SWING</v>
      </c>
      <c r="J1622" t="str">
        <f t="shared" si="301"/>
        <v>BTCSWING</v>
      </c>
      <c r="K1622" t="str">
        <f t="shared" si="302"/>
        <v>SWINGBTC</v>
      </c>
      <c r="L1622">
        <f t="shared" si="303"/>
        <v>0</v>
      </c>
      <c r="M1622">
        <f t="shared" si="304"/>
        <v>1</v>
      </c>
      <c r="N1622" t="b">
        <f t="shared" si="305"/>
        <v>1</v>
      </c>
    </row>
    <row r="1623" spans="1:14" hidden="1" x14ac:dyDescent="0.25">
      <c r="A1623" t="s">
        <v>1239</v>
      </c>
      <c r="B1623" t="s">
        <v>1352</v>
      </c>
      <c r="C1623" s="1">
        <v>3.2499799999999999</v>
      </c>
      <c r="D1623" s="1">
        <v>2.6008399999999998</v>
      </c>
      <c r="E1623" s="1">
        <v>3.2499799999999999</v>
      </c>
      <c r="F1623" s="1">
        <v>2.6008399999999998</v>
      </c>
      <c r="G1623">
        <f t="shared" si="300"/>
        <v>7</v>
      </c>
      <c r="H1623" t="str">
        <f t="shared" si="307"/>
        <v>USD</v>
      </c>
      <c r="I1623" t="str">
        <f>LEFT(B1623,4)</f>
        <v>TAAS</v>
      </c>
      <c r="J1623" t="str">
        <f t="shared" si="301"/>
        <v>USDTAAS</v>
      </c>
      <c r="K1623" t="str">
        <f t="shared" si="302"/>
        <v>TAASUSD</v>
      </c>
      <c r="L1623">
        <f t="shared" si="303"/>
        <v>0</v>
      </c>
      <c r="M1623">
        <f t="shared" si="304"/>
        <v>1</v>
      </c>
      <c r="N1623" t="b">
        <f t="shared" si="305"/>
        <v>1</v>
      </c>
    </row>
    <row r="1624" spans="1:14" hidden="1" x14ac:dyDescent="0.25">
      <c r="A1624" t="s">
        <v>5</v>
      </c>
      <c r="B1624" t="s">
        <v>987</v>
      </c>
      <c r="C1624" s="1">
        <v>8.6999999999999997E-6</v>
      </c>
      <c r="D1624" s="1">
        <v>6.6900000000000003E-6</v>
      </c>
      <c r="E1624" s="1">
        <v>8.6999999999999997E-6</v>
      </c>
      <c r="F1624" s="1">
        <v>6.6900000000000003E-6</v>
      </c>
      <c r="G1624">
        <f t="shared" si="300"/>
        <v>6</v>
      </c>
      <c r="H1624" t="str">
        <f t="shared" si="307"/>
        <v>BTC</v>
      </c>
      <c r="I1624" t="str">
        <f>LEFT(B1624,3)</f>
        <v>TAB</v>
      </c>
      <c r="J1624" t="str">
        <f t="shared" si="301"/>
        <v>BTCTAB</v>
      </c>
      <c r="K1624" t="str">
        <f t="shared" si="302"/>
        <v>TABBTC</v>
      </c>
      <c r="L1624">
        <f t="shared" si="303"/>
        <v>0</v>
      </c>
      <c r="M1624">
        <f t="shared" si="304"/>
        <v>1</v>
      </c>
      <c r="N1624" t="b">
        <f t="shared" si="305"/>
        <v>1</v>
      </c>
    </row>
    <row r="1625" spans="1:14" hidden="1" x14ac:dyDescent="0.25">
      <c r="A1625" t="s">
        <v>5</v>
      </c>
      <c r="B1625" t="s">
        <v>951</v>
      </c>
      <c r="C1625" s="1">
        <v>1.6E-7</v>
      </c>
      <c r="D1625" s="1">
        <v>1.4000000000000001E-7</v>
      </c>
      <c r="E1625" s="1">
        <v>1.6E-7</v>
      </c>
      <c r="F1625" s="1">
        <v>1.4000000000000001E-7</v>
      </c>
      <c r="G1625">
        <f t="shared" si="300"/>
        <v>7</v>
      </c>
      <c r="H1625" t="str">
        <f t="shared" si="307"/>
        <v>BTC</v>
      </c>
      <c r="I1625" t="str">
        <f>LEFT(B1625,4)</f>
        <v>TAGR</v>
      </c>
      <c r="J1625" t="str">
        <f t="shared" si="301"/>
        <v>BTCTAGR</v>
      </c>
      <c r="K1625" t="str">
        <f t="shared" si="302"/>
        <v>TAGRBTC</v>
      </c>
      <c r="L1625">
        <f t="shared" si="303"/>
        <v>0</v>
      </c>
      <c r="M1625">
        <f t="shared" si="304"/>
        <v>1</v>
      </c>
      <c r="N1625" t="b">
        <f t="shared" si="305"/>
        <v>1</v>
      </c>
    </row>
    <row r="1626" spans="1:14" hidden="1" x14ac:dyDescent="0.25">
      <c r="A1626" t="s">
        <v>5</v>
      </c>
      <c r="B1626" t="s">
        <v>959</v>
      </c>
      <c r="C1626" s="1">
        <v>1.1000000000000001E-6</v>
      </c>
      <c r="D1626" s="1">
        <v>9.7000000000000003E-7</v>
      </c>
      <c r="E1626" s="1">
        <v>1.1000000000000001E-6</v>
      </c>
      <c r="F1626" s="1">
        <v>9.7000000000000003E-7</v>
      </c>
      <c r="G1626">
        <f t="shared" si="300"/>
        <v>6</v>
      </c>
      <c r="H1626" t="str">
        <f t="shared" si="307"/>
        <v>BTC</v>
      </c>
      <c r="I1626" t="str">
        <f>LEFT(B1626,3)</f>
        <v>TAJ</v>
      </c>
      <c r="J1626" t="str">
        <f t="shared" si="301"/>
        <v>BTCTAJ</v>
      </c>
      <c r="K1626" t="str">
        <f t="shared" si="302"/>
        <v>TAJBTC</v>
      </c>
      <c r="L1626">
        <f t="shared" si="303"/>
        <v>0</v>
      </c>
      <c r="M1626">
        <f t="shared" si="304"/>
        <v>1</v>
      </c>
      <c r="N1626" t="b">
        <f t="shared" si="305"/>
        <v>1</v>
      </c>
    </row>
    <row r="1627" spans="1:14" hidden="1" x14ac:dyDescent="0.25">
      <c r="A1627" t="s">
        <v>5</v>
      </c>
      <c r="B1627" t="s">
        <v>360</v>
      </c>
      <c r="C1627" s="1" t="s">
        <v>361</v>
      </c>
      <c r="D1627" s="1" t="s">
        <v>362</v>
      </c>
      <c r="E1627" s="1" t="s">
        <v>361</v>
      </c>
      <c r="F1627" s="1" t="s">
        <v>362</v>
      </c>
      <c r="G1627">
        <f t="shared" si="300"/>
        <v>6</v>
      </c>
      <c r="H1627" t="str">
        <f t="shared" si="307"/>
        <v>BTC</v>
      </c>
      <c r="I1627" t="str">
        <f>LEFT(B1627,3)</f>
        <v>TAK</v>
      </c>
      <c r="J1627" t="str">
        <f t="shared" si="301"/>
        <v>BTCTAK</v>
      </c>
      <c r="K1627" t="str">
        <f t="shared" si="302"/>
        <v>TAKBTC</v>
      </c>
      <c r="L1627">
        <f t="shared" si="303"/>
        <v>0</v>
      </c>
      <c r="M1627">
        <f t="shared" si="304"/>
        <v>1</v>
      </c>
      <c r="N1627" t="b">
        <f t="shared" si="305"/>
        <v>1</v>
      </c>
    </row>
    <row r="1628" spans="1:14" hidden="1" x14ac:dyDescent="0.25">
      <c r="A1628" t="s">
        <v>5</v>
      </c>
      <c r="B1628" t="s">
        <v>978</v>
      </c>
      <c r="C1628" s="1" t="s">
        <v>362</v>
      </c>
      <c r="D1628" s="1" t="s">
        <v>364</v>
      </c>
      <c r="E1628" s="1" t="s">
        <v>362</v>
      </c>
      <c r="F1628" s="1" t="s">
        <v>355</v>
      </c>
      <c r="G1628">
        <f t="shared" si="300"/>
        <v>7</v>
      </c>
      <c r="H1628" t="str">
        <f t="shared" si="307"/>
        <v>BTC</v>
      </c>
      <c r="I1628" t="str">
        <f>LEFT(B1628,4)</f>
        <v>TAKE</v>
      </c>
      <c r="J1628" t="str">
        <f t="shared" si="301"/>
        <v>BTCTAKE</v>
      </c>
      <c r="K1628" t="str">
        <f t="shared" si="302"/>
        <v>TAKEBTC</v>
      </c>
      <c r="L1628">
        <f t="shared" si="303"/>
        <v>0</v>
      </c>
      <c r="M1628">
        <f t="shared" si="304"/>
        <v>1</v>
      </c>
      <c r="N1628" t="b">
        <f t="shared" si="305"/>
        <v>1</v>
      </c>
    </row>
    <row r="1629" spans="1:14" hidden="1" x14ac:dyDescent="0.25">
      <c r="A1629" t="s">
        <v>5</v>
      </c>
      <c r="B1629" t="s">
        <v>1068</v>
      </c>
      <c r="C1629" s="1">
        <v>1.86E-6</v>
      </c>
      <c r="D1629" s="1">
        <v>1.5799999999999999E-6</v>
      </c>
      <c r="E1629" s="1">
        <v>1.86E-6</v>
      </c>
      <c r="F1629" s="1">
        <v>1.5799999999999999E-6</v>
      </c>
      <c r="G1629">
        <f t="shared" si="300"/>
        <v>7</v>
      </c>
      <c r="H1629" t="str">
        <f t="shared" si="307"/>
        <v>BTC</v>
      </c>
      <c r="I1629" t="str">
        <f>LEFT(B1629,4)</f>
        <v>TALK</v>
      </c>
      <c r="J1629" t="str">
        <f t="shared" si="301"/>
        <v>BTCTALK</v>
      </c>
      <c r="K1629" t="str">
        <f t="shared" si="302"/>
        <v>TALKBTC</v>
      </c>
      <c r="L1629">
        <f t="shared" si="303"/>
        <v>0</v>
      </c>
      <c r="M1629">
        <f t="shared" si="304"/>
        <v>1</v>
      </c>
      <c r="N1629" t="b">
        <f t="shared" si="305"/>
        <v>1</v>
      </c>
    </row>
    <row r="1630" spans="1:14" hidden="1" x14ac:dyDescent="0.25">
      <c r="A1630" t="s">
        <v>5</v>
      </c>
      <c r="B1630" t="s">
        <v>865</v>
      </c>
      <c r="C1630" s="1">
        <v>3.9959999999999997E-5</v>
      </c>
      <c r="D1630" s="1">
        <v>2.4510000000000001E-5</v>
      </c>
      <c r="E1630" s="1">
        <v>3.9959999999999997E-5</v>
      </c>
      <c r="F1630" s="1">
        <v>2.4510000000000001E-5</v>
      </c>
      <c r="G1630">
        <f t="shared" si="300"/>
        <v>6</v>
      </c>
      <c r="H1630" t="str">
        <f t="shared" si="307"/>
        <v>BTC</v>
      </c>
      <c r="I1630" t="str">
        <f>LEFT(B1630,3)</f>
        <v>TAM</v>
      </c>
      <c r="J1630" t="str">
        <f t="shared" si="301"/>
        <v>BTCTAM</v>
      </c>
      <c r="K1630" t="str">
        <f t="shared" si="302"/>
        <v>TAMBTC</v>
      </c>
      <c r="L1630">
        <f t="shared" si="303"/>
        <v>0</v>
      </c>
      <c r="M1630">
        <f t="shared" si="304"/>
        <v>1</v>
      </c>
      <c r="N1630" t="b">
        <f t="shared" si="305"/>
        <v>1</v>
      </c>
    </row>
    <row r="1631" spans="1:14" hidden="1" x14ac:dyDescent="0.25">
      <c r="A1631" t="s">
        <v>5</v>
      </c>
      <c r="B1631" t="s">
        <v>693</v>
      </c>
      <c r="C1631" s="1">
        <v>4.7099999999999998E-6</v>
      </c>
      <c r="D1631" s="1" t="s">
        <v>692</v>
      </c>
      <c r="E1631" s="1">
        <v>4.7099999999999998E-6</v>
      </c>
      <c r="F1631" s="1" t="s">
        <v>692</v>
      </c>
      <c r="G1631">
        <f t="shared" si="300"/>
        <v>6</v>
      </c>
      <c r="H1631" t="str">
        <f t="shared" si="307"/>
        <v>BTC</v>
      </c>
      <c r="I1631" t="str">
        <f>LEFT(B1631,3)</f>
        <v>TAO</v>
      </c>
      <c r="J1631" t="str">
        <f t="shared" si="301"/>
        <v>BTCTAO</v>
      </c>
      <c r="K1631" t="str">
        <f t="shared" si="302"/>
        <v>TAOBTC</v>
      </c>
      <c r="L1631">
        <f t="shared" si="303"/>
        <v>0</v>
      </c>
      <c r="M1631">
        <f t="shared" si="304"/>
        <v>1</v>
      </c>
      <c r="N1631" t="b">
        <f t="shared" si="305"/>
        <v>1</v>
      </c>
    </row>
    <row r="1632" spans="1:14" hidden="1" x14ac:dyDescent="0.25">
      <c r="A1632" t="s">
        <v>5</v>
      </c>
      <c r="B1632" t="s">
        <v>1118</v>
      </c>
      <c r="C1632" s="1" t="s">
        <v>362</v>
      </c>
      <c r="D1632" s="1" t="s">
        <v>364</v>
      </c>
      <c r="E1632" s="1" t="s">
        <v>362</v>
      </c>
      <c r="F1632" s="1">
        <v>1.096E-5</v>
      </c>
      <c r="G1632">
        <f t="shared" si="300"/>
        <v>6</v>
      </c>
      <c r="H1632" t="str">
        <f t="shared" si="307"/>
        <v>BTC</v>
      </c>
      <c r="I1632" t="str">
        <f>LEFT(B1632,3)</f>
        <v>TAP</v>
      </c>
      <c r="J1632" t="str">
        <f t="shared" si="301"/>
        <v>BTCTAP</v>
      </c>
      <c r="K1632" t="str">
        <f t="shared" si="302"/>
        <v>TAPBTC</v>
      </c>
      <c r="L1632">
        <f t="shared" si="303"/>
        <v>0</v>
      </c>
      <c r="M1632">
        <f t="shared" si="304"/>
        <v>1</v>
      </c>
      <c r="N1632" t="b">
        <f t="shared" si="305"/>
        <v>1</v>
      </c>
    </row>
    <row r="1633" spans="1:14" hidden="1" x14ac:dyDescent="0.25">
      <c r="A1633" t="s">
        <v>5</v>
      </c>
      <c r="B1633" t="s">
        <v>537</v>
      </c>
      <c r="C1633" s="1">
        <v>1.0720000000000001E-5</v>
      </c>
      <c r="D1633" s="1">
        <v>8.0299999999999994E-6</v>
      </c>
      <c r="E1633" s="1">
        <v>1.0720000000000001E-5</v>
      </c>
      <c r="F1633" s="1">
        <v>8.0299999999999994E-6</v>
      </c>
      <c r="G1633">
        <f t="shared" si="300"/>
        <v>5</v>
      </c>
      <c r="H1633" t="str">
        <f t="shared" si="307"/>
        <v>BTC</v>
      </c>
      <c r="I1633" t="str">
        <f>LEFT(B1633,2)</f>
        <v>TB</v>
      </c>
      <c r="J1633" t="str">
        <f t="shared" si="301"/>
        <v>BTCTB</v>
      </c>
      <c r="K1633" t="str">
        <f t="shared" si="302"/>
        <v>TBBTC</v>
      </c>
      <c r="L1633">
        <f t="shared" si="303"/>
        <v>0</v>
      </c>
      <c r="M1633">
        <f t="shared" si="304"/>
        <v>1</v>
      </c>
      <c r="N1633" t="b">
        <f t="shared" si="305"/>
        <v>1</v>
      </c>
    </row>
    <row r="1634" spans="1:14" hidden="1" x14ac:dyDescent="0.25">
      <c r="A1634" t="s">
        <v>5</v>
      </c>
      <c r="B1634" t="s">
        <v>1189</v>
      </c>
      <c r="C1634" s="1">
        <v>1.6E-7</v>
      </c>
      <c r="D1634" s="1">
        <v>1.1999999999999999E-7</v>
      </c>
      <c r="E1634" s="1">
        <v>1.6E-7</v>
      </c>
      <c r="F1634" s="1">
        <v>1.1999999999999999E-7</v>
      </c>
      <c r="G1634">
        <f t="shared" si="300"/>
        <v>7</v>
      </c>
      <c r="H1634" t="str">
        <f t="shared" si="307"/>
        <v>BTC</v>
      </c>
      <c r="I1634" t="str">
        <f>LEFT(B1634,4)</f>
        <v>TBCX</v>
      </c>
      <c r="J1634" t="str">
        <f t="shared" si="301"/>
        <v>BTCTBCX</v>
      </c>
      <c r="K1634" t="str">
        <f t="shared" si="302"/>
        <v>TBCXBTC</v>
      </c>
      <c r="L1634">
        <f t="shared" si="303"/>
        <v>0</v>
      </c>
      <c r="M1634">
        <f t="shared" si="304"/>
        <v>1</v>
      </c>
      <c r="N1634" t="b">
        <f t="shared" si="305"/>
        <v>1</v>
      </c>
    </row>
    <row r="1635" spans="1:14" hidden="1" x14ac:dyDescent="0.25">
      <c r="A1635" t="s">
        <v>1403</v>
      </c>
      <c r="B1635" t="s">
        <v>1500</v>
      </c>
      <c r="C1635" s="1">
        <v>1.7657E-4</v>
      </c>
      <c r="D1635" s="1">
        <v>1.8000000000000001E-4</v>
      </c>
      <c r="E1635" s="1">
        <v>1.8000000000000001E-4</v>
      </c>
      <c r="F1635" s="1">
        <v>1.7634000000000001E-4</v>
      </c>
      <c r="G1635">
        <f t="shared" si="300"/>
        <v>8</v>
      </c>
      <c r="H1635" t="str">
        <f t="shared" si="307"/>
        <v>BTC</v>
      </c>
      <c r="I1635" t="str">
        <f>LEFT(B1635,5)</f>
        <v>TCASH</v>
      </c>
      <c r="J1635" t="str">
        <f t="shared" si="301"/>
        <v>BTCTCASH</v>
      </c>
      <c r="K1635" t="str">
        <f t="shared" si="302"/>
        <v>TCASHBTC</v>
      </c>
      <c r="L1635">
        <f t="shared" si="303"/>
        <v>0</v>
      </c>
      <c r="M1635">
        <f t="shared" si="304"/>
        <v>1</v>
      </c>
      <c r="N1635" t="b">
        <f t="shared" si="305"/>
        <v>1</v>
      </c>
    </row>
    <row r="1636" spans="1:14" hidden="1" x14ac:dyDescent="0.25">
      <c r="A1636" t="s">
        <v>1403</v>
      </c>
      <c r="B1636" t="s">
        <v>2048</v>
      </c>
      <c r="C1636" s="1">
        <v>115.92</v>
      </c>
      <c r="D1636" s="1">
        <v>115.92</v>
      </c>
      <c r="E1636" s="1">
        <v>115.92</v>
      </c>
      <c r="F1636" s="1">
        <v>11.100000530000001</v>
      </c>
      <c r="G1636">
        <f t="shared" si="300"/>
        <v>9</v>
      </c>
      <c r="H1636" t="str">
        <f>RIGHT(B1636,4)</f>
        <v>DOGE</v>
      </c>
      <c r="I1636" t="str">
        <f>LEFT(B1636,5)</f>
        <v>TCASH</v>
      </c>
      <c r="J1636" t="str">
        <f t="shared" si="301"/>
        <v>DOGETCASH</v>
      </c>
      <c r="K1636" t="str">
        <f t="shared" si="302"/>
        <v>TCASHDOGE</v>
      </c>
      <c r="L1636">
        <f t="shared" si="303"/>
        <v>0</v>
      </c>
      <c r="M1636">
        <f t="shared" si="304"/>
        <v>1</v>
      </c>
      <c r="N1636" t="b">
        <f t="shared" si="305"/>
        <v>1</v>
      </c>
    </row>
    <row r="1637" spans="1:14" hidden="1" x14ac:dyDescent="0.25">
      <c r="A1637" t="s">
        <v>1403</v>
      </c>
      <c r="B1637" t="s">
        <v>1855</v>
      </c>
      <c r="C1637" s="1">
        <v>0</v>
      </c>
      <c r="D1637" s="1">
        <v>0</v>
      </c>
      <c r="E1637" s="1">
        <v>0</v>
      </c>
      <c r="F1637" s="1" t="s">
        <v>356</v>
      </c>
      <c r="G1637">
        <f t="shared" si="300"/>
        <v>8</v>
      </c>
      <c r="H1637" t="str">
        <f>RIGHT(B1637,3)</f>
        <v>LTC</v>
      </c>
      <c r="I1637" t="str">
        <f>LEFT(B1637,5)</f>
        <v>TCASH</v>
      </c>
      <c r="J1637" t="str">
        <f t="shared" si="301"/>
        <v>LTCTCASH</v>
      </c>
      <c r="K1637" t="str">
        <f t="shared" si="302"/>
        <v>TCASHLTC</v>
      </c>
      <c r="L1637">
        <f t="shared" si="303"/>
        <v>0</v>
      </c>
      <c r="M1637">
        <f t="shared" si="304"/>
        <v>1</v>
      </c>
      <c r="N1637" t="b">
        <f t="shared" si="305"/>
        <v>1</v>
      </c>
    </row>
    <row r="1638" spans="1:14" hidden="1" x14ac:dyDescent="0.25">
      <c r="A1638" t="s">
        <v>1403</v>
      </c>
      <c r="B1638" t="s">
        <v>1666</v>
      </c>
      <c r="C1638" s="1">
        <v>0</v>
      </c>
      <c r="D1638" s="1">
        <v>0</v>
      </c>
      <c r="E1638" s="1">
        <v>0</v>
      </c>
      <c r="F1638" s="1">
        <v>5.0001200000000003E-3</v>
      </c>
      <c r="G1638">
        <f t="shared" si="300"/>
        <v>8</v>
      </c>
      <c r="H1638" t="str">
        <f>RIGHT(B1638,3)</f>
        <v>USD</v>
      </c>
      <c r="I1638" t="str">
        <f>LEFT(B1638,5)</f>
        <v>TCASH</v>
      </c>
      <c r="J1638" t="str">
        <f t="shared" si="301"/>
        <v>USDTCASH</v>
      </c>
      <c r="K1638" t="str">
        <f t="shared" si="302"/>
        <v>TCASHUSD</v>
      </c>
      <c r="L1638">
        <f t="shared" si="303"/>
        <v>0</v>
      </c>
      <c r="M1638">
        <f t="shared" si="304"/>
        <v>1</v>
      </c>
      <c r="N1638" t="b">
        <f t="shared" si="305"/>
        <v>1</v>
      </c>
    </row>
    <row r="1639" spans="1:14" hidden="1" x14ac:dyDescent="0.25">
      <c r="A1639" t="s">
        <v>5</v>
      </c>
      <c r="B1639" t="s">
        <v>430</v>
      </c>
      <c r="C1639" s="1">
        <v>8.0999999999999997E-7</v>
      </c>
      <c r="D1639" s="1" t="s">
        <v>403</v>
      </c>
      <c r="E1639" s="1">
        <v>8.0999999999999997E-7</v>
      </c>
      <c r="F1639" s="1" t="s">
        <v>403</v>
      </c>
      <c r="G1639">
        <f t="shared" si="300"/>
        <v>6</v>
      </c>
      <c r="H1639" t="str">
        <f>RIGHT(B1639,3)</f>
        <v>BTC</v>
      </c>
      <c r="I1639" t="str">
        <f>LEFT(B1639,3)</f>
        <v>TCN</v>
      </c>
      <c r="J1639" t="str">
        <f t="shared" si="301"/>
        <v>BTCTCN</v>
      </c>
      <c r="K1639" t="str">
        <f t="shared" si="302"/>
        <v>TCNBTC</v>
      </c>
      <c r="L1639">
        <f t="shared" si="303"/>
        <v>0</v>
      </c>
      <c r="M1639">
        <f t="shared" si="304"/>
        <v>1</v>
      </c>
      <c r="N1639" t="b">
        <f t="shared" si="305"/>
        <v>1</v>
      </c>
    </row>
    <row r="1640" spans="1:14" hidden="1" x14ac:dyDescent="0.25">
      <c r="A1640" t="s">
        <v>1403</v>
      </c>
      <c r="B1640" t="s">
        <v>1501</v>
      </c>
      <c r="C1640" s="1">
        <v>1.6999999999999999E-7</v>
      </c>
      <c r="D1640" s="1">
        <v>1.6999999999999999E-7</v>
      </c>
      <c r="E1640" s="1">
        <v>1.8E-7</v>
      </c>
      <c r="F1640" s="1">
        <v>1.6999999999999999E-7</v>
      </c>
      <c r="G1640">
        <f t="shared" si="300"/>
        <v>8</v>
      </c>
      <c r="H1640" t="str">
        <f>RIGHT(B1640,3)</f>
        <v>BTC</v>
      </c>
      <c r="I1640" t="str">
        <f>LEFT(B1640,5)</f>
        <v>TCOIN</v>
      </c>
      <c r="J1640" t="str">
        <f t="shared" si="301"/>
        <v>BTCTCOIN</v>
      </c>
      <c r="K1640" t="str">
        <f t="shared" si="302"/>
        <v>TCOINBTC</v>
      </c>
      <c r="L1640">
        <f t="shared" si="303"/>
        <v>0</v>
      </c>
      <c r="M1640">
        <f t="shared" si="304"/>
        <v>1</v>
      </c>
      <c r="N1640" t="b">
        <f t="shared" si="305"/>
        <v>1</v>
      </c>
    </row>
    <row r="1641" spans="1:14" hidden="1" x14ac:dyDescent="0.25">
      <c r="A1641" t="s">
        <v>1403</v>
      </c>
      <c r="B1641" t="s">
        <v>2049</v>
      </c>
      <c r="C1641" s="1">
        <v>0.4</v>
      </c>
      <c r="D1641" s="1">
        <v>0.4</v>
      </c>
      <c r="E1641" s="1">
        <v>0.4</v>
      </c>
      <c r="F1641" s="1">
        <v>3.1000050000000001E-2</v>
      </c>
      <c r="G1641">
        <f t="shared" si="300"/>
        <v>9</v>
      </c>
      <c r="H1641" t="str">
        <f>RIGHT(B1641,4)</f>
        <v>DOGE</v>
      </c>
      <c r="I1641" t="str">
        <f>LEFT(B1641,5)</f>
        <v>TCOIN</v>
      </c>
      <c r="J1641" t="str">
        <f t="shared" si="301"/>
        <v>DOGETCOIN</v>
      </c>
      <c r="K1641" t="str">
        <f t="shared" si="302"/>
        <v>TCOINDOGE</v>
      </c>
      <c r="L1641">
        <f t="shared" si="303"/>
        <v>0</v>
      </c>
      <c r="M1641">
        <f t="shared" si="304"/>
        <v>1</v>
      </c>
      <c r="N1641" t="b">
        <f t="shared" si="305"/>
        <v>1</v>
      </c>
    </row>
    <row r="1642" spans="1:14" hidden="1" x14ac:dyDescent="0.25">
      <c r="A1642" t="s">
        <v>1403</v>
      </c>
      <c r="B1642" t="s">
        <v>1856</v>
      </c>
      <c r="C1642" s="1">
        <v>2.7270000000000001E-5</v>
      </c>
      <c r="D1642" s="1">
        <v>2.7270000000000001E-5</v>
      </c>
      <c r="E1642" s="1">
        <v>3.6359999999999997E-5</v>
      </c>
      <c r="F1642" s="1">
        <v>6.02E-6</v>
      </c>
      <c r="G1642">
        <f t="shared" si="300"/>
        <v>8</v>
      </c>
      <c r="H1642" t="str">
        <f t="shared" ref="H1642:H1653" si="308">RIGHT(B1642,3)</f>
        <v>LTC</v>
      </c>
      <c r="I1642" t="str">
        <f>LEFT(B1642,5)</f>
        <v>TCOIN</v>
      </c>
      <c r="J1642" t="str">
        <f t="shared" si="301"/>
        <v>LTCTCOIN</v>
      </c>
      <c r="K1642" t="str">
        <f t="shared" si="302"/>
        <v>TCOINLTC</v>
      </c>
      <c r="L1642">
        <f t="shared" si="303"/>
        <v>0</v>
      </c>
      <c r="M1642">
        <f t="shared" si="304"/>
        <v>1</v>
      </c>
      <c r="N1642" t="b">
        <f t="shared" si="305"/>
        <v>1</v>
      </c>
    </row>
    <row r="1643" spans="1:14" hidden="1" x14ac:dyDescent="0.25">
      <c r="A1643" t="s">
        <v>1403</v>
      </c>
      <c r="B1643" t="s">
        <v>1667</v>
      </c>
      <c r="C1643" s="1">
        <v>7.1000000000000002E-4</v>
      </c>
      <c r="D1643" s="1">
        <v>7.1000000000000002E-4</v>
      </c>
      <c r="E1643" s="1">
        <v>7.2999999999999996E-4</v>
      </c>
      <c r="F1643" s="1">
        <v>3.7200999999999998E-4</v>
      </c>
      <c r="G1643">
        <f t="shared" si="300"/>
        <v>8</v>
      </c>
      <c r="H1643" t="str">
        <f t="shared" si="308"/>
        <v>USD</v>
      </c>
      <c r="I1643" t="str">
        <f>LEFT(B1643,5)</f>
        <v>TCOIN</v>
      </c>
      <c r="J1643" t="str">
        <f t="shared" si="301"/>
        <v>USDTCOIN</v>
      </c>
      <c r="K1643" t="str">
        <f t="shared" si="302"/>
        <v>TCOINUSD</v>
      </c>
      <c r="L1643">
        <f t="shared" si="303"/>
        <v>0</v>
      </c>
      <c r="M1643">
        <f t="shared" si="304"/>
        <v>1</v>
      </c>
      <c r="N1643" t="b">
        <f t="shared" si="305"/>
        <v>1</v>
      </c>
    </row>
    <row r="1644" spans="1:14" hidden="1" x14ac:dyDescent="0.25">
      <c r="A1644" t="s">
        <v>5</v>
      </c>
      <c r="B1644" t="s">
        <v>738</v>
      </c>
      <c r="C1644" s="1" t="s">
        <v>435</v>
      </c>
      <c r="D1644" s="1" t="s">
        <v>356</v>
      </c>
      <c r="E1644" s="1" t="s">
        <v>435</v>
      </c>
      <c r="F1644" s="1" t="s">
        <v>356</v>
      </c>
      <c r="G1644">
        <f t="shared" si="300"/>
        <v>6</v>
      </c>
      <c r="H1644" t="str">
        <f t="shared" si="308"/>
        <v>BTC</v>
      </c>
      <c r="I1644" t="str">
        <f>LEFT(B1644,3)</f>
        <v>TCR</v>
      </c>
      <c r="J1644" t="str">
        <f t="shared" si="301"/>
        <v>BTCTCR</v>
      </c>
      <c r="K1644" t="str">
        <f t="shared" si="302"/>
        <v>TCRBTC</v>
      </c>
      <c r="L1644">
        <f t="shared" si="303"/>
        <v>0</v>
      </c>
      <c r="M1644">
        <f t="shared" si="304"/>
        <v>1</v>
      </c>
      <c r="N1644" t="b">
        <f t="shared" si="305"/>
        <v>1</v>
      </c>
    </row>
    <row r="1645" spans="1:14" hidden="1" x14ac:dyDescent="0.25">
      <c r="A1645" t="s">
        <v>5</v>
      </c>
      <c r="B1645" t="s">
        <v>663</v>
      </c>
      <c r="C1645" s="1" t="s">
        <v>362</v>
      </c>
      <c r="D1645" s="1" t="s">
        <v>364</v>
      </c>
      <c r="E1645" s="1" t="s">
        <v>362</v>
      </c>
      <c r="F1645" s="1">
        <v>1.15E-6</v>
      </c>
      <c r="G1645">
        <f t="shared" si="300"/>
        <v>6</v>
      </c>
      <c r="H1645" t="str">
        <f t="shared" si="308"/>
        <v>BTC</v>
      </c>
      <c r="I1645" t="str">
        <f>LEFT(B1645,3)</f>
        <v>TCX</v>
      </c>
      <c r="J1645" t="str">
        <f t="shared" si="301"/>
        <v>BTCTCX</v>
      </c>
      <c r="K1645" t="str">
        <f t="shared" si="302"/>
        <v>TCXBTC</v>
      </c>
      <c r="L1645">
        <f t="shared" si="303"/>
        <v>0</v>
      </c>
      <c r="M1645">
        <f t="shared" si="304"/>
        <v>1</v>
      </c>
      <c r="N1645" t="b">
        <f t="shared" si="305"/>
        <v>1</v>
      </c>
    </row>
    <row r="1646" spans="1:14" hidden="1" x14ac:dyDescent="0.25">
      <c r="A1646" t="s">
        <v>5</v>
      </c>
      <c r="B1646" t="s">
        <v>818</v>
      </c>
      <c r="C1646" s="1">
        <v>6.1999999999999999E-6</v>
      </c>
      <c r="D1646" s="1">
        <v>5.3499999999999996E-6</v>
      </c>
      <c r="E1646" s="1">
        <v>6.1999999999999999E-6</v>
      </c>
      <c r="F1646" s="1">
        <v>5.3499999999999996E-6</v>
      </c>
      <c r="G1646">
        <f t="shared" si="300"/>
        <v>7</v>
      </c>
      <c r="H1646" t="str">
        <f t="shared" si="308"/>
        <v>BTC</v>
      </c>
      <c r="I1646" t="str">
        <f>LEFT(B1646,4)</f>
        <v>TDFB</v>
      </c>
      <c r="J1646" t="str">
        <f t="shared" si="301"/>
        <v>BTCTDFB</v>
      </c>
      <c r="K1646" t="str">
        <f t="shared" si="302"/>
        <v>TDFBBTC</v>
      </c>
      <c r="L1646">
        <f t="shared" si="303"/>
        <v>0</v>
      </c>
      <c r="M1646">
        <f t="shared" si="304"/>
        <v>1</v>
      </c>
      <c r="N1646" t="b">
        <f t="shared" si="305"/>
        <v>1</v>
      </c>
    </row>
    <row r="1647" spans="1:14" hidden="1" x14ac:dyDescent="0.25">
      <c r="A1647" t="s">
        <v>5</v>
      </c>
      <c r="B1647" t="s">
        <v>556</v>
      </c>
      <c r="C1647" s="1" t="s">
        <v>381</v>
      </c>
      <c r="D1647" s="1" t="s">
        <v>384</v>
      </c>
      <c r="E1647" s="1" t="s">
        <v>381</v>
      </c>
      <c r="F1647" s="1" t="s">
        <v>384</v>
      </c>
      <c r="G1647">
        <f t="shared" si="300"/>
        <v>7</v>
      </c>
      <c r="H1647" t="str">
        <f t="shared" si="308"/>
        <v>BTC</v>
      </c>
      <c r="I1647" t="str">
        <f>LEFT(B1647,4)</f>
        <v>TEAM</v>
      </c>
      <c r="J1647" t="str">
        <f t="shared" si="301"/>
        <v>BTCTEAM</v>
      </c>
      <c r="K1647" t="str">
        <f t="shared" si="302"/>
        <v>TEAMBTC</v>
      </c>
      <c r="L1647">
        <f t="shared" si="303"/>
        <v>0</v>
      </c>
      <c r="M1647">
        <f t="shared" si="304"/>
        <v>1</v>
      </c>
      <c r="N1647" t="b">
        <f t="shared" si="305"/>
        <v>1</v>
      </c>
    </row>
    <row r="1648" spans="1:14" hidden="1" x14ac:dyDescent="0.25">
      <c r="A1648" t="s">
        <v>5</v>
      </c>
      <c r="B1648" t="s">
        <v>503</v>
      </c>
      <c r="C1648" s="1">
        <v>3.5999999999999998E-6</v>
      </c>
      <c r="D1648" s="1">
        <v>2.6400000000000001E-6</v>
      </c>
      <c r="E1648" s="1">
        <v>3.5999999999999998E-6</v>
      </c>
      <c r="F1648" s="1">
        <v>2.6400000000000001E-6</v>
      </c>
      <c r="G1648">
        <f t="shared" si="300"/>
        <v>6</v>
      </c>
      <c r="H1648" t="str">
        <f t="shared" si="308"/>
        <v>BTC</v>
      </c>
      <c r="I1648" t="str">
        <f>LEFT(B1648,3)</f>
        <v>TEC</v>
      </c>
      <c r="J1648" t="str">
        <f t="shared" si="301"/>
        <v>BTCTEC</v>
      </c>
      <c r="K1648" t="str">
        <f t="shared" si="302"/>
        <v>TECBTC</v>
      </c>
      <c r="L1648">
        <f t="shared" si="303"/>
        <v>0</v>
      </c>
      <c r="M1648">
        <f t="shared" si="304"/>
        <v>1</v>
      </c>
      <c r="N1648" t="b">
        <f t="shared" si="305"/>
        <v>1</v>
      </c>
    </row>
    <row r="1649" spans="1:14" hidden="1" x14ac:dyDescent="0.25">
      <c r="A1649" t="s">
        <v>5</v>
      </c>
      <c r="B1649" t="s">
        <v>953</v>
      </c>
      <c r="C1649" s="1">
        <v>1.0944E-4</v>
      </c>
      <c r="D1649" s="1">
        <v>7.0290000000000006E-5</v>
      </c>
      <c r="E1649" s="1">
        <v>1.0944E-4</v>
      </c>
      <c r="F1649" s="1">
        <v>7.0290000000000006E-5</v>
      </c>
      <c r="G1649">
        <f t="shared" si="300"/>
        <v>7</v>
      </c>
      <c r="H1649" t="str">
        <f t="shared" si="308"/>
        <v>BTC</v>
      </c>
      <c r="I1649" t="str">
        <f>LEFT(B1649,4)</f>
        <v>TECH</v>
      </c>
      <c r="J1649" t="str">
        <f t="shared" si="301"/>
        <v>BTCTECH</v>
      </c>
      <c r="K1649" t="str">
        <f t="shared" si="302"/>
        <v>TECHBTC</v>
      </c>
      <c r="L1649">
        <f t="shared" si="303"/>
        <v>0</v>
      </c>
      <c r="M1649">
        <f t="shared" si="304"/>
        <v>1</v>
      </c>
      <c r="N1649" t="b">
        <f t="shared" si="305"/>
        <v>1</v>
      </c>
    </row>
    <row r="1650" spans="1:14" hidden="1" x14ac:dyDescent="0.25">
      <c r="A1650" t="s">
        <v>5</v>
      </c>
      <c r="B1650" t="s">
        <v>490</v>
      </c>
      <c r="C1650" s="1" t="s">
        <v>355</v>
      </c>
      <c r="D1650" s="1" t="s">
        <v>435</v>
      </c>
      <c r="E1650" s="1" t="s">
        <v>355</v>
      </c>
      <c r="F1650" s="1" t="s">
        <v>435</v>
      </c>
      <c r="G1650">
        <f t="shared" si="300"/>
        <v>6</v>
      </c>
      <c r="H1650" t="str">
        <f t="shared" si="308"/>
        <v>BTC</v>
      </c>
      <c r="I1650" t="str">
        <f>LEFT(B1650,3)</f>
        <v>TEK</v>
      </c>
      <c r="J1650" t="str">
        <f t="shared" si="301"/>
        <v>BTCTEK</v>
      </c>
      <c r="K1650" t="str">
        <f t="shared" si="302"/>
        <v>TEKBTC</v>
      </c>
      <c r="L1650">
        <f t="shared" si="303"/>
        <v>0</v>
      </c>
      <c r="M1650">
        <f t="shared" si="304"/>
        <v>1</v>
      </c>
      <c r="N1650" t="b">
        <f t="shared" si="305"/>
        <v>1</v>
      </c>
    </row>
    <row r="1651" spans="1:14" hidden="1" x14ac:dyDescent="0.25">
      <c r="A1651" t="s">
        <v>5</v>
      </c>
      <c r="B1651" t="s">
        <v>934</v>
      </c>
      <c r="C1651" s="1" t="s">
        <v>361</v>
      </c>
      <c r="D1651" s="1" t="s">
        <v>362</v>
      </c>
      <c r="E1651" s="1" t="s">
        <v>361</v>
      </c>
      <c r="F1651" s="1" t="s">
        <v>362</v>
      </c>
      <c r="G1651">
        <f t="shared" si="300"/>
        <v>7</v>
      </c>
      <c r="H1651" t="str">
        <f t="shared" si="308"/>
        <v>BTC</v>
      </c>
      <c r="I1651" t="str">
        <f>LEFT(B1651,4)</f>
        <v>TELL</v>
      </c>
      <c r="J1651" t="str">
        <f t="shared" si="301"/>
        <v>BTCTELL</v>
      </c>
      <c r="K1651" t="str">
        <f t="shared" si="302"/>
        <v>TELLBTC</v>
      </c>
      <c r="L1651">
        <f t="shared" si="303"/>
        <v>0</v>
      </c>
      <c r="M1651">
        <f t="shared" si="304"/>
        <v>1</v>
      </c>
      <c r="N1651" t="b">
        <f t="shared" si="305"/>
        <v>1</v>
      </c>
    </row>
    <row r="1652" spans="1:14" hidden="1" x14ac:dyDescent="0.25">
      <c r="A1652" t="s">
        <v>5</v>
      </c>
      <c r="B1652" t="s">
        <v>803</v>
      </c>
      <c r="C1652" s="1">
        <v>5.7000000000000005E-7</v>
      </c>
      <c r="D1652" s="1">
        <v>5.6000000000000004E-7</v>
      </c>
      <c r="E1652" s="1">
        <v>5.7000000000000005E-7</v>
      </c>
      <c r="F1652" s="1">
        <v>5.6000000000000004E-7</v>
      </c>
      <c r="G1652">
        <f t="shared" si="300"/>
        <v>9</v>
      </c>
      <c r="H1652" t="str">
        <f t="shared" si="308"/>
        <v>BTC</v>
      </c>
      <c r="I1652" t="str">
        <f>LEFT(B1652,6)</f>
        <v>TENNET</v>
      </c>
      <c r="J1652" t="str">
        <f t="shared" si="301"/>
        <v>BTCTENNET</v>
      </c>
      <c r="K1652" t="str">
        <f t="shared" si="302"/>
        <v>TENNETBTC</v>
      </c>
      <c r="L1652">
        <f t="shared" si="303"/>
        <v>0</v>
      </c>
      <c r="M1652">
        <f t="shared" si="304"/>
        <v>1</v>
      </c>
      <c r="N1652" t="b">
        <f t="shared" si="305"/>
        <v>1</v>
      </c>
    </row>
    <row r="1653" spans="1:14" hidden="1" x14ac:dyDescent="0.25">
      <c r="A1653" t="s">
        <v>1403</v>
      </c>
      <c r="B1653" t="s">
        <v>1502</v>
      </c>
      <c r="C1653" s="1">
        <v>1.1999999999999999E-7</v>
      </c>
      <c r="D1653" s="1">
        <v>1.4999999999999999E-7</v>
      </c>
      <c r="E1653" s="1">
        <v>1.4999999999999999E-7</v>
      </c>
      <c r="F1653" s="1">
        <v>1.3E-7</v>
      </c>
      <c r="G1653">
        <f t="shared" si="300"/>
        <v>7</v>
      </c>
      <c r="H1653" t="str">
        <f t="shared" si="308"/>
        <v>BTC</v>
      </c>
      <c r="I1653" t="str">
        <f>LEFT(B1653,4)</f>
        <v>TERA</v>
      </c>
      <c r="J1653" t="str">
        <f t="shared" si="301"/>
        <v>BTCTERA</v>
      </c>
      <c r="K1653" t="str">
        <f t="shared" si="302"/>
        <v>TERABTC</v>
      </c>
      <c r="L1653">
        <f t="shared" si="303"/>
        <v>0</v>
      </c>
      <c r="M1653">
        <f t="shared" si="304"/>
        <v>1</v>
      </c>
      <c r="N1653" t="b">
        <f t="shared" si="305"/>
        <v>1</v>
      </c>
    </row>
    <row r="1654" spans="1:14" hidden="1" x14ac:dyDescent="0.25">
      <c r="A1654" t="s">
        <v>1403</v>
      </c>
      <c r="B1654" t="s">
        <v>2050</v>
      </c>
      <c r="C1654" s="1">
        <v>0.25700000000000001</v>
      </c>
      <c r="D1654" s="1">
        <v>0.25700000000000001</v>
      </c>
      <c r="E1654" s="1">
        <v>0.25700000000000001</v>
      </c>
      <c r="F1654" s="1">
        <v>5.7000009999999997E-2</v>
      </c>
      <c r="G1654">
        <f t="shared" si="300"/>
        <v>8</v>
      </c>
      <c r="H1654" t="str">
        <f>RIGHT(B1654,4)</f>
        <v>DOGE</v>
      </c>
      <c r="I1654" t="str">
        <f>LEFT(B1654,4)</f>
        <v>TERA</v>
      </c>
      <c r="J1654" t="str">
        <f t="shared" si="301"/>
        <v>DOGETERA</v>
      </c>
      <c r="K1654" t="str">
        <f t="shared" si="302"/>
        <v>TERADOGE</v>
      </c>
      <c r="L1654">
        <f t="shared" si="303"/>
        <v>0</v>
      </c>
      <c r="M1654">
        <f t="shared" si="304"/>
        <v>1</v>
      </c>
      <c r="N1654" t="b">
        <f t="shared" si="305"/>
        <v>1</v>
      </c>
    </row>
    <row r="1655" spans="1:14" hidden="1" x14ac:dyDescent="0.25">
      <c r="A1655" t="s">
        <v>1403</v>
      </c>
      <c r="B1655" t="s">
        <v>1857</v>
      </c>
      <c r="C1655" s="1">
        <v>0</v>
      </c>
      <c r="D1655" s="1">
        <v>0</v>
      </c>
      <c r="E1655" s="1">
        <v>6.8999899999999999E-3</v>
      </c>
      <c r="F1655" s="1">
        <v>1.8E-7</v>
      </c>
      <c r="G1655">
        <f t="shared" si="300"/>
        <v>7</v>
      </c>
      <c r="H1655" t="str">
        <f>RIGHT(B1655,3)</f>
        <v>LTC</v>
      </c>
      <c r="I1655" t="str">
        <f>LEFT(B1655,4)</f>
        <v>TERA</v>
      </c>
      <c r="J1655" t="str">
        <f t="shared" si="301"/>
        <v>LTCTERA</v>
      </c>
      <c r="K1655" t="str">
        <f t="shared" si="302"/>
        <v>TERALTC</v>
      </c>
      <c r="L1655">
        <f t="shared" si="303"/>
        <v>0</v>
      </c>
      <c r="M1655">
        <f t="shared" si="304"/>
        <v>1</v>
      </c>
      <c r="N1655" t="b">
        <f t="shared" si="305"/>
        <v>1</v>
      </c>
    </row>
    <row r="1656" spans="1:14" hidden="1" x14ac:dyDescent="0.25">
      <c r="A1656" t="s">
        <v>1403</v>
      </c>
      <c r="B1656" t="s">
        <v>1668</v>
      </c>
      <c r="C1656" s="1">
        <v>1.7489700000000001E-3</v>
      </c>
      <c r="D1656" s="1">
        <v>1.7489700000000001E-3</v>
      </c>
      <c r="E1656" s="1">
        <v>1.7489700000000001E-3</v>
      </c>
      <c r="F1656" s="1">
        <v>5.0009999999999997E-5</v>
      </c>
      <c r="G1656">
        <f t="shared" si="300"/>
        <v>7</v>
      </c>
      <c r="H1656" t="str">
        <f>RIGHT(B1656,3)</f>
        <v>USD</v>
      </c>
      <c r="I1656" t="str">
        <f>LEFT(B1656,4)</f>
        <v>TERA</v>
      </c>
      <c r="J1656" t="str">
        <f t="shared" si="301"/>
        <v>USDTERA</v>
      </c>
      <c r="K1656" t="str">
        <f t="shared" si="302"/>
        <v>TERAUSD</v>
      </c>
      <c r="L1656">
        <f t="shared" si="303"/>
        <v>0</v>
      </c>
      <c r="M1656">
        <f t="shared" si="304"/>
        <v>1</v>
      </c>
      <c r="N1656" t="b">
        <f t="shared" si="305"/>
        <v>1</v>
      </c>
    </row>
    <row r="1657" spans="1:14" hidden="1" x14ac:dyDescent="0.25">
      <c r="A1657" t="s">
        <v>1403</v>
      </c>
      <c r="B1657" t="s">
        <v>1503</v>
      </c>
      <c r="C1657" s="1">
        <v>1.3799999999999999E-6</v>
      </c>
      <c r="D1657" s="1">
        <v>2.6800000000000002E-6</v>
      </c>
      <c r="E1657" s="1">
        <v>2.48E-6</v>
      </c>
      <c r="F1657" s="1">
        <v>1.64E-6</v>
      </c>
      <c r="G1657">
        <f t="shared" si="300"/>
        <v>8</v>
      </c>
      <c r="H1657" t="str">
        <f>RIGHT(B1657,3)</f>
        <v>BTC</v>
      </c>
      <c r="I1657" t="str">
        <f>LEFT(B1657,5)</f>
        <v>TERRA</v>
      </c>
      <c r="J1657" t="str">
        <f t="shared" si="301"/>
        <v>BTCTERRA</v>
      </c>
      <c r="K1657" t="str">
        <f t="shared" si="302"/>
        <v>TERRABTC</v>
      </c>
      <c r="L1657">
        <f t="shared" si="303"/>
        <v>0</v>
      </c>
      <c r="M1657">
        <f t="shared" si="304"/>
        <v>1</v>
      </c>
      <c r="N1657" t="b">
        <f t="shared" si="305"/>
        <v>1</v>
      </c>
    </row>
    <row r="1658" spans="1:14" hidden="1" x14ac:dyDescent="0.25">
      <c r="A1658" t="s">
        <v>1403</v>
      </c>
      <c r="B1658" t="s">
        <v>2051</v>
      </c>
      <c r="C1658" s="1">
        <v>2</v>
      </c>
      <c r="D1658" s="1">
        <v>2</v>
      </c>
      <c r="E1658" s="1">
        <v>27.895161142833299</v>
      </c>
      <c r="F1658" s="1">
        <v>2.0200000000000001E-6</v>
      </c>
      <c r="G1658">
        <f t="shared" si="300"/>
        <v>9</v>
      </c>
      <c r="H1658" t="str">
        <f>RIGHT(B1658,4)</f>
        <v>DOGE</v>
      </c>
      <c r="I1658" t="str">
        <f>LEFT(B1658,5)</f>
        <v>TERRA</v>
      </c>
      <c r="J1658" t="str">
        <f t="shared" si="301"/>
        <v>DOGETERRA</v>
      </c>
      <c r="K1658" t="str">
        <f t="shared" si="302"/>
        <v>TERRADOGE</v>
      </c>
      <c r="L1658">
        <f t="shared" si="303"/>
        <v>0</v>
      </c>
      <c r="M1658">
        <f t="shared" si="304"/>
        <v>1</v>
      </c>
      <c r="N1658" t="b">
        <f t="shared" si="305"/>
        <v>1</v>
      </c>
    </row>
    <row r="1659" spans="1:14" hidden="1" x14ac:dyDescent="0.25">
      <c r="A1659" t="s">
        <v>1403</v>
      </c>
      <c r="B1659" t="s">
        <v>1858</v>
      </c>
      <c r="C1659" s="1">
        <v>0</v>
      </c>
      <c r="D1659" s="1">
        <v>0</v>
      </c>
      <c r="E1659" s="1">
        <v>2.8499999499999999</v>
      </c>
      <c r="F1659" s="1">
        <v>1.6E-7</v>
      </c>
      <c r="G1659">
        <f t="shared" si="300"/>
        <v>8</v>
      </c>
      <c r="H1659" t="str">
        <f>RIGHT(B1659,3)</f>
        <v>LTC</v>
      </c>
      <c r="I1659" t="str">
        <f>LEFT(B1659,5)</f>
        <v>TERRA</v>
      </c>
      <c r="J1659" t="str">
        <f t="shared" si="301"/>
        <v>LTCTERRA</v>
      </c>
      <c r="K1659" t="str">
        <f t="shared" si="302"/>
        <v>TERRALTC</v>
      </c>
      <c r="L1659">
        <f t="shared" si="303"/>
        <v>0</v>
      </c>
      <c r="M1659">
        <f t="shared" si="304"/>
        <v>1</v>
      </c>
      <c r="N1659" t="b">
        <f t="shared" si="305"/>
        <v>1</v>
      </c>
    </row>
    <row r="1660" spans="1:14" hidden="1" x14ac:dyDescent="0.25">
      <c r="A1660" t="s">
        <v>1403</v>
      </c>
      <c r="B1660" t="s">
        <v>1669</v>
      </c>
      <c r="C1660" s="1">
        <v>0.9</v>
      </c>
      <c r="D1660" s="1">
        <v>0.9</v>
      </c>
      <c r="E1660" s="1">
        <v>0.79999998999999999</v>
      </c>
      <c r="F1660" s="1">
        <v>4.2370000000000003E-5</v>
      </c>
      <c r="G1660">
        <f t="shared" si="300"/>
        <v>8</v>
      </c>
      <c r="H1660" t="str">
        <f>RIGHT(B1660,3)</f>
        <v>USD</v>
      </c>
      <c r="I1660" t="str">
        <f>LEFT(B1660,5)</f>
        <v>TERRA</v>
      </c>
      <c r="J1660" t="str">
        <f t="shared" si="301"/>
        <v>USDTERRA</v>
      </c>
      <c r="K1660" t="str">
        <f t="shared" si="302"/>
        <v>TERRAUSD</v>
      </c>
      <c r="L1660">
        <f t="shared" si="303"/>
        <v>0</v>
      </c>
      <c r="M1660">
        <f t="shared" si="304"/>
        <v>1</v>
      </c>
      <c r="N1660" t="b">
        <f t="shared" si="305"/>
        <v>1</v>
      </c>
    </row>
    <row r="1661" spans="1:14" hidden="1" x14ac:dyDescent="0.25">
      <c r="A1661" t="s">
        <v>5</v>
      </c>
      <c r="B1661" t="s">
        <v>590</v>
      </c>
      <c r="C1661" s="1">
        <v>6.792E-5</v>
      </c>
      <c r="D1661" s="1">
        <v>6.7749999999999993E-5</v>
      </c>
      <c r="E1661" s="1">
        <v>6.792E-5</v>
      </c>
      <c r="F1661" s="1">
        <v>6.7749999999999993E-5</v>
      </c>
      <c r="G1661">
        <f t="shared" si="300"/>
        <v>6</v>
      </c>
      <c r="H1661" t="str">
        <f>RIGHT(B1661,3)</f>
        <v>BTC</v>
      </c>
      <c r="I1661" t="str">
        <f>LEFT(B1661,3)</f>
        <v>TES</v>
      </c>
      <c r="J1661" t="str">
        <f t="shared" si="301"/>
        <v>BTCTES</v>
      </c>
      <c r="K1661" t="str">
        <f t="shared" si="302"/>
        <v>TESBTC</v>
      </c>
      <c r="L1661">
        <f t="shared" si="303"/>
        <v>0</v>
      </c>
      <c r="M1661">
        <f t="shared" si="304"/>
        <v>1</v>
      </c>
      <c r="N1661" t="b">
        <f t="shared" si="305"/>
        <v>1</v>
      </c>
    </row>
    <row r="1662" spans="1:14" hidden="1" x14ac:dyDescent="0.25">
      <c r="A1662" t="s">
        <v>1403</v>
      </c>
      <c r="B1662" t="s">
        <v>1494</v>
      </c>
      <c r="C1662" s="1">
        <v>4.7869999999999998E-4</v>
      </c>
      <c r="D1662" s="1">
        <v>4.7875000000000001E-4</v>
      </c>
      <c r="E1662" s="1">
        <v>4.7876E-4</v>
      </c>
      <c r="F1662" s="1">
        <v>2.3004000000000001E-4</v>
      </c>
      <c r="G1662">
        <f t="shared" si="300"/>
        <v>8</v>
      </c>
      <c r="H1662" t="str">
        <f>RIGHT(B1662,3)</f>
        <v>BTC</v>
      </c>
      <c r="I1662" t="str">
        <f>LEFT(B1662,5)</f>
        <v>TESLA</v>
      </c>
      <c r="J1662" t="str">
        <f t="shared" si="301"/>
        <v>BTCTESLA</v>
      </c>
      <c r="K1662" t="str">
        <f t="shared" si="302"/>
        <v>TESLABTC</v>
      </c>
      <c r="L1662">
        <f t="shared" si="303"/>
        <v>0</v>
      </c>
      <c r="M1662">
        <f t="shared" si="304"/>
        <v>1</v>
      </c>
      <c r="N1662" t="b">
        <f t="shared" si="305"/>
        <v>1</v>
      </c>
    </row>
    <row r="1663" spans="1:14" hidden="1" x14ac:dyDescent="0.25">
      <c r="A1663" t="s">
        <v>1403</v>
      </c>
      <c r="B1663" t="s">
        <v>2039</v>
      </c>
      <c r="C1663" s="1">
        <v>36000</v>
      </c>
      <c r="D1663" s="1">
        <v>36000</v>
      </c>
      <c r="E1663" s="1">
        <v>37999.999999719999</v>
      </c>
      <c r="F1663" s="1">
        <v>25.000000350000001</v>
      </c>
      <c r="G1663">
        <f t="shared" si="300"/>
        <v>9</v>
      </c>
      <c r="H1663" t="str">
        <f>RIGHT(B1663,4)</f>
        <v>DOGE</v>
      </c>
      <c r="I1663" t="str">
        <f>LEFT(B1663,5)</f>
        <v>TESLA</v>
      </c>
      <c r="J1663" t="str">
        <f t="shared" si="301"/>
        <v>DOGETESLA</v>
      </c>
      <c r="K1663" t="str">
        <f t="shared" si="302"/>
        <v>TESLADOGE</v>
      </c>
      <c r="L1663">
        <f t="shared" si="303"/>
        <v>0</v>
      </c>
      <c r="M1663">
        <f t="shared" si="304"/>
        <v>1</v>
      </c>
      <c r="N1663" t="b">
        <f t="shared" si="305"/>
        <v>1</v>
      </c>
    </row>
    <row r="1664" spans="1:14" hidden="1" x14ac:dyDescent="0.25">
      <c r="A1664" t="s">
        <v>1403</v>
      </c>
      <c r="B1664" t="s">
        <v>1846</v>
      </c>
      <c r="C1664" s="1">
        <v>1.79</v>
      </c>
      <c r="D1664" s="1">
        <v>1.79</v>
      </c>
      <c r="E1664" s="1">
        <v>0.9399999</v>
      </c>
      <c r="F1664" s="1">
        <v>1.4003999999999999E-4</v>
      </c>
      <c r="G1664">
        <f t="shared" si="300"/>
        <v>8</v>
      </c>
      <c r="H1664" t="str">
        <f t="shared" ref="H1664:H1672" si="309">RIGHT(B1664,3)</f>
        <v>LTC</v>
      </c>
      <c r="I1664" t="str">
        <f>LEFT(B1664,5)</f>
        <v>TESLA</v>
      </c>
      <c r="J1664" t="str">
        <f t="shared" si="301"/>
        <v>LTCTESLA</v>
      </c>
      <c r="K1664" t="str">
        <f t="shared" si="302"/>
        <v>TESLALTC</v>
      </c>
      <c r="L1664">
        <f t="shared" si="303"/>
        <v>0</v>
      </c>
      <c r="M1664">
        <f t="shared" si="304"/>
        <v>1</v>
      </c>
      <c r="N1664" t="b">
        <f t="shared" si="305"/>
        <v>1</v>
      </c>
    </row>
    <row r="1665" spans="1:14" hidden="1" x14ac:dyDescent="0.25">
      <c r="A1665" t="s">
        <v>1403</v>
      </c>
      <c r="B1665" t="s">
        <v>1657</v>
      </c>
      <c r="C1665" s="1">
        <v>1.9917004</v>
      </c>
      <c r="D1665" s="1">
        <v>1.9917004</v>
      </c>
      <c r="E1665" s="1">
        <v>2</v>
      </c>
      <c r="F1665" s="1">
        <v>0.19917003999999999</v>
      </c>
      <c r="G1665">
        <f t="shared" ref="G1665:G1728" si="310">LEN(B1665)</f>
        <v>8</v>
      </c>
      <c r="H1665" t="str">
        <f t="shared" si="309"/>
        <v>USD</v>
      </c>
      <c r="I1665" t="str">
        <f>LEFT(B1665,5)</f>
        <v>TESLA</v>
      </c>
      <c r="J1665" t="str">
        <f t="shared" ref="J1665:J1728" si="311">CONCATENATE(H1665,I1665)</f>
        <v>USDTESLA</v>
      </c>
      <c r="K1665" t="str">
        <f t="shared" ref="K1665:K1728" si="312">CONCATENATE(I1665,H1665)</f>
        <v>TESLAUSD</v>
      </c>
      <c r="L1665">
        <f t="shared" ref="L1665:L1728" si="313">COUNTIF(B:B,J1665)</f>
        <v>0</v>
      </c>
      <c r="M1665">
        <f t="shared" ref="M1665:M1728" si="314">COUNTIF(B:B,K1665)</f>
        <v>1</v>
      </c>
      <c r="N1665" t="b">
        <f t="shared" ref="N1665:N1728" si="315">L1665=0</f>
        <v>1</v>
      </c>
    </row>
    <row r="1666" spans="1:14" hidden="1" x14ac:dyDescent="0.25">
      <c r="A1666" t="s">
        <v>5</v>
      </c>
      <c r="B1666" t="s">
        <v>745</v>
      </c>
      <c r="C1666" s="1" t="s">
        <v>362</v>
      </c>
      <c r="D1666" s="1" t="s">
        <v>364</v>
      </c>
      <c r="E1666" s="1" t="s">
        <v>362</v>
      </c>
      <c r="F1666" s="1">
        <v>5.4040999999999996E-4</v>
      </c>
      <c r="G1666">
        <f t="shared" si="310"/>
        <v>7</v>
      </c>
      <c r="H1666" t="str">
        <f t="shared" si="309"/>
        <v>BTC</v>
      </c>
      <c r="I1666" t="str">
        <f>LEFT(B1666,4)</f>
        <v>THOM</v>
      </c>
      <c r="J1666" t="str">
        <f t="shared" si="311"/>
        <v>BTCTHOM</v>
      </c>
      <c r="K1666" t="str">
        <f t="shared" si="312"/>
        <v>THOMBTC</v>
      </c>
      <c r="L1666">
        <f t="shared" si="313"/>
        <v>0</v>
      </c>
      <c r="M1666">
        <f t="shared" si="314"/>
        <v>1</v>
      </c>
      <c r="N1666" t="b">
        <f t="shared" si="315"/>
        <v>1</v>
      </c>
    </row>
    <row r="1667" spans="1:14" hidden="1" x14ac:dyDescent="0.25">
      <c r="A1667" t="s">
        <v>1239</v>
      </c>
      <c r="B1667" t="s">
        <v>1275</v>
      </c>
      <c r="C1667" s="1">
        <v>2.3000000000000001E-4</v>
      </c>
      <c r="D1667" s="1">
        <v>2.2999000000000001E-4</v>
      </c>
      <c r="E1667" s="1">
        <v>2.3000000000000001E-4</v>
      </c>
      <c r="F1667" s="1">
        <v>2.2999000000000001E-4</v>
      </c>
      <c r="G1667">
        <f t="shared" si="310"/>
        <v>6</v>
      </c>
      <c r="H1667" t="str">
        <f t="shared" si="309"/>
        <v>BTC</v>
      </c>
      <c r="I1667" t="str">
        <f>LEFT(B1667,3)</f>
        <v>THS</v>
      </c>
      <c r="J1667" t="str">
        <f t="shared" si="311"/>
        <v>BTCTHS</v>
      </c>
      <c r="K1667" t="str">
        <f t="shared" si="312"/>
        <v>THSBTC</v>
      </c>
      <c r="L1667">
        <f t="shared" si="313"/>
        <v>0</v>
      </c>
      <c r="M1667">
        <f t="shared" si="314"/>
        <v>1</v>
      </c>
      <c r="N1667" t="b">
        <f t="shared" si="315"/>
        <v>1</v>
      </c>
    </row>
    <row r="1668" spans="1:14" hidden="1" x14ac:dyDescent="0.25">
      <c r="A1668" t="s">
        <v>1239</v>
      </c>
      <c r="B1668" t="s">
        <v>1276</v>
      </c>
      <c r="C1668" s="1">
        <v>2E-3</v>
      </c>
      <c r="D1668" s="1">
        <v>5.5106999999999997E-4</v>
      </c>
      <c r="E1668" s="1">
        <v>2E-3</v>
      </c>
      <c r="F1668" s="1">
        <v>5.5106999999999997E-4</v>
      </c>
      <c r="G1668">
        <f t="shared" si="310"/>
        <v>6</v>
      </c>
      <c r="H1668" t="str">
        <f t="shared" si="309"/>
        <v>ETH</v>
      </c>
      <c r="I1668" t="str">
        <f>LEFT(B1668,3)</f>
        <v>THS</v>
      </c>
      <c r="J1668" t="str">
        <f t="shared" si="311"/>
        <v>ETHTHS</v>
      </c>
      <c r="K1668" t="str">
        <f t="shared" si="312"/>
        <v>THSETH</v>
      </c>
      <c r="L1668">
        <f t="shared" si="313"/>
        <v>0</v>
      </c>
      <c r="M1668">
        <f t="shared" si="314"/>
        <v>1</v>
      </c>
      <c r="N1668" t="b">
        <f t="shared" si="315"/>
        <v>1</v>
      </c>
    </row>
    <row r="1669" spans="1:14" hidden="1" x14ac:dyDescent="0.25">
      <c r="A1669" t="s">
        <v>1239</v>
      </c>
      <c r="B1669" t="s">
        <v>1274</v>
      </c>
      <c r="C1669" s="1">
        <v>1</v>
      </c>
      <c r="D1669" s="1">
        <v>0.11223</v>
      </c>
      <c r="E1669" s="1">
        <v>1</v>
      </c>
      <c r="F1669" s="1">
        <v>0.11223</v>
      </c>
      <c r="G1669">
        <f t="shared" si="310"/>
        <v>6</v>
      </c>
      <c r="H1669" t="str">
        <f t="shared" si="309"/>
        <v>USD</v>
      </c>
      <c r="I1669" t="str">
        <f>LEFT(B1669,3)</f>
        <v>THS</v>
      </c>
      <c r="J1669" t="str">
        <f t="shared" si="311"/>
        <v>USDTHS</v>
      </c>
      <c r="K1669" t="str">
        <f t="shared" si="312"/>
        <v>THSUSD</v>
      </c>
      <c r="L1669">
        <f t="shared" si="313"/>
        <v>0</v>
      </c>
      <c r="M1669">
        <f t="shared" si="314"/>
        <v>1</v>
      </c>
      <c r="N1669" t="b">
        <f t="shared" si="315"/>
        <v>1</v>
      </c>
    </row>
    <row r="1670" spans="1:14" hidden="1" x14ac:dyDescent="0.25">
      <c r="A1670" t="s">
        <v>5</v>
      </c>
      <c r="B1670" t="s">
        <v>479</v>
      </c>
      <c r="C1670" s="1">
        <v>8.4E-7</v>
      </c>
      <c r="D1670" s="1">
        <v>6.7000000000000004E-7</v>
      </c>
      <c r="E1670" s="1">
        <v>8.4E-7</v>
      </c>
      <c r="F1670" s="1">
        <v>6.7000000000000004E-7</v>
      </c>
      <c r="G1670">
        <f t="shared" si="310"/>
        <v>6</v>
      </c>
      <c r="H1670" t="str">
        <f t="shared" si="309"/>
        <v>BTC</v>
      </c>
      <c r="I1670" t="str">
        <f>LEFT(B1670,3)</f>
        <v>TIA</v>
      </c>
      <c r="J1670" t="str">
        <f t="shared" si="311"/>
        <v>BTCTIA</v>
      </c>
      <c r="K1670" t="str">
        <f t="shared" si="312"/>
        <v>TIABTC</v>
      </c>
      <c r="L1670">
        <f t="shared" si="313"/>
        <v>0</v>
      </c>
      <c r="M1670">
        <f t="shared" si="314"/>
        <v>1</v>
      </c>
      <c r="N1670" t="b">
        <f t="shared" si="315"/>
        <v>1</v>
      </c>
    </row>
    <row r="1671" spans="1:14" hidden="1" x14ac:dyDescent="0.25">
      <c r="A1671" t="s">
        <v>5</v>
      </c>
      <c r="B1671" t="s">
        <v>1091</v>
      </c>
      <c r="C1671" s="1" t="s">
        <v>361</v>
      </c>
      <c r="D1671" s="1" t="s">
        <v>362</v>
      </c>
      <c r="E1671" s="1" t="s">
        <v>361</v>
      </c>
      <c r="F1671" s="1" t="s">
        <v>362</v>
      </c>
      <c r="G1671">
        <f t="shared" si="310"/>
        <v>7</v>
      </c>
      <c r="H1671" t="str">
        <f t="shared" si="309"/>
        <v>BTC</v>
      </c>
      <c r="I1671" t="str">
        <f>LEFT(B1671,4)</f>
        <v>TIDE</v>
      </c>
      <c r="J1671" t="str">
        <f t="shared" si="311"/>
        <v>BTCTIDE</v>
      </c>
      <c r="K1671" t="str">
        <f t="shared" si="312"/>
        <v>TIDEBTC</v>
      </c>
      <c r="L1671">
        <f t="shared" si="313"/>
        <v>0</v>
      </c>
      <c r="M1671">
        <f t="shared" si="314"/>
        <v>1</v>
      </c>
      <c r="N1671" t="b">
        <f t="shared" si="315"/>
        <v>1</v>
      </c>
    </row>
    <row r="1672" spans="1:14" hidden="1" x14ac:dyDescent="0.25">
      <c r="A1672" t="s">
        <v>5</v>
      </c>
      <c r="B1672" t="s">
        <v>1015</v>
      </c>
      <c r="C1672" s="1">
        <v>4.7899999999999999E-6</v>
      </c>
      <c r="D1672" s="1">
        <v>2.52E-6</v>
      </c>
      <c r="E1672" s="1">
        <v>4.7899999999999999E-6</v>
      </c>
      <c r="F1672" s="1">
        <v>2.52E-6</v>
      </c>
      <c r="G1672">
        <f t="shared" si="310"/>
        <v>6</v>
      </c>
      <c r="H1672" t="str">
        <f t="shared" si="309"/>
        <v>BTC</v>
      </c>
      <c r="I1672" t="str">
        <f>LEFT(B1672,3)</f>
        <v>TIT</v>
      </c>
      <c r="J1672" t="str">
        <f t="shared" si="311"/>
        <v>BTCTIT</v>
      </c>
      <c r="K1672" t="str">
        <f t="shared" si="312"/>
        <v>TITBTC</v>
      </c>
      <c r="L1672">
        <f t="shared" si="313"/>
        <v>0</v>
      </c>
      <c r="M1672">
        <f t="shared" si="314"/>
        <v>1</v>
      </c>
      <c r="N1672" t="b">
        <f t="shared" si="315"/>
        <v>1</v>
      </c>
    </row>
    <row r="1673" spans="1:14" hidden="1" x14ac:dyDescent="0.25">
      <c r="A1673" t="s">
        <v>1403</v>
      </c>
      <c r="B1673" t="s">
        <v>2052</v>
      </c>
      <c r="C1673" s="1">
        <v>150</v>
      </c>
      <c r="D1673" s="1">
        <v>150</v>
      </c>
      <c r="E1673" s="1">
        <v>150</v>
      </c>
      <c r="F1673" s="1">
        <v>1.0400710000000001E-2</v>
      </c>
      <c r="G1673">
        <f t="shared" si="310"/>
        <v>7</v>
      </c>
      <c r="H1673" t="str">
        <f>RIGHT(B1673,4)</f>
        <v>DOGE</v>
      </c>
      <c r="I1673" t="str">
        <f>LEFT(B1673,3)</f>
        <v>TLE</v>
      </c>
      <c r="J1673" t="str">
        <f t="shared" si="311"/>
        <v>DOGETLE</v>
      </c>
      <c r="K1673" t="str">
        <f t="shared" si="312"/>
        <v>TLEDOGE</v>
      </c>
      <c r="L1673">
        <f t="shared" si="313"/>
        <v>0</v>
      </c>
      <c r="M1673">
        <f t="shared" si="314"/>
        <v>1</v>
      </c>
      <c r="N1673" t="b">
        <f t="shared" si="315"/>
        <v>1</v>
      </c>
    </row>
    <row r="1674" spans="1:14" hidden="1" x14ac:dyDescent="0.25">
      <c r="A1674" t="s">
        <v>1403</v>
      </c>
      <c r="B1674" t="s">
        <v>1859</v>
      </c>
      <c r="C1674" s="1">
        <v>0</v>
      </c>
      <c r="D1674" s="1">
        <v>0</v>
      </c>
      <c r="E1674" s="1">
        <v>0</v>
      </c>
      <c r="F1674" s="1">
        <v>1.029E-5</v>
      </c>
      <c r="G1674">
        <f t="shared" si="310"/>
        <v>6</v>
      </c>
      <c r="H1674" t="str">
        <f t="shared" ref="H1674:H1682" si="316">RIGHT(B1674,3)</f>
        <v>LTC</v>
      </c>
      <c r="I1674" t="str">
        <f>LEFT(B1674,3)</f>
        <v>TLE</v>
      </c>
      <c r="J1674" t="str">
        <f t="shared" si="311"/>
        <v>LTCTLE</v>
      </c>
      <c r="K1674" t="str">
        <f t="shared" si="312"/>
        <v>TLELTC</v>
      </c>
      <c r="L1674">
        <f t="shared" si="313"/>
        <v>0</v>
      </c>
      <c r="M1674">
        <f t="shared" si="314"/>
        <v>1</v>
      </c>
      <c r="N1674" t="b">
        <f t="shared" si="315"/>
        <v>1</v>
      </c>
    </row>
    <row r="1675" spans="1:14" hidden="1" x14ac:dyDescent="0.25">
      <c r="A1675" t="s">
        <v>1403</v>
      </c>
      <c r="B1675" t="s">
        <v>1670</v>
      </c>
      <c r="C1675" s="1">
        <v>9.9999980000000002E-2</v>
      </c>
      <c r="D1675" s="1">
        <v>9.9999980000000002E-2</v>
      </c>
      <c r="E1675" s="1">
        <v>0.49999900000000003</v>
      </c>
      <c r="F1675" s="1">
        <v>1.0000510000000001E-2</v>
      </c>
      <c r="G1675">
        <f t="shared" si="310"/>
        <v>6</v>
      </c>
      <c r="H1675" t="str">
        <f t="shared" si="316"/>
        <v>USD</v>
      </c>
      <c r="I1675" t="str">
        <f>LEFT(B1675,3)</f>
        <v>TLE</v>
      </c>
      <c r="J1675" t="str">
        <f t="shared" si="311"/>
        <v>USDTLE</v>
      </c>
      <c r="K1675" t="str">
        <f t="shared" si="312"/>
        <v>TLEUSD</v>
      </c>
      <c r="L1675">
        <f t="shared" si="313"/>
        <v>0</v>
      </c>
      <c r="M1675">
        <f t="shared" si="314"/>
        <v>1</v>
      </c>
      <c r="N1675" t="b">
        <f t="shared" si="315"/>
        <v>1</v>
      </c>
    </row>
    <row r="1676" spans="1:14" hidden="1" x14ac:dyDescent="0.25">
      <c r="A1676" t="s">
        <v>5</v>
      </c>
      <c r="B1676" t="s">
        <v>680</v>
      </c>
      <c r="C1676" s="1">
        <v>2.48E-6</v>
      </c>
      <c r="D1676" s="1">
        <v>1.3E-6</v>
      </c>
      <c r="E1676" s="1">
        <v>2.48E-6</v>
      </c>
      <c r="F1676" s="1">
        <v>1.3E-6</v>
      </c>
      <c r="G1676">
        <f t="shared" si="310"/>
        <v>7</v>
      </c>
      <c r="H1676" t="str">
        <f t="shared" si="316"/>
        <v>BTC</v>
      </c>
      <c r="I1676" t="str">
        <f>LEFT(B1676,4)</f>
        <v>TLEX</v>
      </c>
      <c r="J1676" t="str">
        <f t="shared" si="311"/>
        <v>BTCTLEX</v>
      </c>
      <c r="K1676" t="str">
        <f t="shared" si="312"/>
        <v>TLEXBTC</v>
      </c>
      <c r="L1676">
        <f t="shared" si="313"/>
        <v>0</v>
      </c>
      <c r="M1676">
        <f t="shared" si="314"/>
        <v>1</v>
      </c>
      <c r="N1676" t="b">
        <f t="shared" si="315"/>
        <v>1</v>
      </c>
    </row>
    <row r="1677" spans="1:14" hidden="1" x14ac:dyDescent="0.25">
      <c r="A1677" t="s">
        <v>5</v>
      </c>
      <c r="B1677" t="s">
        <v>1064</v>
      </c>
      <c r="C1677" s="1">
        <v>4.8999999999999997E-7</v>
      </c>
      <c r="D1677" s="1">
        <v>4.4999999999999998E-7</v>
      </c>
      <c r="E1677" s="1">
        <v>4.8999999999999997E-7</v>
      </c>
      <c r="F1677" s="1">
        <v>4.4999999999999998E-7</v>
      </c>
      <c r="G1677">
        <f t="shared" si="310"/>
        <v>7</v>
      </c>
      <c r="H1677" t="str">
        <f t="shared" si="316"/>
        <v>BTC</v>
      </c>
      <c r="I1677" t="str">
        <f>LEFT(B1677,4)</f>
        <v>TMRW</v>
      </c>
      <c r="J1677" t="str">
        <f t="shared" si="311"/>
        <v>BTCTMRW</v>
      </c>
      <c r="K1677" t="str">
        <f t="shared" si="312"/>
        <v>TMRWBTC</v>
      </c>
      <c r="L1677">
        <f t="shared" si="313"/>
        <v>0</v>
      </c>
      <c r="M1677">
        <f t="shared" si="314"/>
        <v>1</v>
      </c>
      <c r="N1677" t="b">
        <f t="shared" si="315"/>
        <v>1</v>
      </c>
    </row>
    <row r="1678" spans="1:14" hidden="1" x14ac:dyDescent="0.25">
      <c r="A1678" t="s">
        <v>5</v>
      </c>
      <c r="B1678" t="s">
        <v>613</v>
      </c>
      <c r="C1678" s="1">
        <v>4.7999999999999996E-7</v>
      </c>
      <c r="D1678" s="1">
        <v>4.0999999999999999E-7</v>
      </c>
      <c r="E1678" s="1">
        <v>4.7999999999999996E-7</v>
      </c>
      <c r="F1678" s="1">
        <v>4.0999999999999999E-7</v>
      </c>
      <c r="G1678">
        <f t="shared" si="310"/>
        <v>6</v>
      </c>
      <c r="H1678" t="str">
        <f t="shared" si="316"/>
        <v>BTC</v>
      </c>
      <c r="I1678" t="str">
        <f>LEFT(B1678,3)</f>
        <v>TNG</v>
      </c>
      <c r="J1678" t="str">
        <f t="shared" si="311"/>
        <v>BTCTNG</v>
      </c>
      <c r="K1678" t="str">
        <f t="shared" si="312"/>
        <v>TNGBTC</v>
      </c>
      <c r="L1678">
        <f t="shared" si="313"/>
        <v>0</v>
      </c>
      <c r="M1678">
        <f t="shared" si="314"/>
        <v>1</v>
      </c>
      <c r="N1678" t="b">
        <f t="shared" si="315"/>
        <v>1</v>
      </c>
    </row>
    <row r="1679" spans="1:14" hidden="1" x14ac:dyDescent="0.25">
      <c r="A1679" t="s">
        <v>5</v>
      </c>
      <c r="B1679" t="s">
        <v>851</v>
      </c>
      <c r="C1679" s="1">
        <v>5.3000000000000001E-7</v>
      </c>
      <c r="D1679" s="1">
        <v>5.2E-7</v>
      </c>
      <c r="E1679" s="1">
        <v>5.3000000000000001E-7</v>
      </c>
      <c r="F1679" s="1">
        <v>5.2E-7</v>
      </c>
      <c r="G1679">
        <f t="shared" si="310"/>
        <v>8</v>
      </c>
      <c r="H1679" t="str">
        <f t="shared" si="316"/>
        <v>BTC</v>
      </c>
      <c r="I1679" t="str">
        <f>LEFT(B1679,5)</f>
        <v>TODAY</v>
      </c>
      <c r="J1679" t="str">
        <f t="shared" si="311"/>
        <v>BTCTODAY</v>
      </c>
      <c r="K1679" t="str">
        <f t="shared" si="312"/>
        <v>TODAYBTC</v>
      </c>
      <c r="L1679">
        <f t="shared" si="313"/>
        <v>0</v>
      </c>
      <c r="M1679">
        <f t="shared" si="314"/>
        <v>1</v>
      </c>
      <c r="N1679" t="b">
        <f t="shared" si="315"/>
        <v>1</v>
      </c>
    </row>
    <row r="1680" spans="1:14" hidden="1" x14ac:dyDescent="0.25">
      <c r="A1680" t="s">
        <v>5</v>
      </c>
      <c r="B1680" t="s">
        <v>1035</v>
      </c>
      <c r="C1680" s="1" t="s">
        <v>362</v>
      </c>
      <c r="D1680" s="1" t="s">
        <v>364</v>
      </c>
      <c r="E1680" s="1" t="s">
        <v>362</v>
      </c>
      <c r="F1680" s="1" t="s">
        <v>362</v>
      </c>
      <c r="G1680">
        <f t="shared" si="310"/>
        <v>8</v>
      </c>
      <c r="H1680" t="str">
        <f t="shared" si="316"/>
        <v>BTC</v>
      </c>
      <c r="I1680" t="str">
        <f>LEFT(B1680,5)</f>
        <v>TOKEN</v>
      </c>
      <c r="J1680" t="str">
        <f t="shared" si="311"/>
        <v>BTCTOKEN</v>
      </c>
      <c r="K1680" t="str">
        <f t="shared" si="312"/>
        <v>TOKENBTC</v>
      </c>
      <c r="L1680">
        <f t="shared" si="313"/>
        <v>0</v>
      </c>
      <c r="M1680">
        <f t="shared" si="314"/>
        <v>1</v>
      </c>
      <c r="N1680" t="b">
        <f t="shared" si="315"/>
        <v>1</v>
      </c>
    </row>
    <row r="1681" spans="1:14" hidden="1" x14ac:dyDescent="0.25">
      <c r="A1681" t="s">
        <v>5</v>
      </c>
      <c r="B1681" t="s">
        <v>544</v>
      </c>
      <c r="C1681" s="1" t="s">
        <v>362</v>
      </c>
      <c r="D1681" s="1" t="s">
        <v>364</v>
      </c>
      <c r="E1681" s="1" t="s">
        <v>362</v>
      </c>
      <c r="F1681" s="1">
        <v>5.2E-7</v>
      </c>
      <c r="G1681">
        <f t="shared" si="310"/>
        <v>7</v>
      </c>
      <c r="H1681" t="str">
        <f t="shared" si="316"/>
        <v>BTC</v>
      </c>
      <c r="I1681" t="str">
        <f>LEFT(B1681,4)</f>
        <v>TOOL</v>
      </c>
      <c r="J1681" t="str">
        <f t="shared" si="311"/>
        <v>BTCTOOL</v>
      </c>
      <c r="K1681" t="str">
        <f t="shared" si="312"/>
        <v>TOOLBTC</v>
      </c>
      <c r="L1681">
        <f t="shared" si="313"/>
        <v>0</v>
      </c>
      <c r="M1681">
        <f t="shared" si="314"/>
        <v>1</v>
      </c>
      <c r="N1681" t="b">
        <f t="shared" si="315"/>
        <v>1</v>
      </c>
    </row>
    <row r="1682" spans="1:14" hidden="1" x14ac:dyDescent="0.25">
      <c r="A1682" t="s">
        <v>1403</v>
      </c>
      <c r="B1682" t="s">
        <v>1504</v>
      </c>
      <c r="C1682" s="1">
        <v>2.2101E-4</v>
      </c>
      <c r="D1682" s="1">
        <v>2.2101999999999999E-4</v>
      </c>
      <c r="E1682" s="1">
        <v>2.4903000000000002E-4</v>
      </c>
      <c r="F1682" s="1">
        <v>2.2101E-4</v>
      </c>
      <c r="G1682">
        <f t="shared" si="310"/>
        <v>6</v>
      </c>
      <c r="H1682" t="str">
        <f t="shared" si="316"/>
        <v>BTC</v>
      </c>
      <c r="I1682" t="str">
        <f t="shared" ref="I1682:I1689" si="317">LEFT(B1682,3)</f>
        <v>TOR</v>
      </c>
      <c r="J1682" t="str">
        <f t="shared" si="311"/>
        <v>BTCTOR</v>
      </c>
      <c r="K1682" t="str">
        <f t="shared" si="312"/>
        <v>TORBTC</v>
      </c>
      <c r="L1682">
        <f t="shared" si="313"/>
        <v>0</v>
      </c>
      <c r="M1682">
        <f t="shared" si="314"/>
        <v>1</v>
      </c>
      <c r="N1682" t="b">
        <f t="shared" si="315"/>
        <v>1</v>
      </c>
    </row>
    <row r="1683" spans="1:14" hidden="1" x14ac:dyDescent="0.25">
      <c r="A1683" t="s">
        <v>1403</v>
      </c>
      <c r="B1683" t="s">
        <v>2054</v>
      </c>
      <c r="C1683" s="1">
        <v>400</v>
      </c>
      <c r="D1683" s="1">
        <v>400</v>
      </c>
      <c r="E1683" s="1">
        <v>5853.9894504000004</v>
      </c>
      <c r="F1683" s="1">
        <v>2.00000008</v>
      </c>
      <c r="G1683">
        <f t="shared" si="310"/>
        <v>7</v>
      </c>
      <c r="H1683" t="str">
        <f>RIGHT(B1683,4)</f>
        <v>DOGE</v>
      </c>
      <c r="I1683" t="str">
        <f t="shared" si="317"/>
        <v>TOR</v>
      </c>
      <c r="J1683" t="str">
        <f t="shared" si="311"/>
        <v>DOGETOR</v>
      </c>
      <c r="K1683" t="str">
        <f t="shared" si="312"/>
        <v>TORDOGE</v>
      </c>
      <c r="L1683">
        <f t="shared" si="313"/>
        <v>0</v>
      </c>
      <c r="M1683">
        <f t="shared" si="314"/>
        <v>1</v>
      </c>
      <c r="N1683" t="b">
        <f t="shared" si="315"/>
        <v>1</v>
      </c>
    </row>
    <row r="1684" spans="1:14" hidden="1" x14ac:dyDescent="0.25">
      <c r="A1684" t="s">
        <v>1403</v>
      </c>
      <c r="B1684" t="s">
        <v>1861</v>
      </c>
      <c r="C1684" s="1">
        <v>0.29999998999999999</v>
      </c>
      <c r="D1684" s="1">
        <v>0.29999998999999999</v>
      </c>
      <c r="E1684" s="1">
        <v>0.99954072803280003</v>
      </c>
      <c r="F1684" s="1">
        <v>1.0001970000000001E-2</v>
      </c>
      <c r="G1684">
        <f t="shared" si="310"/>
        <v>6</v>
      </c>
      <c r="H1684" t="str">
        <f t="shared" ref="H1684:H1692" si="318">RIGHT(B1684,3)</f>
        <v>LTC</v>
      </c>
      <c r="I1684" t="str">
        <f t="shared" si="317"/>
        <v>TOR</v>
      </c>
      <c r="J1684" t="str">
        <f t="shared" si="311"/>
        <v>LTCTOR</v>
      </c>
      <c r="K1684" t="str">
        <f t="shared" si="312"/>
        <v>TORLTC</v>
      </c>
      <c r="L1684">
        <f t="shared" si="313"/>
        <v>0</v>
      </c>
      <c r="M1684">
        <f t="shared" si="314"/>
        <v>1</v>
      </c>
      <c r="N1684" t="b">
        <f t="shared" si="315"/>
        <v>1</v>
      </c>
    </row>
    <row r="1685" spans="1:14" hidden="1" x14ac:dyDescent="0.25">
      <c r="A1685" t="s">
        <v>1403</v>
      </c>
      <c r="B1685" t="s">
        <v>1672</v>
      </c>
      <c r="C1685" s="1">
        <v>0.67932000000000003</v>
      </c>
      <c r="D1685" s="1">
        <v>0.67932000000000003</v>
      </c>
      <c r="E1685" s="1">
        <v>0.96</v>
      </c>
      <c r="F1685" s="1">
        <v>0.46340000599999998</v>
      </c>
      <c r="G1685">
        <f t="shared" si="310"/>
        <v>6</v>
      </c>
      <c r="H1685" t="str">
        <f t="shared" si="318"/>
        <v>USD</v>
      </c>
      <c r="I1685" t="str">
        <f t="shared" si="317"/>
        <v>TOR</v>
      </c>
      <c r="J1685" t="str">
        <f t="shared" si="311"/>
        <v>USDTOR</v>
      </c>
      <c r="K1685" t="str">
        <f t="shared" si="312"/>
        <v>TORUSD</v>
      </c>
      <c r="L1685">
        <f t="shared" si="313"/>
        <v>0</v>
      </c>
      <c r="M1685">
        <f t="shared" si="314"/>
        <v>1</v>
      </c>
      <c r="N1685" t="b">
        <f t="shared" si="315"/>
        <v>1</v>
      </c>
    </row>
    <row r="1686" spans="1:14" hidden="1" x14ac:dyDescent="0.25">
      <c r="A1686" t="s">
        <v>5</v>
      </c>
      <c r="B1686" t="s">
        <v>1219</v>
      </c>
      <c r="C1686" s="1" t="s">
        <v>361</v>
      </c>
      <c r="D1686" s="1" t="s">
        <v>362</v>
      </c>
      <c r="E1686" s="1" t="s">
        <v>361</v>
      </c>
      <c r="F1686" s="1" t="s">
        <v>362</v>
      </c>
      <c r="G1686">
        <f t="shared" si="310"/>
        <v>6</v>
      </c>
      <c r="H1686" t="str">
        <f t="shared" si="318"/>
        <v>BTC</v>
      </c>
      <c r="I1686" t="str">
        <f t="shared" si="317"/>
        <v>TOT</v>
      </c>
      <c r="J1686" t="str">
        <f t="shared" si="311"/>
        <v>BTCTOT</v>
      </c>
      <c r="K1686" t="str">
        <f t="shared" si="312"/>
        <v>TOTBTC</v>
      </c>
      <c r="L1686">
        <f t="shared" si="313"/>
        <v>0</v>
      </c>
      <c r="M1686">
        <f t="shared" si="314"/>
        <v>1</v>
      </c>
      <c r="N1686" t="b">
        <f t="shared" si="315"/>
        <v>1</v>
      </c>
    </row>
    <row r="1687" spans="1:14" hidden="1" x14ac:dyDescent="0.25">
      <c r="A1687" t="s">
        <v>5</v>
      </c>
      <c r="B1687" t="s">
        <v>960</v>
      </c>
      <c r="C1687" s="1">
        <v>6.4999999999999996E-6</v>
      </c>
      <c r="D1687" s="1" t="s">
        <v>328</v>
      </c>
      <c r="E1687" s="1">
        <v>6.4999999999999996E-6</v>
      </c>
      <c r="F1687" s="1" t="s">
        <v>328</v>
      </c>
      <c r="G1687">
        <f t="shared" si="310"/>
        <v>6</v>
      </c>
      <c r="H1687" t="str">
        <f t="shared" si="318"/>
        <v>BTC</v>
      </c>
      <c r="I1687" t="str">
        <f t="shared" si="317"/>
        <v>TP1</v>
      </c>
      <c r="J1687" t="str">
        <f t="shared" si="311"/>
        <v>BTCTP1</v>
      </c>
      <c r="K1687" t="str">
        <f t="shared" si="312"/>
        <v>TP1BTC</v>
      </c>
      <c r="L1687">
        <f t="shared" si="313"/>
        <v>0</v>
      </c>
      <c r="M1687">
        <f t="shared" si="314"/>
        <v>1</v>
      </c>
      <c r="N1687" t="b">
        <f t="shared" si="315"/>
        <v>1</v>
      </c>
    </row>
    <row r="1688" spans="1:14" hidden="1" x14ac:dyDescent="0.25">
      <c r="A1688" t="s">
        <v>5</v>
      </c>
      <c r="B1688" t="s">
        <v>1180</v>
      </c>
      <c r="C1688" s="1" t="s">
        <v>384</v>
      </c>
      <c r="D1688" s="1" t="s">
        <v>361</v>
      </c>
      <c r="E1688" s="1" t="s">
        <v>384</v>
      </c>
      <c r="F1688" s="1" t="s">
        <v>361</v>
      </c>
      <c r="G1688">
        <f t="shared" si="310"/>
        <v>6</v>
      </c>
      <c r="H1688" t="str">
        <f t="shared" si="318"/>
        <v>BTC</v>
      </c>
      <c r="I1688" t="str">
        <f t="shared" si="317"/>
        <v>TPG</v>
      </c>
      <c r="J1688" t="str">
        <f t="shared" si="311"/>
        <v>BTCTPG</v>
      </c>
      <c r="K1688" t="str">
        <f t="shared" si="312"/>
        <v>TPGBTC</v>
      </c>
      <c r="L1688">
        <f t="shared" si="313"/>
        <v>0</v>
      </c>
      <c r="M1688">
        <f t="shared" si="314"/>
        <v>1</v>
      </c>
      <c r="N1688" t="b">
        <f t="shared" si="315"/>
        <v>1</v>
      </c>
    </row>
    <row r="1689" spans="1:14" hidden="1" x14ac:dyDescent="0.25">
      <c r="A1689" t="s">
        <v>5</v>
      </c>
      <c r="B1689" t="s">
        <v>646</v>
      </c>
      <c r="C1689" s="1">
        <v>8.7800000000000006E-6</v>
      </c>
      <c r="D1689" s="1">
        <v>6.7900000000000002E-6</v>
      </c>
      <c r="E1689" s="1">
        <v>8.7800000000000006E-6</v>
      </c>
      <c r="F1689" s="1">
        <v>6.7900000000000002E-6</v>
      </c>
      <c r="G1689">
        <f t="shared" si="310"/>
        <v>6</v>
      </c>
      <c r="H1689" t="str">
        <f t="shared" si="318"/>
        <v>BTC</v>
      </c>
      <c r="I1689" t="str">
        <f t="shared" si="317"/>
        <v>TRA</v>
      </c>
      <c r="J1689" t="str">
        <f t="shared" si="311"/>
        <v>BTCTRA</v>
      </c>
      <c r="K1689" t="str">
        <f t="shared" si="312"/>
        <v>TRABTC</v>
      </c>
      <c r="L1689">
        <f t="shared" si="313"/>
        <v>0</v>
      </c>
      <c r="M1689">
        <f t="shared" si="314"/>
        <v>1</v>
      </c>
      <c r="N1689" t="b">
        <f t="shared" si="315"/>
        <v>1</v>
      </c>
    </row>
    <row r="1690" spans="1:14" hidden="1" x14ac:dyDescent="0.25">
      <c r="A1690" t="s">
        <v>5</v>
      </c>
      <c r="B1690" t="s">
        <v>1038</v>
      </c>
      <c r="C1690" s="1">
        <v>3.3999999999999997E-7</v>
      </c>
      <c r="D1690" s="1">
        <v>2.8000000000000002E-7</v>
      </c>
      <c r="E1690" s="1">
        <v>3.3999999999999997E-7</v>
      </c>
      <c r="F1690" s="1">
        <v>2.8000000000000002E-7</v>
      </c>
      <c r="G1690">
        <f t="shared" si="310"/>
        <v>9</v>
      </c>
      <c r="H1690" t="str">
        <f t="shared" si="318"/>
        <v>BTC</v>
      </c>
      <c r="I1690" t="str">
        <f>LEFT(B1690,6)</f>
        <v>TRANSF</v>
      </c>
      <c r="J1690" t="str">
        <f t="shared" si="311"/>
        <v>BTCTRANSF</v>
      </c>
      <c r="K1690" t="str">
        <f t="shared" si="312"/>
        <v>TRANSFBTC</v>
      </c>
      <c r="L1690">
        <f t="shared" si="313"/>
        <v>0</v>
      </c>
      <c r="M1690">
        <f t="shared" si="314"/>
        <v>1</v>
      </c>
      <c r="N1690" t="b">
        <f t="shared" si="315"/>
        <v>1</v>
      </c>
    </row>
    <row r="1691" spans="1:14" hidden="1" x14ac:dyDescent="0.25">
      <c r="A1691" t="s">
        <v>5</v>
      </c>
      <c r="B1691" t="s">
        <v>789</v>
      </c>
      <c r="C1691" s="1">
        <v>5.5000000000000003E-7</v>
      </c>
      <c r="D1691" s="1">
        <v>3.8000000000000001E-7</v>
      </c>
      <c r="E1691" s="1">
        <v>5.5000000000000003E-7</v>
      </c>
      <c r="F1691" s="1">
        <v>3.8000000000000001E-7</v>
      </c>
      <c r="G1691">
        <f t="shared" si="310"/>
        <v>7</v>
      </c>
      <c r="H1691" t="str">
        <f t="shared" si="318"/>
        <v>BTC</v>
      </c>
      <c r="I1691" t="str">
        <f>LEFT(B1691,4)</f>
        <v>TRAP</v>
      </c>
      <c r="J1691" t="str">
        <f t="shared" si="311"/>
        <v>BTCTRAP</v>
      </c>
      <c r="K1691" t="str">
        <f t="shared" si="312"/>
        <v>TRAPBTC</v>
      </c>
      <c r="L1691">
        <f t="shared" si="313"/>
        <v>0</v>
      </c>
      <c r="M1691">
        <f t="shared" si="314"/>
        <v>1</v>
      </c>
      <c r="N1691" t="b">
        <f t="shared" si="315"/>
        <v>1</v>
      </c>
    </row>
    <row r="1692" spans="1:14" hidden="1" x14ac:dyDescent="0.25">
      <c r="A1692" t="s">
        <v>1403</v>
      </c>
      <c r="B1692" t="s">
        <v>1505</v>
      </c>
      <c r="C1692" s="1">
        <v>1.3339999999999999E-5</v>
      </c>
      <c r="D1692" s="1">
        <v>1.5460000000000001E-5</v>
      </c>
      <c r="E1692" s="1">
        <v>1.5460000000000001E-5</v>
      </c>
      <c r="F1692" s="1">
        <v>1.3339999999999999E-5</v>
      </c>
      <c r="G1692">
        <f t="shared" si="310"/>
        <v>6</v>
      </c>
      <c r="H1692" t="str">
        <f t="shared" si="318"/>
        <v>BTC</v>
      </c>
      <c r="I1692" t="str">
        <f>LEFT(B1692,3)</f>
        <v>TRC</v>
      </c>
      <c r="J1692" t="str">
        <f t="shared" si="311"/>
        <v>BTCTRC</v>
      </c>
      <c r="K1692" t="str">
        <f t="shared" si="312"/>
        <v>TRCBTC</v>
      </c>
      <c r="L1692">
        <f t="shared" si="313"/>
        <v>0</v>
      </c>
      <c r="M1692">
        <f t="shared" si="314"/>
        <v>1</v>
      </c>
      <c r="N1692" t="b">
        <f t="shared" si="315"/>
        <v>1</v>
      </c>
    </row>
    <row r="1693" spans="1:14" hidden="1" x14ac:dyDescent="0.25">
      <c r="A1693" t="s">
        <v>1403</v>
      </c>
      <c r="B1693" t="s">
        <v>2055</v>
      </c>
      <c r="C1693" s="1">
        <v>20</v>
      </c>
      <c r="D1693" s="1">
        <v>20</v>
      </c>
      <c r="E1693" s="1">
        <v>19.999993357600001</v>
      </c>
      <c r="F1693" s="1">
        <v>12.000000050000001</v>
      </c>
      <c r="G1693">
        <f t="shared" si="310"/>
        <v>7</v>
      </c>
      <c r="H1693" t="str">
        <f>RIGHT(B1693,4)</f>
        <v>DOGE</v>
      </c>
      <c r="I1693" t="str">
        <f>LEFT(B1693,3)</f>
        <v>TRC</v>
      </c>
      <c r="J1693" t="str">
        <f t="shared" si="311"/>
        <v>DOGETRC</v>
      </c>
      <c r="K1693" t="str">
        <f t="shared" si="312"/>
        <v>TRCDOGE</v>
      </c>
      <c r="L1693">
        <f t="shared" si="313"/>
        <v>0</v>
      </c>
      <c r="M1693">
        <f t="shared" si="314"/>
        <v>1</v>
      </c>
      <c r="N1693" t="b">
        <f t="shared" si="315"/>
        <v>1</v>
      </c>
    </row>
    <row r="1694" spans="1:14" hidden="1" x14ac:dyDescent="0.25">
      <c r="A1694" t="s">
        <v>1403</v>
      </c>
      <c r="B1694" t="s">
        <v>1862</v>
      </c>
      <c r="C1694" s="1">
        <v>2E-3</v>
      </c>
      <c r="D1694" s="1">
        <v>2E-3</v>
      </c>
      <c r="E1694" s="1">
        <v>1.9999800000000002E-3</v>
      </c>
      <c r="F1694" s="1">
        <v>6.0011000000000005E-4</v>
      </c>
      <c r="G1694">
        <f t="shared" si="310"/>
        <v>6</v>
      </c>
      <c r="H1694" t="str">
        <f>RIGHT(B1694,3)</f>
        <v>LTC</v>
      </c>
      <c r="I1694" t="str">
        <f>LEFT(B1694,3)</f>
        <v>TRC</v>
      </c>
      <c r="J1694" t="str">
        <f t="shared" si="311"/>
        <v>LTCTRC</v>
      </c>
      <c r="K1694" t="str">
        <f t="shared" si="312"/>
        <v>TRCLTC</v>
      </c>
      <c r="L1694">
        <f t="shared" si="313"/>
        <v>0</v>
      </c>
      <c r="M1694">
        <f t="shared" si="314"/>
        <v>1</v>
      </c>
      <c r="N1694" t="b">
        <f t="shared" si="315"/>
        <v>1</v>
      </c>
    </row>
    <row r="1695" spans="1:14" hidden="1" x14ac:dyDescent="0.25">
      <c r="A1695" t="s">
        <v>1403</v>
      </c>
      <c r="B1695" t="s">
        <v>1673</v>
      </c>
      <c r="C1695" s="1">
        <v>6.1832669999999999E-2</v>
      </c>
      <c r="D1695" s="1">
        <v>6.1832669999999999E-2</v>
      </c>
      <c r="E1695" s="1">
        <v>5.7798019200000002E-2</v>
      </c>
      <c r="F1695" s="1">
        <v>0.02</v>
      </c>
      <c r="G1695">
        <f t="shared" si="310"/>
        <v>6</v>
      </c>
      <c r="H1695" t="str">
        <f>RIGHT(B1695,3)</f>
        <v>USD</v>
      </c>
      <c r="I1695" t="str">
        <f>LEFT(B1695,3)</f>
        <v>TRC</v>
      </c>
      <c r="J1695" t="str">
        <f t="shared" si="311"/>
        <v>USDTRC</v>
      </c>
      <c r="K1695" t="str">
        <f t="shared" si="312"/>
        <v>TRCUSD</v>
      </c>
      <c r="L1695">
        <f t="shared" si="313"/>
        <v>0</v>
      </c>
      <c r="M1695">
        <f t="shared" si="314"/>
        <v>1</v>
      </c>
      <c r="N1695" t="b">
        <f t="shared" si="315"/>
        <v>1</v>
      </c>
    </row>
    <row r="1696" spans="1:14" hidden="1" x14ac:dyDescent="0.25">
      <c r="A1696" t="s">
        <v>5</v>
      </c>
      <c r="B1696" t="s">
        <v>949</v>
      </c>
      <c r="C1696" s="1">
        <v>1.1400000000000001E-6</v>
      </c>
      <c r="D1696" s="1">
        <v>9.4E-7</v>
      </c>
      <c r="E1696" s="1">
        <v>1.1400000000000001E-6</v>
      </c>
      <c r="F1696" s="1">
        <v>9.4E-7</v>
      </c>
      <c r="G1696">
        <f t="shared" si="310"/>
        <v>8</v>
      </c>
      <c r="H1696" t="str">
        <f>RIGHT(B1696,3)</f>
        <v>BTC</v>
      </c>
      <c r="I1696" t="str">
        <f>LEFT(B1696,5)</f>
        <v>TRICK</v>
      </c>
      <c r="J1696" t="str">
        <f t="shared" si="311"/>
        <v>BTCTRICK</v>
      </c>
      <c r="K1696" t="str">
        <f t="shared" si="312"/>
        <v>TRICKBTC</v>
      </c>
      <c r="L1696">
        <f t="shared" si="313"/>
        <v>0</v>
      </c>
      <c r="M1696">
        <f t="shared" si="314"/>
        <v>1</v>
      </c>
      <c r="N1696" t="b">
        <f t="shared" si="315"/>
        <v>1</v>
      </c>
    </row>
    <row r="1697" spans="1:14" hidden="1" x14ac:dyDescent="0.25">
      <c r="A1697" t="s">
        <v>5</v>
      </c>
      <c r="B1697" t="s">
        <v>565</v>
      </c>
      <c r="C1697" s="1">
        <v>6.0959999999999999E-5</v>
      </c>
      <c r="D1697" s="1">
        <v>5.003E-5</v>
      </c>
      <c r="E1697" s="1">
        <v>6.0959999999999999E-5</v>
      </c>
      <c r="F1697" s="1">
        <v>5.003E-5</v>
      </c>
      <c r="G1697">
        <f t="shared" si="310"/>
        <v>7</v>
      </c>
      <c r="H1697" t="str">
        <f>RIGHT(B1697,3)</f>
        <v>BTC</v>
      </c>
      <c r="I1697" t="str">
        <f>LEFT(B1697,4)</f>
        <v>TRON</v>
      </c>
      <c r="J1697" t="str">
        <f t="shared" si="311"/>
        <v>BTCTRON</v>
      </c>
      <c r="K1697" t="str">
        <f t="shared" si="312"/>
        <v>TRONBTC</v>
      </c>
      <c r="L1697">
        <f t="shared" si="313"/>
        <v>0</v>
      </c>
      <c r="M1697">
        <f t="shared" si="314"/>
        <v>1</v>
      </c>
      <c r="N1697" t="b">
        <f t="shared" si="315"/>
        <v>1</v>
      </c>
    </row>
    <row r="1698" spans="1:14" hidden="1" x14ac:dyDescent="0.25">
      <c r="A1698" t="s">
        <v>1403</v>
      </c>
      <c r="B1698" t="s">
        <v>2056</v>
      </c>
      <c r="C1698" s="1">
        <v>373.62599999999998</v>
      </c>
      <c r="D1698" s="1">
        <v>373.62599999999998</v>
      </c>
      <c r="E1698" s="1">
        <v>37.999989999999997</v>
      </c>
      <c r="F1698" s="1">
        <v>12.000000030000001</v>
      </c>
      <c r="G1698">
        <f t="shared" si="310"/>
        <v>9</v>
      </c>
      <c r="H1698" t="str">
        <f>RIGHT(B1698,4)</f>
        <v>DOGE</v>
      </c>
      <c r="I1698" t="str">
        <f>LEFT(B1698,5)</f>
        <v>TRUMP</v>
      </c>
      <c r="J1698" t="str">
        <f t="shared" si="311"/>
        <v>DOGETRUMP</v>
      </c>
      <c r="K1698" t="str">
        <f t="shared" si="312"/>
        <v>TRUMPDOGE</v>
      </c>
      <c r="L1698">
        <f t="shared" si="313"/>
        <v>0</v>
      </c>
      <c r="M1698">
        <f t="shared" si="314"/>
        <v>1</v>
      </c>
      <c r="N1698" t="b">
        <f t="shared" si="315"/>
        <v>1</v>
      </c>
    </row>
    <row r="1699" spans="1:14" hidden="1" x14ac:dyDescent="0.25">
      <c r="A1699" t="s">
        <v>1239</v>
      </c>
      <c r="B1699" t="s">
        <v>1399</v>
      </c>
      <c r="C1699" s="1">
        <v>3.1996999999999999E-4</v>
      </c>
      <c r="D1699" s="1">
        <v>1.2108E-4</v>
      </c>
      <c r="E1699" s="1">
        <v>3.1996999999999999E-4</v>
      </c>
      <c r="F1699" s="1">
        <v>1.2108E-4</v>
      </c>
      <c r="G1699">
        <f t="shared" si="310"/>
        <v>8</v>
      </c>
      <c r="H1699" t="str">
        <f>RIGHT(B1699,3)</f>
        <v>ETH</v>
      </c>
      <c r="I1699" t="str">
        <f>LEFT(B1699,5)</f>
        <v>TRUMP</v>
      </c>
      <c r="J1699" t="str">
        <f t="shared" si="311"/>
        <v>ETHTRUMP</v>
      </c>
      <c r="K1699" t="str">
        <f t="shared" si="312"/>
        <v>TRUMPETH</v>
      </c>
      <c r="L1699">
        <f t="shared" si="313"/>
        <v>0</v>
      </c>
      <c r="M1699">
        <f t="shared" si="314"/>
        <v>1</v>
      </c>
      <c r="N1699" t="b">
        <f t="shared" si="315"/>
        <v>1</v>
      </c>
    </row>
    <row r="1700" spans="1:14" hidden="1" x14ac:dyDescent="0.25">
      <c r="A1700" t="s">
        <v>1403</v>
      </c>
      <c r="B1700" t="s">
        <v>1863</v>
      </c>
      <c r="C1700" s="1">
        <v>2.8970989999999999E-2</v>
      </c>
      <c r="D1700" s="1">
        <v>2.8970989999999999E-2</v>
      </c>
      <c r="E1700" s="1">
        <v>1.1111090000000001E-2</v>
      </c>
      <c r="F1700" s="1">
        <v>1.6716999999999999E-4</v>
      </c>
      <c r="G1700">
        <f t="shared" si="310"/>
        <v>8</v>
      </c>
      <c r="H1700" t="str">
        <f>RIGHT(B1700,3)</f>
        <v>LTC</v>
      </c>
      <c r="I1700" t="str">
        <f>LEFT(B1700,5)</f>
        <v>TRUMP</v>
      </c>
      <c r="J1700" t="str">
        <f t="shared" si="311"/>
        <v>LTCTRUMP</v>
      </c>
      <c r="K1700" t="str">
        <f t="shared" si="312"/>
        <v>TRUMPLTC</v>
      </c>
      <c r="L1700">
        <f t="shared" si="313"/>
        <v>0</v>
      </c>
      <c r="M1700">
        <f t="shared" si="314"/>
        <v>1</v>
      </c>
      <c r="N1700" t="b">
        <f t="shared" si="315"/>
        <v>1</v>
      </c>
    </row>
    <row r="1701" spans="1:14" hidden="1" x14ac:dyDescent="0.25">
      <c r="A1701" t="s">
        <v>1403</v>
      </c>
      <c r="B1701" t="s">
        <v>1674</v>
      </c>
      <c r="C1701" s="1">
        <v>0.114</v>
      </c>
      <c r="D1701" s="1">
        <v>0.114</v>
      </c>
      <c r="E1701" s="1">
        <v>0.1109999</v>
      </c>
      <c r="F1701" s="1">
        <v>4.0000920000000002E-2</v>
      </c>
      <c r="G1701">
        <f t="shared" si="310"/>
        <v>8</v>
      </c>
      <c r="H1701" t="str">
        <f>RIGHT(B1701,3)</f>
        <v>USD</v>
      </c>
      <c r="I1701" t="str">
        <f>LEFT(B1701,5)</f>
        <v>TRUMP</v>
      </c>
      <c r="J1701" t="str">
        <f t="shared" si="311"/>
        <v>USDTRUMP</v>
      </c>
      <c r="K1701" t="str">
        <f t="shared" si="312"/>
        <v>TRUMPUSD</v>
      </c>
      <c r="L1701">
        <f t="shared" si="313"/>
        <v>0</v>
      </c>
      <c r="M1701">
        <f t="shared" si="314"/>
        <v>1</v>
      </c>
      <c r="N1701" t="b">
        <f t="shared" si="315"/>
        <v>1</v>
      </c>
    </row>
    <row r="1702" spans="1:14" hidden="1" x14ac:dyDescent="0.25">
      <c r="A1702" t="s">
        <v>1403</v>
      </c>
      <c r="B1702" t="s">
        <v>1506</v>
      </c>
      <c r="C1702" s="1">
        <v>6.4000000000000001E-7</v>
      </c>
      <c r="D1702" s="1">
        <v>2.0999999999999998E-6</v>
      </c>
      <c r="E1702" s="1">
        <v>2.0999999999999998E-6</v>
      </c>
      <c r="F1702" s="1">
        <v>6.8999999999999996E-7</v>
      </c>
      <c r="G1702">
        <f t="shared" si="310"/>
        <v>6</v>
      </c>
      <c r="H1702" t="str">
        <f>RIGHT(B1702,3)</f>
        <v>BTC</v>
      </c>
      <c r="I1702" t="str">
        <f t="shared" ref="I1702:I1710" si="319">LEFT(B1702,3)</f>
        <v>TSC</v>
      </c>
      <c r="J1702" t="str">
        <f t="shared" si="311"/>
        <v>BTCTSC</v>
      </c>
      <c r="K1702" t="str">
        <f t="shared" si="312"/>
        <v>TSCBTC</v>
      </c>
      <c r="L1702">
        <f t="shared" si="313"/>
        <v>0</v>
      </c>
      <c r="M1702">
        <f t="shared" si="314"/>
        <v>1</v>
      </c>
      <c r="N1702" t="b">
        <f t="shared" si="315"/>
        <v>1</v>
      </c>
    </row>
    <row r="1703" spans="1:14" hidden="1" x14ac:dyDescent="0.25">
      <c r="A1703" t="s">
        <v>1403</v>
      </c>
      <c r="B1703" t="s">
        <v>2057</v>
      </c>
      <c r="C1703" s="1">
        <v>0.45619999999999999</v>
      </c>
      <c r="D1703" s="1">
        <v>0.45619999999999999</v>
      </c>
      <c r="E1703" s="1">
        <v>3.4344580927999999</v>
      </c>
      <c r="F1703" s="1">
        <v>0.10000012</v>
      </c>
      <c r="G1703">
        <f t="shared" si="310"/>
        <v>7</v>
      </c>
      <c r="H1703" t="str">
        <f>RIGHT(B1703,4)</f>
        <v>DOGE</v>
      </c>
      <c r="I1703" t="str">
        <f t="shared" si="319"/>
        <v>TSC</v>
      </c>
      <c r="J1703" t="str">
        <f t="shared" si="311"/>
        <v>DOGETSC</v>
      </c>
      <c r="K1703" t="str">
        <f t="shared" si="312"/>
        <v>TSCDOGE</v>
      </c>
      <c r="L1703">
        <f t="shared" si="313"/>
        <v>0</v>
      </c>
      <c r="M1703">
        <f t="shared" si="314"/>
        <v>1</v>
      </c>
      <c r="N1703" t="b">
        <f t="shared" si="315"/>
        <v>1</v>
      </c>
    </row>
    <row r="1704" spans="1:14" hidden="1" x14ac:dyDescent="0.25">
      <c r="A1704" t="s">
        <v>1403</v>
      </c>
      <c r="B1704" t="s">
        <v>1864</v>
      </c>
      <c r="C1704" s="1">
        <v>0</v>
      </c>
      <c r="D1704" s="1">
        <v>0</v>
      </c>
      <c r="E1704" s="1">
        <v>1.0978E-2</v>
      </c>
      <c r="F1704" s="1">
        <v>1.6E-7</v>
      </c>
      <c r="G1704">
        <f t="shared" si="310"/>
        <v>6</v>
      </c>
      <c r="H1704" t="str">
        <f>RIGHT(B1704,3)</f>
        <v>LTC</v>
      </c>
      <c r="I1704" t="str">
        <f t="shared" si="319"/>
        <v>TSC</v>
      </c>
      <c r="J1704" t="str">
        <f t="shared" si="311"/>
        <v>LTCTSC</v>
      </c>
      <c r="K1704" t="str">
        <f t="shared" si="312"/>
        <v>TSCLTC</v>
      </c>
      <c r="L1704">
        <f t="shared" si="313"/>
        <v>0</v>
      </c>
      <c r="M1704">
        <f t="shared" si="314"/>
        <v>1</v>
      </c>
      <c r="N1704" t="b">
        <f t="shared" si="315"/>
        <v>1</v>
      </c>
    </row>
    <row r="1705" spans="1:14" hidden="1" x14ac:dyDescent="0.25">
      <c r="A1705" t="s">
        <v>1403</v>
      </c>
      <c r="B1705" t="s">
        <v>1675</v>
      </c>
      <c r="C1705" s="1">
        <v>0.49999998000000001</v>
      </c>
      <c r="D1705" s="1">
        <v>0.49999998000000001</v>
      </c>
      <c r="E1705" s="1">
        <v>0.48999900000000002</v>
      </c>
      <c r="F1705" s="1">
        <v>1.31E-6</v>
      </c>
      <c r="G1705">
        <f t="shared" si="310"/>
        <v>6</v>
      </c>
      <c r="H1705" t="str">
        <f>RIGHT(B1705,3)</f>
        <v>USD</v>
      </c>
      <c r="I1705" t="str">
        <f t="shared" si="319"/>
        <v>TSC</v>
      </c>
      <c r="J1705" t="str">
        <f t="shared" si="311"/>
        <v>USDTSC</v>
      </c>
      <c r="K1705" t="str">
        <f t="shared" si="312"/>
        <v>TSCUSD</v>
      </c>
      <c r="L1705">
        <f t="shared" si="313"/>
        <v>0</v>
      </c>
      <c r="M1705">
        <f t="shared" si="314"/>
        <v>1</v>
      </c>
      <c r="N1705" t="b">
        <f t="shared" si="315"/>
        <v>1</v>
      </c>
    </row>
    <row r="1706" spans="1:14" hidden="1" x14ac:dyDescent="0.25">
      <c r="A1706" t="s">
        <v>1403</v>
      </c>
      <c r="B1706" t="s">
        <v>2053</v>
      </c>
      <c r="C1706" s="1">
        <v>0.5</v>
      </c>
      <c r="D1706" s="1">
        <v>0.5</v>
      </c>
      <c r="E1706" s="1">
        <v>0.99999899999999997</v>
      </c>
      <c r="F1706" s="1">
        <v>7.2220299999999999E-3</v>
      </c>
      <c r="G1706">
        <f t="shared" si="310"/>
        <v>7</v>
      </c>
      <c r="H1706" t="str">
        <f>RIGHT(B1706,4)</f>
        <v>DOGE</v>
      </c>
      <c r="I1706" t="str">
        <f t="shared" si="319"/>
        <v>TSE</v>
      </c>
      <c r="J1706" t="str">
        <f t="shared" si="311"/>
        <v>DOGETSE</v>
      </c>
      <c r="K1706" t="str">
        <f t="shared" si="312"/>
        <v>TSEDOGE</v>
      </c>
      <c r="L1706">
        <f t="shared" si="313"/>
        <v>0</v>
      </c>
      <c r="M1706">
        <f t="shared" si="314"/>
        <v>1</v>
      </c>
      <c r="N1706" t="b">
        <f t="shared" si="315"/>
        <v>1</v>
      </c>
    </row>
    <row r="1707" spans="1:14" hidden="1" x14ac:dyDescent="0.25">
      <c r="A1707" t="s">
        <v>1403</v>
      </c>
      <c r="B1707" t="s">
        <v>1860</v>
      </c>
      <c r="C1707" s="1">
        <v>0</v>
      </c>
      <c r="D1707" s="1">
        <v>0</v>
      </c>
      <c r="E1707" s="1">
        <v>9.8999999999999999E-4</v>
      </c>
      <c r="F1707" s="1">
        <v>5.0100000000000003E-6</v>
      </c>
      <c r="G1707">
        <f t="shared" si="310"/>
        <v>6</v>
      </c>
      <c r="H1707" t="str">
        <f t="shared" ref="H1707:H1715" si="320">RIGHT(B1707,3)</f>
        <v>LTC</v>
      </c>
      <c r="I1707" t="str">
        <f t="shared" si="319"/>
        <v>TSE</v>
      </c>
      <c r="J1707" t="str">
        <f t="shared" si="311"/>
        <v>LTCTSE</v>
      </c>
      <c r="K1707" t="str">
        <f t="shared" si="312"/>
        <v>TSELTC</v>
      </c>
      <c r="L1707">
        <f t="shared" si="313"/>
        <v>0</v>
      </c>
      <c r="M1707">
        <f t="shared" si="314"/>
        <v>1</v>
      </c>
      <c r="N1707" t="b">
        <f t="shared" si="315"/>
        <v>1</v>
      </c>
    </row>
    <row r="1708" spans="1:14" hidden="1" x14ac:dyDescent="0.25">
      <c r="A1708" t="s">
        <v>1403</v>
      </c>
      <c r="B1708" t="s">
        <v>1671</v>
      </c>
      <c r="C1708" s="1">
        <v>1.5E-3</v>
      </c>
      <c r="D1708" s="1">
        <v>1.5E-3</v>
      </c>
      <c r="E1708" s="1">
        <v>1.5579999999999999E-3</v>
      </c>
      <c r="F1708" s="1">
        <v>3.0005E-4</v>
      </c>
      <c r="G1708">
        <f t="shared" si="310"/>
        <v>6</v>
      </c>
      <c r="H1708" t="str">
        <f t="shared" si="320"/>
        <v>USD</v>
      </c>
      <c r="I1708" t="str">
        <f t="shared" si="319"/>
        <v>TSE</v>
      </c>
      <c r="J1708" t="str">
        <f t="shared" si="311"/>
        <v>USDTSE</v>
      </c>
      <c r="K1708" t="str">
        <f t="shared" si="312"/>
        <v>TSEUSD</v>
      </c>
      <c r="L1708">
        <f t="shared" si="313"/>
        <v>0</v>
      </c>
      <c r="M1708">
        <f t="shared" si="314"/>
        <v>1</v>
      </c>
      <c r="N1708" t="b">
        <f t="shared" si="315"/>
        <v>1</v>
      </c>
    </row>
    <row r="1709" spans="1:14" hidden="1" x14ac:dyDescent="0.25">
      <c r="A1709" t="s">
        <v>5</v>
      </c>
      <c r="B1709" t="s">
        <v>688</v>
      </c>
      <c r="C1709" s="1" t="s">
        <v>380</v>
      </c>
      <c r="D1709" s="1" t="s">
        <v>381</v>
      </c>
      <c r="E1709" s="1" t="s">
        <v>380</v>
      </c>
      <c r="F1709" s="1" t="s">
        <v>381</v>
      </c>
      <c r="G1709">
        <f t="shared" si="310"/>
        <v>6</v>
      </c>
      <c r="H1709" t="str">
        <f t="shared" si="320"/>
        <v>BTC</v>
      </c>
      <c r="I1709" t="str">
        <f t="shared" si="319"/>
        <v>TTC</v>
      </c>
      <c r="J1709" t="str">
        <f t="shared" si="311"/>
        <v>BTCTTC</v>
      </c>
      <c r="K1709" t="str">
        <f t="shared" si="312"/>
        <v>TTCBTC</v>
      </c>
      <c r="L1709">
        <f t="shared" si="313"/>
        <v>0</v>
      </c>
      <c r="M1709">
        <f t="shared" si="314"/>
        <v>1</v>
      </c>
      <c r="N1709" t="b">
        <f t="shared" si="315"/>
        <v>1</v>
      </c>
    </row>
    <row r="1710" spans="1:14" hidden="1" x14ac:dyDescent="0.25">
      <c r="A1710" t="s">
        <v>5</v>
      </c>
      <c r="B1710" t="s">
        <v>980</v>
      </c>
      <c r="C1710" s="1">
        <v>3.3320000000000002E-4</v>
      </c>
      <c r="D1710" s="1">
        <v>2.9999999999999997E-4</v>
      </c>
      <c r="E1710" s="1">
        <v>3.3320000000000002E-4</v>
      </c>
      <c r="F1710" s="1">
        <v>2.5424380199999899E-4</v>
      </c>
      <c r="G1710">
        <f t="shared" si="310"/>
        <v>6</v>
      </c>
      <c r="H1710" t="str">
        <f t="shared" si="320"/>
        <v>BTC</v>
      </c>
      <c r="I1710" t="str">
        <f t="shared" si="319"/>
        <v>TUR</v>
      </c>
      <c r="J1710" t="str">
        <f t="shared" si="311"/>
        <v>BTCTUR</v>
      </c>
      <c r="K1710" t="str">
        <f t="shared" si="312"/>
        <v>TURBTC</v>
      </c>
      <c r="L1710">
        <f t="shared" si="313"/>
        <v>0</v>
      </c>
      <c r="M1710">
        <f t="shared" si="314"/>
        <v>1</v>
      </c>
      <c r="N1710" t="b">
        <f t="shared" si="315"/>
        <v>1</v>
      </c>
    </row>
    <row r="1711" spans="1:14" hidden="1" x14ac:dyDescent="0.25">
      <c r="A1711" t="s">
        <v>5</v>
      </c>
      <c r="B1711" t="s">
        <v>534</v>
      </c>
      <c r="C1711" s="1" t="s">
        <v>362</v>
      </c>
      <c r="D1711" s="1" t="s">
        <v>364</v>
      </c>
      <c r="E1711" s="1" t="s">
        <v>362</v>
      </c>
      <c r="F1711" s="1">
        <v>2.8000000000000002E-7</v>
      </c>
      <c r="G1711">
        <f t="shared" si="310"/>
        <v>8</v>
      </c>
      <c r="H1711" t="str">
        <f t="shared" si="320"/>
        <v>BTC</v>
      </c>
      <c r="I1711" t="str">
        <f>LEFT(B1711,5)</f>
        <v>TWERK</v>
      </c>
      <c r="J1711" t="str">
        <f t="shared" si="311"/>
        <v>BTCTWERK</v>
      </c>
      <c r="K1711" t="str">
        <f t="shared" si="312"/>
        <v>TWERKBTC</v>
      </c>
      <c r="L1711">
        <f t="shared" si="313"/>
        <v>0</v>
      </c>
      <c r="M1711">
        <f t="shared" si="314"/>
        <v>1</v>
      </c>
      <c r="N1711" t="b">
        <f t="shared" si="315"/>
        <v>1</v>
      </c>
    </row>
    <row r="1712" spans="1:14" hidden="1" x14ac:dyDescent="0.25">
      <c r="A1712" t="s">
        <v>5</v>
      </c>
      <c r="B1712" t="s">
        <v>1071</v>
      </c>
      <c r="C1712" s="1">
        <v>5.4199999999999998E-6</v>
      </c>
      <c r="D1712" s="1">
        <v>4.8099999999999997E-6</v>
      </c>
      <c r="E1712" s="1">
        <v>5.4199999999999998E-6</v>
      </c>
      <c r="F1712" s="1">
        <v>4.8099999999999997E-6</v>
      </c>
      <c r="G1712">
        <f t="shared" si="310"/>
        <v>8</v>
      </c>
      <c r="H1712" t="str">
        <f t="shared" si="320"/>
        <v>BTC</v>
      </c>
      <c r="I1712" t="str">
        <f>LEFT(B1712,5)</f>
        <v>TWIST</v>
      </c>
      <c r="J1712" t="str">
        <f t="shared" si="311"/>
        <v>BTCTWIST</v>
      </c>
      <c r="K1712" t="str">
        <f t="shared" si="312"/>
        <v>TWISTBTC</v>
      </c>
      <c r="L1712">
        <f t="shared" si="313"/>
        <v>0</v>
      </c>
      <c r="M1712">
        <f t="shared" si="314"/>
        <v>1</v>
      </c>
      <c r="N1712" t="b">
        <f t="shared" si="315"/>
        <v>1</v>
      </c>
    </row>
    <row r="1713" spans="1:14" hidden="1" x14ac:dyDescent="0.25">
      <c r="A1713" t="s">
        <v>5</v>
      </c>
      <c r="B1713" t="s">
        <v>1061</v>
      </c>
      <c r="C1713" s="1" t="s">
        <v>362</v>
      </c>
      <c r="D1713" s="1" t="s">
        <v>364</v>
      </c>
      <c r="E1713" s="1" t="s">
        <v>362</v>
      </c>
      <c r="F1713" s="1">
        <v>2.8500999999999998E-4</v>
      </c>
      <c r="G1713">
        <f t="shared" si="310"/>
        <v>6</v>
      </c>
      <c r="H1713" t="str">
        <f t="shared" si="320"/>
        <v>BTC</v>
      </c>
      <c r="I1713" t="str">
        <f>LEFT(B1713,3)</f>
        <v>TWO</v>
      </c>
      <c r="J1713" t="str">
        <f t="shared" si="311"/>
        <v>BTCTWO</v>
      </c>
      <c r="K1713" t="str">
        <f t="shared" si="312"/>
        <v>TWOBTC</v>
      </c>
      <c r="L1713">
        <f t="shared" si="313"/>
        <v>0</v>
      </c>
      <c r="M1713">
        <f t="shared" si="314"/>
        <v>1</v>
      </c>
      <c r="N1713" t="b">
        <f t="shared" si="315"/>
        <v>1</v>
      </c>
    </row>
    <row r="1714" spans="1:14" hidden="1" x14ac:dyDescent="0.25">
      <c r="A1714" t="s">
        <v>5</v>
      </c>
      <c r="B1714" t="s">
        <v>579</v>
      </c>
      <c r="C1714" s="1">
        <v>9.1999999999999998E-7</v>
      </c>
      <c r="D1714" s="1">
        <v>8.2999999999999999E-7</v>
      </c>
      <c r="E1714" s="1">
        <v>9.1999999999999998E-7</v>
      </c>
      <c r="F1714" s="1">
        <v>8.2999999999999999E-7</v>
      </c>
      <c r="G1714">
        <f t="shared" si="310"/>
        <v>6</v>
      </c>
      <c r="H1714" t="str">
        <f t="shared" si="320"/>
        <v>BTC</v>
      </c>
      <c r="I1714" t="str">
        <f>LEFT(B1714,3)</f>
        <v>UAE</v>
      </c>
      <c r="J1714" t="str">
        <f t="shared" si="311"/>
        <v>BTCUAE</v>
      </c>
      <c r="K1714" t="str">
        <f t="shared" si="312"/>
        <v>UAEBTC</v>
      </c>
      <c r="L1714">
        <f t="shared" si="313"/>
        <v>0</v>
      </c>
      <c r="M1714">
        <f t="shared" si="314"/>
        <v>1</v>
      </c>
      <c r="N1714" t="b">
        <f t="shared" si="315"/>
        <v>1</v>
      </c>
    </row>
    <row r="1715" spans="1:14" hidden="1" x14ac:dyDescent="0.25">
      <c r="A1715" t="s">
        <v>5</v>
      </c>
      <c r="B1715" t="s">
        <v>992</v>
      </c>
      <c r="C1715" s="1">
        <v>5.2E-7</v>
      </c>
      <c r="D1715" s="1">
        <v>4.4999999999999998E-7</v>
      </c>
      <c r="E1715" s="1">
        <v>5.2E-7</v>
      </c>
      <c r="F1715" s="1">
        <v>4.4999999999999998E-7</v>
      </c>
      <c r="G1715">
        <f t="shared" si="310"/>
        <v>7</v>
      </c>
      <c r="H1715" t="str">
        <f t="shared" si="320"/>
        <v>BTC</v>
      </c>
      <c r="I1715" t="str">
        <f>LEFT(B1715,4)</f>
        <v>UBIQ</v>
      </c>
      <c r="J1715" t="str">
        <f t="shared" si="311"/>
        <v>BTCUBIQ</v>
      </c>
      <c r="K1715" t="str">
        <f t="shared" si="312"/>
        <v>UBIQBTC</v>
      </c>
      <c r="L1715">
        <f t="shared" si="313"/>
        <v>0</v>
      </c>
      <c r="M1715">
        <f t="shared" si="314"/>
        <v>1</v>
      </c>
      <c r="N1715" t="b">
        <f t="shared" si="315"/>
        <v>1</v>
      </c>
    </row>
    <row r="1716" spans="1:14" hidden="1" x14ac:dyDescent="0.25">
      <c r="A1716" t="s">
        <v>1403</v>
      </c>
      <c r="B1716" t="s">
        <v>2058</v>
      </c>
      <c r="C1716" s="1">
        <v>0.14914938999999999</v>
      </c>
      <c r="D1716" s="1">
        <v>5997.9999998000003</v>
      </c>
      <c r="E1716" s="1">
        <v>349.99999000000003</v>
      </c>
      <c r="F1716" s="1">
        <v>0.17000030999999999</v>
      </c>
      <c r="G1716">
        <f t="shared" si="310"/>
        <v>5</v>
      </c>
      <c r="H1716" t="str">
        <f>RIGHT(B1716,4)</f>
        <v>DOGE</v>
      </c>
      <c r="I1716" t="str">
        <f>LEFT(B1716,1)</f>
        <v>U</v>
      </c>
      <c r="J1716" t="str">
        <f t="shared" si="311"/>
        <v>DOGEU</v>
      </c>
      <c r="K1716" t="str">
        <f t="shared" si="312"/>
        <v>UDOGE</v>
      </c>
      <c r="L1716">
        <f t="shared" si="313"/>
        <v>0</v>
      </c>
      <c r="M1716">
        <f t="shared" si="314"/>
        <v>1</v>
      </c>
      <c r="N1716" t="b">
        <f t="shared" si="315"/>
        <v>1</v>
      </c>
    </row>
    <row r="1717" spans="1:14" hidden="1" x14ac:dyDescent="0.25">
      <c r="A1717" t="s">
        <v>5</v>
      </c>
      <c r="B1717" t="s">
        <v>650</v>
      </c>
      <c r="C1717" s="1">
        <v>5.3499999999999996E-6</v>
      </c>
      <c r="D1717" s="1">
        <v>4.6299999999999997E-6</v>
      </c>
      <c r="E1717" s="1">
        <v>5.3499999999999996E-6</v>
      </c>
      <c r="F1717" s="1">
        <v>4.6299999999999997E-6</v>
      </c>
      <c r="G1717">
        <f t="shared" si="310"/>
        <v>6</v>
      </c>
      <c r="H1717" t="str">
        <f>RIGHT(B1717,3)</f>
        <v>BTC</v>
      </c>
      <c r="I1717" t="str">
        <f>LEFT(B1717,3)</f>
        <v>UIS</v>
      </c>
      <c r="J1717" t="str">
        <f t="shared" si="311"/>
        <v>BTCUIS</v>
      </c>
      <c r="K1717" t="str">
        <f t="shared" si="312"/>
        <v>UISBTC</v>
      </c>
      <c r="L1717">
        <f t="shared" si="313"/>
        <v>0</v>
      </c>
      <c r="M1717">
        <f t="shared" si="314"/>
        <v>1</v>
      </c>
      <c r="N1717" t="b">
        <f t="shared" si="315"/>
        <v>1</v>
      </c>
    </row>
    <row r="1718" spans="1:14" hidden="1" x14ac:dyDescent="0.25">
      <c r="A1718" t="s">
        <v>1403</v>
      </c>
      <c r="B1718" t="s">
        <v>1865</v>
      </c>
      <c r="C1718" s="1">
        <v>4.0000000000000001E-3</v>
      </c>
      <c r="D1718" s="1">
        <v>4.0000000000000001E-3</v>
      </c>
      <c r="E1718" s="1">
        <v>0.23999971</v>
      </c>
      <c r="F1718" s="1">
        <v>1.0329999999999999E-5</v>
      </c>
      <c r="G1718">
        <f t="shared" si="310"/>
        <v>4</v>
      </c>
      <c r="H1718" t="str">
        <f>RIGHT(B1718,3)</f>
        <v>LTC</v>
      </c>
      <c r="I1718" t="str">
        <f>LEFT(B1718,1)</f>
        <v>U</v>
      </c>
      <c r="J1718" t="str">
        <f t="shared" si="311"/>
        <v>LTCU</v>
      </c>
      <c r="K1718" t="str">
        <f t="shared" si="312"/>
        <v>ULTC</v>
      </c>
      <c r="L1718">
        <f t="shared" si="313"/>
        <v>0</v>
      </c>
      <c r="M1718">
        <f t="shared" si="314"/>
        <v>1</v>
      </c>
      <c r="N1718" t="b">
        <f t="shared" si="315"/>
        <v>1</v>
      </c>
    </row>
    <row r="1719" spans="1:14" hidden="1" x14ac:dyDescent="0.25">
      <c r="A1719" t="s">
        <v>1403</v>
      </c>
      <c r="B1719" t="s">
        <v>2059</v>
      </c>
      <c r="C1719" s="1">
        <v>0.20502064</v>
      </c>
      <c r="D1719" s="1">
        <v>0.20502064</v>
      </c>
      <c r="E1719" s="1">
        <v>0.20502061999999999</v>
      </c>
      <c r="F1719" s="1">
        <v>9.1200099999999996E-3</v>
      </c>
      <c r="G1719">
        <f t="shared" si="310"/>
        <v>7</v>
      </c>
      <c r="H1719" t="str">
        <f>RIGHT(B1719,4)</f>
        <v>DOGE</v>
      </c>
      <c r="I1719" t="str">
        <f>LEFT(B1719,3)</f>
        <v>UNC</v>
      </c>
      <c r="J1719" t="str">
        <f t="shared" si="311"/>
        <v>DOGEUNC</v>
      </c>
      <c r="K1719" t="str">
        <f t="shared" si="312"/>
        <v>UNCDOGE</v>
      </c>
      <c r="L1719">
        <f t="shared" si="313"/>
        <v>0</v>
      </c>
      <c r="M1719">
        <f t="shared" si="314"/>
        <v>1</v>
      </c>
      <c r="N1719" t="b">
        <f t="shared" si="315"/>
        <v>1</v>
      </c>
    </row>
    <row r="1720" spans="1:14" hidden="1" x14ac:dyDescent="0.25">
      <c r="A1720" t="s">
        <v>1403</v>
      </c>
      <c r="B1720" t="s">
        <v>1866</v>
      </c>
      <c r="C1720" s="1">
        <v>0.01</v>
      </c>
      <c r="D1720" s="1">
        <v>0.01</v>
      </c>
      <c r="E1720" s="1">
        <v>7.9820000000000005E-5</v>
      </c>
      <c r="F1720" s="1">
        <v>2.2000000000000001E-7</v>
      </c>
      <c r="G1720">
        <f t="shared" si="310"/>
        <v>6</v>
      </c>
      <c r="H1720" t="str">
        <f t="shared" ref="H1720:H1725" si="321">RIGHT(B1720,3)</f>
        <v>LTC</v>
      </c>
      <c r="I1720" t="str">
        <f>LEFT(B1720,3)</f>
        <v>UNC</v>
      </c>
      <c r="J1720" t="str">
        <f t="shared" si="311"/>
        <v>LTCUNC</v>
      </c>
      <c r="K1720" t="str">
        <f t="shared" si="312"/>
        <v>UNCLTC</v>
      </c>
      <c r="L1720">
        <f t="shared" si="313"/>
        <v>0</v>
      </c>
      <c r="M1720">
        <f t="shared" si="314"/>
        <v>1</v>
      </c>
      <c r="N1720" t="b">
        <f t="shared" si="315"/>
        <v>1</v>
      </c>
    </row>
    <row r="1721" spans="1:14" hidden="1" x14ac:dyDescent="0.25">
      <c r="A1721" t="s">
        <v>1403</v>
      </c>
      <c r="B1721" t="s">
        <v>1677</v>
      </c>
      <c r="C1721" s="1">
        <v>7.8503700000000006E-3</v>
      </c>
      <c r="D1721" s="1">
        <v>3.5197000000000001E-4</v>
      </c>
      <c r="E1721" s="1">
        <v>3.5197000000000001E-4</v>
      </c>
      <c r="F1721" s="1">
        <v>1.8050000000000002E-5</v>
      </c>
      <c r="G1721">
        <f t="shared" si="310"/>
        <v>6</v>
      </c>
      <c r="H1721" t="str">
        <f t="shared" si="321"/>
        <v>USD</v>
      </c>
      <c r="I1721" t="str">
        <f>LEFT(B1721,3)</f>
        <v>UNC</v>
      </c>
      <c r="J1721" t="str">
        <f t="shared" si="311"/>
        <v>USDUNC</v>
      </c>
      <c r="K1721" t="str">
        <f t="shared" si="312"/>
        <v>UNCUSD</v>
      </c>
      <c r="L1721">
        <f t="shared" si="313"/>
        <v>0</v>
      </c>
      <c r="M1721">
        <f t="shared" si="314"/>
        <v>1</v>
      </c>
      <c r="N1721" t="b">
        <f t="shared" si="315"/>
        <v>1</v>
      </c>
    </row>
    <row r="1722" spans="1:14" hidden="1" x14ac:dyDescent="0.25">
      <c r="A1722" t="s">
        <v>5</v>
      </c>
      <c r="B1722" t="s">
        <v>877</v>
      </c>
      <c r="C1722" s="1" t="s">
        <v>368</v>
      </c>
      <c r="D1722" s="1">
        <v>1.3E-7</v>
      </c>
      <c r="E1722" s="1" t="s">
        <v>368</v>
      </c>
      <c r="F1722" s="1">
        <v>1.3E-7</v>
      </c>
      <c r="G1722">
        <f t="shared" si="310"/>
        <v>6</v>
      </c>
      <c r="H1722" t="str">
        <f t="shared" si="321"/>
        <v>BTC</v>
      </c>
      <c r="I1722" t="str">
        <f>LEFT(B1722,3)</f>
        <v>UNF</v>
      </c>
      <c r="J1722" t="str">
        <f t="shared" si="311"/>
        <v>BTCUNF</v>
      </c>
      <c r="K1722" t="str">
        <f t="shared" si="312"/>
        <v>UNFBTC</v>
      </c>
      <c r="L1722">
        <f t="shared" si="313"/>
        <v>0</v>
      </c>
      <c r="M1722">
        <f t="shared" si="314"/>
        <v>1</v>
      </c>
      <c r="N1722" t="b">
        <f t="shared" si="315"/>
        <v>1</v>
      </c>
    </row>
    <row r="1723" spans="1:14" hidden="1" x14ac:dyDescent="0.25">
      <c r="A1723" t="s">
        <v>5</v>
      </c>
      <c r="B1723" t="s">
        <v>499</v>
      </c>
      <c r="C1723" s="1">
        <v>3.1980000000000002E-5</v>
      </c>
      <c r="D1723" s="1">
        <v>1.8110000000000001E-5</v>
      </c>
      <c r="E1723" s="1">
        <v>3.1980000000000002E-5</v>
      </c>
      <c r="F1723" s="1">
        <v>1.8110000000000001E-5</v>
      </c>
      <c r="G1723">
        <f t="shared" si="310"/>
        <v>6</v>
      </c>
      <c r="H1723" t="str">
        <f t="shared" si="321"/>
        <v>BTC</v>
      </c>
      <c r="I1723" t="str">
        <f>LEFT(B1723,3)</f>
        <v>UNI</v>
      </c>
      <c r="J1723" t="str">
        <f t="shared" si="311"/>
        <v>BTCUNI</v>
      </c>
      <c r="K1723" t="str">
        <f t="shared" si="312"/>
        <v>UNIBTC</v>
      </c>
      <c r="L1723">
        <f t="shared" si="313"/>
        <v>0</v>
      </c>
      <c r="M1723">
        <f t="shared" si="314"/>
        <v>1</v>
      </c>
      <c r="N1723" t="b">
        <f t="shared" si="315"/>
        <v>1</v>
      </c>
    </row>
    <row r="1724" spans="1:14" hidden="1" x14ac:dyDescent="0.25">
      <c r="A1724" t="s">
        <v>5</v>
      </c>
      <c r="B1724" t="s">
        <v>806</v>
      </c>
      <c r="C1724" s="1">
        <v>5.1599999999999997E-6</v>
      </c>
      <c r="D1724" s="1">
        <v>5.1499999999999998E-6</v>
      </c>
      <c r="E1724" s="1">
        <v>5.1599999999999997E-6</v>
      </c>
      <c r="F1724" s="1">
        <v>5.1499999999999998E-6</v>
      </c>
      <c r="G1724">
        <f t="shared" si="310"/>
        <v>7</v>
      </c>
      <c r="H1724" t="str">
        <f t="shared" si="321"/>
        <v>BTC</v>
      </c>
      <c r="I1724" t="str">
        <f>LEFT(B1724,4)</f>
        <v>UNIT</v>
      </c>
      <c r="J1724" t="str">
        <f t="shared" si="311"/>
        <v>BTCUNIT</v>
      </c>
      <c r="K1724" t="str">
        <f t="shared" si="312"/>
        <v>UNITBTC</v>
      </c>
      <c r="L1724">
        <f t="shared" si="313"/>
        <v>0</v>
      </c>
      <c r="M1724">
        <f t="shared" si="314"/>
        <v>1</v>
      </c>
      <c r="N1724" t="b">
        <f t="shared" si="315"/>
        <v>1</v>
      </c>
    </row>
    <row r="1725" spans="1:14" hidden="1" x14ac:dyDescent="0.25">
      <c r="A1725" t="s">
        <v>5</v>
      </c>
      <c r="B1725" t="s">
        <v>653</v>
      </c>
      <c r="C1725" s="1">
        <v>2.6999999999999999E-5</v>
      </c>
      <c r="D1725" s="1">
        <v>1.702E-5</v>
      </c>
      <c r="E1725" s="1">
        <v>2.6999999999999999E-5</v>
      </c>
      <c r="F1725" s="1">
        <v>1.702E-5</v>
      </c>
      <c r="G1725">
        <f t="shared" si="310"/>
        <v>8</v>
      </c>
      <c r="H1725" t="str">
        <f t="shared" si="321"/>
        <v>BTC</v>
      </c>
      <c r="I1725" t="str">
        <f>LEFT(B1725,5)</f>
        <v>UNITS</v>
      </c>
      <c r="J1725" t="str">
        <f t="shared" si="311"/>
        <v>BTCUNITS</v>
      </c>
      <c r="K1725" t="str">
        <f t="shared" si="312"/>
        <v>UNITSBTC</v>
      </c>
      <c r="L1725">
        <f t="shared" si="313"/>
        <v>0</v>
      </c>
      <c r="M1725">
        <f t="shared" si="314"/>
        <v>1</v>
      </c>
      <c r="N1725" t="b">
        <f t="shared" si="315"/>
        <v>1</v>
      </c>
    </row>
    <row r="1726" spans="1:14" hidden="1" x14ac:dyDescent="0.25">
      <c r="A1726" t="s">
        <v>1403</v>
      </c>
      <c r="B1726" t="s">
        <v>2060</v>
      </c>
      <c r="C1726" s="1">
        <v>7200</v>
      </c>
      <c r="D1726" s="1">
        <v>7200</v>
      </c>
      <c r="E1726" s="1">
        <v>15999.9999998946</v>
      </c>
      <c r="F1726" s="1">
        <v>5232.0000003300001</v>
      </c>
      <c r="G1726">
        <f t="shared" si="310"/>
        <v>7</v>
      </c>
      <c r="H1726" t="str">
        <f>RIGHT(B1726,4)</f>
        <v>DOGE</v>
      </c>
      <c r="I1726" t="str">
        <f>LEFT(B1726,3)</f>
        <v>UNO</v>
      </c>
      <c r="J1726" t="str">
        <f t="shared" si="311"/>
        <v>DOGEUNO</v>
      </c>
      <c r="K1726" t="str">
        <f t="shared" si="312"/>
        <v>UNODOGE</v>
      </c>
      <c r="L1726">
        <f t="shared" si="313"/>
        <v>0</v>
      </c>
      <c r="M1726">
        <f t="shared" si="314"/>
        <v>1</v>
      </c>
      <c r="N1726" t="b">
        <f t="shared" si="315"/>
        <v>1</v>
      </c>
    </row>
    <row r="1727" spans="1:14" hidden="1" x14ac:dyDescent="0.25">
      <c r="A1727" t="s">
        <v>1403</v>
      </c>
      <c r="B1727" t="s">
        <v>1867</v>
      </c>
      <c r="C1727" s="1">
        <v>1.25</v>
      </c>
      <c r="D1727" s="1">
        <v>1.25</v>
      </c>
      <c r="E1727" s="1">
        <v>1.2499999998784801</v>
      </c>
      <c r="F1727" s="1">
        <v>0.33410008142895098</v>
      </c>
      <c r="G1727">
        <f t="shared" si="310"/>
        <v>6</v>
      </c>
      <c r="H1727" t="str">
        <f>RIGHT(B1727,3)</f>
        <v>LTC</v>
      </c>
      <c r="I1727" t="str">
        <f>LEFT(B1727,3)</f>
        <v>UNO</v>
      </c>
      <c r="J1727" t="str">
        <f t="shared" si="311"/>
        <v>LTCUNO</v>
      </c>
      <c r="K1727" t="str">
        <f t="shared" si="312"/>
        <v>UNOLTC</v>
      </c>
      <c r="L1727">
        <f t="shared" si="313"/>
        <v>0</v>
      </c>
      <c r="M1727">
        <f t="shared" si="314"/>
        <v>1</v>
      </c>
      <c r="N1727" t="b">
        <f t="shared" si="315"/>
        <v>1</v>
      </c>
    </row>
    <row r="1728" spans="1:14" hidden="1" x14ac:dyDescent="0.25">
      <c r="A1728" t="s">
        <v>1403</v>
      </c>
      <c r="B1728" t="s">
        <v>1678</v>
      </c>
      <c r="C1728" s="1">
        <v>91.999999919999993</v>
      </c>
      <c r="D1728" s="1">
        <v>91.999999919999993</v>
      </c>
      <c r="E1728" s="1">
        <v>90.999999979999998</v>
      </c>
      <c r="F1728" s="1">
        <v>5.0581101886251503</v>
      </c>
      <c r="G1728">
        <f t="shared" si="310"/>
        <v>6</v>
      </c>
      <c r="H1728" t="str">
        <f>RIGHT(B1728,3)</f>
        <v>USD</v>
      </c>
      <c r="I1728" t="str">
        <f>LEFT(B1728,3)</f>
        <v>UNO</v>
      </c>
      <c r="J1728" t="str">
        <f t="shared" si="311"/>
        <v>USDUNO</v>
      </c>
      <c r="K1728" t="str">
        <f t="shared" si="312"/>
        <v>UNOUSD</v>
      </c>
      <c r="L1728">
        <f t="shared" si="313"/>
        <v>0</v>
      </c>
      <c r="M1728">
        <f t="shared" si="314"/>
        <v>1</v>
      </c>
      <c r="N1728" t="b">
        <f t="shared" si="315"/>
        <v>1</v>
      </c>
    </row>
    <row r="1729" spans="1:14" hidden="1" x14ac:dyDescent="0.25">
      <c r="A1729" t="s">
        <v>1239</v>
      </c>
      <c r="B1729" t="s">
        <v>1374</v>
      </c>
      <c r="C1729" s="1">
        <v>1.6998999999999999E-4</v>
      </c>
      <c r="D1729" s="1">
        <v>1.1001E-4</v>
      </c>
      <c r="E1729" s="1">
        <v>1.6998999999999999E-4</v>
      </c>
      <c r="F1729" s="1">
        <v>1.1001E-4</v>
      </c>
      <c r="G1729">
        <f t="shared" ref="G1729:G1792" si="322">LEN(B1729)</f>
        <v>7</v>
      </c>
      <c r="H1729" t="str">
        <f>RIGHT(B1729,3)</f>
        <v>BTC</v>
      </c>
      <c r="I1729" t="str">
        <f>LEFT(B1729,4)</f>
        <v>UNRC</v>
      </c>
      <c r="J1729" t="str">
        <f t="shared" ref="J1729:J1792" si="323">CONCATENATE(H1729,I1729)</f>
        <v>BTCUNRC</v>
      </c>
      <c r="K1729" t="str">
        <f t="shared" ref="K1729:K1792" si="324">CONCATENATE(I1729,H1729)</f>
        <v>UNRCBTC</v>
      </c>
      <c r="L1729">
        <f t="shared" ref="L1729:L1792" si="325">COUNTIF(B:B,J1729)</f>
        <v>0</v>
      </c>
      <c r="M1729">
        <f t="shared" ref="M1729:M1792" si="326">COUNTIF(B:B,K1729)</f>
        <v>1</v>
      </c>
      <c r="N1729" t="b">
        <f t="shared" ref="N1729:N1792" si="327">L1729=0</f>
        <v>1</v>
      </c>
    </row>
    <row r="1730" spans="1:14" hidden="1" x14ac:dyDescent="0.25">
      <c r="A1730" t="s">
        <v>1239</v>
      </c>
      <c r="B1730" t="s">
        <v>1373</v>
      </c>
      <c r="C1730" s="1">
        <v>8.99878</v>
      </c>
      <c r="D1730" s="1">
        <v>0.30036000000000002</v>
      </c>
      <c r="E1730" s="1">
        <v>8.99878</v>
      </c>
      <c r="F1730" s="1">
        <v>0.30036000000000002</v>
      </c>
      <c r="G1730">
        <f t="shared" si="322"/>
        <v>7</v>
      </c>
      <c r="H1730" t="str">
        <f>RIGHT(B1730,3)</f>
        <v>USD</v>
      </c>
      <c r="I1730" t="str">
        <f>LEFT(B1730,4)</f>
        <v>UNRC</v>
      </c>
      <c r="J1730" t="str">
        <f t="shared" si="323"/>
        <v>USDUNRC</v>
      </c>
      <c r="K1730" t="str">
        <f t="shared" si="324"/>
        <v>UNRCUSD</v>
      </c>
      <c r="L1730">
        <f t="shared" si="325"/>
        <v>0</v>
      </c>
      <c r="M1730">
        <f t="shared" si="326"/>
        <v>1</v>
      </c>
      <c r="N1730" t="b">
        <f t="shared" si="327"/>
        <v>1</v>
      </c>
    </row>
    <row r="1731" spans="1:14" hidden="1" x14ac:dyDescent="0.25">
      <c r="A1731" t="s">
        <v>1403</v>
      </c>
      <c r="B1731" t="s">
        <v>2061</v>
      </c>
      <c r="C1731" s="1">
        <v>500</v>
      </c>
      <c r="D1731" s="1">
        <v>500</v>
      </c>
      <c r="E1731" s="1">
        <v>500</v>
      </c>
      <c r="F1731" s="1">
        <v>2.0000000999999998</v>
      </c>
      <c r="G1731">
        <f t="shared" si="322"/>
        <v>7</v>
      </c>
      <c r="H1731" t="str">
        <f>RIGHT(B1731,4)</f>
        <v>DOGE</v>
      </c>
      <c r="I1731" t="str">
        <f t="shared" ref="I1731:I1736" si="328">LEFT(B1731,3)</f>
        <v>UNY</v>
      </c>
      <c r="J1731" t="str">
        <f t="shared" si="323"/>
        <v>DOGEUNY</v>
      </c>
      <c r="K1731" t="str">
        <f t="shared" si="324"/>
        <v>UNYDOGE</v>
      </c>
      <c r="L1731">
        <f t="shared" si="325"/>
        <v>0</v>
      </c>
      <c r="M1731">
        <f t="shared" si="326"/>
        <v>1</v>
      </c>
      <c r="N1731" t="b">
        <f t="shared" si="327"/>
        <v>1</v>
      </c>
    </row>
    <row r="1732" spans="1:14" hidden="1" x14ac:dyDescent="0.25">
      <c r="A1732" t="s">
        <v>1239</v>
      </c>
      <c r="B1732" t="s">
        <v>1382</v>
      </c>
      <c r="C1732" s="1">
        <v>2.8975000000000002E-4</v>
      </c>
      <c r="D1732" s="1">
        <v>2.1230000000000001E-4</v>
      </c>
      <c r="E1732" s="1">
        <v>2.8975000000000002E-4</v>
      </c>
      <c r="F1732" s="1">
        <v>2.1230000000000001E-4</v>
      </c>
      <c r="G1732">
        <f t="shared" si="322"/>
        <v>6</v>
      </c>
      <c r="H1732" t="str">
        <f>RIGHT(B1732,3)</f>
        <v>ETH</v>
      </c>
      <c r="I1732" t="str">
        <f t="shared" si="328"/>
        <v>UNY</v>
      </c>
      <c r="J1732" t="str">
        <f t="shared" si="323"/>
        <v>ETHUNY</v>
      </c>
      <c r="K1732" t="str">
        <f t="shared" si="324"/>
        <v>UNYETH</v>
      </c>
      <c r="L1732">
        <f t="shared" si="325"/>
        <v>0</v>
      </c>
      <c r="M1732">
        <f t="shared" si="326"/>
        <v>1</v>
      </c>
      <c r="N1732" t="b">
        <f t="shared" si="327"/>
        <v>1</v>
      </c>
    </row>
    <row r="1733" spans="1:14" hidden="1" x14ac:dyDescent="0.25">
      <c r="A1733" t="s">
        <v>5</v>
      </c>
      <c r="B1733" t="s">
        <v>773</v>
      </c>
      <c r="C1733" s="1">
        <v>1.75E-6</v>
      </c>
      <c r="D1733" s="1">
        <v>1.5099999999999999E-6</v>
      </c>
      <c r="E1733" s="1">
        <v>1.75E-6</v>
      </c>
      <c r="F1733" s="1">
        <v>1.5099999999999999E-6</v>
      </c>
      <c r="G1733">
        <f t="shared" si="322"/>
        <v>6</v>
      </c>
      <c r="H1733" t="str">
        <f>RIGHT(B1733,3)</f>
        <v>BTC</v>
      </c>
      <c r="I1733" t="str">
        <f t="shared" si="328"/>
        <v>URC</v>
      </c>
      <c r="J1733" t="str">
        <f t="shared" si="323"/>
        <v>BTCURC</v>
      </c>
      <c r="K1733" t="str">
        <f t="shared" si="324"/>
        <v>URCBTC</v>
      </c>
      <c r="L1733">
        <f t="shared" si="325"/>
        <v>0</v>
      </c>
      <c r="M1733">
        <f t="shared" si="326"/>
        <v>1</v>
      </c>
      <c r="N1733" t="b">
        <f t="shared" si="327"/>
        <v>1</v>
      </c>
    </row>
    <row r="1734" spans="1:14" hidden="1" x14ac:dyDescent="0.25">
      <c r="A1734" t="s">
        <v>5</v>
      </c>
      <c r="B1734" t="s">
        <v>894</v>
      </c>
      <c r="C1734" s="1">
        <v>1.399E-5</v>
      </c>
      <c r="D1734" s="1">
        <v>1.238E-5</v>
      </c>
      <c r="E1734" s="1">
        <v>1.399E-5</v>
      </c>
      <c r="F1734" s="1">
        <v>1.238E-5</v>
      </c>
      <c r="G1734">
        <f t="shared" si="322"/>
        <v>6</v>
      </c>
      <c r="H1734" t="str">
        <f>RIGHT(B1734,3)</f>
        <v>BTC</v>
      </c>
      <c r="I1734" t="str">
        <f t="shared" si="328"/>
        <v>URO</v>
      </c>
      <c r="J1734" t="str">
        <f t="shared" si="323"/>
        <v>BTCURO</v>
      </c>
      <c r="K1734" t="str">
        <f t="shared" si="324"/>
        <v>UROBTC</v>
      </c>
      <c r="L1734">
        <f t="shared" si="325"/>
        <v>0</v>
      </c>
      <c r="M1734">
        <f t="shared" si="326"/>
        <v>1</v>
      </c>
      <c r="N1734" t="b">
        <f t="shared" si="327"/>
        <v>1</v>
      </c>
    </row>
    <row r="1735" spans="1:14" hidden="1" x14ac:dyDescent="0.25">
      <c r="A1735" t="s">
        <v>5</v>
      </c>
      <c r="B1735" t="s">
        <v>995</v>
      </c>
      <c r="C1735" s="1">
        <v>3.6000000000000001E-5</v>
      </c>
      <c r="D1735" s="1">
        <v>2.4810000000000001E-5</v>
      </c>
      <c r="E1735" s="1">
        <v>3.6000000000000001E-5</v>
      </c>
      <c r="F1735" s="1">
        <v>2.4810000000000001E-5</v>
      </c>
      <c r="G1735">
        <f t="shared" si="322"/>
        <v>6</v>
      </c>
      <c r="H1735" t="str">
        <f>RIGHT(B1735,3)</f>
        <v>BTC</v>
      </c>
      <c r="I1735" t="str">
        <f t="shared" si="328"/>
        <v>USC</v>
      </c>
      <c r="J1735" t="str">
        <f t="shared" si="323"/>
        <v>BTCUSC</v>
      </c>
      <c r="K1735" t="str">
        <f t="shared" si="324"/>
        <v>USCBTC</v>
      </c>
      <c r="L1735">
        <f t="shared" si="325"/>
        <v>0</v>
      </c>
      <c r="M1735">
        <f t="shared" si="326"/>
        <v>1</v>
      </c>
      <c r="N1735" t="b">
        <f t="shared" si="327"/>
        <v>1</v>
      </c>
    </row>
    <row r="1736" spans="1:14" hidden="1" x14ac:dyDescent="0.25">
      <c r="A1736" t="s">
        <v>7</v>
      </c>
      <c r="B1736" t="s">
        <v>1234</v>
      </c>
      <c r="C1736" s="1">
        <v>58.405499050000003</v>
      </c>
      <c r="D1736" s="1">
        <v>58.479125250000003</v>
      </c>
      <c r="E1736" s="1">
        <v>58.405500009999997</v>
      </c>
      <c r="F1736" s="1">
        <v>58.479125250000003</v>
      </c>
      <c r="G1736">
        <f t="shared" si="322"/>
        <v>6</v>
      </c>
      <c r="H1736" t="str">
        <f>RIGHT(B1736,3)</f>
        <v>RUB</v>
      </c>
      <c r="I1736" t="str">
        <f t="shared" si="328"/>
        <v>USD</v>
      </c>
      <c r="J1736" t="str">
        <f t="shared" si="323"/>
        <v>RUBUSD</v>
      </c>
      <c r="K1736" t="str">
        <f t="shared" si="324"/>
        <v>USDRUB</v>
      </c>
      <c r="L1736">
        <f t="shared" si="325"/>
        <v>0</v>
      </c>
      <c r="M1736">
        <f t="shared" si="326"/>
        <v>1</v>
      </c>
      <c r="N1736" t="b">
        <f t="shared" si="327"/>
        <v>1</v>
      </c>
    </row>
    <row r="1737" spans="1:14" hidden="1" x14ac:dyDescent="0.25">
      <c r="A1737" t="s">
        <v>1403</v>
      </c>
      <c r="B1737" t="s">
        <v>2062</v>
      </c>
      <c r="C1737" s="1">
        <v>2000</v>
      </c>
      <c r="D1737" s="1">
        <v>2000</v>
      </c>
      <c r="E1737" s="1">
        <v>7999.8999000000003</v>
      </c>
      <c r="F1737" s="1">
        <v>282</v>
      </c>
      <c r="G1737">
        <f t="shared" si="322"/>
        <v>8</v>
      </c>
      <c r="H1737" t="str">
        <f>RIGHT(B1737,4)</f>
        <v>DOGE</v>
      </c>
      <c r="I1737" t="str">
        <f>LEFT(B1737,4)</f>
        <v>USDT</v>
      </c>
      <c r="J1737" t="str">
        <f t="shared" si="323"/>
        <v>DOGEUSDT</v>
      </c>
      <c r="K1737" t="str">
        <f t="shared" si="324"/>
        <v>USDTDOGE</v>
      </c>
      <c r="L1737">
        <f t="shared" si="325"/>
        <v>0</v>
      </c>
      <c r="M1737">
        <f t="shared" si="326"/>
        <v>1</v>
      </c>
      <c r="N1737" t="b">
        <f t="shared" si="327"/>
        <v>1</v>
      </c>
    </row>
    <row r="1738" spans="1:14" hidden="1" x14ac:dyDescent="0.25">
      <c r="A1738" t="s">
        <v>1</v>
      </c>
      <c r="B1738" t="s">
        <v>64</v>
      </c>
      <c r="C1738" s="1">
        <v>15.733047689999999</v>
      </c>
      <c r="D1738" s="1">
        <v>15.374000199999999</v>
      </c>
      <c r="E1738" s="1">
        <v>15.754021799886299</v>
      </c>
      <c r="F1738" s="1">
        <v>15.37400032</v>
      </c>
      <c r="G1738">
        <f t="shared" si="322"/>
        <v>7</v>
      </c>
      <c r="H1738" t="str">
        <f>RIGHT(B1738,3)</f>
        <v>ETC</v>
      </c>
      <c r="I1738" t="str">
        <f>LEFT(B1738,4)</f>
        <v>USDT</v>
      </c>
      <c r="J1738" t="str">
        <f t="shared" si="323"/>
        <v>ETCUSDT</v>
      </c>
      <c r="K1738" t="str">
        <f t="shared" si="324"/>
        <v>USDTETC</v>
      </c>
      <c r="L1738">
        <f t="shared" si="325"/>
        <v>0</v>
      </c>
      <c r="M1738">
        <f t="shared" si="326"/>
        <v>1</v>
      </c>
      <c r="N1738" t="b">
        <f t="shared" si="327"/>
        <v>1</v>
      </c>
    </row>
    <row r="1739" spans="1:14" hidden="1" x14ac:dyDescent="0.25">
      <c r="A1739" t="s">
        <v>1403</v>
      </c>
      <c r="B1739" t="s">
        <v>1868</v>
      </c>
      <c r="C1739" s="1">
        <v>0.29111100000000001</v>
      </c>
      <c r="D1739" s="1">
        <v>0.29111100000000001</v>
      </c>
      <c r="E1739" s="1">
        <v>0.95999071079999998</v>
      </c>
      <c r="F1739" s="1">
        <v>2.0000110000000001E-2</v>
      </c>
      <c r="G1739">
        <f t="shared" si="322"/>
        <v>7</v>
      </c>
      <c r="H1739" t="str">
        <f>RIGHT(B1739,3)</f>
        <v>LTC</v>
      </c>
      <c r="I1739" t="str">
        <f>LEFT(B1739,4)</f>
        <v>USDT</v>
      </c>
      <c r="J1739" t="str">
        <f t="shared" si="323"/>
        <v>LTCUSDT</v>
      </c>
      <c r="K1739" t="str">
        <f t="shared" si="324"/>
        <v>USDTLTC</v>
      </c>
      <c r="L1739">
        <f t="shared" si="325"/>
        <v>0</v>
      </c>
      <c r="M1739">
        <f t="shared" si="326"/>
        <v>1</v>
      </c>
      <c r="N1739" t="b">
        <f t="shared" si="327"/>
        <v>1</v>
      </c>
    </row>
    <row r="1740" spans="1:14" hidden="1" x14ac:dyDescent="0.25">
      <c r="A1740" t="s">
        <v>1</v>
      </c>
      <c r="B1740" t="s">
        <v>44</v>
      </c>
      <c r="C1740" s="1">
        <v>25.94121805</v>
      </c>
      <c r="D1740" s="1">
        <v>25.6785119</v>
      </c>
      <c r="E1740" s="1">
        <v>25.94121805</v>
      </c>
      <c r="F1740" s="1">
        <v>25.453269479641602</v>
      </c>
      <c r="G1740">
        <f t="shared" si="322"/>
        <v>7</v>
      </c>
      <c r="H1740" t="str">
        <f>RIGHT(B1740,3)</f>
        <v>REP</v>
      </c>
      <c r="I1740" t="str">
        <f>LEFT(B1740,4)</f>
        <v>USDT</v>
      </c>
      <c r="J1740" t="str">
        <f t="shared" si="323"/>
        <v>REPUSDT</v>
      </c>
      <c r="K1740" t="str">
        <f t="shared" si="324"/>
        <v>USDTREP</v>
      </c>
      <c r="L1740">
        <f t="shared" si="325"/>
        <v>0</v>
      </c>
      <c r="M1740">
        <f t="shared" si="326"/>
        <v>1</v>
      </c>
      <c r="N1740" t="b">
        <f t="shared" si="327"/>
        <v>1</v>
      </c>
    </row>
    <row r="1741" spans="1:14" hidden="1" x14ac:dyDescent="0.25">
      <c r="A1741" t="s">
        <v>1</v>
      </c>
      <c r="B1741" t="s">
        <v>58</v>
      </c>
      <c r="C1741" s="1">
        <v>335</v>
      </c>
      <c r="D1741" s="1">
        <v>333</v>
      </c>
      <c r="E1741" s="1">
        <v>335</v>
      </c>
      <c r="F1741" s="1">
        <v>332.811534880387</v>
      </c>
      <c r="G1741">
        <f t="shared" si="322"/>
        <v>7</v>
      </c>
      <c r="H1741" t="str">
        <f>RIGHT(B1741,3)</f>
        <v>ZEC</v>
      </c>
      <c r="I1741" t="str">
        <f>LEFT(B1741,4)</f>
        <v>USDT</v>
      </c>
      <c r="J1741" t="str">
        <f t="shared" si="323"/>
        <v>ZECUSDT</v>
      </c>
      <c r="K1741" t="str">
        <f t="shared" si="324"/>
        <v>USDTZEC</v>
      </c>
      <c r="L1741">
        <f t="shared" si="325"/>
        <v>0</v>
      </c>
      <c r="M1741">
        <f t="shared" si="326"/>
        <v>1</v>
      </c>
      <c r="N1741" t="b">
        <f t="shared" si="327"/>
        <v>1</v>
      </c>
    </row>
    <row r="1742" spans="1:14" hidden="1" x14ac:dyDescent="0.25">
      <c r="A1742" t="s">
        <v>1403</v>
      </c>
      <c r="B1742" t="s">
        <v>1508</v>
      </c>
      <c r="C1742" s="1">
        <v>4.7999999999999998E-6</v>
      </c>
      <c r="D1742" s="1">
        <v>6.7000000000000002E-6</v>
      </c>
      <c r="E1742" s="1">
        <v>6.6000000000000003E-6</v>
      </c>
      <c r="F1742" s="1">
        <v>5.0164321536E-6</v>
      </c>
      <c r="G1742">
        <f t="shared" si="322"/>
        <v>6</v>
      </c>
      <c r="H1742" t="str">
        <f>RIGHT(B1742,3)</f>
        <v>BTC</v>
      </c>
      <c r="I1742" t="str">
        <f>LEFT(B1742,3)</f>
        <v>UTA</v>
      </c>
      <c r="J1742" t="str">
        <f t="shared" si="323"/>
        <v>BTCUTA</v>
      </c>
      <c r="K1742" t="str">
        <f t="shared" si="324"/>
        <v>UTABTC</v>
      </c>
      <c r="L1742">
        <f t="shared" si="325"/>
        <v>0</v>
      </c>
      <c r="M1742">
        <f t="shared" si="326"/>
        <v>1</v>
      </c>
      <c r="N1742" t="b">
        <f t="shared" si="327"/>
        <v>1</v>
      </c>
    </row>
    <row r="1743" spans="1:14" hidden="1" x14ac:dyDescent="0.25">
      <c r="A1743" t="s">
        <v>1403</v>
      </c>
      <c r="B1743" t="s">
        <v>2063</v>
      </c>
      <c r="C1743" s="1">
        <v>11.72314894</v>
      </c>
      <c r="D1743" s="1">
        <v>11.72314894</v>
      </c>
      <c r="E1743" s="1">
        <v>10.468229729999999</v>
      </c>
      <c r="F1743" s="1">
        <v>0.41370003</v>
      </c>
      <c r="G1743">
        <f t="shared" si="322"/>
        <v>7</v>
      </c>
      <c r="H1743" t="str">
        <f>RIGHT(B1743,4)</f>
        <v>DOGE</v>
      </c>
      <c r="I1743" t="str">
        <f>LEFT(B1743,3)</f>
        <v>UTA</v>
      </c>
      <c r="J1743" t="str">
        <f t="shared" si="323"/>
        <v>DOGEUTA</v>
      </c>
      <c r="K1743" t="str">
        <f t="shared" si="324"/>
        <v>UTADOGE</v>
      </c>
      <c r="L1743">
        <f t="shared" si="325"/>
        <v>0</v>
      </c>
      <c r="M1743">
        <f t="shared" si="326"/>
        <v>1</v>
      </c>
      <c r="N1743" t="b">
        <f t="shared" si="327"/>
        <v>1</v>
      </c>
    </row>
    <row r="1744" spans="1:14" hidden="1" x14ac:dyDescent="0.25">
      <c r="A1744" t="s">
        <v>1403</v>
      </c>
      <c r="B1744" t="s">
        <v>1869</v>
      </c>
      <c r="C1744" s="1">
        <v>1.7499999999999998E-5</v>
      </c>
      <c r="D1744" s="1">
        <v>1.7499999999999998E-5</v>
      </c>
      <c r="E1744" s="1">
        <v>1.9785900000000001E-3</v>
      </c>
      <c r="F1744" s="1">
        <v>1.715E-5</v>
      </c>
      <c r="G1744">
        <f t="shared" si="322"/>
        <v>6</v>
      </c>
      <c r="H1744" t="str">
        <f t="shared" ref="H1744:H1751" si="329">RIGHT(B1744,3)</f>
        <v>LTC</v>
      </c>
      <c r="I1744" t="str">
        <f>LEFT(B1744,3)</f>
        <v>UTA</v>
      </c>
      <c r="J1744" t="str">
        <f t="shared" si="323"/>
        <v>LTCUTA</v>
      </c>
      <c r="K1744" t="str">
        <f t="shared" si="324"/>
        <v>UTALTC</v>
      </c>
      <c r="L1744">
        <f t="shared" si="325"/>
        <v>0</v>
      </c>
      <c r="M1744">
        <f t="shared" si="326"/>
        <v>1</v>
      </c>
      <c r="N1744" t="b">
        <f t="shared" si="327"/>
        <v>1</v>
      </c>
    </row>
    <row r="1745" spans="1:14" hidden="1" x14ac:dyDescent="0.25">
      <c r="A1745" t="s">
        <v>1403</v>
      </c>
      <c r="B1745" t="s">
        <v>1679</v>
      </c>
      <c r="C1745" s="1">
        <v>3.6999659999999997E-2</v>
      </c>
      <c r="D1745" s="1">
        <v>3.6999659999999997E-2</v>
      </c>
      <c r="E1745" s="1">
        <v>3.6999629999999999E-2</v>
      </c>
      <c r="F1745" s="1">
        <v>6.2018000000000002E-4</v>
      </c>
      <c r="G1745">
        <f t="shared" si="322"/>
        <v>6</v>
      </c>
      <c r="H1745" t="str">
        <f t="shared" si="329"/>
        <v>USD</v>
      </c>
      <c r="I1745" t="str">
        <f>LEFT(B1745,3)</f>
        <v>UTA</v>
      </c>
      <c r="J1745" t="str">
        <f t="shared" si="323"/>
        <v>USDUTA</v>
      </c>
      <c r="K1745" t="str">
        <f t="shared" si="324"/>
        <v>UTAUSD</v>
      </c>
      <c r="L1745">
        <f t="shared" si="325"/>
        <v>0</v>
      </c>
      <c r="M1745">
        <f t="shared" si="326"/>
        <v>1</v>
      </c>
      <c r="N1745" t="b">
        <f t="shared" si="327"/>
        <v>1</v>
      </c>
    </row>
    <row r="1746" spans="1:14" hidden="1" x14ac:dyDescent="0.25">
      <c r="A1746" t="s">
        <v>5</v>
      </c>
      <c r="B1746" t="s">
        <v>868</v>
      </c>
      <c r="C1746" s="1">
        <v>2.6990000000000001E-5</v>
      </c>
      <c r="D1746" s="1">
        <v>1.4769999999999999E-5</v>
      </c>
      <c r="E1746" s="1">
        <v>2.6990000000000001E-5</v>
      </c>
      <c r="F1746" s="1">
        <v>1.4769999999999999E-5</v>
      </c>
      <c r="G1746">
        <f t="shared" si="322"/>
        <v>7</v>
      </c>
      <c r="H1746" t="str">
        <f t="shared" si="329"/>
        <v>BTC</v>
      </c>
      <c r="I1746" t="str">
        <f>LEFT(B1746,4)</f>
        <v>UTLE</v>
      </c>
      <c r="J1746" t="str">
        <f t="shared" si="323"/>
        <v>BTCUTLE</v>
      </c>
      <c r="K1746" t="str">
        <f t="shared" si="324"/>
        <v>UTLEBTC</v>
      </c>
      <c r="L1746">
        <f t="shared" si="325"/>
        <v>0</v>
      </c>
      <c r="M1746">
        <f t="shared" si="326"/>
        <v>1</v>
      </c>
      <c r="N1746" t="b">
        <f t="shared" si="327"/>
        <v>1</v>
      </c>
    </row>
    <row r="1747" spans="1:14" hidden="1" x14ac:dyDescent="0.25">
      <c r="A1747" t="s">
        <v>1403</v>
      </c>
      <c r="B1747" t="s">
        <v>1676</v>
      </c>
      <c r="C1747" s="1">
        <v>5.0000000000000001E-3</v>
      </c>
      <c r="D1747" s="1">
        <v>1.9999969999999999E-2</v>
      </c>
      <c r="E1747" s="1">
        <v>0.99999983999999997</v>
      </c>
      <c r="F1747" s="1">
        <v>7.0091099999999998E-3</v>
      </c>
      <c r="G1747">
        <f t="shared" si="322"/>
        <v>4</v>
      </c>
      <c r="H1747" t="str">
        <f t="shared" si="329"/>
        <v>USD</v>
      </c>
      <c r="I1747" t="str">
        <f>LEFT(B1747,1)</f>
        <v>U</v>
      </c>
      <c r="J1747" t="str">
        <f t="shared" si="323"/>
        <v>USDU</v>
      </c>
      <c r="K1747" t="str">
        <f t="shared" si="324"/>
        <v>UUSD</v>
      </c>
      <c r="L1747">
        <f t="shared" si="325"/>
        <v>0</v>
      </c>
      <c r="M1747">
        <f t="shared" si="326"/>
        <v>1</v>
      </c>
      <c r="N1747" t="b">
        <f t="shared" si="327"/>
        <v>1</v>
      </c>
    </row>
    <row r="1748" spans="1:14" hidden="1" x14ac:dyDescent="0.25">
      <c r="A1748" t="s">
        <v>5</v>
      </c>
      <c r="B1748" t="s">
        <v>1170</v>
      </c>
      <c r="C1748" s="1">
        <v>3.2000000000000001E-7</v>
      </c>
      <c r="D1748" s="1">
        <v>2.2999999999999999E-7</v>
      </c>
      <c r="E1748" s="1">
        <v>3.2000000000000001E-7</v>
      </c>
      <c r="F1748" s="1">
        <v>2.2999999999999999E-7</v>
      </c>
      <c r="G1748">
        <f t="shared" si="322"/>
        <v>6</v>
      </c>
      <c r="H1748" t="str">
        <f t="shared" si="329"/>
        <v>BTC</v>
      </c>
      <c r="I1748" t="str">
        <f>LEFT(B1748,3)</f>
        <v>UXC</v>
      </c>
      <c r="J1748" t="str">
        <f t="shared" si="323"/>
        <v>BTCUXC</v>
      </c>
      <c r="K1748" t="str">
        <f t="shared" si="324"/>
        <v>UXCBTC</v>
      </c>
      <c r="L1748">
        <f t="shared" si="325"/>
        <v>0</v>
      </c>
      <c r="M1748">
        <f t="shared" si="326"/>
        <v>1</v>
      </c>
      <c r="N1748" t="b">
        <f t="shared" si="327"/>
        <v>1</v>
      </c>
    </row>
    <row r="1749" spans="1:14" hidden="1" x14ac:dyDescent="0.25">
      <c r="A1749" t="s">
        <v>5</v>
      </c>
      <c r="B1749" t="s">
        <v>705</v>
      </c>
      <c r="C1749" s="1" t="s">
        <v>362</v>
      </c>
      <c r="D1749" s="1" t="s">
        <v>364</v>
      </c>
      <c r="E1749" s="1" t="s">
        <v>362</v>
      </c>
      <c r="F1749" s="1">
        <v>2.3E-5</v>
      </c>
      <c r="G1749">
        <f t="shared" si="322"/>
        <v>6</v>
      </c>
      <c r="H1749" t="str">
        <f t="shared" si="329"/>
        <v>BTC</v>
      </c>
      <c r="I1749" t="str">
        <f>LEFT(B1749,3)</f>
        <v>VAL</v>
      </c>
      <c r="J1749" t="str">
        <f t="shared" si="323"/>
        <v>BTCVAL</v>
      </c>
      <c r="K1749" t="str">
        <f t="shared" si="324"/>
        <v>VALBTC</v>
      </c>
      <c r="L1749">
        <f t="shared" si="325"/>
        <v>0</v>
      </c>
      <c r="M1749">
        <f t="shared" si="326"/>
        <v>1</v>
      </c>
      <c r="N1749" t="b">
        <f t="shared" si="327"/>
        <v>1</v>
      </c>
    </row>
    <row r="1750" spans="1:14" hidden="1" x14ac:dyDescent="0.25">
      <c r="A1750" t="s">
        <v>5</v>
      </c>
      <c r="B1750" t="s">
        <v>396</v>
      </c>
      <c r="C1750" s="1">
        <v>3.0900000000000001E-6</v>
      </c>
      <c r="D1750" s="1">
        <v>2.7599999999999998E-6</v>
      </c>
      <c r="E1750" s="1">
        <v>3.0900000000000001E-6</v>
      </c>
      <c r="F1750" s="1">
        <v>2.7599999999999998E-6</v>
      </c>
      <c r="G1750">
        <f t="shared" si="322"/>
        <v>8</v>
      </c>
      <c r="H1750" t="str">
        <f t="shared" si="329"/>
        <v>BTC</v>
      </c>
      <c r="I1750" t="str">
        <f>LEFT(B1750,5)</f>
        <v>VAPOR</v>
      </c>
      <c r="J1750" t="str">
        <f t="shared" si="323"/>
        <v>BTCVAPOR</v>
      </c>
      <c r="K1750" t="str">
        <f t="shared" si="324"/>
        <v>VAPORBTC</v>
      </c>
      <c r="L1750">
        <f t="shared" si="325"/>
        <v>0</v>
      </c>
      <c r="M1750">
        <f t="shared" si="326"/>
        <v>1</v>
      </c>
      <c r="N1750" t="b">
        <f t="shared" si="327"/>
        <v>1</v>
      </c>
    </row>
    <row r="1751" spans="1:14" hidden="1" x14ac:dyDescent="0.25">
      <c r="A1751" t="s">
        <v>5</v>
      </c>
      <c r="B1751" t="s">
        <v>543</v>
      </c>
      <c r="C1751" s="1">
        <v>6.8999999999999996E-7</v>
      </c>
      <c r="D1751" s="1">
        <v>5.2E-7</v>
      </c>
      <c r="E1751" s="1">
        <v>6.8999999999999996E-7</v>
      </c>
      <c r="F1751" s="1">
        <v>5.2E-7</v>
      </c>
      <c r="G1751">
        <f t="shared" si="322"/>
        <v>8</v>
      </c>
      <c r="H1751" t="str">
        <f t="shared" si="329"/>
        <v>BTC</v>
      </c>
      <c r="I1751" t="str">
        <f>LEFT(B1751,5)</f>
        <v>VCOIN</v>
      </c>
      <c r="J1751" t="str">
        <f t="shared" si="323"/>
        <v>BTCVCOIN</v>
      </c>
      <c r="K1751" t="str">
        <f t="shared" si="324"/>
        <v>VCOINBTC</v>
      </c>
      <c r="L1751">
        <f t="shared" si="325"/>
        <v>0</v>
      </c>
      <c r="M1751">
        <f t="shared" si="326"/>
        <v>1</v>
      </c>
      <c r="N1751" t="b">
        <f t="shared" si="327"/>
        <v>1</v>
      </c>
    </row>
    <row r="1752" spans="1:14" hidden="1" x14ac:dyDescent="0.25">
      <c r="A1752" t="s">
        <v>1403</v>
      </c>
      <c r="B1752" t="s">
        <v>2064</v>
      </c>
      <c r="C1752" s="1">
        <v>3</v>
      </c>
      <c r="D1752" s="1">
        <v>3</v>
      </c>
      <c r="E1752" s="1">
        <v>78.999999990000006</v>
      </c>
      <c r="F1752" s="1">
        <v>0.34220002999999999</v>
      </c>
      <c r="G1752">
        <f t="shared" si="322"/>
        <v>8</v>
      </c>
      <c r="H1752" t="str">
        <f>RIGHT(B1752,4)</f>
        <v>DOGE</v>
      </c>
      <c r="I1752" t="str">
        <f>LEFT(B1752,4)</f>
        <v>VEC2</v>
      </c>
      <c r="J1752" t="str">
        <f t="shared" si="323"/>
        <v>DOGEVEC2</v>
      </c>
      <c r="K1752" t="str">
        <f t="shared" si="324"/>
        <v>VEC2DOGE</v>
      </c>
      <c r="L1752">
        <f t="shared" si="325"/>
        <v>0</v>
      </c>
      <c r="M1752">
        <f t="shared" si="326"/>
        <v>1</v>
      </c>
      <c r="N1752" t="b">
        <f t="shared" si="327"/>
        <v>1</v>
      </c>
    </row>
    <row r="1753" spans="1:14" hidden="1" x14ac:dyDescent="0.25">
      <c r="A1753" t="s">
        <v>1403</v>
      </c>
      <c r="B1753" t="s">
        <v>1870</v>
      </c>
      <c r="C1753" s="1">
        <v>5.5000000000000002E-5</v>
      </c>
      <c r="D1753" s="1">
        <v>5.5000000000000002E-5</v>
      </c>
      <c r="E1753" s="1">
        <v>0.17399999999999999</v>
      </c>
      <c r="F1753" s="1">
        <v>1.4999999999999999E-7</v>
      </c>
      <c r="G1753">
        <f t="shared" si="322"/>
        <v>7</v>
      </c>
      <c r="H1753" t="str">
        <f t="shared" ref="H1753:H1770" si="330">RIGHT(B1753,3)</f>
        <v>LTC</v>
      </c>
      <c r="I1753" t="str">
        <f>LEFT(B1753,4)</f>
        <v>VEC2</v>
      </c>
      <c r="J1753" t="str">
        <f t="shared" si="323"/>
        <v>LTCVEC2</v>
      </c>
      <c r="K1753" t="str">
        <f t="shared" si="324"/>
        <v>VEC2LTC</v>
      </c>
      <c r="L1753">
        <f t="shared" si="325"/>
        <v>0</v>
      </c>
      <c r="M1753">
        <f t="shared" si="326"/>
        <v>1</v>
      </c>
      <c r="N1753" t="b">
        <f t="shared" si="327"/>
        <v>1</v>
      </c>
    </row>
    <row r="1754" spans="1:14" hidden="1" x14ac:dyDescent="0.25">
      <c r="A1754" t="s">
        <v>1403</v>
      </c>
      <c r="B1754" t="s">
        <v>1680</v>
      </c>
      <c r="C1754" s="1">
        <v>9.7899E-2</v>
      </c>
      <c r="D1754" s="1">
        <v>9.7899E-2</v>
      </c>
      <c r="E1754" s="1">
        <v>7.4999999999999997E-2</v>
      </c>
      <c r="F1754" s="1">
        <v>5.003E-5</v>
      </c>
      <c r="G1754">
        <f t="shared" si="322"/>
        <v>7</v>
      </c>
      <c r="H1754" t="str">
        <f t="shared" si="330"/>
        <v>USD</v>
      </c>
      <c r="I1754" t="str">
        <f>LEFT(B1754,4)</f>
        <v>VEC2</v>
      </c>
      <c r="J1754" t="str">
        <f t="shared" si="323"/>
        <v>USDVEC2</v>
      </c>
      <c r="K1754" t="str">
        <f t="shared" si="324"/>
        <v>VEC2USD</v>
      </c>
      <c r="L1754">
        <f t="shared" si="325"/>
        <v>0</v>
      </c>
      <c r="M1754">
        <f t="shared" si="326"/>
        <v>1</v>
      </c>
      <c r="N1754" t="b">
        <f t="shared" si="327"/>
        <v>1</v>
      </c>
    </row>
    <row r="1755" spans="1:14" hidden="1" x14ac:dyDescent="0.25">
      <c r="A1755" t="s">
        <v>5</v>
      </c>
      <c r="B1755" t="s">
        <v>1030</v>
      </c>
      <c r="C1755" s="1">
        <v>5.7000000000000005E-7</v>
      </c>
      <c r="D1755" s="1" t="s">
        <v>401</v>
      </c>
      <c r="E1755" s="1">
        <v>5.7000000000000005E-7</v>
      </c>
      <c r="F1755" s="1" t="s">
        <v>401</v>
      </c>
      <c r="G1755">
        <f t="shared" si="322"/>
        <v>6</v>
      </c>
      <c r="H1755" t="str">
        <f t="shared" si="330"/>
        <v>BTC</v>
      </c>
      <c r="I1755" t="str">
        <f>LEFT(B1755,3)</f>
        <v>VEC</v>
      </c>
      <c r="J1755" t="str">
        <f t="shared" si="323"/>
        <v>BTCVEC</v>
      </c>
      <c r="K1755" t="str">
        <f t="shared" si="324"/>
        <v>VECBTC</v>
      </c>
      <c r="L1755">
        <f t="shared" si="325"/>
        <v>0</v>
      </c>
      <c r="M1755">
        <f t="shared" si="326"/>
        <v>1</v>
      </c>
      <c r="N1755" t="b">
        <f t="shared" si="327"/>
        <v>1</v>
      </c>
    </row>
    <row r="1756" spans="1:14" hidden="1" x14ac:dyDescent="0.25">
      <c r="A1756" t="s">
        <v>5</v>
      </c>
      <c r="B1756" t="s">
        <v>702</v>
      </c>
      <c r="C1756" s="1">
        <v>2.3999999999999998E-7</v>
      </c>
      <c r="D1756" s="1" t="s">
        <v>368</v>
      </c>
      <c r="E1756" s="1">
        <v>2.3999999999999998E-7</v>
      </c>
      <c r="F1756" s="1" t="s">
        <v>368</v>
      </c>
      <c r="G1756">
        <f t="shared" si="322"/>
        <v>6</v>
      </c>
      <c r="H1756" t="str">
        <f t="shared" si="330"/>
        <v>BTC</v>
      </c>
      <c r="I1756" t="str">
        <f>LEFT(B1756,3)</f>
        <v>VEG</v>
      </c>
      <c r="J1756" t="str">
        <f t="shared" si="323"/>
        <v>BTCVEG</v>
      </c>
      <c r="K1756" t="str">
        <f t="shared" si="324"/>
        <v>VEGBTC</v>
      </c>
      <c r="L1756">
        <f t="shared" si="325"/>
        <v>0</v>
      </c>
      <c r="M1756">
        <f t="shared" si="326"/>
        <v>1</v>
      </c>
      <c r="N1756" t="b">
        <f t="shared" si="327"/>
        <v>1</v>
      </c>
    </row>
    <row r="1757" spans="1:14" hidden="1" x14ac:dyDescent="0.25">
      <c r="A1757" t="s">
        <v>5</v>
      </c>
      <c r="B1757" t="s">
        <v>363</v>
      </c>
      <c r="C1757" s="1" t="s">
        <v>362</v>
      </c>
      <c r="D1757" s="1" t="s">
        <v>364</v>
      </c>
      <c r="E1757" s="1" t="s">
        <v>362</v>
      </c>
      <c r="F1757" s="1" t="s">
        <v>362</v>
      </c>
      <c r="G1757">
        <f t="shared" si="322"/>
        <v>7</v>
      </c>
      <c r="H1757" t="str">
        <f t="shared" si="330"/>
        <v>BTC</v>
      </c>
      <c r="I1757" t="str">
        <f>LEFT(B1757,4)</f>
        <v>VENE</v>
      </c>
      <c r="J1757" t="str">
        <f t="shared" si="323"/>
        <v>BTCVENE</v>
      </c>
      <c r="K1757" t="str">
        <f t="shared" si="324"/>
        <v>VENEBTC</v>
      </c>
      <c r="L1757">
        <f t="shared" si="325"/>
        <v>0</v>
      </c>
      <c r="M1757">
        <f t="shared" si="326"/>
        <v>1</v>
      </c>
      <c r="N1757" t="b">
        <f t="shared" si="327"/>
        <v>1</v>
      </c>
    </row>
    <row r="1758" spans="1:14" hidden="1" x14ac:dyDescent="0.25">
      <c r="A1758" t="s">
        <v>5</v>
      </c>
      <c r="B1758" t="s">
        <v>914</v>
      </c>
      <c r="C1758" s="1" t="s">
        <v>401</v>
      </c>
      <c r="D1758" s="1" t="s">
        <v>421</v>
      </c>
      <c r="E1758" s="1" t="s">
        <v>401</v>
      </c>
      <c r="F1758" s="1" t="s">
        <v>421</v>
      </c>
      <c r="G1758">
        <f t="shared" si="322"/>
        <v>7</v>
      </c>
      <c r="H1758" t="str">
        <f t="shared" si="330"/>
        <v>BTC</v>
      </c>
      <c r="I1758" t="str">
        <f>LEFT(B1758,4)</f>
        <v>VERS</v>
      </c>
      <c r="J1758" t="str">
        <f t="shared" si="323"/>
        <v>BTCVERS</v>
      </c>
      <c r="K1758" t="str">
        <f t="shared" si="324"/>
        <v>VERSBTC</v>
      </c>
      <c r="L1758">
        <f t="shared" si="325"/>
        <v>0</v>
      </c>
      <c r="M1758">
        <f t="shared" si="326"/>
        <v>1</v>
      </c>
      <c r="N1758" t="b">
        <f t="shared" si="327"/>
        <v>1</v>
      </c>
    </row>
    <row r="1759" spans="1:14" hidden="1" x14ac:dyDescent="0.25">
      <c r="A1759" t="s">
        <v>5</v>
      </c>
      <c r="B1759" t="s">
        <v>588</v>
      </c>
      <c r="C1759" s="1">
        <v>4.2E-7</v>
      </c>
      <c r="D1759" s="1">
        <v>3.5999999999999999E-7</v>
      </c>
      <c r="E1759" s="1">
        <v>4.2E-7</v>
      </c>
      <c r="F1759" s="1">
        <v>3.5999999999999999E-7</v>
      </c>
      <c r="G1759">
        <f t="shared" si="322"/>
        <v>7</v>
      </c>
      <c r="H1759" t="str">
        <f t="shared" si="330"/>
        <v>BTC</v>
      </c>
      <c r="I1759" t="str">
        <f>LEFT(B1759,4)</f>
        <v>VIDZ</v>
      </c>
      <c r="J1759" t="str">
        <f t="shared" si="323"/>
        <v>BTCVIDZ</v>
      </c>
      <c r="K1759" t="str">
        <f t="shared" si="324"/>
        <v>VIDZBTC</v>
      </c>
      <c r="L1759">
        <f t="shared" si="325"/>
        <v>0</v>
      </c>
      <c r="M1759">
        <f t="shared" si="326"/>
        <v>1</v>
      </c>
      <c r="N1759" t="b">
        <f t="shared" si="327"/>
        <v>1</v>
      </c>
    </row>
    <row r="1760" spans="1:14" hidden="1" x14ac:dyDescent="0.25">
      <c r="A1760" t="s">
        <v>5</v>
      </c>
      <c r="B1760" t="s">
        <v>801</v>
      </c>
      <c r="C1760" s="1" t="s">
        <v>539</v>
      </c>
      <c r="D1760" s="1" t="s">
        <v>540</v>
      </c>
      <c r="E1760" s="1" t="s">
        <v>539</v>
      </c>
      <c r="F1760" s="1" t="s">
        <v>540</v>
      </c>
      <c r="G1760">
        <f t="shared" si="322"/>
        <v>6</v>
      </c>
      <c r="H1760" t="str">
        <f t="shared" si="330"/>
        <v>BTC</v>
      </c>
      <c r="I1760" t="str">
        <f>LEFT(B1760,3)</f>
        <v>VIP</v>
      </c>
      <c r="J1760" t="str">
        <f t="shared" si="323"/>
        <v>BTCVIP</v>
      </c>
      <c r="K1760" t="str">
        <f t="shared" si="324"/>
        <v>VIPBTC</v>
      </c>
      <c r="L1760">
        <f t="shared" si="325"/>
        <v>0</v>
      </c>
      <c r="M1760">
        <f t="shared" si="326"/>
        <v>1</v>
      </c>
      <c r="N1760" t="b">
        <f t="shared" si="327"/>
        <v>1</v>
      </c>
    </row>
    <row r="1761" spans="1:14" hidden="1" x14ac:dyDescent="0.25">
      <c r="A1761" t="s">
        <v>5</v>
      </c>
      <c r="B1761" t="s">
        <v>496</v>
      </c>
      <c r="C1761" s="1">
        <v>1.8960000000000001E-5</v>
      </c>
      <c r="D1761" s="1">
        <v>1.7799999999999999E-5</v>
      </c>
      <c r="E1761" s="1">
        <v>1.8960000000000001E-5</v>
      </c>
      <c r="F1761" s="1">
        <v>1.7799999999999999E-5</v>
      </c>
      <c r="G1761">
        <f t="shared" si="322"/>
        <v>8</v>
      </c>
      <c r="H1761" t="str">
        <f t="shared" si="330"/>
        <v>BTC</v>
      </c>
      <c r="I1761" t="str">
        <f>LEFT(B1761,5)</f>
        <v>VISIO</v>
      </c>
      <c r="J1761" t="str">
        <f t="shared" si="323"/>
        <v>BTCVISIO</v>
      </c>
      <c r="K1761" t="str">
        <f t="shared" si="324"/>
        <v>VISIOBTC</v>
      </c>
      <c r="L1761">
        <f t="shared" si="325"/>
        <v>0</v>
      </c>
      <c r="M1761">
        <f t="shared" si="326"/>
        <v>1</v>
      </c>
      <c r="N1761" t="b">
        <f t="shared" si="327"/>
        <v>1</v>
      </c>
    </row>
    <row r="1762" spans="1:14" hidden="1" x14ac:dyDescent="0.25">
      <c r="A1762" t="s">
        <v>5</v>
      </c>
      <c r="B1762" t="s">
        <v>965</v>
      </c>
      <c r="C1762" s="1">
        <v>1.2498000000000001E-4</v>
      </c>
      <c r="D1762" s="1">
        <v>1.16E-4</v>
      </c>
      <c r="E1762" s="1">
        <v>1.2498000000000001E-4</v>
      </c>
      <c r="F1762" s="1">
        <v>1.16E-4</v>
      </c>
      <c r="G1762">
        <f t="shared" si="322"/>
        <v>6</v>
      </c>
      <c r="H1762" t="str">
        <f t="shared" si="330"/>
        <v>BTC</v>
      </c>
      <c r="I1762" t="str">
        <f>LEFT(B1762,3)</f>
        <v>VLT</v>
      </c>
      <c r="J1762" t="str">
        <f t="shared" si="323"/>
        <v>BTCVLT</v>
      </c>
      <c r="K1762" t="str">
        <f t="shared" si="324"/>
        <v>VLTBTC</v>
      </c>
      <c r="L1762">
        <f t="shared" si="325"/>
        <v>0</v>
      </c>
      <c r="M1762">
        <f t="shared" si="326"/>
        <v>1</v>
      </c>
      <c r="N1762" t="b">
        <f t="shared" si="327"/>
        <v>1</v>
      </c>
    </row>
    <row r="1763" spans="1:14" hidden="1" x14ac:dyDescent="0.25">
      <c r="A1763" t="s">
        <v>1239</v>
      </c>
      <c r="B1763" t="s">
        <v>1304</v>
      </c>
      <c r="C1763" s="1">
        <v>2.2500000000000001E-6</v>
      </c>
      <c r="D1763" s="1">
        <v>1.68E-6</v>
      </c>
      <c r="E1763" s="1">
        <v>2.2500000000000001E-6</v>
      </c>
      <c r="F1763" s="1">
        <v>1.68E-6</v>
      </c>
      <c r="G1763">
        <f t="shared" si="322"/>
        <v>7</v>
      </c>
      <c r="H1763" t="str">
        <f t="shared" si="330"/>
        <v>BTC</v>
      </c>
      <c r="I1763" t="str">
        <f>LEFT(B1763,4)</f>
        <v>VLTC</v>
      </c>
      <c r="J1763" t="str">
        <f t="shared" si="323"/>
        <v>BTCVLTC</v>
      </c>
      <c r="K1763" t="str">
        <f t="shared" si="324"/>
        <v>VLTCBTC</v>
      </c>
      <c r="L1763">
        <f t="shared" si="325"/>
        <v>0</v>
      </c>
      <c r="M1763">
        <f t="shared" si="326"/>
        <v>1</v>
      </c>
      <c r="N1763" t="b">
        <f t="shared" si="327"/>
        <v>1</v>
      </c>
    </row>
    <row r="1764" spans="1:14" hidden="1" x14ac:dyDescent="0.25">
      <c r="A1764" t="s">
        <v>5</v>
      </c>
      <c r="B1764" t="s">
        <v>1215</v>
      </c>
      <c r="C1764" s="1">
        <v>3.9000000000000002E-7</v>
      </c>
      <c r="D1764" s="1">
        <v>3.4999999999999998E-7</v>
      </c>
      <c r="E1764" s="1">
        <v>3.9000000000000002E-7</v>
      </c>
      <c r="F1764" s="1">
        <v>3.4999999999999998E-7</v>
      </c>
      <c r="G1764">
        <f t="shared" si="322"/>
        <v>7</v>
      </c>
      <c r="H1764" t="str">
        <f t="shared" si="330"/>
        <v>BTC</v>
      </c>
      <c r="I1764" t="str">
        <f>LEFT(B1764,4)</f>
        <v>VNTX</v>
      </c>
      <c r="J1764" t="str">
        <f t="shared" si="323"/>
        <v>BTCVNTX</v>
      </c>
      <c r="K1764" t="str">
        <f t="shared" si="324"/>
        <v>VNTXBTC</v>
      </c>
      <c r="L1764">
        <f t="shared" si="325"/>
        <v>0</v>
      </c>
      <c r="M1764">
        <f t="shared" si="326"/>
        <v>1</v>
      </c>
      <c r="N1764" t="b">
        <f t="shared" si="327"/>
        <v>1</v>
      </c>
    </row>
    <row r="1765" spans="1:14" hidden="1" x14ac:dyDescent="0.25">
      <c r="A1765" t="s">
        <v>5</v>
      </c>
      <c r="B1765" t="s">
        <v>786</v>
      </c>
      <c r="C1765" s="1">
        <v>1.35E-6</v>
      </c>
      <c r="D1765" s="1">
        <v>9.5999999999999991E-7</v>
      </c>
      <c r="E1765" s="1">
        <v>1.35E-6</v>
      </c>
      <c r="F1765" s="1">
        <v>9.5999999999999991E-7</v>
      </c>
      <c r="G1765">
        <f t="shared" si="322"/>
        <v>6</v>
      </c>
      <c r="H1765" t="str">
        <f t="shared" si="330"/>
        <v>BTC</v>
      </c>
      <c r="I1765" t="str">
        <f>LEFT(B1765,3)</f>
        <v>VOL</v>
      </c>
      <c r="J1765" t="str">
        <f t="shared" si="323"/>
        <v>BTCVOL</v>
      </c>
      <c r="K1765" t="str">
        <f t="shared" si="324"/>
        <v>VOLBTC</v>
      </c>
      <c r="L1765">
        <f t="shared" si="325"/>
        <v>0</v>
      </c>
      <c r="M1765">
        <f t="shared" si="326"/>
        <v>1</v>
      </c>
      <c r="N1765" t="b">
        <f t="shared" si="327"/>
        <v>1</v>
      </c>
    </row>
    <row r="1766" spans="1:14" hidden="1" x14ac:dyDescent="0.25">
      <c r="A1766" t="s">
        <v>5</v>
      </c>
      <c r="B1766" t="s">
        <v>931</v>
      </c>
      <c r="C1766" s="1">
        <v>2.8999999999999998E-7</v>
      </c>
      <c r="D1766" s="1">
        <v>2.7000000000000001E-7</v>
      </c>
      <c r="E1766" s="1">
        <v>2.8999999999999998E-7</v>
      </c>
      <c r="F1766" s="1">
        <v>2.7000000000000001E-7</v>
      </c>
      <c r="G1766">
        <f t="shared" si="322"/>
        <v>7</v>
      </c>
      <c r="H1766" t="str">
        <f t="shared" si="330"/>
        <v>BTC</v>
      </c>
      <c r="I1766" t="str">
        <f>LEFT(B1766,4)</f>
        <v>VOLT</v>
      </c>
      <c r="J1766" t="str">
        <f t="shared" si="323"/>
        <v>BTCVOLT</v>
      </c>
      <c r="K1766" t="str">
        <f t="shared" si="324"/>
        <v>VOLTBTC</v>
      </c>
      <c r="L1766">
        <f t="shared" si="325"/>
        <v>0</v>
      </c>
      <c r="M1766">
        <f t="shared" si="326"/>
        <v>1</v>
      </c>
      <c r="N1766" t="b">
        <f t="shared" si="327"/>
        <v>1</v>
      </c>
    </row>
    <row r="1767" spans="1:14" hidden="1" x14ac:dyDescent="0.25">
      <c r="A1767" t="s">
        <v>5</v>
      </c>
      <c r="B1767" t="s">
        <v>1192</v>
      </c>
      <c r="C1767" s="1">
        <v>2.7270000000000001E-5</v>
      </c>
      <c r="D1767" s="1">
        <v>2.056E-5</v>
      </c>
      <c r="E1767" s="1">
        <v>2.7270000000000001E-5</v>
      </c>
      <c r="F1767" s="1">
        <v>2.056E-5</v>
      </c>
      <c r="G1767">
        <f t="shared" si="322"/>
        <v>7</v>
      </c>
      <c r="H1767" t="str">
        <f t="shared" si="330"/>
        <v>BTC</v>
      </c>
      <c r="I1767" t="str">
        <f>LEFT(B1767,4)</f>
        <v>VOYA</v>
      </c>
      <c r="J1767" t="str">
        <f t="shared" si="323"/>
        <v>BTCVOYA</v>
      </c>
      <c r="K1767" t="str">
        <f t="shared" si="324"/>
        <v>VOYABTC</v>
      </c>
      <c r="L1767">
        <f t="shared" si="325"/>
        <v>0</v>
      </c>
      <c r="M1767">
        <f t="shared" si="326"/>
        <v>1</v>
      </c>
      <c r="N1767" t="b">
        <f t="shared" si="327"/>
        <v>1</v>
      </c>
    </row>
    <row r="1768" spans="1:14" hidden="1" x14ac:dyDescent="0.25">
      <c r="A1768" t="s">
        <v>5</v>
      </c>
      <c r="B1768" t="s">
        <v>564</v>
      </c>
      <c r="C1768" s="1">
        <v>1.3499999999999999E-5</v>
      </c>
      <c r="D1768" s="1">
        <v>1.009E-5</v>
      </c>
      <c r="E1768" s="1">
        <v>1.3499999999999999E-5</v>
      </c>
      <c r="F1768" s="1">
        <v>1.009E-5</v>
      </c>
      <c r="G1768">
        <f t="shared" si="322"/>
        <v>6</v>
      </c>
      <c r="H1768" t="str">
        <f t="shared" si="330"/>
        <v>BTC</v>
      </c>
      <c r="I1768" t="str">
        <f>LEFT(B1768,3)</f>
        <v>VPN</v>
      </c>
      <c r="J1768" t="str">
        <f t="shared" si="323"/>
        <v>BTCVPN</v>
      </c>
      <c r="K1768" t="str">
        <f t="shared" si="324"/>
        <v>VPNBTC</v>
      </c>
      <c r="L1768">
        <f t="shared" si="325"/>
        <v>0</v>
      </c>
      <c r="M1768">
        <f t="shared" si="326"/>
        <v>1</v>
      </c>
      <c r="N1768" t="b">
        <f t="shared" si="327"/>
        <v>1</v>
      </c>
    </row>
    <row r="1769" spans="1:14" hidden="1" x14ac:dyDescent="0.25">
      <c r="A1769" t="s">
        <v>5</v>
      </c>
      <c r="B1769" t="s">
        <v>570</v>
      </c>
      <c r="C1769" s="1" t="s">
        <v>361</v>
      </c>
      <c r="D1769" s="1" t="s">
        <v>362</v>
      </c>
      <c r="E1769" s="1" t="s">
        <v>361</v>
      </c>
      <c r="F1769" s="1" t="s">
        <v>362</v>
      </c>
      <c r="G1769">
        <f t="shared" si="322"/>
        <v>7</v>
      </c>
      <c r="H1769" t="str">
        <f t="shared" si="330"/>
        <v>BTC</v>
      </c>
      <c r="I1769" t="str">
        <f>LEFT(B1769,4)</f>
        <v>VPRC</v>
      </c>
      <c r="J1769" t="str">
        <f t="shared" si="323"/>
        <v>BTCVPRC</v>
      </c>
      <c r="K1769" t="str">
        <f t="shared" si="324"/>
        <v>VPRCBTC</v>
      </c>
      <c r="L1769">
        <f t="shared" si="325"/>
        <v>0</v>
      </c>
      <c r="M1769">
        <f t="shared" si="326"/>
        <v>1</v>
      </c>
      <c r="N1769" t="b">
        <f t="shared" si="327"/>
        <v>1</v>
      </c>
    </row>
    <row r="1770" spans="1:14" hidden="1" x14ac:dyDescent="0.25">
      <c r="A1770" t="s">
        <v>1239</v>
      </c>
      <c r="B1770" t="s">
        <v>1281</v>
      </c>
      <c r="C1770" s="1">
        <v>9.952</v>
      </c>
      <c r="D1770" s="1">
        <v>2.800002E-2</v>
      </c>
      <c r="E1770" s="1">
        <v>9.952</v>
      </c>
      <c r="F1770" s="1">
        <v>2.800002E-2</v>
      </c>
      <c r="G1770">
        <f t="shared" si="322"/>
        <v>6</v>
      </c>
      <c r="H1770" t="str">
        <f t="shared" si="330"/>
        <v>VRC</v>
      </c>
      <c r="I1770" t="str">
        <f t="shared" ref="I1770:I1781" si="331">LEFT(B1770,3)</f>
        <v>VRM</v>
      </c>
      <c r="J1770" t="str">
        <f t="shared" si="323"/>
        <v>VRCVRM</v>
      </c>
      <c r="K1770" t="str">
        <f t="shared" si="324"/>
        <v>VRMVRC</v>
      </c>
      <c r="L1770">
        <f t="shared" si="325"/>
        <v>0</v>
      </c>
      <c r="M1770">
        <f t="shared" si="326"/>
        <v>1</v>
      </c>
      <c r="N1770" t="b">
        <f t="shared" si="327"/>
        <v>1</v>
      </c>
    </row>
    <row r="1771" spans="1:14" hidden="1" x14ac:dyDescent="0.25">
      <c r="A1771" t="s">
        <v>1403</v>
      </c>
      <c r="B1771" t="s">
        <v>2065</v>
      </c>
      <c r="C1771" s="1">
        <v>0.59000138000000002</v>
      </c>
      <c r="D1771" s="1">
        <v>0.59000138000000002</v>
      </c>
      <c r="E1771" s="1">
        <v>193</v>
      </c>
      <c r="F1771" s="1">
        <v>0.59000145999999998</v>
      </c>
      <c r="G1771">
        <f t="shared" si="322"/>
        <v>7</v>
      </c>
      <c r="H1771" t="str">
        <f>RIGHT(B1771,4)</f>
        <v>DOGE</v>
      </c>
      <c r="I1771" t="str">
        <f t="shared" si="331"/>
        <v>VRS</v>
      </c>
      <c r="J1771" t="str">
        <f t="shared" si="323"/>
        <v>DOGEVRS</v>
      </c>
      <c r="K1771" t="str">
        <f t="shared" si="324"/>
        <v>VRSDOGE</v>
      </c>
      <c r="L1771">
        <f t="shared" si="325"/>
        <v>0</v>
      </c>
      <c r="M1771">
        <f t="shared" si="326"/>
        <v>1</v>
      </c>
      <c r="N1771" t="b">
        <f t="shared" si="327"/>
        <v>1</v>
      </c>
    </row>
    <row r="1772" spans="1:14" hidden="1" x14ac:dyDescent="0.25">
      <c r="A1772" t="s">
        <v>1403</v>
      </c>
      <c r="B1772" t="s">
        <v>1871</v>
      </c>
      <c r="C1772" s="1">
        <v>2.3007E-4</v>
      </c>
      <c r="D1772" s="1">
        <v>2.3007E-4</v>
      </c>
      <c r="E1772" s="1">
        <v>9.8888399999999994E-3</v>
      </c>
      <c r="F1772" s="1">
        <v>2.3101E-4</v>
      </c>
      <c r="G1772">
        <f t="shared" si="322"/>
        <v>6</v>
      </c>
      <c r="H1772" t="str">
        <f>RIGHT(B1772,3)</f>
        <v>LTC</v>
      </c>
      <c r="I1772" t="str">
        <f t="shared" si="331"/>
        <v>VRS</v>
      </c>
      <c r="J1772" t="str">
        <f t="shared" si="323"/>
        <v>LTCVRS</v>
      </c>
      <c r="K1772" t="str">
        <f t="shared" si="324"/>
        <v>VRSLTC</v>
      </c>
      <c r="L1772">
        <f t="shared" si="325"/>
        <v>0</v>
      </c>
      <c r="M1772">
        <f t="shared" si="326"/>
        <v>1</v>
      </c>
      <c r="N1772" t="b">
        <f t="shared" si="327"/>
        <v>1</v>
      </c>
    </row>
    <row r="1773" spans="1:14" hidden="1" x14ac:dyDescent="0.25">
      <c r="A1773" t="s">
        <v>1239</v>
      </c>
      <c r="B1773" t="s">
        <v>1308</v>
      </c>
      <c r="C1773" s="1">
        <v>3.3E-4</v>
      </c>
      <c r="D1773" s="1">
        <v>1.8000000000000001E-4</v>
      </c>
      <c r="E1773" s="1">
        <v>3.3E-4</v>
      </c>
      <c r="F1773" s="1">
        <v>1.8000000000000001E-4</v>
      </c>
      <c r="G1773">
        <f t="shared" si="322"/>
        <v>6</v>
      </c>
      <c r="H1773" t="str">
        <f>RIGHT(B1773,3)</f>
        <v>BTC</v>
      </c>
      <c r="I1773" t="str">
        <f t="shared" si="331"/>
        <v>VSL</v>
      </c>
      <c r="J1773" t="str">
        <f t="shared" si="323"/>
        <v>BTCVSL</v>
      </c>
      <c r="K1773" t="str">
        <f t="shared" si="324"/>
        <v>VSLBTC</v>
      </c>
      <c r="L1773">
        <f t="shared" si="325"/>
        <v>0</v>
      </c>
      <c r="M1773">
        <f t="shared" si="326"/>
        <v>1</v>
      </c>
      <c r="N1773" t="b">
        <f t="shared" si="327"/>
        <v>1</v>
      </c>
    </row>
    <row r="1774" spans="1:14" hidden="1" x14ac:dyDescent="0.25">
      <c r="A1774" t="s">
        <v>1403</v>
      </c>
      <c r="B1774" t="s">
        <v>1509</v>
      </c>
      <c r="C1774" s="1" t="s">
        <v>362</v>
      </c>
      <c r="D1774" s="1" t="s">
        <v>362</v>
      </c>
      <c r="E1774" s="1" t="s">
        <v>362</v>
      </c>
      <c r="F1774" s="1" t="s">
        <v>362</v>
      </c>
      <c r="G1774">
        <f t="shared" si="322"/>
        <v>6</v>
      </c>
      <c r="H1774" t="str">
        <f>RIGHT(B1774,3)</f>
        <v>BTC</v>
      </c>
      <c r="I1774" t="str">
        <f t="shared" si="331"/>
        <v>VTA</v>
      </c>
      <c r="J1774" t="str">
        <f t="shared" si="323"/>
        <v>BTCVTA</v>
      </c>
      <c r="K1774" t="str">
        <f t="shared" si="324"/>
        <v>VTABTC</v>
      </c>
      <c r="L1774">
        <f t="shared" si="325"/>
        <v>0</v>
      </c>
      <c r="M1774">
        <f t="shared" si="326"/>
        <v>1</v>
      </c>
      <c r="N1774" t="b">
        <f t="shared" si="327"/>
        <v>1</v>
      </c>
    </row>
    <row r="1775" spans="1:14" hidden="1" x14ac:dyDescent="0.25">
      <c r="A1775" t="s">
        <v>1403</v>
      </c>
      <c r="B1775" t="s">
        <v>2066</v>
      </c>
      <c r="C1775" s="1">
        <v>9.5010700000000003E-3</v>
      </c>
      <c r="D1775" s="1">
        <v>9.5010700000000003E-3</v>
      </c>
      <c r="E1775" s="1">
        <v>9.5003799999999992E-3</v>
      </c>
      <c r="F1775" s="1">
        <v>5.0049999999999999E-3</v>
      </c>
      <c r="G1775">
        <f t="shared" si="322"/>
        <v>7</v>
      </c>
      <c r="H1775" t="str">
        <f>RIGHT(B1775,4)</f>
        <v>DOGE</v>
      </c>
      <c r="I1775" t="str">
        <f t="shared" si="331"/>
        <v>VTA</v>
      </c>
      <c r="J1775" t="str">
        <f t="shared" si="323"/>
        <v>DOGEVTA</v>
      </c>
      <c r="K1775" t="str">
        <f t="shared" si="324"/>
        <v>VTADOGE</v>
      </c>
      <c r="L1775">
        <f t="shared" si="325"/>
        <v>0</v>
      </c>
      <c r="M1775">
        <f t="shared" si="326"/>
        <v>1</v>
      </c>
      <c r="N1775" t="b">
        <f t="shared" si="327"/>
        <v>1</v>
      </c>
    </row>
    <row r="1776" spans="1:14" hidden="1" x14ac:dyDescent="0.25">
      <c r="A1776" t="s">
        <v>1403</v>
      </c>
      <c r="B1776" t="s">
        <v>1872</v>
      </c>
      <c r="C1776" s="1" t="s">
        <v>885</v>
      </c>
      <c r="D1776" s="1" t="s">
        <v>885</v>
      </c>
      <c r="E1776" s="1" t="s">
        <v>885</v>
      </c>
      <c r="F1776" s="1">
        <v>4.4999999999999998E-7</v>
      </c>
      <c r="G1776">
        <f t="shared" si="322"/>
        <v>6</v>
      </c>
      <c r="H1776" t="str">
        <f t="shared" ref="H1776:H1782" si="332">RIGHT(B1776,3)</f>
        <v>LTC</v>
      </c>
      <c r="I1776" t="str">
        <f t="shared" si="331"/>
        <v>VTA</v>
      </c>
      <c r="J1776" t="str">
        <f t="shared" si="323"/>
        <v>LTCVTA</v>
      </c>
      <c r="K1776" t="str">
        <f t="shared" si="324"/>
        <v>VTALTC</v>
      </c>
      <c r="L1776">
        <f t="shared" si="325"/>
        <v>0</v>
      </c>
      <c r="M1776">
        <f t="shared" si="326"/>
        <v>1</v>
      </c>
      <c r="N1776" t="b">
        <f t="shared" si="327"/>
        <v>1</v>
      </c>
    </row>
    <row r="1777" spans="1:14" hidden="1" x14ac:dyDescent="0.25">
      <c r="A1777" t="s">
        <v>1403</v>
      </c>
      <c r="B1777" t="s">
        <v>1681</v>
      </c>
      <c r="C1777" s="1" t="s">
        <v>1388</v>
      </c>
      <c r="D1777" s="1" t="s">
        <v>1388</v>
      </c>
      <c r="E1777" s="1" t="s">
        <v>1388</v>
      </c>
      <c r="F1777" s="1">
        <v>1.8E-5</v>
      </c>
      <c r="G1777">
        <f t="shared" si="322"/>
        <v>6</v>
      </c>
      <c r="H1777" t="str">
        <f t="shared" si="332"/>
        <v>USD</v>
      </c>
      <c r="I1777" t="str">
        <f t="shared" si="331"/>
        <v>VTA</v>
      </c>
      <c r="J1777" t="str">
        <f t="shared" si="323"/>
        <v>USDVTA</v>
      </c>
      <c r="K1777" t="str">
        <f t="shared" si="324"/>
        <v>VTAUSD</v>
      </c>
      <c r="L1777">
        <f t="shared" si="325"/>
        <v>0</v>
      </c>
      <c r="M1777">
        <f t="shared" si="326"/>
        <v>1</v>
      </c>
      <c r="N1777" t="b">
        <f t="shared" si="327"/>
        <v>1</v>
      </c>
    </row>
    <row r="1778" spans="1:14" hidden="1" x14ac:dyDescent="0.25">
      <c r="A1778" t="s">
        <v>5</v>
      </c>
      <c r="B1778" t="s">
        <v>1162</v>
      </c>
      <c r="C1778" s="1" t="s">
        <v>362</v>
      </c>
      <c r="D1778" s="1" t="s">
        <v>364</v>
      </c>
      <c r="E1778" s="1" t="s">
        <v>362</v>
      </c>
      <c r="F1778" s="1">
        <v>2.1000000000000001E-4</v>
      </c>
      <c r="G1778">
        <f t="shared" si="322"/>
        <v>6</v>
      </c>
      <c r="H1778" t="str">
        <f t="shared" si="332"/>
        <v>BTC</v>
      </c>
      <c r="I1778" t="str">
        <f t="shared" si="331"/>
        <v>VTL</v>
      </c>
      <c r="J1778" t="str">
        <f t="shared" si="323"/>
        <v>BTCVTL</v>
      </c>
      <c r="K1778" t="str">
        <f t="shared" si="324"/>
        <v>VTLBTC</v>
      </c>
      <c r="L1778">
        <f t="shared" si="325"/>
        <v>0</v>
      </c>
      <c r="M1778">
        <f t="shared" si="326"/>
        <v>1</v>
      </c>
      <c r="N1778" t="b">
        <f t="shared" si="327"/>
        <v>1</v>
      </c>
    </row>
    <row r="1779" spans="1:14" hidden="1" x14ac:dyDescent="0.25">
      <c r="A1779" t="s">
        <v>5</v>
      </c>
      <c r="B1779" t="s">
        <v>589</v>
      </c>
      <c r="C1779" s="1">
        <v>5.7000000000000005E-7</v>
      </c>
      <c r="D1779" s="1">
        <v>3.5999999999999999E-7</v>
      </c>
      <c r="E1779" s="1">
        <v>5.7000000000000005E-7</v>
      </c>
      <c r="F1779" s="1">
        <v>3.5999999999999999E-7</v>
      </c>
      <c r="G1779">
        <f t="shared" si="322"/>
        <v>6</v>
      </c>
      <c r="H1779" t="str">
        <f t="shared" si="332"/>
        <v>BTC</v>
      </c>
      <c r="I1779" t="str">
        <f t="shared" si="331"/>
        <v>VTN</v>
      </c>
      <c r="J1779" t="str">
        <f t="shared" si="323"/>
        <v>BTCVTN</v>
      </c>
      <c r="K1779" t="str">
        <f t="shared" si="324"/>
        <v>VTNBTC</v>
      </c>
      <c r="L1779">
        <f t="shared" si="325"/>
        <v>0</v>
      </c>
      <c r="M1779">
        <f t="shared" si="326"/>
        <v>1</v>
      </c>
      <c r="N1779" t="b">
        <f t="shared" si="327"/>
        <v>1</v>
      </c>
    </row>
    <row r="1780" spans="1:14" hidden="1" x14ac:dyDescent="0.25">
      <c r="A1780" t="s">
        <v>5</v>
      </c>
      <c r="B1780" t="s">
        <v>972</v>
      </c>
      <c r="C1780" s="1">
        <v>4.4999999999999998E-7</v>
      </c>
      <c r="D1780" s="1">
        <v>3.3000000000000002E-7</v>
      </c>
      <c r="E1780" s="1">
        <v>4.4999999999999998E-7</v>
      </c>
      <c r="F1780" s="1">
        <v>3.3000000000000002E-7</v>
      </c>
      <c r="G1780">
        <f t="shared" si="322"/>
        <v>6</v>
      </c>
      <c r="H1780" t="str">
        <f t="shared" si="332"/>
        <v>BTC</v>
      </c>
      <c r="I1780" t="str">
        <f t="shared" si="331"/>
        <v>VTX</v>
      </c>
      <c r="J1780" t="str">
        <f t="shared" si="323"/>
        <v>BTCVTX</v>
      </c>
      <c r="K1780" t="str">
        <f t="shared" si="324"/>
        <v>VTXBTC</v>
      </c>
      <c r="L1780">
        <f t="shared" si="325"/>
        <v>0</v>
      </c>
      <c r="M1780">
        <f t="shared" si="326"/>
        <v>1</v>
      </c>
      <c r="N1780" t="b">
        <f t="shared" si="327"/>
        <v>1</v>
      </c>
    </row>
    <row r="1781" spans="1:14" hidden="1" x14ac:dyDescent="0.25">
      <c r="A1781" t="s">
        <v>5</v>
      </c>
      <c r="B1781" t="s">
        <v>966</v>
      </c>
      <c r="C1781" s="1" t="s">
        <v>362</v>
      </c>
      <c r="D1781" s="1" t="s">
        <v>364</v>
      </c>
      <c r="E1781" s="1" t="s">
        <v>362</v>
      </c>
      <c r="F1781" s="1">
        <v>1.16E-4</v>
      </c>
      <c r="G1781">
        <f t="shared" si="322"/>
        <v>6</v>
      </c>
      <c r="H1781" t="str">
        <f t="shared" si="332"/>
        <v>BTC</v>
      </c>
      <c r="I1781" t="str">
        <f t="shared" si="331"/>
        <v>VTY</v>
      </c>
      <c r="J1781" t="str">
        <f t="shared" si="323"/>
        <v>BTCVTY</v>
      </c>
      <c r="K1781" t="str">
        <f t="shared" si="324"/>
        <v>VTYBTC</v>
      </c>
      <c r="L1781">
        <f t="shared" si="325"/>
        <v>0</v>
      </c>
      <c r="M1781">
        <f t="shared" si="326"/>
        <v>1</v>
      </c>
      <c r="N1781" t="b">
        <f t="shared" si="327"/>
        <v>1</v>
      </c>
    </row>
    <row r="1782" spans="1:14" hidden="1" x14ac:dyDescent="0.25">
      <c r="A1782" t="s">
        <v>1403</v>
      </c>
      <c r="B1782" t="s">
        <v>1510</v>
      </c>
      <c r="C1782" s="1">
        <v>3.3099999999999998E-5</v>
      </c>
      <c r="D1782" s="1">
        <v>4.8989999999999997E-5</v>
      </c>
      <c r="E1782" s="1">
        <v>4.795E-5</v>
      </c>
      <c r="F1782" s="1">
        <v>3.3210000000000002E-5</v>
      </c>
      <c r="G1782">
        <f t="shared" si="322"/>
        <v>5</v>
      </c>
      <c r="H1782" t="str">
        <f t="shared" si="332"/>
        <v>BTC</v>
      </c>
      <c r="I1782" t="str">
        <f>LEFT(B1782,2)</f>
        <v>WA</v>
      </c>
      <c r="J1782" t="str">
        <f t="shared" si="323"/>
        <v>BTCWA</v>
      </c>
      <c r="K1782" t="str">
        <f t="shared" si="324"/>
        <v>WABTC</v>
      </c>
      <c r="L1782">
        <f t="shared" si="325"/>
        <v>0</v>
      </c>
      <c r="M1782">
        <f t="shared" si="326"/>
        <v>1</v>
      </c>
      <c r="N1782" t="b">
        <f t="shared" si="327"/>
        <v>1</v>
      </c>
    </row>
    <row r="1783" spans="1:14" hidden="1" x14ac:dyDescent="0.25">
      <c r="A1783" t="s">
        <v>1403</v>
      </c>
      <c r="B1783" t="s">
        <v>2067</v>
      </c>
      <c r="C1783" s="1">
        <v>799995.99990000005</v>
      </c>
      <c r="D1783" s="1">
        <v>799995.99990000005</v>
      </c>
      <c r="E1783" s="1">
        <v>799995</v>
      </c>
      <c r="F1783" s="1">
        <v>11</v>
      </c>
      <c r="G1783">
        <f t="shared" si="322"/>
        <v>6</v>
      </c>
      <c r="H1783" t="str">
        <f>RIGHT(B1783,4)</f>
        <v>DOGE</v>
      </c>
      <c r="I1783" t="str">
        <f>LEFT(B1783,2)</f>
        <v>WA</v>
      </c>
      <c r="J1783" t="str">
        <f t="shared" si="323"/>
        <v>DOGEWA</v>
      </c>
      <c r="K1783" t="str">
        <f t="shared" si="324"/>
        <v>WADOGE</v>
      </c>
      <c r="L1783">
        <f t="shared" si="325"/>
        <v>0</v>
      </c>
      <c r="M1783">
        <f t="shared" si="326"/>
        <v>1</v>
      </c>
      <c r="N1783" t="b">
        <f t="shared" si="327"/>
        <v>1</v>
      </c>
    </row>
    <row r="1784" spans="1:14" hidden="1" x14ac:dyDescent="0.25">
      <c r="A1784" t="s">
        <v>1403</v>
      </c>
      <c r="B1784" t="s">
        <v>1873</v>
      </c>
      <c r="C1784" s="1">
        <v>0</v>
      </c>
      <c r="D1784" s="1">
        <v>0</v>
      </c>
      <c r="E1784" s="1">
        <v>97</v>
      </c>
      <c r="F1784" s="1">
        <v>1.117E-5</v>
      </c>
      <c r="G1784">
        <f t="shared" si="322"/>
        <v>5</v>
      </c>
      <c r="H1784" t="str">
        <f t="shared" ref="H1784:H1790" si="333">RIGHT(B1784,3)</f>
        <v>LTC</v>
      </c>
      <c r="I1784" t="str">
        <f>LEFT(B1784,2)</f>
        <v>WA</v>
      </c>
      <c r="J1784" t="str">
        <f t="shared" si="323"/>
        <v>LTCWA</v>
      </c>
      <c r="K1784" t="str">
        <f t="shared" si="324"/>
        <v>WALTC</v>
      </c>
      <c r="L1784">
        <f t="shared" si="325"/>
        <v>0</v>
      </c>
      <c r="M1784">
        <f t="shared" si="326"/>
        <v>1</v>
      </c>
      <c r="N1784" t="b">
        <f t="shared" si="327"/>
        <v>1</v>
      </c>
    </row>
    <row r="1785" spans="1:14" hidden="1" x14ac:dyDescent="0.25">
      <c r="A1785" t="s">
        <v>5</v>
      </c>
      <c r="B1785" t="s">
        <v>574</v>
      </c>
      <c r="C1785" s="1">
        <v>7.1600000000000001E-6</v>
      </c>
      <c r="D1785" s="1">
        <v>6.7100000000000001E-6</v>
      </c>
      <c r="E1785" s="1">
        <v>7.1600000000000001E-6</v>
      </c>
      <c r="F1785" s="1">
        <v>6.7100000000000001E-6</v>
      </c>
      <c r="G1785">
        <f t="shared" si="322"/>
        <v>7</v>
      </c>
      <c r="H1785" t="str">
        <f t="shared" si="333"/>
        <v>BTC</v>
      </c>
      <c r="I1785" t="str">
        <f>LEFT(B1785,4)</f>
        <v>WARP</v>
      </c>
      <c r="J1785" t="str">
        <f t="shared" si="323"/>
        <v>BTCWARP</v>
      </c>
      <c r="K1785" t="str">
        <f t="shared" si="324"/>
        <v>WARPBTC</v>
      </c>
      <c r="L1785">
        <f t="shared" si="325"/>
        <v>0</v>
      </c>
      <c r="M1785">
        <f t="shared" si="326"/>
        <v>1</v>
      </c>
      <c r="N1785" t="b">
        <f t="shared" si="327"/>
        <v>1</v>
      </c>
    </row>
    <row r="1786" spans="1:14" hidden="1" x14ac:dyDescent="0.25">
      <c r="A1786" t="s">
        <v>5</v>
      </c>
      <c r="B1786" t="s">
        <v>1156</v>
      </c>
      <c r="C1786" s="1" t="s">
        <v>380</v>
      </c>
      <c r="D1786" s="1" t="s">
        <v>381</v>
      </c>
      <c r="E1786" s="1" t="s">
        <v>380</v>
      </c>
      <c r="F1786" s="1" t="s">
        <v>381</v>
      </c>
      <c r="G1786">
        <f t="shared" si="322"/>
        <v>7</v>
      </c>
      <c r="H1786" t="str">
        <f t="shared" si="333"/>
        <v>BTC</v>
      </c>
      <c r="I1786" t="str">
        <f>LEFT(B1786,4)</f>
        <v>WASH</v>
      </c>
      <c r="J1786" t="str">
        <f t="shared" si="323"/>
        <v>BTCWASH</v>
      </c>
      <c r="K1786" t="str">
        <f t="shared" si="324"/>
        <v>WASHBTC</v>
      </c>
      <c r="L1786">
        <f t="shared" si="325"/>
        <v>0</v>
      </c>
      <c r="M1786">
        <f t="shared" si="326"/>
        <v>1</v>
      </c>
      <c r="N1786" t="b">
        <f t="shared" si="327"/>
        <v>1</v>
      </c>
    </row>
    <row r="1787" spans="1:14" hidden="1" x14ac:dyDescent="0.25">
      <c r="A1787" t="s">
        <v>1403</v>
      </c>
      <c r="B1787" t="s">
        <v>1682</v>
      </c>
      <c r="C1787" s="1">
        <v>3.9899999799999999</v>
      </c>
      <c r="D1787" s="1">
        <v>3.9899999799999999</v>
      </c>
      <c r="E1787" s="1">
        <v>3.6899986</v>
      </c>
      <c r="F1787" s="1">
        <v>1.3231130000000001E-2</v>
      </c>
      <c r="G1787">
        <f t="shared" si="322"/>
        <v>5</v>
      </c>
      <c r="H1787" t="str">
        <f t="shared" si="333"/>
        <v>USD</v>
      </c>
      <c r="I1787" t="str">
        <f>LEFT(B1787,2)</f>
        <v>WA</v>
      </c>
      <c r="J1787" t="str">
        <f t="shared" si="323"/>
        <v>USDWA</v>
      </c>
      <c r="K1787" t="str">
        <f t="shared" si="324"/>
        <v>WAUSD</v>
      </c>
      <c r="L1787">
        <f t="shared" si="325"/>
        <v>0</v>
      </c>
      <c r="M1787">
        <f t="shared" si="326"/>
        <v>1</v>
      </c>
      <c r="N1787" t="b">
        <f t="shared" si="327"/>
        <v>1</v>
      </c>
    </row>
    <row r="1788" spans="1:14" hidden="1" x14ac:dyDescent="0.25">
      <c r="A1788" t="s">
        <v>5</v>
      </c>
      <c r="B1788" t="s">
        <v>683</v>
      </c>
      <c r="C1788" s="1">
        <v>3.9000000000000002E-7</v>
      </c>
      <c r="D1788" s="1">
        <v>3.5999999999999999E-7</v>
      </c>
      <c r="E1788" s="1">
        <v>3.9000000000000002E-7</v>
      </c>
      <c r="F1788" s="1">
        <v>3.5999999999999999E-7</v>
      </c>
      <c r="G1788">
        <f t="shared" si="322"/>
        <v>6</v>
      </c>
      <c r="H1788" t="str">
        <f t="shared" si="333"/>
        <v>BTC</v>
      </c>
      <c r="I1788" t="str">
        <f t="shared" ref="I1788:I1793" si="334">LEFT(B1788,3)</f>
        <v>WAY</v>
      </c>
      <c r="J1788" t="str">
        <f t="shared" si="323"/>
        <v>BTCWAY</v>
      </c>
      <c r="K1788" t="str">
        <f t="shared" si="324"/>
        <v>WAYBTC</v>
      </c>
      <c r="L1788">
        <f t="shared" si="325"/>
        <v>0</v>
      </c>
      <c r="M1788">
        <f t="shared" si="326"/>
        <v>1</v>
      </c>
      <c r="N1788" t="b">
        <f t="shared" si="327"/>
        <v>1</v>
      </c>
    </row>
    <row r="1789" spans="1:14" hidden="1" x14ac:dyDescent="0.25">
      <c r="A1789" t="s">
        <v>5</v>
      </c>
      <c r="B1789" t="s">
        <v>840</v>
      </c>
      <c r="C1789" s="1">
        <v>4.1234000000000003E-4</v>
      </c>
      <c r="D1789" s="1">
        <v>3.1008000000000001E-4</v>
      </c>
      <c r="E1789" s="1">
        <v>4.1234000000000003E-4</v>
      </c>
      <c r="F1789" s="1">
        <v>3.1008000000000001E-4</v>
      </c>
      <c r="G1789">
        <f t="shared" si="322"/>
        <v>6</v>
      </c>
      <c r="H1789" t="str">
        <f t="shared" si="333"/>
        <v>BTC</v>
      </c>
      <c r="I1789" t="str">
        <f t="shared" si="334"/>
        <v>WBB</v>
      </c>
      <c r="J1789" t="str">
        <f t="shared" si="323"/>
        <v>BTCWBB</v>
      </c>
      <c r="K1789" t="str">
        <f t="shared" si="324"/>
        <v>WBBBTC</v>
      </c>
      <c r="L1789">
        <f t="shared" si="325"/>
        <v>0</v>
      </c>
      <c r="M1789">
        <f t="shared" si="326"/>
        <v>1</v>
      </c>
      <c r="N1789" t="b">
        <f t="shared" si="327"/>
        <v>1</v>
      </c>
    </row>
    <row r="1790" spans="1:14" hidden="1" x14ac:dyDescent="0.25">
      <c r="A1790" t="s">
        <v>1403</v>
      </c>
      <c r="B1790" t="s">
        <v>1511</v>
      </c>
      <c r="C1790" s="1" t="s">
        <v>540</v>
      </c>
      <c r="D1790" s="1" t="s">
        <v>539</v>
      </c>
      <c r="E1790" s="1" t="s">
        <v>539</v>
      </c>
      <c r="F1790" s="1" t="s">
        <v>540</v>
      </c>
      <c r="G1790">
        <f t="shared" si="322"/>
        <v>6</v>
      </c>
      <c r="H1790" t="str">
        <f t="shared" si="333"/>
        <v>BTC</v>
      </c>
      <c r="I1790" t="str">
        <f t="shared" si="334"/>
        <v>WCN</v>
      </c>
      <c r="J1790" t="str">
        <f t="shared" si="323"/>
        <v>BTCWCN</v>
      </c>
      <c r="K1790" t="str">
        <f t="shared" si="324"/>
        <v>WCNBTC</v>
      </c>
      <c r="L1790">
        <f t="shared" si="325"/>
        <v>0</v>
      </c>
      <c r="M1790">
        <f t="shared" si="326"/>
        <v>1</v>
      </c>
      <c r="N1790" t="b">
        <f t="shared" si="327"/>
        <v>1</v>
      </c>
    </row>
    <row r="1791" spans="1:14" hidden="1" x14ac:dyDescent="0.25">
      <c r="A1791" t="s">
        <v>1403</v>
      </c>
      <c r="B1791" t="s">
        <v>2068</v>
      </c>
      <c r="C1791" s="1">
        <v>10</v>
      </c>
      <c r="D1791" s="1">
        <v>10</v>
      </c>
      <c r="E1791" s="1">
        <v>7.7777776000000003</v>
      </c>
      <c r="F1791" s="1">
        <v>2.00001E-2</v>
      </c>
      <c r="G1791">
        <f t="shared" si="322"/>
        <v>7</v>
      </c>
      <c r="H1791" t="str">
        <f>RIGHT(B1791,4)</f>
        <v>DOGE</v>
      </c>
      <c r="I1791" t="str">
        <f t="shared" si="334"/>
        <v>WCN</v>
      </c>
      <c r="J1791" t="str">
        <f t="shared" si="323"/>
        <v>DOGEWCN</v>
      </c>
      <c r="K1791" t="str">
        <f t="shared" si="324"/>
        <v>WCNDOGE</v>
      </c>
      <c r="L1791">
        <f t="shared" si="325"/>
        <v>0</v>
      </c>
      <c r="M1791">
        <f t="shared" si="326"/>
        <v>1</v>
      </c>
      <c r="N1791" t="b">
        <f t="shared" si="327"/>
        <v>1</v>
      </c>
    </row>
    <row r="1792" spans="1:14" hidden="1" x14ac:dyDescent="0.25">
      <c r="A1792" t="s">
        <v>1403</v>
      </c>
      <c r="B1792" t="s">
        <v>1874</v>
      </c>
      <c r="C1792" s="1">
        <v>1.2E-4</v>
      </c>
      <c r="D1792" s="1">
        <v>1.2E-4</v>
      </c>
      <c r="E1792" s="1">
        <v>1.9998099999999999E-3</v>
      </c>
      <c r="F1792" s="1" t="s">
        <v>380</v>
      </c>
      <c r="G1792">
        <f t="shared" si="322"/>
        <v>6</v>
      </c>
      <c r="H1792" t="str">
        <f>RIGHT(B1792,3)</f>
        <v>LTC</v>
      </c>
      <c r="I1792" t="str">
        <f t="shared" si="334"/>
        <v>WCN</v>
      </c>
      <c r="J1792" t="str">
        <f t="shared" si="323"/>
        <v>LTCWCN</v>
      </c>
      <c r="K1792" t="str">
        <f t="shared" si="324"/>
        <v>WCNLTC</v>
      </c>
      <c r="L1792">
        <f t="shared" si="325"/>
        <v>0</v>
      </c>
      <c r="M1792">
        <f t="shared" si="326"/>
        <v>1</v>
      </c>
      <c r="N1792" t="b">
        <f t="shared" si="327"/>
        <v>1</v>
      </c>
    </row>
    <row r="1793" spans="1:14" hidden="1" x14ac:dyDescent="0.25">
      <c r="A1793" t="s">
        <v>1403</v>
      </c>
      <c r="B1793" t="s">
        <v>1683</v>
      </c>
      <c r="C1793" s="1">
        <v>6.9999889999999995E-2</v>
      </c>
      <c r="D1793" s="1">
        <v>6.9999889999999995E-2</v>
      </c>
      <c r="E1793" s="1">
        <v>0.01</v>
      </c>
      <c r="F1793" s="1">
        <v>1.0010000000000001E-5</v>
      </c>
      <c r="G1793">
        <f t="shared" ref="G1793:G1856" si="335">LEN(B1793)</f>
        <v>6</v>
      </c>
      <c r="H1793" t="str">
        <f>RIGHT(B1793,3)</f>
        <v>USD</v>
      </c>
      <c r="I1793" t="str">
        <f t="shared" si="334"/>
        <v>WCN</v>
      </c>
      <c r="J1793" t="str">
        <f t="shared" ref="J1793:J1856" si="336">CONCATENATE(H1793,I1793)</f>
        <v>USDWCN</v>
      </c>
      <c r="K1793" t="str">
        <f t="shared" ref="K1793:K1856" si="337">CONCATENATE(I1793,H1793)</f>
        <v>WCNUSD</v>
      </c>
      <c r="L1793">
        <f t="shared" ref="L1793:L1856" si="338">COUNTIF(B:B,J1793)</f>
        <v>0</v>
      </c>
      <c r="M1793">
        <f t="shared" ref="M1793:M1856" si="339">COUNTIF(B:B,K1793)</f>
        <v>1</v>
      </c>
      <c r="N1793" t="b">
        <f t="shared" ref="N1793:N1856" si="340">L1793=0</f>
        <v>1</v>
      </c>
    </row>
    <row r="1794" spans="1:14" hidden="1" x14ac:dyDescent="0.25">
      <c r="A1794" t="s">
        <v>5</v>
      </c>
      <c r="B1794" t="s">
        <v>649</v>
      </c>
      <c r="C1794" s="1">
        <v>2.5875E-3</v>
      </c>
      <c r="D1794" s="1">
        <v>2.3730000000000001E-3</v>
      </c>
      <c r="E1794" s="1">
        <v>2.5875E-3</v>
      </c>
      <c r="F1794" s="1">
        <v>2.3730000000000001E-3</v>
      </c>
      <c r="G1794">
        <f t="shared" si="335"/>
        <v>9</v>
      </c>
      <c r="H1794" t="str">
        <f>RIGHT(B1794,3)</f>
        <v>BTC</v>
      </c>
      <c r="I1794" t="str">
        <f>LEFT(B1794,6)</f>
        <v>WEALTH</v>
      </c>
      <c r="J1794" t="str">
        <f t="shared" si="336"/>
        <v>BTCWEALTH</v>
      </c>
      <c r="K1794" t="str">
        <f t="shared" si="337"/>
        <v>WEALTHBTC</v>
      </c>
      <c r="L1794">
        <f t="shared" si="338"/>
        <v>0</v>
      </c>
      <c r="M1794">
        <f t="shared" si="339"/>
        <v>1</v>
      </c>
      <c r="N1794" t="b">
        <f t="shared" si="340"/>
        <v>1</v>
      </c>
    </row>
    <row r="1795" spans="1:14" hidden="1" x14ac:dyDescent="0.25">
      <c r="A1795" t="s">
        <v>1403</v>
      </c>
      <c r="B1795" t="s">
        <v>1512</v>
      </c>
      <c r="C1795" s="1">
        <v>1.4448E-4</v>
      </c>
      <c r="D1795" s="1">
        <v>1.2998999999999999E-4</v>
      </c>
      <c r="E1795" s="1">
        <v>1.27E-4</v>
      </c>
      <c r="F1795" s="1">
        <v>1.03E-4</v>
      </c>
      <c r="G1795">
        <f t="shared" si="335"/>
        <v>6</v>
      </c>
      <c r="H1795" t="str">
        <f>RIGHT(B1795,3)</f>
        <v>BTC</v>
      </c>
      <c r="I1795" t="str">
        <f>LEFT(B1795,3)</f>
        <v>WEX</v>
      </c>
      <c r="J1795" t="str">
        <f t="shared" si="336"/>
        <v>BTCWEX</v>
      </c>
      <c r="K1795" t="str">
        <f t="shared" si="337"/>
        <v>WEXBTC</v>
      </c>
      <c r="L1795">
        <f t="shared" si="338"/>
        <v>0</v>
      </c>
      <c r="M1795">
        <f t="shared" si="339"/>
        <v>1</v>
      </c>
      <c r="N1795" t="b">
        <f t="shared" si="340"/>
        <v>1</v>
      </c>
    </row>
    <row r="1796" spans="1:14" hidden="1" x14ac:dyDescent="0.25">
      <c r="A1796" t="s">
        <v>1403</v>
      </c>
      <c r="B1796" t="s">
        <v>2069</v>
      </c>
      <c r="C1796" s="1">
        <v>2.5499999999999998</v>
      </c>
      <c r="D1796" s="1">
        <v>2.5499999999999998</v>
      </c>
      <c r="E1796" s="1">
        <v>91361.199999920005</v>
      </c>
      <c r="F1796" s="1">
        <v>0.75000129999999998</v>
      </c>
      <c r="G1796">
        <f t="shared" si="335"/>
        <v>7</v>
      </c>
      <c r="H1796" t="str">
        <f>RIGHT(B1796,4)</f>
        <v>DOGE</v>
      </c>
      <c r="I1796" t="str">
        <f>LEFT(B1796,3)</f>
        <v>WEX</v>
      </c>
      <c r="J1796" t="str">
        <f t="shared" si="336"/>
        <v>DOGEWEX</v>
      </c>
      <c r="K1796" t="str">
        <f t="shared" si="337"/>
        <v>WEXDOGE</v>
      </c>
      <c r="L1796">
        <f t="shared" si="338"/>
        <v>0</v>
      </c>
      <c r="M1796">
        <f t="shared" si="339"/>
        <v>1</v>
      </c>
      <c r="N1796" t="b">
        <f t="shared" si="340"/>
        <v>1</v>
      </c>
    </row>
    <row r="1797" spans="1:14" hidden="1" x14ac:dyDescent="0.25">
      <c r="A1797" t="s">
        <v>1403</v>
      </c>
      <c r="B1797" t="s">
        <v>1875</v>
      </c>
      <c r="C1797" s="1">
        <v>291.50700000000001</v>
      </c>
      <c r="D1797" s="1">
        <v>291.50700000000001</v>
      </c>
      <c r="E1797" s="1">
        <v>6.9199999400000003</v>
      </c>
      <c r="F1797" s="1">
        <v>1.0349999999999999E-5</v>
      </c>
      <c r="G1797">
        <f t="shared" si="335"/>
        <v>6</v>
      </c>
      <c r="H1797" t="str">
        <f t="shared" ref="H1797:H1803" si="341">RIGHT(B1797,3)</f>
        <v>LTC</v>
      </c>
      <c r="I1797" t="str">
        <f>LEFT(B1797,3)</f>
        <v>WEX</v>
      </c>
      <c r="J1797" t="str">
        <f t="shared" si="336"/>
        <v>LTCWEX</v>
      </c>
      <c r="K1797" t="str">
        <f t="shared" si="337"/>
        <v>WEXLTC</v>
      </c>
      <c r="L1797">
        <f t="shared" si="338"/>
        <v>0</v>
      </c>
      <c r="M1797">
        <f t="shared" si="339"/>
        <v>1</v>
      </c>
      <c r="N1797" t="b">
        <f t="shared" si="340"/>
        <v>1</v>
      </c>
    </row>
    <row r="1798" spans="1:14" hidden="1" x14ac:dyDescent="0.25">
      <c r="A1798" t="s">
        <v>1403</v>
      </c>
      <c r="B1798" t="s">
        <v>1684</v>
      </c>
      <c r="C1798" s="1">
        <v>0.39998</v>
      </c>
      <c r="D1798" s="1">
        <v>0.39998</v>
      </c>
      <c r="E1798" s="1">
        <v>0.39999000000000001</v>
      </c>
      <c r="F1798" s="1">
        <v>0.20010001999999999</v>
      </c>
      <c r="G1798">
        <f t="shared" si="335"/>
        <v>6</v>
      </c>
      <c r="H1798" t="str">
        <f t="shared" si="341"/>
        <v>USD</v>
      </c>
      <c r="I1798" t="str">
        <f>LEFT(B1798,3)</f>
        <v>WEX</v>
      </c>
      <c r="J1798" t="str">
        <f t="shared" si="336"/>
        <v>USDWEX</v>
      </c>
      <c r="K1798" t="str">
        <f t="shared" si="337"/>
        <v>WEXUSD</v>
      </c>
      <c r="L1798">
        <f t="shared" si="338"/>
        <v>0</v>
      </c>
      <c r="M1798">
        <f t="shared" si="339"/>
        <v>1</v>
      </c>
      <c r="N1798" t="b">
        <f t="shared" si="340"/>
        <v>1</v>
      </c>
    </row>
    <row r="1799" spans="1:14" hidden="1" x14ac:dyDescent="0.25">
      <c r="A1799" t="s">
        <v>5</v>
      </c>
      <c r="B1799" t="s">
        <v>498</v>
      </c>
      <c r="C1799" s="1" t="s">
        <v>362</v>
      </c>
      <c r="D1799" s="1" t="s">
        <v>364</v>
      </c>
      <c r="E1799" s="1" t="s">
        <v>362</v>
      </c>
      <c r="F1799" s="1">
        <v>6.7999999999999995E-7</v>
      </c>
      <c r="G1799">
        <f t="shared" si="335"/>
        <v>7</v>
      </c>
      <c r="H1799" t="str">
        <f t="shared" si="341"/>
        <v>BTC</v>
      </c>
      <c r="I1799" t="str">
        <f>LEFT(B1799,4)</f>
        <v>WINE</v>
      </c>
      <c r="J1799" t="str">
        <f t="shared" si="336"/>
        <v>BTCWINE</v>
      </c>
      <c r="K1799" t="str">
        <f t="shared" si="337"/>
        <v>WINEBTC</v>
      </c>
      <c r="L1799">
        <f t="shared" si="338"/>
        <v>0</v>
      </c>
      <c r="M1799">
        <f t="shared" si="339"/>
        <v>1</v>
      </c>
      <c r="N1799" t="b">
        <f t="shared" si="340"/>
        <v>1</v>
      </c>
    </row>
    <row r="1800" spans="1:14" hidden="1" x14ac:dyDescent="0.25">
      <c r="A1800" t="s">
        <v>5</v>
      </c>
      <c r="B1800" t="s">
        <v>627</v>
      </c>
      <c r="C1800" s="1" t="s">
        <v>384</v>
      </c>
      <c r="D1800" s="1" t="s">
        <v>361</v>
      </c>
      <c r="E1800" s="1" t="s">
        <v>384</v>
      </c>
      <c r="F1800" s="1" t="s">
        <v>361</v>
      </c>
      <c r="G1800">
        <f t="shared" si="335"/>
        <v>7</v>
      </c>
      <c r="H1800" t="str">
        <f t="shared" si="341"/>
        <v>BTC</v>
      </c>
      <c r="I1800" t="str">
        <f>LEFT(B1800,4)</f>
        <v>WISC</v>
      </c>
      <c r="J1800" t="str">
        <f t="shared" si="336"/>
        <v>BTCWISC</v>
      </c>
      <c r="K1800" t="str">
        <f t="shared" si="337"/>
        <v>WISCBTC</v>
      </c>
      <c r="L1800">
        <f t="shared" si="338"/>
        <v>0</v>
      </c>
      <c r="M1800">
        <f t="shared" si="339"/>
        <v>1</v>
      </c>
      <c r="N1800" t="b">
        <f t="shared" si="340"/>
        <v>1</v>
      </c>
    </row>
    <row r="1801" spans="1:14" hidden="1" x14ac:dyDescent="0.25">
      <c r="A1801" t="s">
        <v>5</v>
      </c>
      <c r="B1801" t="s">
        <v>1228</v>
      </c>
      <c r="C1801" s="1">
        <v>9.9998489999999995E-2</v>
      </c>
      <c r="D1801" s="1">
        <v>3.0060400000000001E-2</v>
      </c>
      <c r="E1801" s="1">
        <v>9.9998677039885603E-2</v>
      </c>
      <c r="F1801" s="1">
        <v>3.0053015084869201E-2</v>
      </c>
      <c r="G1801">
        <f t="shared" si="335"/>
        <v>8</v>
      </c>
      <c r="H1801" t="str">
        <f t="shared" si="341"/>
        <v>BTC</v>
      </c>
      <c r="I1801" t="str">
        <f>LEFT(B1801,5)</f>
        <v>WITCH</v>
      </c>
      <c r="J1801" t="str">
        <f t="shared" si="336"/>
        <v>BTCWITCH</v>
      </c>
      <c r="K1801" t="str">
        <f t="shared" si="337"/>
        <v>WITCHBTC</v>
      </c>
      <c r="L1801">
        <f t="shared" si="338"/>
        <v>0</v>
      </c>
      <c r="M1801">
        <f t="shared" si="339"/>
        <v>1</v>
      </c>
      <c r="N1801" t="b">
        <f t="shared" si="340"/>
        <v>1</v>
      </c>
    </row>
    <row r="1802" spans="1:14" hidden="1" x14ac:dyDescent="0.25">
      <c r="A1802" t="s">
        <v>5</v>
      </c>
      <c r="B1802" t="s">
        <v>724</v>
      </c>
      <c r="C1802" s="1">
        <v>1.42E-6</v>
      </c>
      <c r="D1802" s="1">
        <v>1.3799999999999999E-6</v>
      </c>
      <c r="E1802" s="1">
        <v>1.42E-6</v>
      </c>
      <c r="F1802" s="1">
        <v>1.3799999999999999E-6</v>
      </c>
      <c r="G1802">
        <f t="shared" si="335"/>
        <v>6</v>
      </c>
      <c r="H1802" t="str">
        <f t="shared" si="341"/>
        <v>BTC</v>
      </c>
      <c r="I1802" t="str">
        <f t="shared" ref="I1802:I1807" si="342">LEFT(B1802,3)</f>
        <v>WMC</v>
      </c>
      <c r="J1802" t="str">
        <f t="shared" si="336"/>
        <v>BTCWMC</v>
      </c>
      <c r="K1802" t="str">
        <f t="shared" si="337"/>
        <v>WMCBTC</v>
      </c>
      <c r="L1802">
        <f t="shared" si="338"/>
        <v>0</v>
      </c>
      <c r="M1802">
        <f t="shared" si="339"/>
        <v>1</v>
      </c>
      <c r="N1802" t="b">
        <f t="shared" si="340"/>
        <v>1</v>
      </c>
    </row>
    <row r="1803" spans="1:14" hidden="1" x14ac:dyDescent="0.25">
      <c r="A1803" t="s">
        <v>1403</v>
      </c>
      <c r="B1803" t="s">
        <v>1513</v>
      </c>
      <c r="C1803" s="1">
        <v>1.95E-6</v>
      </c>
      <c r="D1803" s="1">
        <v>4.1799999999999998E-6</v>
      </c>
      <c r="E1803" s="1">
        <v>4.1999999999999996E-6</v>
      </c>
      <c r="F1803" s="1">
        <v>1.9599999999999999E-6</v>
      </c>
      <c r="G1803">
        <f t="shared" si="335"/>
        <v>6</v>
      </c>
      <c r="H1803" t="str">
        <f t="shared" si="341"/>
        <v>BTC</v>
      </c>
      <c r="I1803" t="str">
        <f t="shared" si="342"/>
        <v>WOP</v>
      </c>
      <c r="J1803" t="str">
        <f t="shared" si="336"/>
        <v>BTCWOP</v>
      </c>
      <c r="K1803" t="str">
        <f t="shared" si="337"/>
        <v>WOPBTC</v>
      </c>
      <c r="L1803">
        <f t="shared" si="338"/>
        <v>0</v>
      </c>
      <c r="M1803">
        <f t="shared" si="339"/>
        <v>1</v>
      </c>
      <c r="N1803" t="b">
        <f t="shared" si="340"/>
        <v>1</v>
      </c>
    </row>
    <row r="1804" spans="1:14" hidden="1" x14ac:dyDescent="0.25">
      <c r="A1804" t="s">
        <v>1403</v>
      </c>
      <c r="B1804" t="s">
        <v>2070</v>
      </c>
      <c r="C1804" s="1">
        <v>47.999999680000002</v>
      </c>
      <c r="D1804" s="1">
        <v>47.999999680000002</v>
      </c>
      <c r="E1804" s="1">
        <v>37.9</v>
      </c>
      <c r="F1804" s="1">
        <v>0.28000021000000003</v>
      </c>
      <c r="G1804">
        <f t="shared" si="335"/>
        <v>7</v>
      </c>
      <c r="H1804" t="str">
        <f>RIGHT(B1804,4)</f>
        <v>DOGE</v>
      </c>
      <c r="I1804" t="str">
        <f t="shared" si="342"/>
        <v>WOP</v>
      </c>
      <c r="J1804" t="str">
        <f t="shared" si="336"/>
        <v>DOGEWOP</v>
      </c>
      <c r="K1804" t="str">
        <f t="shared" si="337"/>
        <v>WOPDOGE</v>
      </c>
      <c r="L1804">
        <f t="shared" si="338"/>
        <v>0</v>
      </c>
      <c r="M1804">
        <f t="shared" si="339"/>
        <v>1</v>
      </c>
      <c r="N1804" t="b">
        <f t="shared" si="340"/>
        <v>1</v>
      </c>
    </row>
    <row r="1805" spans="1:14" hidden="1" x14ac:dyDescent="0.25">
      <c r="A1805" t="s">
        <v>1403</v>
      </c>
      <c r="B1805" t="s">
        <v>1876</v>
      </c>
      <c r="C1805" s="1">
        <v>0.10997802</v>
      </c>
      <c r="D1805" s="1">
        <v>0.10997802</v>
      </c>
      <c r="E1805" s="1">
        <v>7.5998940000000001E-2</v>
      </c>
      <c r="F1805" s="1">
        <v>2.2000000000000001E-6</v>
      </c>
      <c r="G1805">
        <f t="shared" si="335"/>
        <v>6</v>
      </c>
      <c r="H1805" t="str">
        <f>RIGHT(B1805,3)</f>
        <v>LTC</v>
      </c>
      <c r="I1805" t="str">
        <f t="shared" si="342"/>
        <v>WOP</v>
      </c>
      <c r="J1805" t="str">
        <f t="shared" si="336"/>
        <v>LTCWOP</v>
      </c>
      <c r="K1805" t="str">
        <f t="shared" si="337"/>
        <v>WOPLTC</v>
      </c>
      <c r="L1805">
        <f t="shared" si="338"/>
        <v>0</v>
      </c>
      <c r="M1805">
        <f t="shared" si="339"/>
        <v>1</v>
      </c>
      <c r="N1805" t="b">
        <f t="shared" si="340"/>
        <v>1</v>
      </c>
    </row>
    <row r="1806" spans="1:14" hidden="1" x14ac:dyDescent="0.25">
      <c r="A1806" t="s">
        <v>1403</v>
      </c>
      <c r="B1806" t="s">
        <v>1685</v>
      </c>
      <c r="C1806" s="1">
        <v>0.11972378</v>
      </c>
      <c r="D1806" s="1">
        <v>0.11972378</v>
      </c>
      <c r="E1806" s="1">
        <v>0.1197236</v>
      </c>
      <c r="F1806" s="1">
        <v>2.0002999999999999E-4</v>
      </c>
      <c r="G1806">
        <f t="shared" si="335"/>
        <v>6</v>
      </c>
      <c r="H1806" t="str">
        <f>RIGHT(B1806,3)</f>
        <v>USD</v>
      </c>
      <c r="I1806" t="str">
        <f t="shared" si="342"/>
        <v>WOP</v>
      </c>
      <c r="J1806" t="str">
        <f t="shared" si="336"/>
        <v>USDWOP</v>
      </c>
      <c r="K1806" t="str">
        <f t="shared" si="337"/>
        <v>WOPUSD</v>
      </c>
      <c r="L1806">
        <f t="shared" si="338"/>
        <v>0</v>
      </c>
      <c r="M1806">
        <f t="shared" si="339"/>
        <v>1</v>
      </c>
      <c r="N1806" t="b">
        <f t="shared" si="340"/>
        <v>1</v>
      </c>
    </row>
    <row r="1807" spans="1:14" hidden="1" x14ac:dyDescent="0.25">
      <c r="A1807" t="s">
        <v>4</v>
      </c>
      <c r="B1807" t="s">
        <v>337</v>
      </c>
      <c r="C1807" s="1">
        <v>5.8900000000000001E-4</v>
      </c>
      <c r="D1807" s="1">
        <v>4.3199999999999998E-4</v>
      </c>
      <c r="E1807" s="1">
        <v>5.8900000000000001E-4</v>
      </c>
      <c r="F1807" s="1">
        <v>4.3199999999999998E-4</v>
      </c>
      <c r="G1807">
        <f t="shared" si="335"/>
        <v>6</v>
      </c>
      <c r="H1807" t="str">
        <f>RIGHT(B1807,3)</f>
        <v>BTC</v>
      </c>
      <c r="I1807" t="str">
        <f t="shared" si="342"/>
        <v>WTT</v>
      </c>
      <c r="J1807" t="str">
        <f t="shared" si="336"/>
        <v>BTCWTT</v>
      </c>
      <c r="K1807" t="str">
        <f t="shared" si="337"/>
        <v>WTTBTC</v>
      </c>
      <c r="L1807">
        <f t="shared" si="338"/>
        <v>0</v>
      </c>
      <c r="M1807">
        <f t="shared" si="339"/>
        <v>1</v>
      </c>
      <c r="N1807" t="b">
        <f t="shared" si="340"/>
        <v>1</v>
      </c>
    </row>
    <row r="1808" spans="1:14" hidden="1" x14ac:dyDescent="0.25">
      <c r="A1808" t="s">
        <v>5</v>
      </c>
      <c r="B1808" t="s">
        <v>1076</v>
      </c>
      <c r="C1808" s="1" t="s">
        <v>361</v>
      </c>
      <c r="D1808" s="1" t="s">
        <v>362</v>
      </c>
      <c r="E1808" s="1" t="s">
        <v>361</v>
      </c>
      <c r="F1808" s="1" t="s">
        <v>362</v>
      </c>
      <c r="G1808">
        <f t="shared" si="335"/>
        <v>5</v>
      </c>
      <c r="H1808" t="str">
        <f>RIGHT(B1808,3)</f>
        <v>BTC</v>
      </c>
      <c r="I1808" t="str">
        <f>LEFT(B1808,2)</f>
        <v>X2</v>
      </c>
      <c r="J1808" t="str">
        <f t="shared" si="336"/>
        <v>BTCX2</v>
      </c>
      <c r="K1808" t="str">
        <f t="shared" si="337"/>
        <v>X2BTC</v>
      </c>
      <c r="L1808">
        <f t="shared" si="338"/>
        <v>0</v>
      </c>
      <c r="M1808">
        <f t="shared" si="339"/>
        <v>1</v>
      </c>
      <c r="N1808" t="b">
        <f t="shared" si="340"/>
        <v>1</v>
      </c>
    </row>
    <row r="1809" spans="1:14" hidden="1" x14ac:dyDescent="0.25">
      <c r="A1809" t="s">
        <v>1403</v>
      </c>
      <c r="B1809" t="s">
        <v>1514</v>
      </c>
      <c r="C1809" s="1" t="s">
        <v>403</v>
      </c>
      <c r="D1809" s="1">
        <v>8.8000000000000004E-7</v>
      </c>
      <c r="E1809" s="1">
        <v>8.5000000000000001E-7</v>
      </c>
      <c r="F1809" s="1">
        <v>4.8999999999999997E-7</v>
      </c>
      <c r="G1809">
        <f t="shared" si="335"/>
        <v>6</v>
      </c>
      <c r="H1809" t="str">
        <f>RIGHT(B1809,3)</f>
        <v>BTC</v>
      </c>
      <c r="I1809" t="str">
        <f>LEFT(B1809,3)</f>
        <v>X2C</v>
      </c>
      <c r="J1809" t="str">
        <f t="shared" si="336"/>
        <v>BTCX2C</v>
      </c>
      <c r="K1809" t="str">
        <f t="shared" si="337"/>
        <v>X2CBTC</v>
      </c>
      <c r="L1809">
        <f t="shared" si="338"/>
        <v>0</v>
      </c>
      <c r="M1809">
        <f t="shared" si="339"/>
        <v>1</v>
      </c>
      <c r="N1809" t="b">
        <f t="shared" si="340"/>
        <v>1</v>
      </c>
    </row>
    <row r="1810" spans="1:14" hidden="1" x14ac:dyDescent="0.25">
      <c r="A1810" t="s">
        <v>1403</v>
      </c>
      <c r="B1810" t="s">
        <v>2071</v>
      </c>
      <c r="C1810" s="1">
        <v>0</v>
      </c>
      <c r="D1810" s="1">
        <v>0</v>
      </c>
      <c r="E1810" s="1">
        <v>27.49999</v>
      </c>
      <c r="F1810" s="1">
        <v>0.33000002000000001</v>
      </c>
      <c r="G1810">
        <f t="shared" si="335"/>
        <v>7</v>
      </c>
      <c r="H1810" t="str">
        <f>RIGHT(B1810,4)</f>
        <v>DOGE</v>
      </c>
      <c r="I1810" t="str">
        <f>LEFT(B1810,3)</f>
        <v>X2C</v>
      </c>
      <c r="J1810" t="str">
        <f t="shared" si="336"/>
        <v>DOGEX2C</v>
      </c>
      <c r="K1810" t="str">
        <f t="shared" si="337"/>
        <v>X2CDOGE</v>
      </c>
      <c r="L1810">
        <f t="shared" si="338"/>
        <v>0</v>
      </c>
      <c r="M1810">
        <f t="shared" si="339"/>
        <v>1</v>
      </c>
      <c r="N1810" t="b">
        <f t="shared" si="340"/>
        <v>1</v>
      </c>
    </row>
    <row r="1811" spans="1:14" hidden="1" x14ac:dyDescent="0.25">
      <c r="A1811" t="s">
        <v>1403</v>
      </c>
      <c r="B1811" t="s">
        <v>1877</v>
      </c>
      <c r="C1811" s="1">
        <v>0</v>
      </c>
      <c r="D1811" s="1">
        <v>0</v>
      </c>
      <c r="E1811" s="1">
        <v>7.9988999999999998E-3</v>
      </c>
      <c r="F1811" s="1">
        <v>1.42E-6</v>
      </c>
      <c r="G1811">
        <f t="shared" si="335"/>
        <v>6</v>
      </c>
      <c r="H1811" t="str">
        <f>RIGHT(B1811,3)</f>
        <v>LTC</v>
      </c>
      <c r="I1811" t="str">
        <f>LEFT(B1811,3)</f>
        <v>X2C</v>
      </c>
      <c r="J1811" t="str">
        <f t="shared" si="336"/>
        <v>LTCX2C</v>
      </c>
      <c r="K1811" t="str">
        <f t="shared" si="337"/>
        <v>X2CLTC</v>
      </c>
      <c r="L1811">
        <f t="shared" si="338"/>
        <v>0</v>
      </c>
      <c r="M1811">
        <f t="shared" si="339"/>
        <v>1</v>
      </c>
      <c r="N1811" t="b">
        <f t="shared" si="340"/>
        <v>1</v>
      </c>
    </row>
    <row r="1812" spans="1:14" hidden="1" x14ac:dyDescent="0.25">
      <c r="A1812" t="s">
        <v>1403</v>
      </c>
      <c r="B1812" t="s">
        <v>1686</v>
      </c>
      <c r="C1812" s="1">
        <v>0.05</v>
      </c>
      <c r="D1812" s="1">
        <v>0.05</v>
      </c>
      <c r="E1812" s="1">
        <v>0.14699998</v>
      </c>
      <c r="F1812" s="1">
        <v>1.152E-5</v>
      </c>
      <c r="G1812">
        <f t="shared" si="335"/>
        <v>6</v>
      </c>
      <c r="H1812" t="str">
        <f>RIGHT(B1812,3)</f>
        <v>USD</v>
      </c>
      <c r="I1812" t="str">
        <f>LEFT(B1812,3)</f>
        <v>X2C</v>
      </c>
      <c r="J1812" t="str">
        <f t="shared" si="336"/>
        <v>USDX2C</v>
      </c>
      <c r="K1812" t="str">
        <f t="shared" si="337"/>
        <v>X2CUSD</v>
      </c>
      <c r="L1812">
        <f t="shared" si="338"/>
        <v>0</v>
      </c>
      <c r="M1812">
        <f t="shared" si="339"/>
        <v>1</v>
      </c>
      <c r="N1812" t="b">
        <f t="shared" si="340"/>
        <v>1</v>
      </c>
    </row>
    <row r="1813" spans="1:14" hidden="1" x14ac:dyDescent="0.25">
      <c r="A1813" t="s">
        <v>5</v>
      </c>
      <c r="B1813" t="s">
        <v>610</v>
      </c>
      <c r="C1813" s="1">
        <v>2.2800000000000002E-6</v>
      </c>
      <c r="D1813" s="1">
        <v>2.1100000000000001E-6</v>
      </c>
      <c r="E1813" s="1">
        <v>2.2800000000000002E-6</v>
      </c>
      <c r="F1813" s="1">
        <v>2.1100000000000001E-6</v>
      </c>
      <c r="G1813">
        <f t="shared" si="335"/>
        <v>6</v>
      </c>
      <c r="H1813" t="str">
        <f>RIGHT(B1813,3)</f>
        <v>BTC</v>
      </c>
      <c r="I1813" t="str">
        <f>LEFT(B1813,3)</f>
        <v>XAU</v>
      </c>
      <c r="J1813" t="str">
        <f t="shared" si="336"/>
        <v>BTCXAU</v>
      </c>
      <c r="K1813" t="str">
        <f t="shared" si="337"/>
        <v>XAUBTC</v>
      </c>
      <c r="L1813">
        <f t="shared" si="338"/>
        <v>0</v>
      </c>
      <c r="M1813">
        <f t="shared" si="339"/>
        <v>1</v>
      </c>
      <c r="N1813" t="b">
        <f t="shared" si="340"/>
        <v>1</v>
      </c>
    </row>
    <row r="1814" spans="1:14" hidden="1" x14ac:dyDescent="0.25">
      <c r="A1814" t="s">
        <v>1403</v>
      </c>
      <c r="B1814" t="s">
        <v>2072</v>
      </c>
      <c r="C1814" s="1">
        <v>919.99999998999999</v>
      </c>
      <c r="D1814" s="1">
        <v>919.99999998999999</v>
      </c>
      <c r="E1814" s="1">
        <v>909.99999998999999</v>
      </c>
      <c r="F1814" s="1">
        <v>35.100000010000002</v>
      </c>
      <c r="G1814">
        <f t="shared" si="335"/>
        <v>8</v>
      </c>
      <c r="H1814" t="str">
        <f>RIGHT(B1814,4)</f>
        <v>DOGE</v>
      </c>
      <c r="I1814" t="str">
        <f>LEFT(B1814,4)</f>
        <v>XAUR</v>
      </c>
      <c r="J1814" t="str">
        <f t="shared" si="336"/>
        <v>DOGEXAUR</v>
      </c>
      <c r="K1814" t="str">
        <f t="shared" si="337"/>
        <v>XAURDOGE</v>
      </c>
      <c r="L1814">
        <f t="shared" si="338"/>
        <v>0</v>
      </c>
      <c r="M1814">
        <f t="shared" si="339"/>
        <v>1</v>
      </c>
      <c r="N1814" t="b">
        <f t="shared" si="340"/>
        <v>1</v>
      </c>
    </row>
    <row r="1815" spans="1:14" hidden="1" x14ac:dyDescent="0.25">
      <c r="A1815" t="s">
        <v>1403</v>
      </c>
      <c r="B1815" t="s">
        <v>1878</v>
      </c>
      <c r="C1815" s="1">
        <v>0.19919000000000001</v>
      </c>
      <c r="D1815" s="1">
        <v>0.19919000000000001</v>
      </c>
      <c r="E1815" s="1">
        <v>0.199198471884454</v>
      </c>
      <c r="F1815" s="1">
        <v>2.1070099999999999E-3</v>
      </c>
      <c r="G1815">
        <f t="shared" si="335"/>
        <v>7</v>
      </c>
      <c r="H1815" t="str">
        <f>RIGHT(B1815,3)</f>
        <v>LTC</v>
      </c>
      <c r="I1815" t="str">
        <f>LEFT(B1815,4)</f>
        <v>XAUR</v>
      </c>
      <c r="J1815" t="str">
        <f t="shared" si="336"/>
        <v>LTCXAUR</v>
      </c>
      <c r="K1815" t="str">
        <f t="shared" si="337"/>
        <v>XAURLTC</v>
      </c>
      <c r="L1815">
        <f t="shared" si="338"/>
        <v>0</v>
      </c>
      <c r="M1815">
        <f t="shared" si="339"/>
        <v>1</v>
      </c>
      <c r="N1815" t="b">
        <f t="shared" si="340"/>
        <v>1</v>
      </c>
    </row>
    <row r="1816" spans="1:14" hidden="1" x14ac:dyDescent="0.25">
      <c r="A1816" t="s">
        <v>1403</v>
      </c>
      <c r="B1816" t="s">
        <v>1687</v>
      </c>
      <c r="C1816" s="1">
        <v>0.50005001000000004</v>
      </c>
      <c r="D1816" s="1">
        <v>0.50005001000000004</v>
      </c>
      <c r="E1816" s="1">
        <v>0.49971929999999998</v>
      </c>
      <c r="F1816" s="1">
        <v>2.9971930000000001E-2</v>
      </c>
      <c r="G1816">
        <f t="shared" si="335"/>
        <v>7</v>
      </c>
      <c r="H1816" t="str">
        <f>RIGHT(B1816,3)</f>
        <v>USD</v>
      </c>
      <c r="I1816" t="str">
        <f>LEFT(B1816,4)</f>
        <v>XAUR</v>
      </c>
      <c r="J1816" t="str">
        <f t="shared" si="336"/>
        <v>USDXAUR</v>
      </c>
      <c r="K1816" t="str">
        <f t="shared" si="337"/>
        <v>XAURUSD</v>
      </c>
      <c r="L1816">
        <f t="shared" si="338"/>
        <v>0</v>
      </c>
      <c r="M1816">
        <f t="shared" si="339"/>
        <v>1</v>
      </c>
      <c r="N1816" t="b">
        <f t="shared" si="340"/>
        <v>1</v>
      </c>
    </row>
    <row r="1817" spans="1:14" hidden="1" x14ac:dyDescent="0.25">
      <c r="A1817" t="s">
        <v>5</v>
      </c>
      <c r="B1817" t="s">
        <v>575</v>
      </c>
      <c r="C1817" s="1" t="s">
        <v>362</v>
      </c>
      <c r="D1817" s="1" t="s">
        <v>364</v>
      </c>
      <c r="E1817" s="1" t="s">
        <v>362</v>
      </c>
      <c r="F1817" s="1">
        <v>6.7100000000000001E-6</v>
      </c>
      <c r="G1817">
        <f t="shared" si="335"/>
        <v>6</v>
      </c>
      <c r="H1817" t="str">
        <f>RIGHT(B1817,3)</f>
        <v>BTC</v>
      </c>
      <c r="I1817" t="str">
        <f>LEFT(B1817,3)</f>
        <v>XAV</v>
      </c>
      <c r="J1817" t="str">
        <f t="shared" si="336"/>
        <v>BTCXAV</v>
      </c>
      <c r="K1817" t="str">
        <f t="shared" si="337"/>
        <v>XAVBTC</v>
      </c>
      <c r="L1817">
        <f t="shared" si="338"/>
        <v>0</v>
      </c>
      <c r="M1817">
        <f t="shared" si="339"/>
        <v>1</v>
      </c>
      <c r="N1817" t="b">
        <f t="shared" si="340"/>
        <v>1</v>
      </c>
    </row>
    <row r="1818" spans="1:14" hidden="1" x14ac:dyDescent="0.25">
      <c r="A1818" t="s">
        <v>1403</v>
      </c>
      <c r="B1818" t="s">
        <v>1515</v>
      </c>
      <c r="C1818" s="1">
        <v>9.9999000000000005E-2</v>
      </c>
      <c r="D1818" s="1">
        <v>0.48998999999999998</v>
      </c>
      <c r="E1818" s="1">
        <v>0.84355468774409104</v>
      </c>
      <c r="F1818" s="1">
        <v>0.10000006</v>
      </c>
      <c r="G1818">
        <f t="shared" si="335"/>
        <v>5</v>
      </c>
      <c r="H1818" t="str">
        <f>RIGHT(B1818,3)</f>
        <v>BTC</v>
      </c>
      <c r="I1818" t="str">
        <f>LEFT(B1818,2)</f>
        <v>XB</v>
      </c>
      <c r="J1818" t="str">
        <f t="shared" si="336"/>
        <v>BTCXB</v>
      </c>
      <c r="K1818" t="str">
        <f t="shared" si="337"/>
        <v>XBBTC</v>
      </c>
      <c r="L1818">
        <f t="shared" si="338"/>
        <v>0</v>
      </c>
      <c r="M1818">
        <f t="shared" si="339"/>
        <v>1</v>
      </c>
      <c r="N1818" t="b">
        <f t="shared" si="340"/>
        <v>1</v>
      </c>
    </row>
    <row r="1819" spans="1:14" hidden="1" x14ac:dyDescent="0.25">
      <c r="A1819" t="s">
        <v>1403</v>
      </c>
      <c r="B1819" t="s">
        <v>2073</v>
      </c>
      <c r="C1819" s="1">
        <v>7272.7272727199997</v>
      </c>
      <c r="D1819" s="1">
        <v>7272.7272727199997</v>
      </c>
      <c r="E1819" s="1">
        <v>7272.7272727199997</v>
      </c>
      <c r="F1819" s="1">
        <v>2.2400001999999999</v>
      </c>
      <c r="G1819">
        <f t="shared" si="335"/>
        <v>6</v>
      </c>
      <c r="H1819" t="str">
        <f>RIGHT(B1819,4)</f>
        <v>DOGE</v>
      </c>
      <c r="I1819" t="str">
        <f>LEFT(B1819,2)</f>
        <v>XB</v>
      </c>
      <c r="J1819" t="str">
        <f t="shared" si="336"/>
        <v>DOGEXB</v>
      </c>
      <c r="K1819" t="str">
        <f t="shared" si="337"/>
        <v>XBDOGE</v>
      </c>
      <c r="L1819">
        <f t="shared" si="338"/>
        <v>0</v>
      </c>
      <c r="M1819">
        <f t="shared" si="339"/>
        <v>1</v>
      </c>
      <c r="N1819" t="b">
        <f t="shared" si="340"/>
        <v>1</v>
      </c>
    </row>
    <row r="1820" spans="1:14" hidden="1" x14ac:dyDescent="0.25">
      <c r="A1820" t="s">
        <v>1403</v>
      </c>
      <c r="B1820" t="s">
        <v>1516</v>
      </c>
      <c r="C1820" s="1">
        <v>7.0699999999999997E-5</v>
      </c>
      <c r="D1820" s="1">
        <v>1.2990000000000001E-4</v>
      </c>
      <c r="E1820" s="1">
        <v>8.9969999999999994E-5</v>
      </c>
      <c r="F1820" s="1">
        <v>5.0120000000000001E-5</v>
      </c>
      <c r="G1820">
        <f t="shared" si="335"/>
        <v>6</v>
      </c>
      <c r="H1820" t="str">
        <f>RIGHT(B1820,3)</f>
        <v>BTC</v>
      </c>
      <c r="I1820" t="str">
        <f>LEFT(B1820,3)</f>
        <v>XBG</v>
      </c>
      <c r="J1820" t="str">
        <f t="shared" si="336"/>
        <v>BTCXBG</v>
      </c>
      <c r="K1820" t="str">
        <f t="shared" si="337"/>
        <v>XBGBTC</v>
      </c>
      <c r="L1820">
        <f t="shared" si="338"/>
        <v>0</v>
      </c>
      <c r="M1820">
        <f t="shared" si="339"/>
        <v>1</v>
      </c>
      <c r="N1820" t="b">
        <f t="shared" si="340"/>
        <v>1</v>
      </c>
    </row>
    <row r="1821" spans="1:14" hidden="1" x14ac:dyDescent="0.25">
      <c r="A1821" t="s">
        <v>1403</v>
      </c>
      <c r="B1821" t="s">
        <v>2074</v>
      </c>
      <c r="C1821" s="1">
        <v>66.45</v>
      </c>
      <c r="D1821" s="1">
        <v>66.45</v>
      </c>
      <c r="E1821" s="1">
        <v>259074.99999996999</v>
      </c>
      <c r="F1821" s="1">
        <v>1.1987007000000001</v>
      </c>
      <c r="G1821">
        <f t="shared" si="335"/>
        <v>7</v>
      </c>
      <c r="H1821" t="str">
        <f>RIGHT(B1821,4)</f>
        <v>DOGE</v>
      </c>
      <c r="I1821" t="str">
        <f>LEFT(B1821,3)</f>
        <v>XBG</v>
      </c>
      <c r="J1821" t="str">
        <f t="shared" si="336"/>
        <v>DOGEXBG</v>
      </c>
      <c r="K1821" t="str">
        <f t="shared" si="337"/>
        <v>XBGDOGE</v>
      </c>
      <c r="L1821">
        <f t="shared" si="338"/>
        <v>0</v>
      </c>
      <c r="M1821">
        <f t="shared" si="339"/>
        <v>1</v>
      </c>
      <c r="N1821" t="b">
        <f t="shared" si="340"/>
        <v>1</v>
      </c>
    </row>
    <row r="1822" spans="1:14" hidden="1" x14ac:dyDescent="0.25">
      <c r="A1822" t="s">
        <v>1403</v>
      </c>
      <c r="B1822" t="s">
        <v>1880</v>
      </c>
      <c r="C1822" s="1">
        <v>0</v>
      </c>
      <c r="D1822" s="1">
        <v>0</v>
      </c>
      <c r="E1822" s="1">
        <v>24.999999970000001</v>
      </c>
      <c r="F1822" s="1">
        <v>1.13E-5</v>
      </c>
      <c r="G1822">
        <f t="shared" si="335"/>
        <v>6</v>
      </c>
      <c r="H1822" t="str">
        <f>RIGHT(B1822,3)</f>
        <v>LTC</v>
      </c>
      <c r="I1822" t="str">
        <f>LEFT(B1822,3)</f>
        <v>XBG</v>
      </c>
      <c r="J1822" t="str">
        <f t="shared" si="336"/>
        <v>LTCXBG</v>
      </c>
      <c r="K1822" t="str">
        <f t="shared" si="337"/>
        <v>XBGLTC</v>
      </c>
      <c r="L1822">
        <f t="shared" si="338"/>
        <v>0</v>
      </c>
      <c r="M1822">
        <f t="shared" si="339"/>
        <v>1</v>
      </c>
      <c r="N1822" t="b">
        <f t="shared" si="340"/>
        <v>1</v>
      </c>
    </row>
    <row r="1823" spans="1:14" hidden="1" x14ac:dyDescent="0.25">
      <c r="A1823" t="s">
        <v>1403</v>
      </c>
      <c r="B1823" t="s">
        <v>1689</v>
      </c>
      <c r="C1823" s="1">
        <v>1</v>
      </c>
      <c r="D1823" s="1">
        <v>1</v>
      </c>
      <c r="E1823" s="1">
        <v>1</v>
      </c>
      <c r="F1823" s="1">
        <v>4.200081E-2</v>
      </c>
      <c r="G1823">
        <f t="shared" si="335"/>
        <v>6</v>
      </c>
      <c r="H1823" t="str">
        <f>RIGHT(B1823,3)</f>
        <v>USD</v>
      </c>
      <c r="I1823" t="str">
        <f>LEFT(B1823,3)</f>
        <v>XBG</v>
      </c>
      <c r="J1823" t="str">
        <f t="shared" si="336"/>
        <v>USDXBG</v>
      </c>
      <c r="K1823" t="str">
        <f t="shared" si="337"/>
        <v>XBGUSD</v>
      </c>
      <c r="L1823">
        <f t="shared" si="338"/>
        <v>0</v>
      </c>
      <c r="M1823">
        <f t="shared" si="339"/>
        <v>1</v>
      </c>
      <c r="N1823" t="b">
        <f t="shared" si="340"/>
        <v>1</v>
      </c>
    </row>
    <row r="1824" spans="1:14" hidden="1" x14ac:dyDescent="0.25">
      <c r="A1824" t="s">
        <v>1403</v>
      </c>
      <c r="B1824" t="s">
        <v>1879</v>
      </c>
      <c r="C1824" s="1">
        <v>0</v>
      </c>
      <c r="D1824" s="1">
        <v>0</v>
      </c>
      <c r="E1824" s="1">
        <v>0</v>
      </c>
      <c r="F1824" s="1">
        <v>1.0108E-4</v>
      </c>
      <c r="G1824">
        <f t="shared" si="335"/>
        <v>5</v>
      </c>
      <c r="H1824" t="str">
        <f>RIGHT(B1824,3)</f>
        <v>LTC</v>
      </c>
      <c r="I1824" t="str">
        <f>LEFT(B1824,2)</f>
        <v>XB</v>
      </c>
      <c r="J1824" t="str">
        <f t="shared" si="336"/>
        <v>LTCXB</v>
      </c>
      <c r="K1824" t="str">
        <f t="shared" si="337"/>
        <v>XBLTC</v>
      </c>
      <c r="L1824">
        <f t="shared" si="338"/>
        <v>0</v>
      </c>
      <c r="M1824">
        <f t="shared" si="339"/>
        <v>1</v>
      </c>
      <c r="N1824" t="b">
        <f t="shared" si="340"/>
        <v>1</v>
      </c>
    </row>
    <row r="1825" spans="1:14" hidden="1" x14ac:dyDescent="0.25">
      <c r="A1825" t="s">
        <v>1403</v>
      </c>
      <c r="B1825" t="s">
        <v>1517</v>
      </c>
      <c r="C1825" s="1">
        <v>3.9650000000000002E-5</v>
      </c>
      <c r="D1825" s="1">
        <v>4.897E-5</v>
      </c>
      <c r="E1825" s="1">
        <v>4.8919999999999999E-5</v>
      </c>
      <c r="F1825" s="1">
        <v>3.9660000000000003E-5</v>
      </c>
      <c r="G1825">
        <f t="shared" si="335"/>
        <v>6</v>
      </c>
      <c r="H1825" t="str">
        <f>RIGHT(B1825,3)</f>
        <v>BTC</v>
      </c>
      <c r="I1825" t="str">
        <f>LEFT(B1825,3)</f>
        <v>XBP</v>
      </c>
      <c r="J1825" t="str">
        <f t="shared" si="336"/>
        <v>BTCXBP</v>
      </c>
      <c r="K1825" t="str">
        <f t="shared" si="337"/>
        <v>XBPBTC</v>
      </c>
      <c r="L1825">
        <f t="shared" si="338"/>
        <v>0</v>
      </c>
      <c r="M1825">
        <f t="shared" si="339"/>
        <v>1</v>
      </c>
      <c r="N1825" t="b">
        <f t="shared" si="340"/>
        <v>1</v>
      </c>
    </row>
    <row r="1826" spans="1:14" hidden="1" x14ac:dyDescent="0.25">
      <c r="A1826" t="s">
        <v>1403</v>
      </c>
      <c r="B1826" t="s">
        <v>2075</v>
      </c>
      <c r="C1826" s="1">
        <v>28.96</v>
      </c>
      <c r="D1826" s="1">
        <v>28.96</v>
      </c>
      <c r="E1826" s="1">
        <v>100000000</v>
      </c>
      <c r="F1826" s="1">
        <v>0.17500004999999999</v>
      </c>
      <c r="G1826">
        <f t="shared" si="335"/>
        <v>7</v>
      </c>
      <c r="H1826" t="str">
        <f>RIGHT(B1826,4)</f>
        <v>DOGE</v>
      </c>
      <c r="I1826" t="str">
        <f>LEFT(B1826,3)</f>
        <v>XBP</v>
      </c>
      <c r="J1826" t="str">
        <f t="shared" si="336"/>
        <v>DOGEXBP</v>
      </c>
      <c r="K1826" t="str">
        <f t="shared" si="337"/>
        <v>XBPDOGE</v>
      </c>
      <c r="L1826">
        <f t="shared" si="338"/>
        <v>0</v>
      </c>
      <c r="M1826">
        <f t="shared" si="339"/>
        <v>1</v>
      </c>
      <c r="N1826" t="b">
        <f t="shared" si="340"/>
        <v>1</v>
      </c>
    </row>
    <row r="1827" spans="1:14" hidden="1" x14ac:dyDescent="0.25">
      <c r="A1827" t="s">
        <v>1403</v>
      </c>
      <c r="B1827" t="s">
        <v>1881</v>
      </c>
      <c r="C1827" s="1">
        <v>0</v>
      </c>
      <c r="D1827" s="1">
        <v>0</v>
      </c>
      <c r="E1827" s="1">
        <v>0.99999998999999995</v>
      </c>
      <c r="F1827" s="1" t="s">
        <v>356</v>
      </c>
      <c r="G1827">
        <f t="shared" si="335"/>
        <v>6</v>
      </c>
      <c r="H1827" t="str">
        <f t="shared" ref="H1827:H1833" si="343">RIGHT(B1827,3)</f>
        <v>LTC</v>
      </c>
      <c r="I1827" t="str">
        <f>LEFT(B1827,3)</f>
        <v>XBP</v>
      </c>
      <c r="J1827" t="str">
        <f t="shared" si="336"/>
        <v>LTCXBP</v>
      </c>
      <c r="K1827" t="str">
        <f t="shared" si="337"/>
        <v>XBPLTC</v>
      </c>
      <c r="L1827">
        <f t="shared" si="338"/>
        <v>0</v>
      </c>
      <c r="M1827">
        <f t="shared" si="339"/>
        <v>1</v>
      </c>
      <c r="N1827" t="b">
        <f t="shared" si="340"/>
        <v>1</v>
      </c>
    </row>
    <row r="1828" spans="1:14" hidden="1" x14ac:dyDescent="0.25">
      <c r="A1828" t="s">
        <v>1403</v>
      </c>
      <c r="B1828" t="s">
        <v>1690</v>
      </c>
      <c r="C1828" s="1">
        <v>0.32100000000000001</v>
      </c>
      <c r="D1828" s="1">
        <v>0.32100000000000001</v>
      </c>
      <c r="E1828" s="1">
        <v>0.29499999999999998</v>
      </c>
      <c r="F1828" s="1">
        <v>0.11876001</v>
      </c>
      <c r="G1828">
        <f t="shared" si="335"/>
        <v>6</v>
      </c>
      <c r="H1828" t="str">
        <f t="shared" si="343"/>
        <v>USD</v>
      </c>
      <c r="I1828" t="str">
        <f>LEFT(B1828,3)</f>
        <v>XBP</v>
      </c>
      <c r="J1828" t="str">
        <f t="shared" si="336"/>
        <v>USDXBP</v>
      </c>
      <c r="K1828" t="str">
        <f t="shared" si="337"/>
        <v>XBPUSD</v>
      </c>
      <c r="L1828">
        <f t="shared" si="338"/>
        <v>0</v>
      </c>
      <c r="M1828">
        <f t="shared" si="339"/>
        <v>1</v>
      </c>
      <c r="N1828" t="b">
        <f t="shared" si="340"/>
        <v>1</v>
      </c>
    </row>
    <row r="1829" spans="1:14" hidden="1" x14ac:dyDescent="0.25">
      <c r="A1829" t="s">
        <v>5</v>
      </c>
      <c r="B1829" t="s">
        <v>1067</v>
      </c>
      <c r="C1829" s="1">
        <v>4.1999000000000002E-4</v>
      </c>
      <c r="D1829" s="1">
        <v>3.6034000000000001E-4</v>
      </c>
      <c r="E1829" s="1">
        <v>4.1999000000000002E-4</v>
      </c>
      <c r="F1829" s="1">
        <v>3.6034000000000001E-4</v>
      </c>
      <c r="G1829">
        <f t="shared" si="335"/>
        <v>6</v>
      </c>
      <c r="H1829" t="str">
        <f t="shared" si="343"/>
        <v>BTC</v>
      </c>
      <c r="I1829" t="str">
        <f>LEFT(B1829,3)</f>
        <v>XBS</v>
      </c>
      <c r="J1829" t="str">
        <f t="shared" si="336"/>
        <v>BTCXBS</v>
      </c>
      <c r="K1829" t="str">
        <f t="shared" si="337"/>
        <v>XBSBTC</v>
      </c>
      <c r="L1829">
        <f t="shared" si="338"/>
        <v>0</v>
      </c>
      <c r="M1829">
        <f t="shared" si="339"/>
        <v>1</v>
      </c>
      <c r="N1829" t="b">
        <f t="shared" si="340"/>
        <v>1</v>
      </c>
    </row>
    <row r="1830" spans="1:14" hidden="1" x14ac:dyDescent="0.25">
      <c r="A1830" t="s">
        <v>5</v>
      </c>
      <c r="B1830" t="s">
        <v>962</v>
      </c>
      <c r="C1830" s="1">
        <v>1.3030000000000001E-5</v>
      </c>
      <c r="D1830" s="1">
        <v>6.64E-6</v>
      </c>
      <c r="E1830" s="1">
        <v>1.3030000000000001E-5</v>
      </c>
      <c r="F1830" s="1">
        <v>6.64E-6</v>
      </c>
      <c r="G1830">
        <f t="shared" si="335"/>
        <v>9</v>
      </c>
      <c r="H1830" t="str">
        <f t="shared" si="343"/>
        <v>BTC</v>
      </c>
      <c r="I1830" t="str">
        <f>LEFT(B1830,6)</f>
        <v>XBTC21</v>
      </c>
      <c r="J1830" t="str">
        <f t="shared" si="336"/>
        <v>BTCXBTC21</v>
      </c>
      <c r="K1830" t="str">
        <f t="shared" si="337"/>
        <v>XBTC21BTC</v>
      </c>
      <c r="L1830">
        <f t="shared" si="338"/>
        <v>0</v>
      </c>
      <c r="M1830">
        <f t="shared" si="339"/>
        <v>1</v>
      </c>
      <c r="N1830" t="b">
        <f t="shared" si="340"/>
        <v>1</v>
      </c>
    </row>
    <row r="1831" spans="1:14" hidden="1" x14ac:dyDescent="0.25">
      <c r="A1831" t="s">
        <v>5</v>
      </c>
      <c r="B1831" t="s">
        <v>612</v>
      </c>
      <c r="C1831" s="1">
        <v>1.1999999999999999E-6</v>
      </c>
      <c r="D1831" s="1">
        <v>9.2999999999999999E-7</v>
      </c>
      <c r="E1831" s="1">
        <v>1.1999999999999999E-6</v>
      </c>
      <c r="F1831" s="1">
        <v>9.2999999999999999E-7</v>
      </c>
      <c r="G1831">
        <f t="shared" si="335"/>
        <v>7</v>
      </c>
      <c r="H1831" t="str">
        <f t="shared" si="343"/>
        <v>BTC</v>
      </c>
      <c r="I1831" t="str">
        <f>LEFT(B1831,4)</f>
        <v>XBTS</v>
      </c>
      <c r="J1831" t="str">
        <f t="shared" si="336"/>
        <v>BTCXBTS</v>
      </c>
      <c r="K1831" t="str">
        <f t="shared" si="337"/>
        <v>XBTSBTC</v>
      </c>
      <c r="L1831">
        <f t="shared" si="338"/>
        <v>0</v>
      </c>
      <c r="M1831">
        <f t="shared" si="339"/>
        <v>1</v>
      </c>
      <c r="N1831" t="b">
        <f t="shared" si="340"/>
        <v>1</v>
      </c>
    </row>
    <row r="1832" spans="1:14" hidden="1" x14ac:dyDescent="0.25">
      <c r="A1832" t="s">
        <v>5</v>
      </c>
      <c r="B1832" t="s">
        <v>595</v>
      </c>
      <c r="C1832" s="1" t="s">
        <v>380</v>
      </c>
      <c r="D1832" s="1" t="s">
        <v>384</v>
      </c>
      <c r="E1832" s="1" t="s">
        <v>380</v>
      </c>
      <c r="F1832" s="1" t="s">
        <v>384</v>
      </c>
      <c r="G1832">
        <f t="shared" si="335"/>
        <v>6</v>
      </c>
      <c r="H1832" t="str">
        <f t="shared" si="343"/>
        <v>BTC</v>
      </c>
      <c r="I1832" t="str">
        <f>LEFT(B1832,3)</f>
        <v>XBU</v>
      </c>
      <c r="J1832" t="str">
        <f t="shared" si="336"/>
        <v>BTCXBU</v>
      </c>
      <c r="K1832" t="str">
        <f t="shared" si="337"/>
        <v>XBUBTC</v>
      </c>
      <c r="L1832">
        <f t="shared" si="338"/>
        <v>0</v>
      </c>
      <c r="M1832">
        <f t="shared" si="339"/>
        <v>1</v>
      </c>
      <c r="N1832" t="b">
        <f t="shared" si="340"/>
        <v>1</v>
      </c>
    </row>
    <row r="1833" spans="1:14" hidden="1" x14ac:dyDescent="0.25">
      <c r="A1833" t="s">
        <v>1403</v>
      </c>
      <c r="B1833" t="s">
        <v>1688</v>
      </c>
      <c r="C1833" s="1">
        <v>1255</v>
      </c>
      <c r="D1833" s="1">
        <v>1255</v>
      </c>
      <c r="E1833" s="1">
        <v>1255</v>
      </c>
      <c r="F1833" s="1">
        <v>2.00000132</v>
      </c>
      <c r="G1833">
        <f t="shared" si="335"/>
        <v>5</v>
      </c>
      <c r="H1833" t="str">
        <f t="shared" si="343"/>
        <v>USD</v>
      </c>
      <c r="I1833" t="str">
        <f>LEFT(B1833,2)</f>
        <v>XB</v>
      </c>
      <c r="J1833" t="str">
        <f t="shared" si="336"/>
        <v>USDXB</v>
      </c>
      <c r="K1833" t="str">
        <f t="shared" si="337"/>
        <v>XBUSD</v>
      </c>
      <c r="L1833">
        <f t="shared" si="338"/>
        <v>0</v>
      </c>
      <c r="M1833">
        <f t="shared" si="339"/>
        <v>1</v>
      </c>
      <c r="N1833" t="b">
        <f t="shared" si="340"/>
        <v>1</v>
      </c>
    </row>
    <row r="1834" spans="1:14" hidden="1" x14ac:dyDescent="0.25">
      <c r="A1834" t="s">
        <v>1403</v>
      </c>
      <c r="B1834" t="s">
        <v>2076</v>
      </c>
      <c r="C1834" s="1">
        <v>13.5</v>
      </c>
      <c r="D1834" s="1">
        <v>13.5</v>
      </c>
      <c r="E1834" s="1">
        <v>13.5</v>
      </c>
      <c r="F1834" s="1">
        <v>4.00010055</v>
      </c>
      <c r="G1834">
        <f t="shared" si="335"/>
        <v>7</v>
      </c>
      <c r="H1834" t="str">
        <f>RIGHT(B1834,4)</f>
        <v>DOGE</v>
      </c>
      <c r="I1834" t="str">
        <f>LEFT(B1834,3)</f>
        <v>XBY</v>
      </c>
      <c r="J1834" t="str">
        <f t="shared" si="336"/>
        <v>DOGEXBY</v>
      </c>
      <c r="K1834" t="str">
        <f t="shared" si="337"/>
        <v>XBYDOGE</v>
      </c>
      <c r="L1834">
        <f t="shared" si="338"/>
        <v>0</v>
      </c>
      <c r="M1834">
        <f t="shared" si="339"/>
        <v>1</v>
      </c>
      <c r="N1834" t="b">
        <f t="shared" si="340"/>
        <v>1</v>
      </c>
    </row>
    <row r="1835" spans="1:14" hidden="1" x14ac:dyDescent="0.25">
      <c r="A1835" t="s">
        <v>1403</v>
      </c>
      <c r="B1835" t="s">
        <v>1882</v>
      </c>
      <c r="C1835" s="1">
        <v>1.49972E-3</v>
      </c>
      <c r="D1835" s="1">
        <v>1.49972E-3</v>
      </c>
      <c r="E1835" s="1">
        <v>2.5803096481319902E-3</v>
      </c>
      <c r="F1835" s="1">
        <v>1.6054E-4</v>
      </c>
      <c r="G1835">
        <f t="shared" si="335"/>
        <v>6</v>
      </c>
      <c r="H1835" t="str">
        <f t="shared" ref="H1835:H1847" si="344">RIGHT(B1835,3)</f>
        <v>LTC</v>
      </c>
      <c r="I1835" t="str">
        <f>LEFT(B1835,3)</f>
        <v>XBY</v>
      </c>
      <c r="J1835" t="str">
        <f t="shared" si="336"/>
        <v>LTCXBY</v>
      </c>
      <c r="K1835" t="str">
        <f t="shared" si="337"/>
        <v>XBYLTC</v>
      </c>
      <c r="L1835">
        <f t="shared" si="338"/>
        <v>0</v>
      </c>
      <c r="M1835">
        <f t="shared" si="339"/>
        <v>1</v>
      </c>
      <c r="N1835" t="b">
        <f t="shared" si="340"/>
        <v>1</v>
      </c>
    </row>
    <row r="1836" spans="1:14" hidden="1" x14ac:dyDescent="0.25">
      <c r="A1836" t="s">
        <v>1403</v>
      </c>
      <c r="B1836" t="s">
        <v>1691</v>
      </c>
      <c r="C1836" s="1">
        <v>3.0181400000000001E-2</v>
      </c>
      <c r="D1836" s="1">
        <v>3.0181400000000001E-2</v>
      </c>
      <c r="E1836" s="1">
        <v>3.0181400000000001E-2</v>
      </c>
      <c r="F1836" s="1">
        <v>2.4000009999999999E-2</v>
      </c>
      <c r="G1836">
        <f t="shared" si="335"/>
        <v>6</v>
      </c>
      <c r="H1836" t="str">
        <f t="shared" si="344"/>
        <v>USD</v>
      </c>
      <c r="I1836" t="str">
        <f>LEFT(B1836,3)</f>
        <v>XBY</v>
      </c>
      <c r="J1836" t="str">
        <f t="shared" si="336"/>
        <v>USDXBY</v>
      </c>
      <c r="K1836" t="str">
        <f t="shared" si="337"/>
        <v>XBYUSD</v>
      </c>
      <c r="L1836">
        <f t="shared" si="338"/>
        <v>0</v>
      </c>
      <c r="M1836">
        <f t="shared" si="339"/>
        <v>1</v>
      </c>
      <c r="N1836" t="b">
        <f t="shared" si="340"/>
        <v>1</v>
      </c>
    </row>
    <row r="1837" spans="1:14" hidden="1" x14ac:dyDescent="0.25">
      <c r="A1837" t="s">
        <v>5</v>
      </c>
      <c r="B1837" t="s">
        <v>391</v>
      </c>
      <c r="C1837" s="1">
        <v>9.7000000000000003E-7</v>
      </c>
      <c r="D1837" s="1">
        <v>9.4E-7</v>
      </c>
      <c r="E1837" s="1">
        <v>9.7000000000000003E-7</v>
      </c>
      <c r="F1837" s="1">
        <v>9.4E-7</v>
      </c>
      <c r="G1837">
        <f t="shared" si="335"/>
        <v>6</v>
      </c>
      <c r="H1837" t="str">
        <f t="shared" si="344"/>
        <v>BTC</v>
      </c>
      <c r="I1837" t="str">
        <f>LEFT(B1837,3)</f>
        <v>XCE</v>
      </c>
      <c r="J1837" t="str">
        <f t="shared" si="336"/>
        <v>BTCXCE</v>
      </c>
      <c r="K1837" t="str">
        <f t="shared" si="337"/>
        <v>XCEBTC</v>
      </c>
      <c r="L1837">
        <f t="shared" si="338"/>
        <v>0</v>
      </c>
      <c r="M1837">
        <f t="shared" si="339"/>
        <v>1</v>
      </c>
      <c r="N1837" t="b">
        <f t="shared" si="340"/>
        <v>1</v>
      </c>
    </row>
    <row r="1838" spans="1:14" hidden="1" x14ac:dyDescent="0.25">
      <c r="A1838" t="s">
        <v>5</v>
      </c>
      <c r="B1838" t="s">
        <v>1224</v>
      </c>
      <c r="C1838" s="1">
        <v>1.17E-6</v>
      </c>
      <c r="D1838" s="1">
        <v>1.1599999999999999E-6</v>
      </c>
      <c r="E1838" s="1">
        <v>1.17E-6</v>
      </c>
      <c r="F1838" s="1">
        <v>1.1599999999999999E-6</v>
      </c>
      <c r="G1838">
        <f t="shared" si="335"/>
        <v>6</v>
      </c>
      <c r="H1838" t="str">
        <f t="shared" si="344"/>
        <v>BTC</v>
      </c>
      <c r="I1838" t="str">
        <f>LEFT(B1838,3)</f>
        <v>XCO</v>
      </c>
      <c r="J1838" t="str">
        <f t="shared" si="336"/>
        <v>BTCXCO</v>
      </c>
      <c r="K1838" t="str">
        <f t="shared" si="337"/>
        <v>XCOBTC</v>
      </c>
      <c r="L1838">
        <f t="shared" si="338"/>
        <v>0</v>
      </c>
      <c r="M1838">
        <f t="shared" si="339"/>
        <v>1</v>
      </c>
      <c r="N1838" t="b">
        <f t="shared" si="340"/>
        <v>1</v>
      </c>
    </row>
    <row r="1839" spans="1:14" hidden="1" x14ac:dyDescent="0.25">
      <c r="A1839" t="s">
        <v>5</v>
      </c>
      <c r="B1839" t="s">
        <v>979</v>
      </c>
      <c r="C1839" s="1">
        <v>9.9000000000000005E-7</v>
      </c>
      <c r="D1839" s="1">
        <v>6.7999999999999995E-7</v>
      </c>
      <c r="E1839" s="1">
        <v>9.9000000000000005E-7</v>
      </c>
      <c r="F1839" s="1">
        <v>6.7999999999999995E-7</v>
      </c>
      <c r="G1839">
        <f t="shared" si="335"/>
        <v>7</v>
      </c>
      <c r="H1839" t="str">
        <f t="shared" si="344"/>
        <v>BTC</v>
      </c>
      <c r="I1839" t="str">
        <f>LEFT(B1839,4)</f>
        <v>XCRE</v>
      </c>
      <c r="J1839" t="str">
        <f t="shared" si="336"/>
        <v>BTCXCRE</v>
      </c>
      <c r="K1839" t="str">
        <f t="shared" si="337"/>
        <v>XCREBTC</v>
      </c>
      <c r="L1839">
        <f t="shared" si="338"/>
        <v>0</v>
      </c>
      <c r="M1839">
        <f t="shared" si="339"/>
        <v>1</v>
      </c>
      <c r="N1839" t="b">
        <f t="shared" si="340"/>
        <v>1</v>
      </c>
    </row>
    <row r="1840" spans="1:14" hidden="1" x14ac:dyDescent="0.25">
      <c r="A1840" t="s">
        <v>5</v>
      </c>
      <c r="B1840" t="s">
        <v>474</v>
      </c>
      <c r="C1840" s="1">
        <v>7.3E-7</v>
      </c>
      <c r="D1840" s="1">
        <v>7.1999999999999999E-7</v>
      </c>
      <c r="E1840" s="1">
        <v>7.3E-7</v>
      </c>
      <c r="F1840" s="1">
        <v>7.1999999999999999E-7</v>
      </c>
      <c r="G1840">
        <f t="shared" si="335"/>
        <v>6</v>
      </c>
      <c r="H1840" t="str">
        <f t="shared" si="344"/>
        <v>BTC</v>
      </c>
      <c r="I1840" t="str">
        <f>LEFT(B1840,3)</f>
        <v>XDB</v>
      </c>
      <c r="J1840" t="str">
        <f t="shared" si="336"/>
        <v>BTCXDB</v>
      </c>
      <c r="K1840" t="str">
        <f t="shared" si="337"/>
        <v>XDBBTC</v>
      </c>
      <c r="L1840">
        <f t="shared" si="338"/>
        <v>0</v>
      </c>
      <c r="M1840">
        <f t="shared" si="339"/>
        <v>1</v>
      </c>
      <c r="N1840" t="b">
        <f t="shared" si="340"/>
        <v>1</v>
      </c>
    </row>
    <row r="1841" spans="1:14" hidden="1" x14ac:dyDescent="0.25">
      <c r="A1841" t="s">
        <v>5</v>
      </c>
      <c r="B1841" t="s">
        <v>899</v>
      </c>
      <c r="C1841" s="1">
        <v>4.4253000000000001E-4</v>
      </c>
      <c r="D1841" s="1">
        <v>3.4336000000000002E-4</v>
      </c>
      <c r="E1841" s="1">
        <v>4.4253000000000001E-4</v>
      </c>
      <c r="F1841" s="1">
        <v>3.4336000000000002E-4</v>
      </c>
      <c r="G1841">
        <f t="shared" si="335"/>
        <v>7</v>
      </c>
      <c r="H1841" t="str">
        <f t="shared" si="344"/>
        <v>BTC</v>
      </c>
      <c r="I1841" t="str">
        <f>LEFT(B1841,4)</f>
        <v>XDE2</v>
      </c>
      <c r="J1841" t="str">
        <f t="shared" si="336"/>
        <v>BTCXDE2</v>
      </c>
      <c r="K1841" t="str">
        <f t="shared" si="337"/>
        <v>XDE2BTC</v>
      </c>
      <c r="L1841">
        <f t="shared" si="338"/>
        <v>0</v>
      </c>
      <c r="M1841">
        <f t="shared" si="339"/>
        <v>1</v>
      </c>
      <c r="N1841" t="b">
        <f t="shared" si="340"/>
        <v>1</v>
      </c>
    </row>
    <row r="1842" spans="1:14" hidden="1" x14ac:dyDescent="0.25">
      <c r="A1842" t="s">
        <v>5</v>
      </c>
      <c r="B1842" t="s">
        <v>1040</v>
      </c>
      <c r="C1842" s="1">
        <v>0.23569186</v>
      </c>
      <c r="D1842" s="1">
        <v>0.10003516</v>
      </c>
      <c r="E1842" s="1">
        <v>4.8019999999999998E-5</v>
      </c>
      <c r="F1842" s="1">
        <v>0.100029387438763</v>
      </c>
      <c r="G1842">
        <f t="shared" si="335"/>
        <v>6</v>
      </c>
      <c r="H1842" t="str">
        <f t="shared" si="344"/>
        <v>BTC</v>
      </c>
      <c r="I1842" t="str">
        <f>LEFT(B1842,3)</f>
        <v>XDE</v>
      </c>
      <c r="J1842" t="str">
        <f t="shared" si="336"/>
        <v>BTCXDE</v>
      </c>
      <c r="K1842" t="str">
        <f t="shared" si="337"/>
        <v>XDEBTC</v>
      </c>
      <c r="L1842">
        <f t="shared" si="338"/>
        <v>0</v>
      </c>
      <c r="M1842">
        <f t="shared" si="339"/>
        <v>1</v>
      </c>
      <c r="N1842" t="b">
        <f t="shared" si="340"/>
        <v>1</v>
      </c>
    </row>
    <row r="1843" spans="1:14" hidden="1" x14ac:dyDescent="0.25">
      <c r="A1843" t="s">
        <v>3</v>
      </c>
      <c r="B1843" t="s">
        <v>278</v>
      </c>
      <c r="C1843" s="1">
        <v>1.1599999999999999E-6</v>
      </c>
      <c r="D1843" s="1">
        <v>1.15E-6</v>
      </c>
      <c r="E1843" s="1">
        <v>1.1599999999999999E-6</v>
      </c>
      <c r="F1843" s="1">
        <v>1.15E-6</v>
      </c>
      <c r="G1843">
        <f t="shared" si="335"/>
        <v>6</v>
      </c>
      <c r="H1843" t="str">
        <f t="shared" si="344"/>
        <v>BTC</v>
      </c>
      <c r="I1843" t="str">
        <f>LEFT(B1843,3)</f>
        <v>XDG</v>
      </c>
      <c r="J1843" t="str">
        <f t="shared" si="336"/>
        <v>BTCXDG</v>
      </c>
      <c r="K1843" t="str">
        <f t="shared" si="337"/>
        <v>XDGBTC</v>
      </c>
      <c r="L1843">
        <f t="shared" si="338"/>
        <v>0</v>
      </c>
      <c r="M1843">
        <f t="shared" si="339"/>
        <v>1</v>
      </c>
      <c r="N1843" t="b">
        <f t="shared" si="340"/>
        <v>1</v>
      </c>
    </row>
    <row r="1844" spans="1:14" hidden="1" x14ac:dyDescent="0.25">
      <c r="A1844" t="s">
        <v>4</v>
      </c>
      <c r="B1844" t="s">
        <v>327</v>
      </c>
      <c r="C1844" s="1">
        <v>6.0000000000000002E-6</v>
      </c>
      <c r="D1844" s="1">
        <v>1.9999999999999999E-6</v>
      </c>
      <c r="E1844" s="1" t="s">
        <v>328</v>
      </c>
      <c r="F1844" s="1" t="s">
        <v>329</v>
      </c>
      <c r="G1844">
        <f t="shared" si="335"/>
        <v>8</v>
      </c>
      <c r="H1844" t="str">
        <f t="shared" si="344"/>
        <v>BTC</v>
      </c>
      <c r="I1844" t="str">
        <f>LEFT(B1844,5)</f>
        <v>XDNCO</v>
      </c>
      <c r="J1844" t="str">
        <f t="shared" si="336"/>
        <v>BTCXDNCO</v>
      </c>
      <c r="K1844" t="str">
        <f t="shared" si="337"/>
        <v>XDNCOBTC</v>
      </c>
      <c r="L1844">
        <f t="shared" si="338"/>
        <v>0</v>
      </c>
      <c r="M1844">
        <f t="shared" si="339"/>
        <v>1</v>
      </c>
      <c r="N1844" t="b">
        <f t="shared" si="340"/>
        <v>1</v>
      </c>
    </row>
    <row r="1845" spans="1:14" hidden="1" x14ac:dyDescent="0.25">
      <c r="A1845" t="s">
        <v>4</v>
      </c>
      <c r="B1845" t="s">
        <v>350</v>
      </c>
      <c r="C1845" s="1">
        <v>4.3080000000000002E-3</v>
      </c>
      <c r="D1845" s="1">
        <v>4.117E-3</v>
      </c>
      <c r="E1845" s="1">
        <v>4.3080000000000002E-3</v>
      </c>
      <c r="F1845" s="1">
        <v>4.1200000000000004E-3</v>
      </c>
      <c r="G1845">
        <f t="shared" si="335"/>
        <v>6</v>
      </c>
      <c r="H1845" t="str">
        <f t="shared" si="344"/>
        <v>USD</v>
      </c>
      <c r="I1845" t="str">
        <f t="shared" ref="I1845:I1850" si="345">LEFT(B1845,3)</f>
        <v>XDN</v>
      </c>
      <c r="J1845" t="str">
        <f t="shared" si="336"/>
        <v>USDXDN</v>
      </c>
      <c r="K1845" t="str">
        <f t="shared" si="337"/>
        <v>XDNUSD</v>
      </c>
      <c r="L1845">
        <f t="shared" si="338"/>
        <v>0</v>
      </c>
      <c r="M1845">
        <f t="shared" si="339"/>
        <v>1</v>
      </c>
      <c r="N1845" t="b">
        <f t="shared" si="340"/>
        <v>1</v>
      </c>
    </row>
    <row r="1846" spans="1:14" hidden="1" x14ac:dyDescent="0.25">
      <c r="A1846" t="s">
        <v>4</v>
      </c>
      <c r="B1846" t="s">
        <v>323</v>
      </c>
      <c r="C1846" s="1">
        <v>0.17738899999999999</v>
      </c>
      <c r="D1846" s="1">
        <v>0.17179900000000001</v>
      </c>
      <c r="E1846" s="1">
        <v>0.17726</v>
      </c>
      <c r="F1846" s="1">
        <v>0.17186999999999999</v>
      </c>
      <c r="G1846">
        <f t="shared" si="335"/>
        <v>6</v>
      </c>
      <c r="H1846" t="str">
        <f t="shared" si="344"/>
        <v>USD</v>
      </c>
      <c r="I1846" t="str">
        <f t="shared" si="345"/>
        <v>XEM</v>
      </c>
      <c r="J1846" t="str">
        <f t="shared" si="336"/>
        <v>USDXEM</v>
      </c>
      <c r="K1846" t="str">
        <f t="shared" si="337"/>
        <v>XEMUSD</v>
      </c>
      <c r="L1846">
        <f t="shared" si="338"/>
        <v>0</v>
      </c>
      <c r="M1846">
        <f t="shared" si="339"/>
        <v>1</v>
      </c>
      <c r="N1846" t="b">
        <f t="shared" si="340"/>
        <v>1</v>
      </c>
    </row>
    <row r="1847" spans="1:14" hidden="1" x14ac:dyDescent="0.25">
      <c r="A1847" t="s">
        <v>1403</v>
      </c>
      <c r="B1847" t="s">
        <v>1518</v>
      </c>
      <c r="C1847" s="1">
        <v>1.7200500000000001E-3</v>
      </c>
      <c r="D1847" s="1">
        <v>6.0000000000000001E-3</v>
      </c>
      <c r="E1847" s="1">
        <v>5.59999E-3</v>
      </c>
      <c r="F1847" s="1">
        <v>1.74008E-3</v>
      </c>
      <c r="G1847">
        <f t="shared" si="335"/>
        <v>6</v>
      </c>
      <c r="H1847" t="str">
        <f t="shared" si="344"/>
        <v>BTC</v>
      </c>
      <c r="I1847" t="str">
        <f t="shared" si="345"/>
        <v>XFC</v>
      </c>
      <c r="J1847" t="str">
        <f t="shared" si="336"/>
        <v>BTCXFC</v>
      </c>
      <c r="K1847" t="str">
        <f t="shared" si="337"/>
        <v>XFCBTC</v>
      </c>
      <c r="L1847">
        <f t="shared" si="338"/>
        <v>0</v>
      </c>
      <c r="M1847">
        <f t="shared" si="339"/>
        <v>1</v>
      </c>
      <c r="N1847" t="b">
        <f t="shared" si="340"/>
        <v>1</v>
      </c>
    </row>
    <row r="1848" spans="1:14" hidden="1" x14ac:dyDescent="0.25">
      <c r="A1848" t="s">
        <v>1403</v>
      </c>
      <c r="B1848" t="s">
        <v>2077</v>
      </c>
      <c r="C1848" s="1">
        <v>545.87200011000004</v>
      </c>
      <c r="D1848" s="1">
        <v>9999999</v>
      </c>
      <c r="E1848" s="1">
        <v>9999868.2359935697</v>
      </c>
      <c r="F1848" s="1">
        <v>812.00000006000005</v>
      </c>
      <c r="G1848">
        <f t="shared" si="335"/>
        <v>7</v>
      </c>
      <c r="H1848" t="str">
        <f>RIGHT(B1848,4)</f>
        <v>DOGE</v>
      </c>
      <c r="I1848" t="str">
        <f t="shared" si="345"/>
        <v>XFC</v>
      </c>
      <c r="J1848" t="str">
        <f t="shared" si="336"/>
        <v>DOGEXFC</v>
      </c>
      <c r="K1848" t="str">
        <f t="shared" si="337"/>
        <v>XFCDOGE</v>
      </c>
      <c r="L1848">
        <f t="shared" si="338"/>
        <v>0</v>
      </c>
      <c r="M1848">
        <f t="shared" si="339"/>
        <v>1</v>
      </c>
      <c r="N1848" t="b">
        <f t="shared" si="340"/>
        <v>1</v>
      </c>
    </row>
    <row r="1849" spans="1:14" hidden="1" x14ac:dyDescent="0.25">
      <c r="A1849" t="s">
        <v>1403</v>
      </c>
      <c r="B1849" t="s">
        <v>1883</v>
      </c>
      <c r="C1849" s="1">
        <v>5.5</v>
      </c>
      <c r="D1849" s="1">
        <v>39.999999969999998</v>
      </c>
      <c r="E1849" s="1">
        <v>31.989998955587701</v>
      </c>
      <c r="F1849" s="1">
        <v>5.4799309999999997E-2</v>
      </c>
      <c r="G1849">
        <f t="shared" si="335"/>
        <v>6</v>
      </c>
      <c r="H1849" t="str">
        <f>RIGHT(B1849,3)</f>
        <v>LTC</v>
      </c>
      <c r="I1849" t="str">
        <f t="shared" si="345"/>
        <v>XFC</v>
      </c>
      <c r="J1849" t="str">
        <f t="shared" si="336"/>
        <v>LTCXFC</v>
      </c>
      <c r="K1849" t="str">
        <f t="shared" si="337"/>
        <v>XFCLTC</v>
      </c>
      <c r="L1849">
        <f t="shared" si="338"/>
        <v>0</v>
      </c>
      <c r="M1849">
        <f t="shared" si="339"/>
        <v>1</v>
      </c>
      <c r="N1849" t="b">
        <f t="shared" si="340"/>
        <v>1</v>
      </c>
    </row>
    <row r="1850" spans="1:14" hidden="1" x14ac:dyDescent="0.25">
      <c r="A1850" t="s">
        <v>1403</v>
      </c>
      <c r="B1850" t="s">
        <v>1692</v>
      </c>
      <c r="C1850" s="1">
        <v>9.3000000099999998</v>
      </c>
      <c r="D1850" s="1">
        <v>90.978999999999999</v>
      </c>
      <c r="E1850" s="1">
        <v>90.533333199822195</v>
      </c>
      <c r="F1850" s="1">
        <v>4.000012E-2</v>
      </c>
      <c r="G1850">
        <f t="shared" si="335"/>
        <v>6</v>
      </c>
      <c r="H1850" t="str">
        <f>RIGHT(B1850,3)</f>
        <v>USD</v>
      </c>
      <c r="I1850" t="str">
        <f t="shared" si="345"/>
        <v>XFC</v>
      </c>
      <c r="J1850" t="str">
        <f t="shared" si="336"/>
        <v>USDXFC</v>
      </c>
      <c r="K1850" t="str">
        <f t="shared" si="337"/>
        <v>XFCUSD</v>
      </c>
      <c r="L1850">
        <f t="shared" si="338"/>
        <v>0</v>
      </c>
      <c r="M1850">
        <f t="shared" si="339"/>
        <v>1</v>
      </c>
      <c r="N1850" t="b">
        <f t="shared" si="340"/>
        <v>1</v>
      </c>
    </row>
    <row r="1851" spans="1:14" hidden="1" x14ac:dyDescent="0.25">
      <c r="A1851" t="s">
        <v>5</v>
      </c>
      <c r="B1851" t="s">
        <v>1111</v>
      </c>
      <c r="C1851" s="1">
        <v>4.1786100000000001E-3</v>
      </c>
      <c r="D1851" s="1">
        <v>4.0005099999999997E-3</v>
      </c>
      <c r="E1851" s="1">
        <v>4.1786100000000001E-3</v>
      </c>
      <c r="F1851" s="1">
        <v>4.0005073311923899E-3</v>
      </c>
      <c r="G1851">
        <f t="shared" si="335"/>
        <v>7</v>
      </c>
      <c r="H1851" t="str">
        <f>RIGHT(B1851,3)</f>
        <v>BTC</v>
      </c>
      <c r="I1851" t="str">
        <f>LEFT(B1851,4)</f>
        <v>XFCX</v>
      </c>
      <c r="J1851" t="str">
        <f t="shared" si="336"/>
        <v>BTCXFCX</v>
      </c>
      <c r="K1851" t="str">
        <f t="shared" si="337"/>
        <v>XFCXBTC</v>
      </c>
      <c r="L1851">
        <f t="shared" si="338"/>
        <v>0</v>
      </c>
      <c r="M1851">
        <f t="shared" si="339"/>
        <v>1</v>
      </c>
      <c r="N1851" t="b">
        <f t="shared" si="340"/>
        <v>1</v>
      </c>
    </row>
    <row r="1852" spans="1:14" hidden="1" x14ac:dyDescent="0.25">
      <c r="A1852" t="s">
        <v>1403</v>
      </c>
      <c r="B1852" t="s">
        <v>1519</v>
      </c>
      <c r="C1852" s="1">
        <v>1.28E-6</v>
      </c>
      <c r="D1852" s="1">
        <v>1.7E-6</v>
      </c>
      <c r="E1852" s="1">
        <v>1.66E-6</v>
      </c>
      <c r="F1852" s="1">
        <v>1.28E-6</v>
      </c>
      <c r="G1852">
        <f t="shared" si="335"/>
        <v>6</v>
      </c>
      <c r="H1852" t="str">
        <f>RIGHT(B1852,3)</f>
        <v>BTC</v>
      </c>
      <c r="I1852" t="str">
        <f t="shared" ref="I1852:I1867" si="346">LEFT(B1852,3)</f>
        <v>XGB</v>
      </c>
      <c r="J1852" t="str">
        <f t="shared" si="336"/>
        <v>BTCXGB</v>
      </c>
      <c r="K1852" t="str">
        <f t="shared" si="337"/>
        <v>XGBBTC</v>
      </c>
      <c r="L1852">
        <f t="shared" si="338"/>
        <v>0</v>
      </c>
      <c r="M1852">
        <f t="shared" si="339"/>
        <v>1</v>
      </c>
      <c r="N1852" t="b">
        <f t="shared" si="340"/>
        <v>1</v>
      </c>
    </row>
    <row r="1853" spans="1:14" hidden="1" x14ac:dyDescent="0.25">
      <c r="A1853" t="s">
        <v>1403</v>
      </c>
      <c r="B1853" t="s">
        <v>2078</v>
      </c>
      <c r="C1853" s="1">
        <v>245.8</v>
      </c>
      <c r="D1853" s="1">
        <v>245.8</v>
      </c>
      <c r="E1853" s="1">
        <v>39</v>
      </c>
      <c r="F1853" s="1">
        <v>1.0828894099999999</v>
      </c>
      <c r="G1853">
        <f t="shared" si="335"/>
        <v>7</v>
      </c>
      <c r="H1853" t="str">
        <f>RIGHT(B1853,4)</f>
        <v>DOGE</v>
      </c>
      <c r="I1853" t="str">
        <f t="shared" si="346"/>
        <v>XGB</v>
      </c>
      <c r="J1853" t="str">
        <f t="shared" si="336"/>
        <v>DOGEXGB</v>
      </c>
      <c r="K1853" t="str">
        <f t="shared" si="337"/>
        <v>XGBDOGE</v>
      </c>
      <c r="L1853">
        <f t="shared" si="338"/>
        <v>0</v>
      </c>
      <c r="M1853">
        <f t="shared" si="339"/>
        <v>1</v>
      </c>
      <c r="N1853" t="b">
        <f t="shared" si="340"/>
        <v>1</v>
      </c>
    </row>
    <row r="1854" spans="1:14" hidden="1" x14ac:dyDescent="0.25">
      <c r="A1854" t="s">
        <v>1403</v>
      </c>
      <c r="B1854" t="s">
        <v>1884</v>
      </c>
      <c r="C1854" s="1">
        <v>5.7000000000000002E-2</v>
      </c>
      <c r="D1854" s="1">
        <v>5.7000000000000002E-2</v>
      </c>
      <c r="E1854" s="1">
        <v>1.21E-2</v>
      </c>
      <c r="F1854" s="1">
        <v>1.3E-7</v>
      </c>
      <c r="G1854">
        <f t="shared" si="335"/>
        <v>6</v>
      </c>
      <c r="H1854" t="str">
        <f>RIGHT(B1854,3)</f>
        <v>LTC</v>
      </c>
      <c r="I1854" t="str">
        <f t="shared" si="346"/>
        <v>XGB</v>
      </c>
      <c r="J1854" t="str">
        <f t="shared" si="336"/>
        <v>LTCXGB</v>
      </c>
      <c r="K1854" t="str">
        <f t="shared" si="337"/>
        <v>XGBLTC</v>
      </c>
      <c r="L1854">
        <f t="shared" si="338"/>
        <v>0</v>
      </c>
      <c r="M1854">
        <f t="shared" si="339"/>
        <v>1</v>
      </c>
      <c r="N1854" t="b">
        <f t="shared" si="340"/>
        <v>1</v>
      </c>
    </row>
    <row r="1855" spans="1:14" hidden="1" x14ac:dyDescent="0.25">
      <c r="A1855" t="s">
        <v>1403</v>
      </c>
      <c r="B1855" t="s">
        <v>1693</v>
      </c>
      <c r="C1855" s="1">
        <v>6.7769999999999997E-2</v>
      </c>
      <c r="D1855" s="1">
        <v>6.7769999999999997E-2</v>
      </c>
      <c r="E1855" s="1">
        <v>0.02</v>
      </c>
      <c r="F1855" s="1">
        <v>2.0002E-4</v>
      </c>
      <c r="G1855">
        <f t="shared" si="335"/>
        <v>6</v>
      </c>
      <c r="H1855" t="str">
        <f>RIGHT(B1855,3)</f>
        <v>USD</v>
      </c>
      <c r="I1855" t="str">
        <f t="shared" si="346"/>
        <v>XGB</v>
      </c>
      <c r="J1855" t="str">
        <f t="shared" si="336"/>
        <v>USDXGB</v>
      </c>
      <c r="K1855" t="str">
        <f t="shared" si="337"/>
        <v>XGBUSD</v>
      </c>
      <c r="L1855">
        <f t="shared" si="338"/>
        <v>0</v>
      </c>
      <c r="M1855">
        <f t="shared" si="339"/>
        <v>1</v>
      </c>
      <c r="N1855" t="b">
        <f t="shared" si="340"/>
        <v>1</v>
      </c>
    </row>
    <row r="1856" spans="1:14" hidden="1" x14ac:dyDescent="0.25">
      <c r="A1856" t="s">
        <v>1403</v>
      </c>
      <c r="B1856" t="s">
        <v>2079</v>
      </c>
      <c r="C1856" s="1">
        <v>1.8850800000000001</v>
      </c>
      <c r="D1856" s="1">
        <v>1.8850800000000001</v>
      </c>
      <c r="E1856" s="1">
        <v>1.8</v>
      </c>
      <c r="F1856" s="1">
        <v>1.0375600199999999</v>
      </c>
      <c r="G1856">
        <f t="shared" si="335"/>
        <v>7</v>
      </c>
      <c r="H1856" t="str">
        <f>RIGHT(B1856,4)</f>
        <v>DOGE</v>
      </c>
      <c r="I1856" t="str">
        <f t="shared" si="346"/>
        <v>XHI</v>
      </c>
      <c r="J1856" t="str">
        <f t="shared" si="336"/>
        <v>DOGEXHI</v>
      </c>
      <c r="K1856" t="str">
        <f t="shared" si="337"/>
        <v>XHIDOGE</v>
      </c>
      <c r="L1856">
        <f t="shared" si="338"/>
        <v>0</v>
      </c>
      <c r="M1856">
        <f t="shared" si="339"/>
        <v>1</v>
      </c>
      <c r="N1856" t="b">
        <f t="shared" si="340"/>
        <v>1</v>
      </c>
    </row>
    <row r="1857" spans="1:14" hidden="1" x14ac:dyDescent="0.25">
      <c r="A1857" t="s">
        <v>1403</v>
      </c>
      <c r="B1857" t="s">
        <v>1885</v>
      </c>
      <c r="C1857" s="1">
        <v>1.0997800000000001E-3</v>
      </c>
      <c r="D1857" s="1">
        <v>1.0997800000000001E-3</v>
      </c>
      <c r="E1857" s="1">
        <v>1.0998E-3</v>
      </c>
      <c r="F1857" s="1">
        <v>5.0499999999999999E-6</v>
      </c>
      <c r="G1857">
        <f t="shared" ref="G1857:G1920" si="347">LEN(B1857)</f>
        <v>6</v>
      </c>
      <c r="H1857" t="str">
        <f>RIGHT(B1857,3)</f>
        <v>LTC</v>
      </c>
      <c r="I1857" t="str">
        <f t="shared" si="346"/>
        <v>XHI</v>
      </c>
      <c r="J1857" t="str">
        <f t="shared" ref="J1857:J1920" si="348">CONCATENATE(H1857,I1857)</f>
        <v>LTCXHI</v>
      </c>
      <c r="K1857" t="str">
        <f t="shared" ref="K1857:K1920" si="349">CONCATENATE(I1857,H1857)</f>
        <v>XHILTC</v>
      </c>
      <c r="L1857">
        <f t="shared" ref="L1857:L1920" si="350">COUNTIF(B:B,J1857)</f>
        <v>0</v>
      </c>
      <c r="M1857">
        <f t="shared" ref="M1857:M1920" si="351">COUNTIF(B:B,K1857)</f>
        <v>1</v>
      </c>
      <c r="N1857" t="b">
        <f t="shared" ref="N1857:N1920" si="352">L1857=0</f>
        <v>1</v>
      </c>
    </row>
    <row r="1858" spans="1:14" hidden="1" x14ac:dyDescent="0.25">
      <c r="A1858" t="s">
        <v>1403</v>
      </c>
      <c r="B1858" t="s">
        <v>1694</v>
      </c>
      <c r="C1858" s="1">
        <v>3.1200099999999999E-3</v>
      </c>
      <c r="D1858" s="1">
        <v>3.1200099999999999E-3</v>
      </c>
      <c r="E1858" s="1">
        <v>5.5998000000000003E-3</v>
      </c>
      <c r="F1858" s="1">
        <v>3.1199999999999999E-3</v>
      </c>
      <c r="G1858">
        <f t="shared" si="347"/>
        <v>6</v>
      </c>
      <c r="H1858" t="str">
        <f>RIGHT(B1858,3)</f>
        <v>USD</v>
      </c>
      <c r="I1858" t="str">
        <f t="shared" si="346"/>
        <v>XHI</v>
      </c>
      <c r="J1858" t="str">
        <f t="shared" si="348"/>
        <v>USDXHI</v>
      </c>
      <c r="K1858" t="str">
        <f t="shared" si="349"/>
        <v>XHIUSD</v>
      </c>
      <c r="L1858">
        <f t="shared" si="350"/>
        <v>0</v>
      </c>
      <c r="M1858">
        <f t="shared" si="351"/>
        <v>1</v>
      </c>
      <c r="N1858" t="b">
        <f t="shared" si="352"/>
        <v>1</v>
      </c>
    </row>
    <row r="1859" spans="1:14" hidden="1" x14ac:dyDescent="0.25">
      <c r="A1859" t="s">
        <v>1403</v>
      </c>
      <c r="B1859" t="s">
        <v>1520</v>
      </c>
      <c r="C1859" s="1">
        <v>9.55E-6</v>
      </c>
      <c r="D1859" s="1">
        <v>1.028E-5</v>
      </c>
      <c r="E1859" s="1">
        <v>1.948E-5</v>
      </c>
      <c r="F1859" s="1" t="s">
        <v>764</v>
      </c>
      <c r="G1859">
        <f t="shared" si="347"/>
        <v>6</v>
      </c>
      <c r="H1859" t="str">
        <f>RIGHT(B1859,3)</f>
        <v>BTC</v>
      </c>
      <c r="I1859" t="str">
        <f t="shared" si="346"/>
        <v>XID</v>
      </c>
      <c r="J1859" t="str">
        <f t="shared" si="348"/>
        <v>BTCXID</v>
      </c>
      <c r="K1859" t="str">
        <f t="shared" si="349"/>
        <v>XIDBTC</v>
      </c>
      <c r="L1859">
        <f t="shared" si="350"/>
        <v>0</v>
      </c>
      <c r="M1859">
        <f t="shared" si="351"/>
        <v>1</v>
      </c>
      <c r="N1859" t="b">
        <f t="shared" si="352"/>
        <v>1</v>
      </c>
    </row>
    <row r="1860" spans="1:14" hidden="1" x14ac:dyDescent="0.25">
      <c r="A1860" t="s">
        <v>1403</v>
      </c>
      <c r="B1860" t="s">
        <v>2080</v>
      </c>
      <c r="C1860" s="1">
        <v>6.1479100000000004</v>
      </c>
      <c r="D1860" s="1">
        <v>6.1479100000000004</v>
      </c>
      <c r="E1860" s="1">
        <v>29589.9999799</v>
      </c>
      <c r="F1860" s="1">
        <v>6.0700000799999998</v>
      </c>
      <c r="G1860">
        <f t="shared" si="347"/>
        <v>7</v>
      </c>
      <c r="H1860" t="str">
        <f>RIGHT(B1860,4)</f>
        <v>DOGE</v>
      </c>
      <c r="I1860" t="str">
        <f t="shared" si="346"/>
        <v>XID</v>
      </c>
      <c r="J1860" t="str">
        <f t="shared" si="348"/>
        <v>DOGEXID</v>
      </c>
      <c r="K1860" t="str">
        <f t="shared" si="349"/>
        <v>XIDDOGE</v>
      </c>
      <c r="L1860">
        <f t="shared" si="350"/>
        <v>0</v>
      </c>
      <c r="M1860">
        <f t="shared" si="351"/>
        <v>1</v>
      </c>
      <c r="N1860" t="b">
        <f t="shared" si="352"/>
        <v>1</v>
      </c>
    </row>
    <row r="1861" spans="1:14" hidden="1" x14ac:dyDescent="0.25">
      <c r="A1861" t="s">
        <v>1403</v>
      </c>
      <c r="B1861" t="s">
        <v>1886</v>
      </c>
      <c r="C1861" s="1">
        <v>3.0000000000000001E-3</v>
      </c>
      <c r="D1861" s="1">
        <v>3.0000000000000001E-3</v>
      </c>
      <c r="E1861" s="1">
        <v>9.98999E-2</v>
      </c>
      <c r="F1861" s="1">
        <v>2.5559999999999999E-5</v>
      </c>
      <c r="G1861">
        <f t="shared" si="347"/>
        <v>6</v>
      </c>
      <c r="H1861" t="str">
        <f t="shared" ref="H1861:H1875" si="353">RIGHT(B1861,3)</f>
        <v>LTC</v>
      </c>
      <c r="I1861" t="str">
        <f t="shared" si="346"/>
        <v>XID</v>
      </c>
      <c r="J1861" t="str">
        <f t="shared" si="348"/>
        <v>LTCXID</v>
      </c>
      <c r="K1861" t="str">
        <f t="shared" si="349"/>
        <v>XIDLTC</v>
      </c>
      <c r="L1861">
        <f t="shared" si="350"/>
        <v>0</v>
      </c>
      <c r="M1861">
        <f t="shared" si="351"/>
        <v>1</v>
      </c>
      <c r="N1861" t="b">
        <f t="shared" si="352"/>
        <v>1</v>
      </c>
    </row>
    <row r="1862" spans="1:14" hidden="1" x14ac:dyDescent="0.25">
      <c r="A1862" t="s">
        <v>1403</v>
      </c>
      <c r="B1862" t="s">
        <v>1695</v>
      </c>
      <c r="C1862" s="1">
        <v>0.10999999000000001</v>
      </c>
      <c r="D1862" s="1">
        <v>0.10999999000000001</v>
      </c>
      <c r="E1862" s="1">
        <v>0.10989989999999999</v>
      </c>
      <c r="F1862" s="1">
        <v>1.00461E-3</v>
      </c>
      <c r="G1862">
        <f t="shared" si="347"/>
        <v>6</v>
      </c>
      <c r="H1862" t="str">
        <f t="shared" si="353"/>
        <v>USD</v>
      </c>
      <c r="I1862" t="str">
        <f t="shared" si="346"/>
        <v>XID</v>
      </c>
      <c r="J1862" t="str">
        <f t="shared" si="348"/>
        <v>USDXID</v>
      </c>
      <c r="K1862" t="str">
        <f t="shared" si="349"/>
        <v>XIDUSD</v>
      </c>
      <c r="L1862">
        <f t="shared" si="350"/>
        <v>0</v>
      </c>
      <c r="M1862">
        <f t="shared" si="351"/>
        <v>1</v>
      </c>
      <c r="N1862" t="b">
        <f t="shared" si="352"/>
        <v>1</v>
      </c>
    </row>
    <row r="1863" spans="1:14" hidden="1" x14ac:dyDescent="0.25">
      <c r="A1863" t="s">
        <v>5</v>
      </c>
      <c r="B1863" t="s">
        <v>1229</v>
      </c>
      <c r="C1863" s="1">
        <v>1.11E-6</v>
      </c>
      <c r="D1863" s="1">
        <v>6.0999999999999998E-7</v>
      </c>
      <c r="E1863" s="1">
        <v>1.11E-6</v>
      </c>
      <c r="F1863" s="1">
        <v>6.0999999999999998E-7</v>
      </c>
      <c r="G1863">
        <f t="shared" si="347"/>
        <v>6</v>
      </c>
      <c r="H1863" t="str">
        <f t="shared" si="353"/>
        <v>BTC</v>
      </c>
      <c r="I1863" t="str">
        <f t="shared" si="346"/>
        <v>XIN</v>
      </c>
      <c r="J1863" t="str">
        <f t="shared" si="348"/>
        <v>BTCXIN</v>
      </c>
      <c r="K1863" t="str">
        <f t="shared" si="349"/>
        <v>XINBTC</v>
      </c>
      <c r="L1863">
        <f t="shared" si="350"/>
        <v>0</v>
      </c>
      <c r="M1863">
        <f t="shared" si="351"/>
        <v>1</v>
      </c>
      <c r="N1863" t="b">
        <f t="shared" si="352"/>
        <v>1</v>
      </c>
    </row>
    <row r="1864" spans="1:14" hidden="1" x14ac:dyDescent="0.25">
      <c r="A1864" t="s">
        <v>5</v>
      </c>
      <c r="B1864" t="s">
        <v>467</v>
      </c>
      <c r="C1864" s="1">
        <v>6.7000000000000004E-7</v>
      </c>
      <c r="D1864" s="1">
        <v>5.4000000000000002E-7</v>
      </c>
      <c r="E1864" s="1">
        <v>6.7000000000000004E-7</v>
      </c>
      <c r="F1864" s="1">
        <v>5.4000000000000002E-7</v>
      </c>
      <c r="G1864">
        <f t="shared" si="347"/>
        <v>6</v>
      </c>
      <c r="H1864" t="str">
        <f t="shared" si="353"/>
        <v>BTC</v>
      </c>
      <c r="I1864" t="str">
        <f t="shared" si="346"/>
        <v>XJO</v>
      </c>
      <c r="J1864" t="str">
        <f t="shared" si="348"/>
        <v>BTCXJO</v>
      </c>
      <c r="K1864" t="str">
        <f t="shared" si="349"/>
        <v>XJOBTC</v>
      </c>
      <c r="L1864">
        <f t="shared" si="350"/>
        <v>0</v>
      </c>
      <c r="M1864">
        <f t="shared" si="351"/>
        <v>1</v>
      </c>
      <c r="N1864" t="b">
        <f t="shared" si="352"/>
        <v>1</v>
      </c>
    </row>
    <row r="1865" spans="1:14" hidden="1" x14ac:dyDescent="0.25">
      <c r="A1865" t="s">
        <v>4</v>
      </c>
      <c r="B1865" t="s">
        <v>335</v>
      </c>
      <c r="C1865" s="1">
        <v>1.3899999999999999E-4</v>
      </c>
      <c r="D1865" s="1">
        <v>1.11E-4</v>
      </c>
      <c r="E1865" s="1">
        <v>1.3899999999999999E-4</v>
      </c>
      <c r="F1865" s="1">
        <v>1.11E-4</v>
      </c>
      <c r="G1865">
        <f t="shared" si="347"/>
        <v>6</v>
      </c>
      <c r="H1865" t="str">
        <f t="shared" si="353"/>
        <v>BTC</v>
      </c>
      <c r="I1865" t="str">
        <f t="shared" si="346"/>
        <v>XLC</v>
      </c>
      <c r="J1865" t="str">
        <f t="shared" si="348"/>
        <v>BTCXLC</v>
      </c>
      <c r="K1865" t="str">
        <f t="shared" si="349"/>
        <v>XLCBTC</v>
      </c>
      <c r="L1865">
        <f t="shared" si="350"/>
        <v>0</v>
      </c>
      <c r="M1865">
        <f t="shared" si="351"/>
        <v>1</v>
      </c>
      <c r="N1865" t="b">
        <f t="shared" si="352"/>
        <v>1</v>
      </c>
    </row>
    <row r="1866" spans="1:14" hidden="1" x14ac:dyDescent="0.25">
      <c r="A1866" t="s">
        <v>3</v>
      </c>
      <c r="B1866" t="s">
        <v>272</v>
      </c>
      <c r="C1866" s="1">
        <v>3.0499999999999999E-2</v>
      </c>
      <c r="D1866" s="1">
        <v>3.0494E-2</v>
      </c>
      <c r="E1866" s="1">
        <v>3.0499999999999999E-2</v>
      </c>
      <c r="F1866" s="1">
        <v>3.0494E-2</v>
      </c>
      <c r="G1866">
        <f t="shared" si="347"/>
        <v>6</v>
      </c>
      <c r="H1866" t="str">
        <f t="shared" si="353"/>
        <v>EUR</v>
      </c>
      <c r="I1866" t="str">
        <f t="shared" si="346"/>
        <v>XLM</v>
      </c>
      <c r="J1866" t="str">
        <f t="shared" si="348"/>
        <v>EURXLM</v>
      </c>
      <c r="K1866" t="str">
        <f t="shared" si="349"/>
        <v>XLMEUR</v>
      </c>
      <c r="L1866">
        <f t="shared" si="350"/>
        <v>0</v>
      </c>
      <c r="M1866">
        <f t="shared" si="351"/>
        <v>1</v>
      </c>
      <c r="N1866" t="b">
        <f t="shared" si="352"/>
        <v>1</v>
      </c>
    </row>
    <row r="1867" spans="1:14" hidden="1" x14ac:dyDescent="0.25">
      <c r="A1867" t="s">
        <v>3</v>
      </c>
      <c r="B1867" t="s">
        <v>266</v>
      </c>
      <c r="C1867" s="1">
        <v>3.4001000000000003E-2</v>
      </c>
      <c r="D1867" s="1">
        <v>3.4001000000000003E-2</v>
      </c>
      <c r="E1867" s="1">
        <v>3.4001000000000003E-2</v>
      </c>
      <c r="F1867" s="1">
        <v>3.4000000000000002E-2</v>
      </c>
      <c r="G1867">
        <f t="shared" si="347"/>
        <v>6</v>
      </c>
      <c r="H1867" t="str">
        <f t="shared" si="353"/>
        <v>USD</v>
      </c>
      <c r="I1867" t="str">
        <f t="shared" si="346"/>
        <v>XLM</v>
      </c>
      <c r="J1867" t="str">
        <f t="shared" si="348"/>
        <v>USDXLM</v>
      </c>
      <c r="K1867" t="str">
        <f t="shared" si="349"/>
        <v>XLMUSD</v>
      </c>
      <c r="L1867">
        <f t="shared" si="350"/>
        <v>0</v>
      </c>
      <c r="M1867">
        <f t="shared" si="351"/>
        <v>1</v>
      </c>
      <c r="N1867" t="b">
        <f t="shared" si="352"/>
        <v>1</v>
      </c>
    </row>
    <row r="1868" spans="1:14" hidden="1" x14ac:dyDescent="0.25">
      <c r="A1868" t="s">
        <v>5</v>
      </c>
      <c r="B1868" t="s">
        <v>820</v>
      </c>
      <c r="C1868" s="1">
        <v>1.6999999999999999E-7</v>
      </c>
      <c r="D1868" s="1">
        <v>1.4999999999999999E-7</v>
      </c>
      <c r="E1868" s="1">
        <v>1.6999999999999999E-7</v>
      </c>
      <c r="F1868" s="1">
        <v>1.4999999999999999E-7</v>
      </c>
      <c r="G1868">
        <f t="shared" si="347"/>
        <v>8</v>
      </c>
      <c r="H1868" t="str">
        <f t="shared" si="353"/>
        <v>BTC</v>
      </c>
      <c r="I1868" t="str">
        <f>LEFT(B1868,5)</f>
        <v>XLTCG</v>
      </c>
      <c r="J1868" t="str">
        <f t="shared" si="348"/>
        <v>BTCXLTCG</v>
      </c>
      <c r="K1868" t="str">
        <f t="shared" si="349"/>
        <v>XLTCGBTC</v>
      </c>
      <c r="L1868">
        <f t="shared" si="350"/>
        <v>0</v>
      </c>
      <c r="M1868">
        <f t="shared" si="351"/>
        <v>1</v>
      </c>
      <c r="N1868" t="b">
        <f t="shared" si="352"/>
        <v>1</v>
      </c>
    </row>
    <row r="1869" spans="1:14" hidden="1" x14ac:dyDescent="0.25">
      <c r="A1869" t="s">
        <v>5</v>
      </c>
      <c r="B1869" t="s">
        <v>977</v>
      </c>
      <c r="C1869" s="1" t="s">
        <v>539</v>
      </c>
      <c r="D1869" s="1" t="s">
        <v>355</v>
      </c>
      <c r="E1869" s="1" t="s">
        <v>539</v>
      </c>
      <c r="F1869" s="1" t="s">
        <v>355</v>
      </c>
      <c r="G1869">
        <f t="shared" si="347"/>
        <v>8</v>
      </c>
      <c r="H1869" t="str">
        <f t="shared" si="353"/>
        <v>BTC</v>
      </c>
      <c r="I1869" t="str">
        <f>LEFT(B1869,5)</f>
        <v>XMINE</v>
      </c>
      <c r="J1869" t="str">
        <f t="shared" si="348"/>
        <v>BTCXMINE</v>
      </c>
      <c r="K1869" t="str">
        <f t="shared" si="349"/>
        <v>XMINEBTC</v>
      </c>
      <c r="L1869">
        <f t="shared" si="350"/>
        <v>0</v>
      </c>
      <c r="M1869">
        <f t="shared" si="351"/>
        <v>1</v>
      </c>
      <c r="N1869" t="b">
        <f t="shared" si="352"/>
        <v>1</v>
      </c>
    </row>
    <row r="1870" spans="1:14" hidden="1" x14ac:dyDescent="0.25">
      <c r="A1870" t="s">
        <v>1</v>
      </c>
      <c r="B1870" t="s">
        <v>70</v>
      </c>
      <c r="C1870" s="1">
        <v>8.5000000000000006E-3</v>
      </c>
      <c r="D1870" s="1">
        <v>7.8567600000000008E-3</v>
      </c>
      <c r="E1870" s="1">
        <v>8.5000000000000006E-3</v>
      </c>
      <c r="F1870" s="1">
        <v>7.8567600000000008E-3</v>
      </c>
      <c r="G1870">
        <f t="shared" si="347"/>
        <v>6</v>
      </c>
      <c r="H1870" t="str">
        <f t="shared" si="353"/>
        <v>BLK</v>
      </c>
      <c r="I1870" t="str">
        <f t="shared" ref="I1870:I1881" si="354">LEFT(B1870,3)</f>
        <v>XMR</v>
      </c>
      <c r="J1870" t="str">
        <f t="shared" si="348"/>
        <v>BLKXMR</v>
      </c>
      <c r="K1870" t="str">
        <f t="shared" si="349"/>
        <v>XMRBLK</v>
      </c>
      <c r="L1870">
        <f t="shared" si="350"/>
        <v>0</v>
      </c>
      <c r="M1870">
        <f t="shared" si="351"/>
        <v>1</v>
      </c>
      <c r="N1870" t="b">
        <f t="shared" si="352"/>
        <v>1</v>
      </c>
    </row>
    <row r="1871" spans="1:14" hidden="1" x14ac:dyDescent="0.25">
      <c r="A1871" t="s">
        <v>3</v>
      </c>
      <c r="B1871" t="s">
        <v>264</v>
      </c>
      <c r="C1871" s="1">
        <v>38.677770000000002</v>
      </c>
      <c r="D1871" s="1">
        <v>38.248530000000002</v>
      </c>
      <c r="E1871" s="1">
        <v>38.677669999999999</v>
      </c>
      <c r="F1871" s="1">
        <v>38.248719999999999</v>
      </c>
      <c r="G1871">
        <f t="shared" si="347"/>
        <v>6</v>
      </c>
      <c r="H1871" t="str">
        <f t="shared" si="353"/>
        <v>EUR</v>
      </c>
      <c r="I1871" t="str">
        <f t="shared" si="354"/>
        <v>XMR</v>
      </c>
      <c r="J1871" t="str">
        <f t="shared" si="348"/>
        <v>EURXMR</v>
      </c>
      <c r="K1871" t="str">
        <f t="shared" si="349"/>
        <v>XMREUR</v>
      </c>
      <c r="L1871">
        <f t="shared" si="350"/>
        <v>0</v>
      </c>
      <c r="M1871">
        <f t="shared" si="351"/>
        <v>1</v>
      </c>
      <c r="N1871" t="b">
        <f t="shared" si="352"/>
        <v>1</v>
      </c>
    </row>
    <row r="1872" spans="1:14" hidden="1" x14ac:dyDescent="0.25">
      <c r="A1872" t="s">
        <v>1</v>
      </c>
      <c r="B1872" t="s">
        <v>57</v>
      </c>
      <c r="C1872" s="1">
        <v>3.5338399999999999E-3</v>
      </c>
      <c r="D1872" s="1">
        <v>3.52177E-3</v>
      </c>
      <c r="E1872" s="1">
        <v>3.5338399999999999E-3</v>
      </c>
      <c r="F1872" s="1">
        <v>3.4746819764812E-3</v>
      </c>
      <c r="G1872">
        <f t="shared" si="347"/>
        <v>6</v>
      </c>
      <c r="H1872" t="str">
        <f t="shared" si="353"/>
        <v>NXT</v>
      </c>
      <c r="I1872" t="str">
        <f t="shared" si="354"/>
        <v>XMR</v>
      </c>
      <c r="J1872" t="str">
        <f t="shared" si="348"/>
        <v>NXTXMR</v>
      </c>
      <c r="K1872" t="str">
        <f t="shared" si="349"/>
        <v>XMRNXT</v>
      </c>
      <c r="L1872">
        <f t="shared" si="350"/>
        <v>0</v>
      </c>
      <c r="M1872">
        <f t="shared" si="351"/>
        <v>1</v>
      </c>
      <c r="N1872" t="b">
        <f t="shared" si="352"/>
        <v>1</v>
      </c>
    </row>
    <row r="1873" spans="1:14" hidden="1" x14ac:dyDescent="0.25">
      <c r="A1873" t="s">
        <v>1</v>
      </c>
      <c r="B1873" t="s">
        <v>72</v>
      </c>
      <c r="C1873" s="1">
        <v>7.94</v>
      </c>
      <c r="D1873" s="1">
        <v>7.8884624700000003</v>
      </c>
      <c r="E1873" s="1">
        <v>7.9700265139625701</v>
      </c>
      <c r="F1873" s="1">
        <v>7.8167632113525203</v>
      </c>
      <c r="G1873">
        <f t="shared" si="347"/>
        <v>6</v>
      </c>
      <c r="H1873" t="str">
        <f t="shared" si="353"/>
        <v>ZEC</v>
      </c>
      <c r="I1873" t="str">
        <f t="shared" si="354"/>
        <v>XMR</v>
      </c>
      <c r="J1873" t="str">
        <f t="shared" si="348"/>
        <v>ZECXMR</v>
      </c>
      <c r="K1873" t="str">
        <f t="shared" si="349"/>
        <v>XMRZEC</v>
      </c>
      <c r="L1873">
        <f t="shared" si="350"/>
        <v>0</v>
      </c>
      <c r="M1873">
        <f t="shared" si="351"/>
        <v>1</v>
      </c>
      <c r="N1873" t="b">
        <f t="shared" si="352"/>
        <v>1</v>
      </c>
    </row>
    <row r="1874" spans="1:14" hidden="1" x14ac:dyDescent="0.25">
      <c r="A1874" t="s">
        <v>5</v>
      </c>
      <c r="B1874" t="s">
        <v>1185</v>
      </c>
      <c r="C1874" s="1">
        <v>2.6E-7</v>
      </c>
      <c r="D1874" s="1">
        <v>2.4999999999999999E-7</v>
      </c>
      <c r="E1874" s="1">
        <v>2.6E-7</v>
      </c>
      <c r="F1874" s="1">
        <v>2.4999999999999999E-7</v>
      </c>
      <c r="G1874">
        <f t="shared" si="347"/>
        <v>6</v>
      </c>
      <c r="H1874" t="str">
        <f t="shared" si="353"/>
        <v>BTC</v>
      </c>
      <c r="I1874" t="str">
        <f t="shared" si="354"/>
        <v>XMT</v>
      </c>
      <c r="J1874" t="str">
        <f t="shared" si="348"/>
        <v>BTCXMT</v>
      </c>
      <c r="K1874" t="str">
        <f t="shared" si="349"/>
        <v>XMTBTC</v>
      </c>
      <c r="L1874">
        <f t="shared" si="350"/>
        <v>0</v>
      </c>
      <c r="M1874">
        <f t="shared" si="351"/>
        <v>1</v>
      </c>
      <c r="N1874" t="b">
        <f t="shared" si="352"/>
        <v>1</v>
      </c>
    </row>
    <row r="1875" spans="1:14" hidden="1" x14ac:dyDescent="0.25">
      <c r="A1875" t="s">
        <v>1403</v>
      </c>
      <c r="B1875" t="s">
        <v>1521</v>
      </c>
      <c r="C1875" s="1">
        <v>4.6199999999999998E-6</v>
      </c>
      <c r="D1875" s="1">
        <v>4.6199999999999998E-6</v>
      </c>
      <c r="E1875" s="1">
        <v>6.99E-6</v>
      </c>
      <c r="F1875" s="1">
        <v>4.51E-6</v>
      </c>
      <c r="G1875">
        <f t="shared" si="347"/>
        <v>6</v>
      </c>
      <c r="H1875" t="str">
        <f t="shared" si="353"/>
        <v>BTC</v>
      </c>
      <c r="I1875" t="str">
        <f t="shared" si="354"/>
        <v>XNC</v>
      </c>
      <c r="J1875" t="str">
        <f t="shared" si="348"/>
        <v>BTCXNC</v>
      </c>
      <c r="K1875" t="str">
        <f t="shared" si="349"/>
        <v>XNCBTC</v>
      </c>
      <c r="L1875">
        <f t="shared" si="350"/>
        <v>0</v>
      </c>
      <c r="M1875">
        <f t="shared" si="351"/>
        <v>1</v>
      </c>
      <c r="N1875" t="b">
        <f t="shared" si="352"/>
        <v>1</v>
      </c>
    </row>
    <row r="1876" spans="1:14" hidden="1" x14ac:dyDescent="0.25">
      <c r="A1876" t="s">
        <v>1403</v>
      </c>
      <c r="B1876" t="s">
        <v>2081</v>
      </c>
      <c r="C1876" s="1">
        <v>153.75</v>
      </c>
      <c r="D1876" s="1">
        <v>153.75</v>
      </c>
      <c r="E1876" s="1">
        <v>149.99999998999999</v>
      </c>
      <c r="F1876" s="1">
        <v>0.16000052000000001</v>
      </c>
      <c r="G1876">
        <f t="shared" si="347"/>
        <v>7</v>
      </c>
      <c r="H1876" t="str">
        <f>RIGHT(B1876,4)</f>
        <v>DOGE</v>
      </c>
      <c r="I1876" t="str">
        <f t="shared" si="354"/>
        <v>XNC</v>
      </c>
      <c r="J1876" t="str">
        <f t="shared" si="348"/>
        <v>DOGEXNC</v>
      </c>
      <c r="K1876" t="str">
        <f t="shared" si="349"/>
        <v>XNCDOGE</v>
      </c>
      <c r="L1876">
        <f t="shared" si="350"/>
        <v>0</v>
      </c>
      <c r="M1876">
        <f t="shared" si="351"/>
        <v>1</v>
      </c>
      <c r="N1876" t="b">
        <f t="shared" si="352"/>
        <v>1</v>
      </c>
    </row>
    <row r="1877" spans="1:14" hidden="1" x14ac:dyDescent="0.25">
      <c r="A1877" t="s">
        <v>1403</v>
      </c>
      <c r="B1877" t="s">
        <v>1887</v>
      </c>
      <c r="C1877" s="1">
        <v>0</v>
      </c>
      <c r="D1877" s="1">
        <v>0</v>
      </c>
      <c r="E1877" s="1">
        <v>4.99999E-2</v>
      </c>
      <c r="F1877" s="1">
        <v>1.9000000000000001E-7</v>
      </c>
      <c r="G1877">
        <f t="shared" si="347"/>
        <v>6</v>
      </c>
      <c r="H1877" t="str">
        <f t="shared" ref="H1877:H1882" si="355">RIGHT(B1877,3)</f>
        <v>LTC</v>
      </c>
      <c r="I1877" t="str">
        <f t="shared" si="354"/>
        <v>XNC</v>
      </c>
      <c r="J1877" t="str">
        <f t="shared" si="348"/>
        <v>LTCXNC</v>
      </c>
      <c r="K1877" t="str">
        <f t="shared" si="349"/>
        <v>XNCLTC</v>
      </c>
      <c r="L1877">
        <f t="shared" si="350"/>
        <v>0</v>
      </c>
      <c r="M1877">
        <f t="shared" si="351"/>
        <v>1</v>
      </c>
      <c r="N1877" t="b">
        <f t="shared" si="352"/>
        <v>1</v>
      </c>
    </row>
    <row r="1878" spans="1:14" hidden="1" x14ac:dyDescent="0.25">
      <c r="A1878" t="s">
        <v>1403</v>
      </c>
      <c r="B1878" t="s">
        <v>1696</v>
      </c>
      <c r="C1878" s="1">
        <v>0.06</v>
      </c>
      <c r="D1878" s="1">
        <v>0.06</v>
      </c>
      <c r="E1878" s="1">
        <v>0.06</v>
      </c>
      <c r="F1878" s="1">
        <v>6.0000100000000001E-3</v>
      </c>
      <c r="G1878">
        <f t="shared" si="347"/>
        <v>6</v>
      </c>
      <c r="H1878" t="str">
        <f t="shared" si="355"/>
        <v>USD</v>
      </c>
      <c r="I1878" t="str">
        <f t="shared" si="354"/>
        <v>XNC</v>
      </c>
      <c r="J1878" t="str">
        <f t="shared" si="348"/>
        <v>USDXNC</v>
      </c>
      <c r="K1878" t="str">
        <f t="shared" si="349"/>
        <v>XNCUSD</v>
      </c>
      <c r="L1878">
        <f t="shared" si="350"/>
        <v>0</v>
      </c>
      <c r="M1878">
        <f t="shared" si="351"/>
        <v>1</v>
      </c>
      <c r="N1878" t="b">
        <f t="shared" si="352"/>
        <v>1</v>
      </c>
    </row>
    <row r="1879" spans="1:14" hidden="1" x14ac:dyDescent="0.25">
      <c r="A1879" t="s">
        <v>5</v>
      </c>
      <c r="B1879" t="s">
        <v>1113</v>
      </c>
      <c r="C1879" s="1">
        <v>7.8250000000000005E-5</v>
      </c>
      <c r="D1879" s="1">
        <v>5.6450000000000003E-5</v>
      </c>
      <c r="E1879" s="1">
        <v>7.8250000000000005E-5</v>
      </c>
      <c r="F1879" s="1">
        <v>5.6450000000000003E-5</v>
      </c>
      <c r="G1879">
        <f t="shared" si="347"/>
        <v>6</v>
      </c>
      <c r="H1879" t="str">
        <f t="shared" si="355"/>
        <v>BTC</v>
      </c>
      <c r="I1879" t="str">
        <f t="shared" si="354"/>
        <v>XNG</v>
      </c>
      <c r="J1879" t="str">
        <f t="shared" si="348"/>
        <v>BTCXNG</v>
      </c>
      <c r="K1879" t="str">
        <f t="shared" si="349"/>
        <v>XNGBTC</v>
      </c>
      <c r="L1879">
        <f t="shared" si="350"/>
        <v>0</v>
      </c>
      <c r="M1879">
        <f t="shared" si="351"/>
        <v>1</v>
      </c>
      <c r="N1879" t="b">
        <f t="shared" si="352"/>
        <v>1</v>
      </c>
    </row>
    <row r="1880" spans="1:14" hidden="1" x14ac:dyDescent="0.25">
      <c r="A1880" t="s">
        <v>5</v>
      </c>
      <c r="B1880" t="s">
        <v>1024</v>
      </c>
      <c r="C1880" s="1" t="s">
        <v>356</v>
      </c>
      <c r="D1880" s="1" t="s">
        <v>381</v>
      </c>
      <c r="E1880" s="1" t="s">
        <v>356</v>
      </c>
      <c r="F1880" s="1" t="s">
        <v>381</v>
      </c>
      <c r="G1880">
        <f t="shared" si="347"/>
        <v>6</v>
      </c>
      <c r="H1880" t="str">
        <f t="shared" si="355"/>
        <v>BTC</v>
      </c>
      <c r="I1880" t="str">
        <f t="shared" si="354"/>
        <v>XNX</v>
      </c>
      <c r="J1880" t="str">
        <f t="shared" si="348"/>
        <v>BTCXNX</v>
      </c>
      <c r="K1880" t="str">
        <f t="shared" si="349"/>
        <v>XNXBTC</v>
      </c>
      <c r="L1880">
        <f t="shared" si="350"/>
        <v>0</v>
      </c>
      <c r="M1880">
        <f t="shared" si="351"/>
        <v>1</v>
      </c>
      <c r="N1880" t="b">
        <f t="shared" si="352"/>
        <v>1</v>
      </c>
    </row>
    <row r="1881" spans="1:14" hidden="1" x14ac:dyDescent="0.25">
      <c r="A1881" t="s">
        <v>5</v>
      </c>
      <c r="B1881" t="s">
        <v>426</v>
      </c>
      <c r="C1881" s="1">
        <v>9.9000000000000001E-6</v>
      </c>
      <c r="D1881" s="1">
        <v>8.4999999999999999E-6</v>
      </c>
      <c r="E1881" s="1">
        <v>9.9000000000000001E-6</v>
      </c>
      <c r="F1881" s="1">
        <v>8.4999999999999999E-6</v>
      </c>
      <c r="G1881">
        <f t="shared" si="347"/>
        <v>6</v>
      </c>
      <c r="H1881" t="str">
        <f t="shared" si="355"/>
        <v>BTC</v>
      </c>
      <c r="I1881" t="str">
        <f t="shared" si="354"/>
        <v>XOC</v>
      </c>
      <c r="J1881" t="str">
        <f t="shared" si="348"/>
        <v>BTCXOC</v>
      </c>
      <c r="K1881" t="str">
        <f t="shared" si="349"/>
        <v>XOCBTC</v>
      </c>
      <c r="L1881">
        <f t="shared" si="350"/>
        <v>0</v>
      </c>
      <c r="M1881">
        <f t="shared" si="351"/>
        <v>1</v>
      </c>
      <c r="N1881" t="b">
        <f t="shared" si="352"/>
        <v>1</v>
      </c>
    </row>
    <row r="1882" spans="1:14" hidden="1" x14ac:dyDescent="0.25">
      <c r="A1882" t="s">
        <v>1403</v>
      </c>
      <c r="B1882" t="s">
        <v>1522</v>
      </c>
      <c r="C1882" s="1" t="s">
        <v>1158</v>
      </c>
      <c r="D1882" s="1">
        <v>1.049E-5</v>
      </c>
      <c r="E1882" s="1">
        <v>1.048E-5</v>
      </c>
      <c r="F1882" s="1" t="s">
        <v>96</v>
      </c>
      <c r="G1882">
        <f t="shared" si="347"/>
        <v>8</v>
      </c>
      <c r="H1882" t="str">
        <f t="shared" si="355"/>
        <v>BTC</v>
      </c>
      <c r="I1882" t="str">
        <f>LEFT(B1882,5)</f>
        <v>XODUS</v>
      </c>
      <c r="J1882" t="str">
        <f t="shared" si="348"/>
        <v>BTCXODUS</v>
      </c>
      <c r="K1882" t="str">
        <f t="shared" si="349"/>
        <v>XODUSBTC</v>
      </c>
      <c r="L1882">
        <f t="shared" si="350"/>
        <v>0</v>
      </c>
      <c r="M1882">
        <f t="shared" si="351"/>
        <v>1</v>
      </c>
      <c r="N1882" t="b">
        <f t="shared" si="352"/>
        <v>1</v>
      </c>
    </row>
    <row r="1883" spans="1:14" hidden="1" x14ac:dyDescent="0.25">
      <c r="A1883" t="s">
        <v>1403</v>
      </c>
      <c r="B1883" t="s">
        <v>2082</v>
      </c>
      <c r="C1883" s="1">
        <v>900</v>
      </c>
      <c r="D1883" s="1">
        <v>900</v>
      </c>
      <c r="E1883" s="1">
        <v>25</v>
      </c>
      <c r="F1883" s="1">
        <v>6.5300000100000002</v>
      </c>
      <c r="G1883">
        <f t="shared" si="347"/>
        <v>9</v>
      </c>
      <c r="H1883" t="str">
        <f>RIGHT(B1883,4)</f>
        <v>DOGE</v>
      </c>
      <c r="I1883" t="str">
        <f>LEFT(B1883,5)</f>
        <v>XODUS</v>
      </c>
      <c r="J1883" t="str">
        <f t="shared" si="348"/>
        <v>DOGEXODUS</v>
      </c>
      <c r="K1883" t="str">
        <f t="shared" si="349"/>
        <v>XODUSDOGE</v>
      </c>
      <c r="L1883">
        <f t="shared" si="350"/>
        <v>0</v>
      </c>
      <c r="M1883">
        <f t="shared" si="351"/>
        <v>1</v>
      </c>
      <c r="N1883" t="b">
        <f t="shared" si="352"/>
        <v>1</v>
      </c>
    </row>
    <row r="1884" spans="1:14" hidden="1" x14ac:dyDescent="0.25">
      <c r="A1884" t="s">
        <v>1403</v>
      </c>
      <c r="B1884" t="s">
        <v>1888</v>
      </c>
      <c r="C1884" s="1">
        <v>0</v>
      </c>
      <c r="D1884" s="1">
        <v>0</v>
      </c>
      <c r="E1884" s="1">
        <v>0</v>
      </c>
      <c r="F1884" s="1">
        <v>1.002E-4</v>
      </c>
      <c r="G1884">
        <f t="shared" si="347"/>
        <v>8</v>
      </c>
      <c r="H1884" t="str">
        <f>RIGHT(B1884,3)</f>
        <v>LTC</v>
      </c>
      <c r="I1884" t="str">
        <f>LEFT(B1884,5)</f>
        <v>XODUS</v>
      </c>
      <c r="J1884" t="str">
        <f t="shared" si="348"/>
        <v>LTCXODUS</v>
      </c>
      <c r="K1884" t="str">
        <f t="shared" si="349"/>
        <v>XODUSLTC</v>
      </c>
      <c r="L1884">
        <f t="shared" si="350"/>
        <v>0</v>
      </c>
      <c r="M1884">
        <f t="shared" si="351"/>
        <v>1</v>
      </c>
      <c r="N1884" t="b">
        <f t="shared" si="352"/>
        <v>1</v>
      </c>
    </row>
    <row r="1885" spans="1:14" hidden="1" x14ac:dyDescent="0.25">
      <c r="A1885" t="s">
        <v>1403</v>
      </c>
      <c r="B1885" t="s">
        <v>1697</v>
      </c>
      <c r="C1885" s="1">
        <v>0.01</v>
      </c>
      <c r="D1885" s="1">
        <v>0.01</v>
      </c>
      <c r="E1885" s="1">
        <v>0.05</v>
      </c>
      <c r="F1885" s="1">
        <v>1.9800000000000002E-2</v>
      </c>
      <c r="G1885">
        <f t="shared" si="347"/>
        <v>8</v>
      </c>
      <c r="H1885" t="str">
        <f>RIGHT(B1885,3)</f>
        <v>USD</v>
      </c>
      <c r="I1885" t="str">
        <f>LEFT(B1885,5)</f>
        <v>XODUS</v>
      </c>
      <c r="J1885" t="str">
        <f t="shared" si="348"/>
        <v>USDXODUS</v>
      </c>
      <c r="K1885" t="str">
        <f t="shared" si="349"/>
        <v>XODUSUSD</v>
      </c>
      <c r="L1885">
        <f t="shared" si="350"/>
        <v>0</v>
      </c>
      <c r="M1885">
        <f t="shared" si="351"/>
        <v>1</v>
      </c>
      <c r="N1885" t="b">
        <f t="shared" si="352"/>
        <v>1</v>
      </c>
    </row>
    <row r="1886" spans="1:14" hidden="1" x14ac:dyDescent="0.25">
      <c r="A1886" t="s">
        <v>1403</v>
      </c>
      <c r="B1886" t="s">
        <v>1523</v>
      </c>
      <c r="C1886" s="1" t="s">
        <v>362</v>
      </c>
      <c r="D1886" s="1" t="s">
        <v>361</v>
      </c>
      <c r="E1886" s="1" t="s">
        <v>361</v>
      </c>
      <c r="F1886" s="1" t="s">
        <v>362</v>
      </c>
      <c r="G1886">
        <f t="shared" si="347"/>
        <v>6</v>
      </c>
      <c r="H1886" t="str">
        <f>RIGHT(B1886,3)</f>
        <v>BTC</v>
      </c>
      <c r="I1886" t="str">
        <f t="shared" ref="I1886:I1896" si="356">LEFT(B1886,3)</f>
        <v>XON</v>
      </c>
      <c r="J1886" t="str">
        <f t="shared" si="348"/>
        <v>BTCXON</v>
      </c>
      <c r="K1886" t="str">
        <f t="shared" si="349"/>
        <v>XONBTC</v>
      </c>
      <c r="L1886">
        <f t="shared" si="350"/>
        <v>0</v>
      </c>
      <c r="M1886">
        <f t="shared" si="351"/>
        <v>1</v>
      </c>
      <c r="N1886" t="b">
        <f t="shared" si="352"/>
        <v>1</v>
      </c>
    </row>
    <row r="1887" spans="1:14" hidden="1" x14ac:dyDescent="0.25">
      <c r="A1887" t="s">
        <v>1403</v>
      </c>
      <c r="B1887" t="s">
        <v>2083</v>
      </c>
      <c r="C1887" s="1">
        <v>1.351081E-2</v>
      </c>
      <c r="D1887" s="1">
        <v>1.351081E-2</v>
      </c>
      <c r="E1887" s="1">
        <v>1.35094E-2</v>
      </c>
      <c r="F1887" s="1">
        <v>5.0000000000000001E-3</v>
      </c>
      <c r="G1887">
        <f t="shared" si="347"/>
        <v>7</v>
      </c>
      <c r="H1887" t="str">
        <f>RIGHT(B1887,4)</f>
        <v>DOGE</v>
      </c>
      <c r="I1887" t="str">
        <f t="shared" si="356"/>
        <v>XON</v>
      </c>
      <c r="J1887" t="str">
        <f t="shared" si="348"/>
        <v>DOGEXON</v>
      </c>
      <c r="K1887" t="str">
        <f t="shared" si="349"/>
        <v>XONDOGE</v>
      </c>
      <c r="L1887">
        <f t="shared" si="350"/>
        <v>0</v>
      </c>
      <c r="M1887">
        <f t="shared" si="351"/>
        <v>1</v>
      </c>
      <c r="N1887" t="b">
        <f t="shared" si="352"/>
        <v>1</v>
      </c>
    </row>
    <row r="1888" spans="1:14" hidden="1" x14ac:dyDescent="0.25">
      <c r="A1888" t="s">
        <v>1403</v>
      </c>
      <c r="B1888" t="s">
        <v>1889</v>
      </c>
      <c r="C1888" s="1">
        <v>8.7499999999999992E-6</v>
      </c>
      <c r="D1888" s="1">
        <v>8.7499999999999992E-6</v>
      </c>
      <c r="E1888" s="1">
        <v>2.9900000000000002E-6</v>
      </c>
      <c r="F1888" s="1" t="s">
        <v>355</v>
      </c>
      <c r="G1888">
        <f t="shared" si="347"/>
        <v>6</v>
      </c>
      <c r="H1888" t="str">
        <f>RIGHT(B1888,3)</f>
        <v>LTC</v>
      </c>
      <c r="I1888" t="str">
        <f t="shared" si="356"/>
        <v>XON</v>
      </c>
      <c r="J1888" t="str">
        <f t="shared" si="348"/>
        <v>LTCXON</v>
      </c>
      <c r="K1888" t="str">
        <f t="shared" si="349"/>
        <v>XONLTC</v>
      </c>
      <c r="L1888">
        <f t="shared" si="350"/>
        <v>0</v>
      </c>
      <c r="M1888">
        <f t="shared" si="351"/>
        <v>1</v>
      </c>
      <c r="N1888" t="b">
        <f t="shared" si="352"/>
        <v>1</v>
      </c>
    </row>
    <row r="1889" spans="1:14" hidden="1" x14ac:dyDescent="0.25">
      <c r="A1889" t="s">
        <v>1403</v>
      </c>
      <c r="B1889" t="s">
        <v>1698</v>
      </c>
      <c r="C1889" s="1">
        <v>4.8949999999999997E-5</v>
      </c>
      <c r="D1889" s="1">
        <v>4.8949999999999997E-5</v>
      </c>
      <c r="E1889" s="1">
        <v>4.8949999999999997E-5</v>
      </c>
      <c r="F1889" s="1">
        <v>1.8119999999999999E-5</v>
      </c>
      <c r="G1889">
        <f t="shared" si="347"/>
        <v>6</v>
      </c>
      <c r="H1889" t="str">
        <f>RIGHT(B1889,3)</f>
        <v>USD</v>
      </c>
      <c r="I1889" t="str">
        <f t="shared" si="356"/>
        <v>XON</v>
      </c>
      <c r="J1889" t="str">
        <f t="shared" si="348"/>
        <v>USDXON</v>
      </c>
      <c r="K1889" t="str">
        <f t="shared" si="349"/>
        <v>XONUSD</v>
      </c>
      <c r="L1889">
        <f t="shared" si="350"/>
        <v>0</v>
      </c>
      <c r="M1889">
        <f t="shared" si="351"/>
        <v>1</v>
      </c>
      <c r="N1889" t="b">
        <f t="shared" si="352"/>
        <v>1</v>
      </c>
    </row>
    <row r="1890" spans="1:14" hidden="1" x14ac:dyDescent="0.25">
      <c r="A1890" t="s">
        <v>1403</v>
      </c>
      <c r="B1890" t="s">
        <v>1524</v>
      </c>
      <c r="C1890" s="1">
        <v>0.27999965999999998</v>
      </c>
      <c r="D1890" s="1">
        <v>0.53899982000000002</v>
      </c>
      <c r="E1890" s="1">
        <v>0.53916698116042705</v>
      </c>
      <c r="F1890" s="1">
        <v>0.29391753493674999</v>
      </c>
      <c r="G1890">
        <f t="shared" si="347"/>
        <v>6</v>
      </c>
      <c r="H1890" t="str">
        <f>RIGHT(B1890,3)</f>
        <v>BTC</v>
      </c>
      <c r="I1890" t="str">
        <f t="shared" si="356"/>
        <v>XOT</v>
      </c>
      <c r="J1890" t="str">
        <f t="shared" si="348"/>
        <v>BTCXOT</v>
      </c>
      <c r="K1890" t="str">
        <f t="shared" si="349"/>
        <v>XOTBTC</v>
      </c>
      <c r="L1890">
        <f t="shared" si="350"/>
        <v>0</v>
      </c>
      <c r="M1890">
        <f t="shared" si="351"/>
        <v>1</v>
      </c>
      <c r="N1890" t="b">
        <f t="shared" si="352"/>
        <v>1</v>
      </c>
    </row>
    <row r="1891" spans="1:14" hidden="1" x14ac:dyDescent="0.25">
      <c r="A1891" t="s">
        <v>1403</v>
      </c>
      <c r="B1891" t="s">
        <v>2084</v>
      </c>
      <c r="C1891" s="1">
        <v>90000003</v>
      </c>
      <c r="D1891" s="1">
        <v>90000003</v>
      </c>
      <c r="E1891" s="1">
        <v>90000003</v>
      </c>
      <c r="F1891" s="1">
        <v>30.00000004</v>
      </c>
      <c r="G1891">
        <f t="shared" si="347"/>
        <v>7</v>
      </c>
      <c r="H1891" t="str">
        <f>RIGHT(B1891,4)</f>
        <v>DOGE</v>
      </c>
      <c r="I1891" t="str">
        <f t="shared" si="356"/>
        <v>XOT</v>
      </c>
      <c r="J1891" t="str">
        <f t="shared" si="348"/>
        <v>DOGEXOT</v>
      </c>
      <c r="K1891" t="str">
        <f t="shared" si="349"/>
        <v>XOTDOGE</v>
      </c>
      <c r="L1891">
        <f t="shared" si="350"/>
        <v>0</v>
      </c>
      <c r="M1891">
        <f t="shared" si="351"/>
        <v>1</v>
      </c>
      <c r="N1891" t="b">
        <f t="shared" si="352"/>
        <v>1</v>
      </c>
    </row>
    <row r="1892" spans="1:14" hidden="1" x14ac:dyDescent="0.25">
      <c r="A1892" t="s">
        <v>1403</v>
      </c>
      <c r="B1892" t="s">
        <v>1890</v>
      </c>
      <c r="C1892" s="1">
        <v>99999.999998929998</v>
      </c>
      <c r="D1892" s="1">
        <v>99999.999998929998</v>
      </c>
      <c r="E1892" s="1">
        <v>99999.999998929998</v>
      </c>
      <c r="F1892" s="1">
        <v>1.0000000872439601</v>
      </c>
      <c r="G1892">
        <f t="shared" si="347"/>
        <v>6</v>
      </c>
      <c r="H1892" t="str">
        <f t="shared" ref="H1892:H1907" si="357">RIGHT(B1892,3)</f>
        <v>LTC</v>
      </c>
      <c r="I1892" t="str">
        <f t="shared" si="356"/>
        <v>XOT</v>
      </c>
      <c r="J1892" t="str">
        <f t="shared" si="348"/>
        <v>LTCXOT</v>
      </c>
      <c r="K1892" t="str">
        <f t="shared" si="349"/>
        <v>XOTLTC</v>
      </c>
      <c r="L1892">
        <f t="shared" si="350"/>
        <v>0</v>
      </c>
      <c r="M1892">
        <f t="shared" si="351"/>
        <v>1</v>
      </c>
      <c r="N1892" t="b">
        <f t="shared" si="352"/>
        <v>1</v>
      </c>
    </row>
    <row r="1893" spans="1:14" hidden="1" x14ac:dyDescent="0.25">
      <c r="A1893" t="s">
        <v>1403</v>
      </c>
      <c r="B1893" t="s">
        <v>1699</v>
      </c>
      <c r="C1893" s="1">
        <v>2577</v>
      </c>
      <c r="D1893" s="1">
        <v>2577</v>
      </c>
      <c r="E1893" s="1">
        <v>2899.5453474219998</v>
      </c>
      <c r="F1893" s="1">
        <v>51.968260379343697</v>
      </c>
      <c r="G1893">
        <f t="shared" si="347"/>
        <v>6</v>
      </c>
      <c r="H1893" t="str">
        <f t="shared" si="357"/>
        <v>USD</v>
      </c>
      <c r="I1893" t="str">
        <f t="shared" si="356"/>
        <v>XOT</v>
      </c>
      <c r="J1893" t="str">
        <f t="shared" si="348"/>
        <v>USDXOT</v>
      </c>
      <c r="K1893" t="str">
        <f t="shared" si="349"/>
        <v>XOTUSD</v>
      </c>
      <c r="L1893">
        <f t="shared" si="350"/>
        <v>0</v>
      </c>
      <c r="M1893">
        <f t="shared" si="351"/>
        <v>1</v>
      </c>
      <c r="N1893" t="b">
        <f t="shared" si="352"/>
        <v>1</v>
      </c>
    </row>
    <row r="1894" spans="1:14" hidden="1" x14ac:dyDescent="0.25">
      <c r="A1894" t="s">
        <v>5</v>
      </c>
      <c r="B1894" t="s">
        <v>636</v>
      </c>
      <c r="C1894" s="1">
        <v>4.2379999999999997E-5</v>
      </c>
      <c r="D1894" s="1">
        <v>1.1600000000000001E-5</v>
      </c>
      <c r="E1894" s="1">
        <v>4.2379999999999997E-5</v>
      </c>
      <c r="F1894" s="1">
        <v>1.1600000000000001E-5</v>
      </c>
      <c r="G1894">
        <f t="shared" si="347"/>
        <v>6</v>
      </c>
      <c r="H1894" t="str">
        <f t="shared" si="357"/>
        <v>BTC</v>
      </c>
      <c r="I1894" t="str">
        <f t="shared" si="356"/>
        <v>XPC</v>
      </c>
      <c r="J1894" t="str">
        <f t="shared" si="348"/>
        <v>BTCXPC</v>
      </c>
      <c r="K1894" t="str">
        <f t="shared" si="349"/>
        <v>XPCBTC</v>
      </c>
      <c r="L1894">
        <f t="shared" si="350"/>
        <v>0</v>
      </c>
      <c r="M1894">
        <f t="shared" si="351"/>
        <v>1</v>
      </c>
      <c r="N1894" t="b">
        <f t="shared" si="352"/>
        <v>1</v>
      </c>
    </row>
    <row r="1895" spans="1:14" hidden="1" x14ac:dyDescent="0.25">
      <c r="A1895" t="s">
        <v>5</v>
      </c>
      <c r="B1895" t="s">
        <v>984</v>
      </c>
      <c r="C1895" s="1" t="s">
        <v>409</v>
      </c>
      <c r="D1895" s="1">
        <v>4.8999999999999997E-7</v>
      </c>
      <c r="E1895" s="1" t="s">
        <v>409</v>
      </c>
      <c r="F1895" s="1">
        <v>4.8999999999999997E-7</v>
      </c>
      <c r="G1895">
        <f t="shared" si="347"/>
        <v>6</v>
      </c>
      <c r="H1895" t="str">
        <f t="shared" si="357"/>
        <v>BTC</v>
      </c>
      <c r="I1895" t="str">
        <f t="shared" si="356"/>
        <v>XPD</v>
      </c>
      <c r="J1895" t="str">
        <f t="shared" si="348"/>
        <v>BTCXPD</v>
      </c>
      <c r="K1895" t="str">
        <f t="shared" si="349"/>
        <v>XPDBTC</v>
      </c>
      <c r="L1895">
        <f t="shared" si="350"/>
        <v>0</v>
      </c>
      <c r="M1895">
        <f t="shared" si="351"/>
        <v>1</v>
      </c>
      <c r="N1895" t="b">
        <f t="shared" si="352"/>
        <v>1</v>
      </c>
    </row>
    <row r="1896" spans="1:14" hidden="1" x14ac:dyDescent="0.25">
      <c r="A1896" t="s">
        <v>5</v>
      </c>
      <c r="B1896" t="s">
        <v>1094</v>
      </c>
      <c r="C1896" s="1">
        <v>2.2999999999999999E-7</v>
      </c>
      <c r="D1896" s="1">
        <v>2.1E-7</v>
      </c>
      <c r="E1896" s="1">
        <v>2.2999999999999999E-7</v>
      </c>
      <c r="F1896" s="1">
        <v>2.1E-7</v>
      </c>
      <c r="G1896">
        <f t="shared" si="347"/>
        <v>6</v>
      </c>
      <c r="H1896" t="str">
        <f t="shared" si="357"/>
        <v>BTC</v>
      </c>
      <c r="I1896" t="str">
        <f t="shared" si="356"/>
        <v>XPO</v>
      </c>
      <c r="J1896" t="str">
        <f t="shared" si="348"/>
        <v>BTCXPO</v>
      </c>
      <c r="K1896" t="str">
        <f t="shared" si="349"/>
        <v>XPOBTC</v>
      </c>
      <c r="L1896">
        <f t="shared" si="350"/>
        <v>0</v>
      </c>
      <c r="M1896">
        <f t="shared" si="351"/>
        <v>1</v>
      </c>
      <c r="N1896" t="b">
        <f t="shared" si="352"/>
        <v>1</v>
      </c>
    </row>
    <row r="1897" spans="1:14" hidden="1" x14ac:dyDescent="0.25">
      <c r="A1897" t="s">
        <v>5</v>
      </c>
      <c r="B1897" t="s">
        <v>591</v>
      </c>
      <c r="C1897" s="1">
        <v>2.03E-6</v>
      </c>
      <c r="D1897" s="1">
        <v>1.73E-6</v>
      </c>
      <c r="E1897" s="1">
        <v>2.03E-6</v>
      </c>
      <c r="F1897" s="1">
        <v>1.73E-6</v>
      </c>
      <c r="G1897">
        <f t="shared" si="347"/>
        <v>7</v>
      </c>
      <c r="H1897" t="str">
        <f t="shared" si="357"/>
        <v>BTC</v>
      </c>
      <c r="I1897" t="str">
        <f>LEFT(B1897,4)</f>
        <v>XPRO</v>
      </c>
      <c r="J1897" t="str">
        <f t="shared" si="348"/>
        <v>BTCXPRO</v>
      </c>
      <c r="K1897" t="str">
        <f t="shared" si="349"/>
        <v>XPROBTC</v>
      </c>
      <c r="L1897">
        <f t="shared" si="350"/>
        <v>0</v>
      </c>
      <c r="M1897">
        <f t="shared" si="351"/>
        <v>1</v>
      </c>
      <c r="N1897" t="b">
        <f t="shared" si="352"/>
        <v>1</v>
      </c>
    </row>
    <row r="1898" spans="1:14" hidden="1" x14ac:dyDescent="0.25">
      <c r="A1898" t="s">
        <v>5</v>
      </c>
      <c r="B1898" t="s">
        <v>630</v>
      </c>
      <c r="C1898" s="1" t="s">
        <v>362</v>
      </c>
      <c r="D1898" s="1" t="s">
        <v>364</v>
      </c>
      <c r="E1898" s="1" t="s">
        <v>362</v>
      </c>
      <c r="F1898" s="1">
        <v>3.0900000000000001E-6</v>
      </c>
      <c r="G1898">
        <f t="shared" si="347"/>
        <v>6</v>
      </c>
      <c r="H1898" t="str">
        <f t="shared" si="357"/>
        <v>BTC</v>
      </c>
      <c r="I1898" t="str">
        <f>LEFT(B1898,3)</f>
        <v>XPS</v>
      </c>
      <c r="J1898" t="str">
        <f t="shared" si="348"/>
        <v>BTCXPS</v>
      </c>
      <c r="K1898" t="str">
        <f t="shared" si="349"/>
        <v>XPSBTC</v>
      </c>
      <c r="L1898">
        <f t="shared" si="350"/>
        <v>0</v>
      </c>
      <c r="M1898">
        <f t="shared" si="351"/>
        <v>1</v>
      </c>
      <c r="N1898" t="b">
        <f t="shared" si="352"/>
        <v>1</v>
      </c>
    </row>
    <row r="1899" spans="1:14" hidden="1" x14ac:dyDescent="0.25">
      <c r="A1899" t="s">
        <v>5</v>
      </c>
      <c r="B1899" t="s">
        <v>849</v>
      </c>
      <c r="C1899" s="1">
        <v>8.229E-5</v>
      </c>
      <c r="D1899" s="1">
        <v>4.8069999999999999E-5</v>
      </c>
      <c r="E1899" s="1">
        <v>8.229E-5</v>
      </c>
      <c r="F1899" s="1">
        <v>4.8069999999999999E-5</v>
      </c>
      <c r="G1899">
        <f t="shared" si="347"/>
        <v>7</v>
      </c>
      <c r="H1899" t="str">
        <f t="shared" si="357"/>
        <v>BTC</v>
      </c>
      <c r="I1899" t="str">
        <f>LEFT(B1899,4)</f>
        <v>XPTX</v>
      </c>
      <c r="J1899" t="str">
        <f t="shared" si="348"/>
        <v>BTCXPTX</v>
      </c>
      <c r="K1899" t="str">
        <f t="shared" si="349"/>
        <v>XPTXBTC</v>
      </c>
      <c r="L1899">
        <f t="shared" si="350"/>
        <v>0</v>
      </c>
      <c r="M1899">
        <f t="shared" si="351"/>
        <v>1</v>
      </c>
      <c r="N1899" t="b">
        <f t="shared" si="352"/>
        <v>1</v>
      </c>
    </row>
    <row r="1900" spans="1:14" hidden="1" x14ac:dyDescent="0.25">
      <c r="A1900" t="s">
        <v>5</v>
      </c>
      <c r="B1900" t="s">
        <v>481</v>
      </c>
      <c r="C1900" s="1">
        <v>7.6000000000000001E-6</v>
      </c>
      <c r="D1900" s="1" t="s">
        <v>328</v>
      </c>
      <c r="E1900" s="1">
        <v>7.6000000000000001E-6</v>
      </c>
      <c r="F1900" s="1" t="s">
        <v>328</v>
      </c>
      <c r="G1900">
        <f t="shared" si="347"/>
        <v>6</v>
      </c>
      <c r="H1900" t="str">
        <f t="shared" si="357"/>
        <v>BTC</v>
      </c>
      <c r="I1900" t="str">
        <f t="shared" ref="I1900:I1907" si="358">LEFT(B1900,3)</f>
        <v>XPY</v>
      </c>
      <c r="J1900" t="str">
        <f t="shared" si="348"/>
        <v>BTCXPY</v>
      </c>
      <c r="K1900" t="str">
        <f t="shared" si="349"/>
        <v>XPYBTC</v>
      </c>
      <c r="L1900">
        <f t="shared" si="350"/>
        <v>0</v>
      </c>
      <c r="M1900">
        <f t="shared" si="351"/>
        <v>1</v>
      </c>
      <c r="N1900" t="b">
        <f t="shared" si="352"/>
        <v>1</v>
      </c>
    </row>
    <row r="1901" spans="1:14" hidden="1" x14ac:dyDescent="0.25">
      <c r="A1901" t="s">
        <v>5</v>
      </c>
      <c r="B1901" t="s">
        <v>582</v>
      </c>
      <c r="C1901" s="1">
        <v>2.21E-6</v>
      </c>
      <c r="D1901" s="1">
        <v>1.64E-6</v>
      </c>
      <c r="E1901" s="1">
        <v>2.21E-6</v>
      </c>
      <c r="F1901" s="1">
        <v>1.64E-6</v>
      </c>
      <c r="G1901">
        <f t="shared" si="347"/>
        <v>6</v>
      </c>
      <c r="H1901" t="str">
        <f t="shared" si="357"/>
        <v>BTC</v>
      </c>
      <c r="I1901" t="str">
        <f t="shared" si="358"/>
        <v>XQN</v>
      </c>
      <c r="J1901" t="str">
        <f t="shared" si="348"/>
        <v>BTCXQN</v>
      </c>
      <c r="K1901" t="str">
        <f t="shared" si="349"/>
        <v>XQNBTC</v>
      </c>
      <c r="L1901">
        <f t="shared" si="350"/>
        <v>0</v>
      </c>
      <c r="M1901">
        <f t="shared" si="351"/>
        <v>1</v>
      </c>
      <c r="N1901" t="b">
        <f t="shared" si="352"/>
        <v>1</v>
      </c>
    </row>
    <row r="1902" spans="1:14" hidden="1" x14ac:dyDescent="0.25">
      <c r="A1902" t="s">
        <v>5</v>
      </c>
      <c r="B1902" t="s">
        <v>465</v>
      </c>
      <c r="C1902" s="1">
        <v>3.3999999999999997E-7</v>
      </c>
      <c r="D1902" s="1">
        <v>2.8999999999999998E-7</v>
      </c>
      <c r="E1902" s="1">
        <v>3.3999999999999997E-7</v>
      </c>
      <c r="F1902" s="1">
        <v>2.8999999999999998E-7</v>
      </c>
      <c r="G1902">
        <f t="shared" si="347"/>
        <v>6</v>
      </c>
      <c r="H1902" t="str">
        <f t="shared" si="357"/>
        <v>BTC</v>
      </c>
      <c r="I1902" t="str">
        <f t="shared" si="358"/>
        <v>XRA</v>
      </c>
      <c r="J1902" t="str">
        <f t="shared" si="348"/>
        <v>BTCXRA</v>
      </c>
      <c r="K1902" t="str">
        <f t="shared" si="349"/>
        <v>XRABTC</v>
      </c>
      <c r="L1902">
        <f t="shared" si="350"/>
        <v>0</v>
      </c>
      <c r="M1902">
        <f t="shared" si="351"/>
        <v>1</v>
      </c>
      <c r="N1902" t="b">
        <f t="shared" si="352"/>
        <v>1</v>
      </c>
    </row>
    <row r="1903" spans="1:14" hidden="1" x14ac:dyDescent="0.25">
      <c r="A1903" t="s">
        <v>1239</v>
      </c>
      <c r="B1903" t="s">
        <v>1300</v>
      </c>
      <c r="C1903" s="1">
        <v>1.662E-5</v>
      </c>
      <c r="D1903" s="1">
        <v>1.5E-5</v>
      </c>
      <c r="E1903" s="1">
        <v>1.662E-5</v>
      </c>
      <c r="F1903" s="1">
        <v>1.5E-5</v>
      </c>
      <c r="G1903">
        <f t="shared" si="347"/>
        <v>6</v>
      </c>
      <c r="H1903" t="str">
        <f t="shared" si="357"/>
        <v>BTC</v>
      </c>
      <c r="I1903" t="str">
        <f t="shared" si="358"/>
        <v>XRC</v>
      </c>
      <c r="J1903" t="str">
        <f t="shared" si="348"/>
        <v>BTCXRC</v>
      </c>
      <c r="K1903" t="str">
        <f t="shared" si="349"/>
        <v>XRCBTC</v>
      </c>
      <c r="L1903">
        <f t="shared" si="350"/>
        <v>0</v>
      </c>
      <c r="M1903">
        <f t="shared" si="351"/>
        <v>1</v>
      </c>
      <c r="N1903" t="b">
        <f t="shared" si="352"/>
        <v>1</v>
      </c>
    </row>
    <row r="1904" spans="1:14" hidden="1" x14ac:dyDescent="0.25">
      <c r="A1904" t="s">
        <v>3</v>
      </c>
      <c r="B1904" t="s">
        <v>281</v>
      </c>
      <c r="C1904" s="1">
        <v>0.31637100000000001</v>
      </c>
      <c r="D1904" s="1">
        <v>0.30762899999999999</v>
      </c>
      <c r="E1904" s="1">
        <v>0.31636999999999998</v>
      </c>
      <c r="F1904" s="1">
        <v>0.30763000000000001</v>
      </c>
      <c r="G1904">
        <f t="shared" si="347"/>
        <v>6</v>
      </c>
      <c r="H1904" t="str">
        <f t="shared" si="357"/>
        <v>CAD</v>
      </c>
      <c r="I1904" t="str">
        <f t="shared" si="358"/>
        <v>XRP</v>
      </c>
      <c r="J1904" t="str">
        <f t="shared" si="348"/>
        <v>CADXRP</v>
      </c>
      <c r="K1904" t="str">
        <f t="shared" si="349"/>
        <v>XRPCAD</v>
      </c>
      <c r="L1904">
        <f t="shared" si="350"/>
        <v>0</v>
      </c>
      <c r="M1904">
        <f t="shared" si="351"/>
        <v>1</v>
      </c>
      <c r="N1904" t="b">
        <f t="shared" si="352"/>
        <v>1</v>
      </c>
    </row>
    <row r="1905" spans="1:14" hidden="1" x14ac:dyDescent="0.25">
      <c r="A1905" t="s">
        <v>3</v>
      </c>
      <c r="B1905" t="s">
        <v>291</v>
      </c>
      <c r="C1905" s="1">
        <v>0.21329999999999999</v>
      </c>
      <c r="D1905" s="1">
        <v>0.21215899999999999</v>
      </c>
      <c r="E1905" s="1">
        <v>0.21329699999999999</v>
      </c>
      <c r="F1905" s="1">
        <v>0.21224100000000001</v>
      </c>
      <c r="G1905">
        <f t="shared" si="347"/>
        <v>6</v>
      </c>
      <c r="H1905" t="str">
        <f t="shared" si="357"/>
        <v>EUR</v>
      </c>
      <c r="I1905" t="str">
        <f t="shared" si="358"/>
        <v>XRP</v>
      </c>
      <c r="J1905" t="str">
        <f t="shared" si="348"/>
        <v>EURXRP</v>
      </c>
      <c r="K1905" t="str">
        <f t="shared" si="349"/>
        <v>XRPEUR</v>
      </c>
      <c r="L1905">
        <f t="shared" si="350"/>
        <v>0</v>
      </c>
      <c r="M1905">
        <f t="shared" si="351"/>
        <v>1</v>
      </c>
      <c r="N1905" t="b">
        <f t="shared" si="352"/>
        <v>1</v>
      </c>
    </row>
    <row r="1906" spans="1:14" hidden="1" x14ac:dyDescent="0.25">
      <c r="A1906" t="s">
        <v>3</v>
      </c>
      <c r="B1906" t="s">
        <v>294</v>
      </c>
      <c r="C1906" s="1">
        <v>27.3689</v>
      </c>
      <c r="D1906" s="1">
        <v>26.529399999999999</v>
      </c>
      <c r="E1906" s="1">
        <v>27.3691</v>
      </c>
      <c r="F1906" s="1">
        <v>26.529399999999999</v>
      </c>
      <c r="G1906">
        <f t="shared" si="347"/>
        <v>6</v>
      </c>
      <c r="H1906" t="str">
        <f t="shared" si="357"/>
        <v>JPY</v>
      </c>
      <c r="I1906" t="str">
        <f t="shared" si="358"/>
        <v>XRP</v>
      </c>
      <c r="J1906" t="str">
        <f t="shared" si="348"/>
        <v>JPYXRP</v>
      </c>
      <c r="K1906" t="str">
        <f t="shared" si="349"/>
        <v>XRPJPY</v>
      </c>
      <c r="L1906">
        <f t="shared" si="350"/>
        <v>0</v>
      </c>
      <c r="M1906">
        <f t="shared" si="351"/>
        <v>1</v>
      </c>
      <c r="N1906" t="b">
        <f t="shared" si="352"/>
        <v>1</v>
      </c>
    </row>
    <row r="1907" spans="1:14" hidden="1" x14ac:dyDescent="0.25">
      <c r="A1907" t="s">
        <v>5</v>
      </c>
      <c r="B1907" t="s">
        <v>691</v>
      </c>
      <c r="C1907" s="1" t="s">
        <v>692</v>
      </c>
      <c r="D1907" s="1">
        <v>2.48E-6</v>
      </c>
      <c r="E1907" s="1" t="s">
        <v>692</v>
      </c>
      <c r="F1907" s="1">
        <v>2.48E-6</v>
      </c>
      <c r="G1907">
        <f t="shared" si="347"/>
        <v>6</v>
      </c>
      <c r="H1907" t="str">
        <f t="shared" si="357"/>
        <v>BTC</v>
      </c>
      <c r="I1907" t="str">
        <f t="shared" si="358"/>
        <v>XSP</v>
      </c>
      <c r="J1907" t="str">
        <f t="shared" si="348"/>
        <v>BTCXSP</v>
      </c>
      <c r="K1907" t="str">
        <f t="shared" si="349"/>
        <v>XSPBTC</v>
      </c>
      <c r="L1907">
        <f t="shared" si="350"/>
        <v>0</v>
      </c>
      <c r="M1907">
        <f t="shared" si="351"/>
        <v>1</v>
      </c>
      <c r="N1907" t="b">
        <f t="shared" si="352"/>
        <v>1</v>
      </c>
    </row>
    <row r="1908" spans="1:14" hidden="1" x14ac:dyDescent="0.25">
      <c r="A1908" t="s">
        <v>1403</v>
      </c>
      <c r="B1908" t="s">
        <v>2085</v>
      </c>
      <c r="C1908" s="1">
        <v>0</v>
      </c>
      <c r="D1908" s="1">
        <v>0</v>
      </c>
      <c r="E1908" s="1">
        <v>4767.0399999971996</v>
      </c>
      <c r="F1908" s="1">
        <v>1.0000012599999999</v>
      </c>
      <c r="G1908">
        <f t="shared" si="347"/>
        <v>9</v>
      </c>
      <c r="H1908" t="str">
        <f>RIGHT(B1908,4)</f>
        <v>DOGE</v>
      </c>
      <c r="I1908" t="str">
        <f>LEFT(B1908,5)</f>
        <v>XSPEC</v>
      </c>
      <c r="J1908" t="str">
        <f t="shared" si="348"/>
        <v>DOGEXSPEC</v>
      </c>
      <c r="K1908" t="str">
        <f t="shared" si="349"/>
        <v>XSPECDOGE</v>
      </c>
      <c r="L1908">
        <f t="shared" si="350"/>
        <v>0</v>
      </c>
      <c r="M1908">
        <f t="shared" si="351"/>
        <v>1</v>
      </c>
      <c r="N1908" t="b">
        <f t="shared" si="352"/>
        <v>1</v>
      </c>
    </row>
    <row r="1909" spans="1:14" hidden="1" x14ac:dyDescent="0.25">
      <c r="A1909" t="s">
        <v>1403</v>
      </c>
      <c r="B1909" t="s">
        <v>1891</v>
      </c>
      <c r="C1909" s="1">
        <v>2E-3</v>
      </c>
      <c r="D1909" s="1">
        <v>2E-3</v>
      </c>
      <c r="E1909" s="1">
        <v>8.8888800000000004E-2</v>
      </c>
      <c r="F1909" s="1">
        <v>5.0049999999999997E-5</v>
      </c>
      <c r="G1909">
        <f t="shared" si="347"/>
        <v>8</v>
      </c>
      <c r="H1909" t="str">
        <f>RIGHT(B1909,3)</f>
        <v>LTC</v>
      </c>
      <c r="I1909" t="str">
        <f>LEFT(B1909,5)</f>
        <v>XSPEC</v>
      </c>
      <c r="J1909" t="str">
        <f t="shared" si="348"/>
        <v>LTCXSPEC</v>
      </c>
      <c r="K1909" t="str">
        <f t="shared" si="349"/>
        <v>XSPECLTC</v>
      </c>
      <c r="L1909">
        <f t="shared" si="350"/>
        <v>0</v>
      </c>
      <c r="M1909">
        <f t="shared" si="351"/>
        <v>1</v>
      </c>
      <c r="N1909" t="b">
        <f t="shared" si="352"/>
        <v>1</v>
      </c>
    </row>
    <row r="1910" spans="1:14" hidden="1" x14ac:dyDescent="0.25">
      <c r="A1910" t="s">
        <v>1403</v>
      </c>
      <c r="B1910" t="s">
        <v>1700</v>
      </c>
      <c r="C1910" s="1">
        <v>1</v>
      </c>
      <c r="D1910" s="1">
        <v>1</v>
      </c>
      <c r="E1910" s="1">
        <v>1.210983216</v>
      </c>
      <c r="F1910" s="1">
        <v>1.0000210000000001E-2</v>
      </c>
      <c r="G1910">
        <f t="shared" si="347"/>
        <v>8</v>
      </c>
      <c r="H1910" t="str">
        <f>RIGHT(B1910,3)</f>
        <v>USD</v>
      </c>
      <c r="I1910" t="str">
        <f>LEFT(B1910,5)</f>
        <v>XSPEC</v>
      </c>
      <c r="J1910" t="str">
        <f t="shared" si="348"/>
        <v>USDXSPEC</v>
      </c>
      <c r="K1910" t="str">
        <f t="shared" si="349"/>
        <v>XSPECUSD</v>
      </c>
      <c r="L1910">
        <f t="shared" si="350"/>
        <v>0</v>
      </c>
      <c r="M1910">
        <f t="shared" si="351"/>
        <v>1</v>
      </c>
      <c r="N1910" t="b">
        <f t="shared" si="352"/>
        <v>1</v>
      </c>
    </row>
    <row r="1911" spans="1:14" hidden="1" x14ac:dyDescent="0.25">
      <c r="A1911" t="s">
        <v>5</v>
      </c>
      <c r="B1911" t="s">
        <v>893</v>
      </c>
      <c r="C1911" s="1">
        <v>4.1400000000000002E-6</v>
      </c>
      <c r="D1911" s="1">
        <v>3.3799999999999998E-6</v>
      </c>
      <c r="E1911" s="1">
        <v>4.1400000000000002E-6</v>
      </c>
      <c r="F1911" s="1">
        <v>3.3799999999999998E-6</v>
      </c>
      <c r="G1911">
        <f t="shared" si="347"/>
        <v>7</v>
      </c>
      <c r="H1911" t="str">
        <f>RIGHT(B1911,3)</f>
        <v>BTC</v>
      </c>
      <c r="I1911" t="str">
        <f>LEFT(B1911,4)</f>
        <v>XSSX</v>
      </c>
      <c r="J1911" t="str">
        <f t="shared" si="348"/>
        <v>BTCXSSX</v>
      </c>
      <c r="K1911" t="str">
        <f t="shared" si="349"/>
        <v>XSSXBTC</v>
      </c>
      <c r="L1911">
        <f t="shared" si="350"/>
        <v>0</v>
      </c>
      <c r="M1911">
        <f t="shared" si="351"/>
        <v>1</v>
      </c>
      <c r="N1911" t="b">
        <f t="shared" si="352"/>
        <v>1</v>
      </c>
    </row>
    <row r="1912" spans="1:14" hidden="1" x14ac:dyDescent="0.25">
      <c r="A1912" t="s">
        <v>5</v>
      </c>
      <c r="B1912" t="s">
        <v>873</v>
      </c>
      <c r="C1912" s="1">
        <v>6.4200000000000004E-6</v>
      </c>
      <c r="D1912" s="1">
        <v>5.8300000000000001E-6</v>
      </c>
      <c r="E1912" s="1">
        <v>6.4200000000000004E-6</v>
      </c>
      <c r="F1912" s="1">
        <v>5.8300000000000001E-6</v>
      </c>
      <c r="G1912">
        <f t="shared" si="347"/>
        <v>6</v>
      </c>
      <c r="H1912" t="str">
        <f>RIGHT(B1912,3)</f>
        <v>BTC</v>
      </c>
      <c r="I1912" t="str">
        <f>LEFT(B1912,3)</f>
        <v>XSY</v>
      </c>
      <c r="J1912" t="str">
        <f t="shared" si="348"/>
        <v>BTCXSY</v>
      </c>
      <c r="K1912" t="str">
        <f t="shared" si="349"/>
        <v>XSYBTC</v>
      </c>
      <c r="L1912">
        <f t="shared" si="350"/>
        <v>0</v>
      </c>
      <c r="M1912">
        <f t="shared" si="351"/>
        <v>1</v>
      </c>
      <c r="N1912" t="b">
        <f t="shared" si="352"/>
        <v>1</v>
      </c>
    </row>
    <row r="1913" spans="1:14" hidden="1" x14ac:dyDescent="0.25">
      <c r="A1913" t="s">
        <v>5</v>
      </c>
      <c r="B1913" t="s">
        <v>531</v>
      </c>
      <c r="C1913" s="1" t="s">
        <v>362</v>
      </c>
      <c r="D1913" s="1" t="s">
        <v>364</v>
      </c>
      <c r="E1913" s="1" t="s">
        <v>362</v>
      </c>
      <c r="F1913" s="1">
        <v>3.8999999999999999E-6</v>
      </c>
      <c r="G1913">
        <f t="shared" si="347"/>
        <v>5</v>
      </c>
      <c r="H1913" t="str">
        <f>RIGHT(B1913,3)</f>
        <v>BTC</v>
      </c>
      <c r="I1913" t="str">
        <f>LEFT(B1913,2)</f>
        <v>XT</v>
      </c>
      <c r="J1913" t="str">
        <f t="shared" si="348"/>
        <v>BTCXT</v>
      </c>
      <c r="K1913" t="str">
        <f t="shared" si="349"/>
        <v>XTBTC</v>
      </c>
      <c r="L1913">
        <f t="shared" si="350"/>
        <v>0</v>
      </c>
      <c r="M1913">
        <f t="shared" si="351"/>
        <v>1</v>
      </c>
      <c r="N1913" t="b">
        <f t="shared" si="352"/>
        <v>1</v>
      </c>
    </row>
    <row r="1914" spans="1:14" hidden="1" x14ac:dyDescent="0.25">
      <c r="A1914" t="s">
        <v>1403</v>
      </c>
      <c r="B1914" t="s">
        <v>2086</v>
      </c>
      <c r="C1914" s="1">
        <v>152.49999998000001</v>
      </c>
      <c r="D1914" s="1">
        <v>152.49999998000001</v>
      </c>
      <c r="E1914" s="1">
        <v>152.53880000000001</v>
      </c>
      <c r="F1914" s="1">
        <v>0.99800001000000005</v>
      </c>
      <c r="G1914">
        <f t="shared" si="347"/>
        <v>7</v>
      </c>
      <c r="H1914" t="str">
        <f>RIGHT(B1914,4)</f>
        <v>DOGE</v>
      </c>
      <c r="I1914" t="str">
        <f t="shared" ref="I1914:I1943" si="359">LEFT(B1914,3)</f>
        <v>XTO</v>
      </c>
      <c r="J1914" t="str">
        <f t="shared" si="348"/>
        <v>DOGEXTO</v>
      </c>
      <c r="K1914" t="str">
        <f t="shared" si="349"/>
        <v>XTODOGE</v>
      </c>
      <c r="L1914">
        <f t="shared" si="350"/>
        <v>0</v>
      </c>
      <c r="M1914">
        <f t="shared" si="351"/>
        <v>1</v>
      </c>
      <c r="N1914" t="b">
        <f t="shared" si="352"/>
        <v>1</v>
      </c>
    </row>
    <row r="1915" spans="1:14" hidden="1" x14ac:dyDescent="0.25">
      <c r="A1915" t="s">
        <v>1403</v>
      </c>
      <c r="B1915" t="s">
        <v>1892</v>
      </c>
      <c r="C1915" s="1">
        <v>0</v>
      </c>
      <c r="D1915" s="1">
        <v>0</v>
      </c>
      <c r="E1915" s="1">
        <v>9.8000000000000004E-2</v>
      </c>
      <c r="F1915" s="1" t="s">
        <v>356</v>
      </c>
      <c r="G1915">
        <f t="shared" si="347"/>
        <v>6</v>
      </c>
      <c r="H1915" t="str">
        <f>RIGHT(B1915,3)</f>
        <v>LTC</v>
      </c>
      <c r="I1915" t="str">
        <f t="shared" si="359"/>
        <v>XTO</v>
      </c>
      <c r="J1915" t="str">
        <f t="shared" si="348"/>
        <v>LTCXTO</v>
      </c>
      <c r="K1915" t="str">
        <f t="shared" si="349"/>
        <v>XTOLTC</v>
      </c>
      <c r="L1915">
        <f t="shared" si="350"/>
        <v>0</v>
      </c>
      <c r="M1915">
        <f t="shared" si="351"/>
        <v>1</v>
      </c>
      <c r="N1915" t="b">
        <f t="shared" si="352"/>
        <v>1</v>
      </c>
    </row>
    <row r="1916" spans="1:14" hidden="1" x14ac:dyDescent="0.25">
      <c r="A1916" t="s">
        <v>1403</v>
      </c>
      <c r="B1916" t="s">
        <v>1701</v>
      </c>
      <c r="C1916" s="1">
        <v>4.8993979999999999E-2</v>
      </c>
      <c r="D1916" s="1">
        <v>4.8993979999999999E-2</v>
      </c>
      <c r="E1916" s="1">
        <v>5.7249351072E-2</v>
      </c>
      <c r="F1916" s="1">
        <v>2.0080699999999998E-3</v>
      </c>
      <c r="G1916">
        <f t="shared" si="347"/>
        <v>6</v>
      </c>
      <c r="H1916" t="str">
        <f>RIGHT(B1916,3)</f>
        <v>USD</v>
      </c>
      <c r="I1916" t="str">
        <f t="shared" si="359"/>
        <v>XTO</v>
      </c>
      <c r="J1916" t="str">
        <f t="shared" si="348"/>
        <v>USDXTO</v>
      </c>
      <c r="K1916" t="str">
        <f t="shared" si="349"/>
        <v>XTOUSD</v>
      </c>
      <c r="L1916">
        <f t="shared" si="350"/>
        <v>0</v>
      </c>
      <c r="M1916">
        <f t="shared" si="351"/>
        <v>1</v>
      </c>
      <c r="N1916" t="b">
        <f t="shared" si="352"/>
        <v>1</v>
      </c>
    </row>
    <row r="1917" spans="1:14" hidden="1" x14ac:dyDescent="0.25">
      <c r="A1917" t="s">
        <v>1403</v>
      </c>
      <c r="B1917" t="s">
        <v>1525</v>
      </c>
      <c r="C1917" s="1">
        <v>5.5199999999999997E-6</v>
      </c>
      <c r="D1917" s="1">
        <v>1.359E-5</v>
      </c>
      <c r="E1917" s="1">
        <v>1.359E-5</v>
      </c>
      <c r="F1917" s="1">
        <v>4.7299999999999996E-6</v>
      </c>
      <c r="G1917">
        <f t="shared" si="347"/>
        <v>6</v>
      </c>
      <c r="H1917" t="str">
        <f>RIGHT(B1917,3)</f>
        <v>BTC</v>
      </c>
      <c r="I1917" t="str">
        <f t="shared" si="359"/>
        <v>XTP</v>
      </c>
      <c r="J1917" t="str">
        <f t="shared" si="348"/>
        <v>BTCXTP</v>
      </c>
      <c r="K1917" t="str">
        <f t="shared" si="349"/>
        <v>XTPBTC</v>
      </c>
      <c r="L1917">
        <f t="shared" si="350"/>
        <v>0</v>
      </c>
      <c r="M1917">
        <f t="shared" si="351"/>
        <v>1</v>
      </c>
      <c r="N1917" t="b">
        <f t="shared" si="352"/>
        <v>1</v>
      </c>
    </row>
    <row r="1918" spans="1:14" hidden="1" x14ac:dyDescent="0.25">
      <c r="A1918" t="s">
        <v>1403</v>
      </c>
      <c r="B1918" t="s">
        <v>2087</v>
      </c>
      <c r="C1918" s="1">
        <v>1.91786E-3</v>
      </c>
      <c r="D1918" s="1">
        <v>50.44117645</v>
      </c>
      <c r="E1918" s="1">
        <v>39.5966004</v>
      </c>
      <c r="F1918" s="1">
        <v>1.1710000300000001</v>
      </c>
      <c r="G1918">
        <f t="shared" si="347"/>
        <v>7</v>
      </c>
      <c r="H1918" t="str">
        <f>RIGHT(B1918,4)</f>
        <v>DOGE</v>
      </c>
      <c r="I1918" t="str">
        <f t="shared" si="359"/>
        <v>XTP</v>
      </c>
      <c r="J1918" t="str">
        <f t="shared" si="348"/>
        <v>DOGEXTP</v>
      </c>
      <c r="K1918" t="str">
        <f t="shared" si="349"/>
        <v>XTPDOGE</v>
      </c>
      <c r="L1918">
        <f t="shared" si="350"/>
        <v>0</v>
      </c>
      <c r="M1918">
        <f t="shared" si="351"/>
        <v>1</v>
      </c>
      <c r="N1918" t="b">
        <f t="shared" si="352"/>
        <v>1</v>
      </c>
    </row>
    <row r="1919" spans="1:14" hidden="1" x14ac:dyDescent="0.25">
      <c r="A1919" t="s">
        <v>1403</v>
      </c>
      <c r="B1919" t="s">
        <v>1893</v>
      </c>
      <c r="C1919" s="1">
        <v>1991.9998000000001</v>
      </c>
      <c r="D1919" s="1">
        <v>1991.9998000000001</v>
      </c>
      <c r="E1919" s="1">
        <v>1</v>
      </c>
      <c r="F1919" s="1">
        <v>1.5E-6</v>
      </c>
      <c r="G1919">
        <f t="shared" si="347"/>
        <v>6</v>
      </c>
      <c r="H1919" t="str">
        <f>RIGHT(B1919,3)</f>
        <v>LTC</v>
      </c>
      <c r="I1919" t="str">
        <f t="shared" si="359"/>
        <v>XTP</v>
      </c>
      <c r="J1919" t="str">
        <f t="shared" si="348"/>
        <v>LTCXTP</v>
      </c>
      <c r="K1919" t="str">
        <f t="shared" si="349"/>
        <v>XTPLTC</v>
      </c>
      <c r="L1919">
        <f t="shared" si="350"/>
        <v>0</v>
      </c>
      <c r="M1919">
        <f t="shared" si="351"/>
        <v>1</v>
      </c>
      <c r="N1919" t="b">
        <f t="shared" si="352"/>
        <v>1</v>
      </c>
    </row>
    <row r="1920" spans="1:14" hidden="1" x14ac:dyDescent="0.25">
      <c r="A1920" t="s">
        <v>1403</v>
      </c>
      <c r="B1920" t="s">
        <v>1702</v>
      </c>
      <c r="C1920" s="1">
        <v>0.05</v>
      </c>
      <c r="D1920" s="1">
        <v>0.05</v>
      </c>
      <c r="E1920" s="1">
        <v>0.133796800392492</v>
      </c>
      <c r="F1920" s="1">
        <v>2.6812E-4</v>
      </c>
      <c r="G1920">
        <f t="shared" si="347"/>
        <v>6</v>
      </c>
      <c r="H1920" t="str">
        <f>RIGHT(B1920,3)</f>
        <v>USD</v>
      </c>
      <c r="I1920" t="str">
        <f t="shared" si="359"/>
        <v>XTP</v>
      </c>
      <c r="J1920" t="str">
        <f t="shared" si="348"/>
        <v>USDXTP</v>
      </c>
      <c r="K1920" t="str">
        <f t="shared" si="349"/>
        <v>XTPUSD</v>
      </c>
      <c r="L1920">
        <f t="shared" si="350"/>
        <v>0</v>
      </c>
      <c r="M1920">
        <f t="shared" si="351"/>
        <v>1</v>
      </c>
      <c r="N1920" t="b">
        <f t="shared" si="352"/>
        <v>1</v>
      </c>
    </row>
    <row r="1921" spans="1:14" hidden="1" x14ac:dyDescent="0.25">
      <c r="A1921" t="s">
        <v>5</v>
      </c>
      <c r="B1921" t="s">
        <v>933</v>
      </c>
      <c r="C1921" s="1" t="s">
        <v>362</v>
      </c>
      <c r="D1921" s="1" t="s">
        <v>364</v>
      </c>
      <c r="E1921" s="1" t="s">
        <v>362</v>
      </c>
      <c r="F1921" s="1">
        <v>2.5509000000000003E-4</v>
      </c>
      <c r="G1921">
        <f t="shared" ref="G1921:G1984" si="360">LEN(B1921)</f>
        <v>6</v>
      </c>
      <c r="H1921" t="str">
        <f>RIGHT(B1921,3)</f>
        <v>BTC</v>
      </c>
      <c r="I1921" t="str">
        <f t="shared" si="359"/>
        <v>XTR</v>
      </c>
      <c r="J1921" t="str">
        <f t="shared" ref="J1921:J1984" si="361">CONCATENATE(H1921,I1921)</f>
        <v>BTCXTR</v>
      </c>
      <c r="K1921" t="str">
        <f t="shared" ref="K1921:K1984" si="362">CONCATENATE(I1921,H1921)</f>
        <v>XTRBTC</v>
      </c>
      <c r="L1921">
        <f t="shared" ref="L1921:L1984" si="363">COUNTIF(B:B,J1921)</f>
        <v>0</v>
      </c>
      <c r="M1921">
        <f t="shared" ref="M1921:M1984" si="364">COUNTIF(B:B,K1921)</f>
        <v>1</v>
      </c>
      <c r="N1921" t="b">
        <f t="shared" ref="N1921:N1984" si="365">L1921=0</f>
        <v>1</v>
      </c>
    </row>
    <row r="1922" spans="1:14" hidden="1" x14ac:dyDescent="0.25">
      <c r="A1922" t="s">
        <v>5</v>
      </c>
      <c r="B1922" t="s">
        <v>1187</v>
      </c>
      <c r="C1922" s="1">
        <v>4.4839999999999998E-5</v>
      </c>
      <c r="D1922" s="1">
        <v>2.086E-5</v>
      </c>
      <c r="E1922" s="1">
        <v>4.4839999999999998E-5</v>
      </c>
      <c r="F1922" s="1">
        <v>2.086E-5</v>
      </c>
      <c r="G1922">
        <f t="shared" si="360"/>
        <v>6</v>
      </c>
      <c r="H1922" t="str">
        <f>RIGHT(B1922,3)</f>
        <v>BTC</v>
      </c>
      <c r="I1922" t="str">
        <f t="shared" si="359"/>
        <v>XUP</v>
      </c>
      <c r="J1922" t="str">
        <f t="shared" si="361"/>
        <v>BTCXUP</v>
      </c>
      <c r="K1922" t="str">
        <f t="shared" si="362"/>
        <v>XUPBTC</v>
      </c>
      <c r="L1922">
        <f t="shared" si="363"/>
        <v>0</v>
      </c>
      <c r="M1922">
        <f t="shared" si="364"/>
        <v>1</v>
      </c>
      <c r="N1922" t="b">
        <f t="shared" si="365"/>
        <v>1</v>
      </c>
    </row>
    <row r="1923" spans="1:14" hidden="1" x14ac:dyDescent="0.25">
      <c r="A1923" t="s">
        <v>5</v>
      </c>
      <c r="B1923" t="s">
        <v>472</v>
      </c>
      <c r="C1923" s="1">
        <v>1.1000000000000001E-7</v>
      </c>
      <c r="D1923" s="1" t="s">
        <v>355</v>
      </c>
      <c r="E1923" s="1">
        <v>1.1000000000000001E-7</v>
      </c>
      <c r="F1923" s="1" t="s">
        <v>355</v>
      </c>
      <c r="G1923">
        <f t="shared" si="360"/>
        <v>6</v>
      </c>
      <c r="H1923" t="str">
        <f>RIGHT(B1923,3)</f>
        <v>BTC</v>
      </c>
      <c r="I1923" t="str">
        <f t="shared" si="359"/>
        <v>XVE</v>
      </c>
      <c r="J1923" t="str">
        <f t="shared" si="361"/>
        <v>BTCXVE</v>
      </c>
      <c r="K1923" t="str">
        <f t="shared" si="362"/>
        <v>XVEBTC</v>
      </c>
      <c r="L1923">
        <f t="shared" si="363"/>
        <v>0</v>
      </c>
      <c r="M1923">
        <f t="shared" si="364"/>
        <v>1</v>
      </c>
      <c r="N1923" t="b">
        <f t="shared" si="365"/>
        <v>1</v>
      </c>
    </row>
    <row r="1924" spans="1:14" hidden="1" x14ac:dyDescent="0.25">
      <c r="A1924" t="s">
        <v>1403</v>
      </c>
      <c r="B1924" t="s">
        <v>2088</v>
      </c>
      <c r="C1924" s="1">
        <v>6.0000089999999999E-2</v>
      </c>
      <c r="D1924" s="1">
        <v>1.3969</v>
      </c>
      <c r="E1924" s="1">
        <v>1.3969</v>
      </c>
      <c r="F1924" s="1">
        <v>1.1439999999999999</v>
      </c>
      <c r="G1924">
        <f t="shared" si="360"/>
        <v>7</v>
      </c>
      <c r="H1924" t="str">
        <f>RIGHT(B1924,4)</f>
        <v>DOGE</v>
      </c>
      <c r="I1924" t="str">
        <f t="shared" si="359"/>
        <v>XVG</v>
      </c>
      <c r="J1924" t="str">
        <f t="shared" si="361"/>
        <v>DOGEXVG</v>
      </c>
      <c r="K1924" t="str">
        <f t="shared" si="362"/>
        <v>XVGDOGE</v>
      </c>
      <c r="L1924">
        <f t="shared" si="363"/>
        <v>0</v>
      </c>
      <c r="M1924">
        <f t="shared" si="364"/>
        <v>1</v>
      </c>
      <c r="N1924" t="b">
        <f t="shared" si="365"/>
        <v>1</v>
      </c>
    </row>
    <row r="1925" spans="1:14" hidden="1" x14ac:dyDescent="0.25">
      <c r="A1925" t="s">
        <v>1403</v>
      </c>
      <c r="B1925" t="s">
        <v>1894</v>
      </c>
      <c r="C1925" s="1">
        <v>3.4599999999999999E-6</v>
      </c>
      <c r="D1925" s="1">
        <v>2.5589999999999999E-4</v>
      </c>
      <c r="E1925" s="1">
        <v>2.5490000000000002E-4</v>
      </c>
      <c r="F1925" s="1">
        <v>9.8999999999999994E-5</v>
      </c>
      <c r="G1925">
        <f t="shared" si="360"/>
        <v>6</v>
      </c>
      <c r="H1925" t="str">
        <f>RIGHT(B1925,3)</f>
        <v>LTC</v>
      </c>
      <c r="I1925" t="str">
        <f t="shared" si="359"/>
        <v>XVG</v>
      </c>
      <c r="J1925" t="str">
        <f t="shared" si="361"/>
        <v>LTCXVG</v>
      </c>
      <c r="K1925" t="str">
        <f t="shared" si="362"/>
        <v>XVGLTC</v>
      </c>
      <c r="L1925">
        <f t="shared" si="363"/>
        <v>0</v>
      </c>
      <c r="M1925">
        <f t="shared" si="364"/>
        <v>1</v>
      </c>
      <c r="N1925" t="b">
        <f t="shared" si="365"/>
        <v>1</v>
      </c>
    </row>
    <row r="1926" spans="1:14" hidden="1" x14ac:dyDescent="0.25">
      <c r="A1926" t="s">
        <v>1403</v>
      </c>
      <c r="B1926" t="s">
        <v>1703</v>
      </c>
      <c r="C1926" s="1">
        <v>5.1800000000000004E-6</v>
      </c>
      <c r="D1926" s="1">
        <v>5.4999999999999997E-3</v>
      </c>
      <c r="E1926" s="1">
        <v>5.8639830660199999E-3</v>
      </c>
      <c r="F1926" s="1">
        <v>3.2000000000000002E-3</v>
      </c>
      <c r="G1926">
        <f t="shared" si="360"/>
        <v>6</v>
      </c>
      <c r="H1926" t="str">
        <f>RIGHT(B1926,3)</f>
        <v>USD</v>
      </c>
      <c r="I1926" t="str">
        <f t="shared" si="359"/>
        <v>XVG</v>
      </c>
      <c r="J1926" t="str">
        <f t="shared" si="361"/>
        <v>USDXVG</v>
      </c>
      <c r="K1926" t="str">
        <f t="shared" si="362"/>
        <v>XVGUSD</v>
      </c>
      <c r="L1926">
        <f t="shared" si="363"/>
        <v>0</v>
      </c>
      <c r="M1926">
        <f t="shared" si="364"/>
        <v>1</v>
      </c>
      <c r="N1926" t="b">
        <f t="shared" si="365"/>
        <v>1</v>
      </c>
    </row>
    <row r="1927" spans="1:14" hidden="1" x14ac:dyDescent="0.25">
      <c r="A1927" t="s">
        <v>5</v>
      </c>
      <c r="B1927" t="s">
        <v>753</v>
      </c>
      <c r="C1927" s="1">
        <v>2.2999999999999999E-7</v>
      </c>
      <c r="D1927" s="1" t="s">
        <v>368</v>
      </c>
      <c r="E1927" s="1">
        <v>2.2999999999999999E-7</v>
      </c>
      <c r="F1927" s="1" t="s">
        <v>368</v>
      </c>
      <c r="G1927">
        <f t="shared" si="360"/>
        <v>6</v>
      </c>
      <c r="H1927" t="str">
        <f>RIGHT(B1927,3)</f>
        <v>BTC</v>
      </c>
      <c r="I1927" t="str">
        <f t="shared" si="359"/>
        <v>XVS</v>
      </c>
      <c r="J1927" t="str">
        <f t="shared" si="361"/>
        <v>BTCXVS</v>
      </c>
      <c r="K1927" t="str">
        <f t="shared" si="362"/>
        <v>XVSBTC</v>
      </c>
      <c r="L1927">
        <f t="shared" si="363"/>
        <v>0</v>
      </c>
      <c r="M1927">
        <f t="shared" si="364"/>
        <v>1</v>
      </c>
      <c r="N1927" t="b">
        <f t="shared" si="365"/>
        <v>1</v>
      </c>
    </row>
    <row r="1928" spans="1:14" hidden="1" x14ac:dyDescent="0.25">
      <c r="A1928" t="s">
        <v>1403</v>
      </c>
      <c r="B1928" t="s">
        <v>1526</v>
      </c>
      <c r="C1928" s="1">
        <v>5.4998000000000004E-4</v>
      </c>
      <c r="D1928" s="1">
        <v>6.2989999999999997E-4</v>
      </c>
      <c r="E1928" s="1">
        <v>6.3000000000000003E-4</v>
      </c>
      <c r="F1928" s="1">
        <v>4.0472214593879999E-4</v>
      </c>
      <c r="G1928">
        <f t="shared" si="360"/>
        <v>6</v>
      </c>
      <c r="H1928" t="str">
        <f>RIGHT(B1928,3)</f>
        <v>BTC</v>
      </c>
      <c r="I1928" t="str">
        <f t="shared" si="359"/>
        <v>XZA</v>
      </c>
      <c r="J1928" t="str">
        <f t="shared" si="361"/>
        <v>BTCXZA</v>
      </c>
      <c r="K1928" t="str">
        <f t="shared" si="362"/>
        <v>XZABTC</v>
      </c>
      <c r="L1928">
        <f t="shared" si="363"/>
        <v>0</v>
      </c>
      <c r="M1928">
        <f t="shared" si="364"/>
        <v>1</v>
      </c>
      <c r="N1928" t="b">
        <f t="shared" si="365"/>
        <v>1</v>
      </c>
    </row>
    <row r="1929" spans="1:14" hidden="1" x14ac:dyDescent="0.25">
      <c r="A1929" t="s">
        <v>1403</v>
      </c>
      <c r="B1929" t="s">
        <v>2089</v>
      </c>
      <c r="C1929" s="1">
        <v>1998</v>
      </c>
      <c r="D1929" s="1">
        <v>1998</v>
      </c>
      <c r="E1929" s="1">
        <v>1998</v>
      </c>
      <c r="F1929" s="1">
        <v>1.1500103800000001</v>
      </c>
      <c r="G1929">
        <f t="shared" si="360"/>
        <v>7</v>
      </c>
      <c r="H1929" t="str">
        <f>RIGHT(B1929,4)</f>
        <v>DOGE</v>
      </c>
      <c r="I1929" t="str">
        <f t="shared" si="359"/>
        <v>XZA</v>
      </c>
      <c r="J1929" t="str">
        <f t="shared" si="361"/>
        <v>DOGEXZA</v>
      </c>
      <c r="K1929" t="str">
        <f t="shared" si="362"/>
        <v>XZADOGE</v>
      </c>
      <c r="L1929">
        <f t="shared" si="363"/>
        <v>0</v>
      </c>
      <c r="M1929">
        <f t="shared" si="364"/>
        <v>1</v>
      </c>
      <c r="N1929" t="b">
        <f t="shared" si="365"/>
        <v>1</v>
      </c>
    </row>
    <row r="1930" spans="1:14" hidden="1" x14ac:dyDescent="0.25">
      <c r="A1930" t="s">
        <v>1403</v>
      </c>
      <c r="B1930" t="s">
        <v>1895</v>
      </c>
      <c r="C1930" s="1">
        <v>0</v>
      </c>
      <c r="D1930" s="1">
        <v>0</v>
      </c>
      <c r="E1930" s="1">
        <v>0.19999890000000001</v>
      </c>
      <c r="F1930" s="1">
        <v>1.012E-5</v>
      </c>
      <c r="G1930">
        <f t="shared" si="360"/>
        <v>6</v>
      </c>
      <c r="H1930" t="str">
        <f t="shared" ref="H1930:H1936" si="366">RIGHT(B1930,3)</f>
        <v>LTC</v>
      </c>
      <c r="I1930" t="str">
        <f t="shared" si="359"/>
        <v>XZA</v>
      </c>
      <c r="J1930" t="str">
        <f t="shared" si="361"/>
        <v>LTCXZA</v>
      </c>
      <c r="K1930" t="str">
        <f t="shared" si="362"/>
        <v>XZALTC</v>
      </c>
      <c r="L1930">
        <f t="shared" si="363"/>
        <v>0</v>
      </c>
      <c r="M1930">
        <f t="shared" si="364"/>
        <v>1</v>
      </c>
      <c r="N1930" t="b">
        <f t="shared" si="365"/>
        <v>1</v>
      </c>
    </row>
    <row r="1931" spans="1:14" hidden="1" x14ac:dyDescent="0.25">
      <c r="A1931" t="s">
        <v>1403</v>
      </c>
      <c r="B1931" t="s">
        <v>1704</v>
      </c>
      <c r="C1931" s="1">
        <v>1.9999999799999999</v>
      </c>
      <c r="D1931" s="1">
        <v>1.9999999799999999</v>
      </c>
      <c r="E1931" s="1">
        <v>1.9999999900000001</v>
      </c>
      <c r="F1931" s="1">
        <v>0.74999009000000005</v>
      </c>
      <c r="G1931">
        <f t="shared" si="360"/>
        <v>6</v>
      </c>
      <c r="H1931" t="str">
        <f t="shared" si="366"/>
        <v>USD</v>
      </c>
      <c r="I1931" t="str">
        <f t="shared" si="359"/>
        <v>XZA</v>
      </c>
      <c r="J1931" t="str">
        <f t="shared" si="361"/>
        <v>USDXZA</v>
      </c>
      <c r="K1931" t="str">
        <f t="shared" si="362"/>
        <v>XZAUSD</v>
      </c>
      <c r="L1931">
        <f t="shared" si="363"/>
        <v>0</v>
      </c>
      <c r="M1931">
        <f t="shared" si="364"/>
        <v>1</v>
      </c>
      <c r="N1931" t="b">
        <f t="shared" si="365"/>
        <v>1</v>
      </c>
    </row>
    <row r="1932" spans="1:14" hidden="1" x14ac:dyDescent="0.25">
      <c r="A1932" t="s">
        <v>5</v>
      </c>
      <c r="B1932" t="s">
        <v>608</v>
      </c>
      <c r="C1932" s="1">
        <v>3.1E-7</v>
      </c>
      <c r="D1932" s="1" t="s">
        <v>374</v>
      </c>
      <c r="E1932" s="1">
        <v>3.1E-7</v>
      </c>
      <c r="F1932" s="1" t="s">
        <v>374</v>
      </c>
      <c r="G1932">
        <f t="shared" si="360"/>
        <v>6</v>
      </c>
      <c r="H1932" t="str">
        <f t="shared" si="366"/>
        <v>BTC</v>
      </c>
      <c r="I1932" t="str">
        <f t="shared" si="359"/>
        <v>YAC</v>
      </c>
      <c r="J1932" t="str">
        <f t="shared" si="361"/>
        <v>BTCYAC</v>
      </c>
      <c r="K1932" t="str">
        <f t="shared" si="362"/>
        <v>YACBTC</v>
      </c>
      <c r="L1932">
        <f t="shared" si="363"/>
        <v>0</v>
      </c>
      <c r="M1932">
        <f t="shared" si="364"/>
        <v>1</v>
      </c>
      <c r="N1932" t="b">
        <f t="shared" si="365"/>
        <v>1</v>
      </c>
    </row>
    <row r="1933" spans="1:14" hidden="1" x14ac:dyDescent="0.25">
      <c r="A1933" t="s">
        <v>5</v>
      </c>
      <c r="B1933" t="s">
        <v>555</v>
      </c>
      <c r="C1933" s="1" t="s">
        <v>361</v>
      </c>
      <c r="D1933" s="1" t="s">
        <v>362</v>
      </c>
      <c r="E1933" s="1" t="s">
        <v>361</v>
      </c>
      <c r="F1933" s="1" t="s">
        <v>362</v>
      </c>
      <c r="G1933">
        <f t="shared" si="360"/>
        <v>6</v>
      </c>
      <c r="H1933" t="str">
        <f t="shared" si="366"/>
        <v>BTC</v>
      </c>
      <c r="I1933" t="str">
        <f t="shared" si="359"/>
        <v>YAY</v>
      </c>
      <c r="J1933" t="str">
        <f t="shared" si="361"/>
        <v>BTCYAY</v>
      </c>
      <c r="K1933" t="str">
        <f t="shared" si="362"/>
        <v>YAYBTC</v>
      </c>
      <c r="L1933">
        <f t="shared" si="363"/>
        <v>0</v>
      </c>
      <c r="M1933">
        <f t="shared" si="364"/>
        <v>1</v>
      </c>
      <c r="N1933" t="b">
        <f t="shared" si="365"/>
        <v>1</v>
      </c>
    </row>
    <row r="1934" spans="1:14" hidden="1" x14ac:dyDescent="0.25">
      <c r="A1934" t="s">
        <v>5</v>
      </c>
      <c r="B1934" t="s">
        <v>937</v>
      </c>
      <c r="C1934" s="1">
        <v>0.17989999000000001</v>
      </c>
      <c r="D1934" s="1">
        <v>0.11000316</v>
      </c>
      <c r="E1934" s="1" t="s">
        <v>368</v>
      </c>
      <c r="F1934" s="1">
        <v>0.110003120360011</v>
      </c>
      <c r="G1934">
        <f t="shared" si="360"/>
        <v>6</v>
      </c>
      <c r="H1934" t="str">
        <f t="shared" si="366"/>
        <v>BTC</v>
      </c>
      <c r="I1934" t="str">
        <f t="shared" si="359"/>
        <v>YBC</v>
      </c>
      <c r="J1934" t="str">
        <f t="shared" si="361"/>
        <v>BTCYBC</v>
      </c>
      <c r="K1934" t="str">
        <f t="shared" si="362"/>
        <v>YBCBTC</v>
      </c>
      <c r="L1934">
        <f t="shared" si="363"/>
        <v>0</v>
      </c>
      <c r="M1934">
        <f t="shared" si="364"/>
        <v>1</v>
      </c>
      <c r="N1934" t="b">
        <f t="shared" si="365"/>
        <v>1</v>
      </c>
    </row>
    <row r="1935" spans="1:14" hidden="1" x14ac:dyDescent="0.25">
      <c r="A1935" t="s">
        <v>5</v>
      </c>
      <c r="B1935" t="s">
        <v>1225</v>
      </c>
      <c r="C1935" s="1" t="s">
        <v>362</v>
      </c>
      <c r="D1935" s="1" t="s">
        <v>364</v>
      </c>
      <c r="E1935" s="1" t="s">
        <v>362</v>
      </c>
      <c r="F1935" s="1">
        <v>1.1599999999999999E-6</v>
      </c>
      <c r="G1935">
        <f t="shared" si="360"/>
        <v>6</v>
      </c>
      <c r="H1935" t="str">
        <f t="shared" si="366"/>
        <v>BTC</v>
      </c>
      <c r="I1935" t="str">
        <f t="shared" si="359"/>
        <v>YES</v>
      </c>
      <c r="J1935" t="str">
        <f t="shared" si="361"/>
        <v>BTCYES</v>
      </c>
      <c r="K1935" t="str">
        <f t="shared" si="362"/>
        <v>YESBTC</v>
      </c>
      <c r="L1935">
        <f t="shared" si="363"/>
        <v>0</v>
      </c>
      <c r="M1935">
        <f t="shared" si="364"/>
        <v>1</v>
      </c>
      <c r="N1935" t="b">
        <f t="shared" si="365"/>
        <v>1</v>
      </c>
    </row>
    <row r="1936" spans="1:14" hidden="1" x14ac:dyDescent="0.25">
      <c r="A1936" t="s">
        <v>5</v>
      </c>
      <c r="B1936" t="s">
        <v>1033</v>
      </c>
      <c r="C1936" s="1" t="s">
        <v>381</v>
      </c>
      <c r="D1936" s="1" t="s">
        <v>361</v>
      </c>
      <c r="E1936" s="1" t="s">
        <v>381</v>
      </c>
      <c r="F1936" s="1" t="s">
        <v>361</v>
      </c>
      <c r="G1936">
        <f t="shared" si="360"/>
        <v>6</v>
      </c>
      <c r="H1936" t="str">
        <f t="shared" si="366"/>
        <v>BTC</v>
      </c>
      <c r="I1936" t="str">
        <f t="shared" si="359"/>
        <v>YMC</v>
      </c>
      <c r="J1936" t="str">
        <f t="shared" si="361"/>
        <v>BTCYMC</v>
      </c>
      <c r="K1936" t="str">
        <f t="shared" si="362"/>
        <v>YMCBTC</v>
      </c>
      <c r="L1936">
        <f t="shared" si="363"/>
        <v>0</v>
      </c>
      <c r="M1936">
        <f t="shared" si="364"/>
        <v>1</v>
      </c>
      <c r="N1936" t="b">
        <f t="shared" si="365"/>
        <v>1</v>
      </c>
    </row>
    <row r="1937" spans="1:14" hidden="1" x14ac:dyDescent="0.25">
      <c r="A1937" t="s">
        <v>1403</v>
      </c>
      <c r="B1937" t="s">
        <v>2090</v>
      </c>
      <c r="C1937" s="1">
        <v>3.3</v>
      </c>
      <c r="D1937" s="1">
        <v>3.3</v>
      </c>
      <c r="E1937" s="1">
        <v>3.2999000000000001</v>
      </c>
      <c r="F1937" s="1">
        <v>1.0000000600000001</v>
      </c>
      <c r="G1937">
        <f t="shared" si="360"/>
        <v>7</v>
      </c>
      <c r="H1937" t="str">
        <f>RIGHT(B1937,4)</f>
        <v>DOGE</v>
      </c>
      <c r="I1937" t="str">
        <f t="shared" si="359"/>
        <v>YOC</v>
      </c>
      <c r="J1937" t="str">
        <f t="shared" si="361"/>
        <v>DOGEYOC</v>
      </c>
      <c r="K1937" t="str">
        <f t="shared" si="362"/>
        <v>YOCDOGE</v>
      </c>
      <c r="L1937">
        <f t="shared" si="363"/>
        <v>0</v>
      </c>
      <c r="M1937">
        <f t="shared" si="364"/>
        <v>1</v>
      </c>
      <c r="N1937" t="b">
        <f t="shared" si="365"/>
        <v>1</v>
      </c>
    </row>
    <row r="1938" spans="1:14" hidden="1" x14ac:dyDescent="0.25">
      <c r="A1938" t="s">
        <v>1403</v>
      </c>
      <c r="B1938" t="s">
        <v>1896</v>
      </c>
      <c r="C1938" s="1">
        <v>8.0140000000000002E-5</v>
      </c>
      <c r="D1938" s="1">
        <v>8.0140000000000002E-5</v>
      </c>
      <c r="E1938" s="1">
        <v>8.0117999999999997E-4</v>
      </c>
      <c r="F1938" s="1">
        <v>8.0270000000000002E-5</v>
      </c>
      <c r="G1938">
        <f t="shared" si="360"/>
        <v>6</v>
      </c>
      <c r="H1938" t="str">
        <f>RIGHT(B1938,3)</f>
        <v>LTC</v>
      </c>
      <c r="I1938" t="str">
        <f t="shared" si="359"/>
        <v>YOC</v>
      </c>
      <c r="J1938" t="str">
        <f t="shared" si="361"/>
        <v>LTCYOC</v>
      </c>
      <c r="K1938" t="str">
        <f t="shared" si="362"/>
        <v>YOCLTC</v>
      </c>
      <c r="L1938">
        <f t="shared" si="363"/>
        <v>0</v>
      </c>
      <c r="M1938">
        <f t="shared" si="364"/>
        <v>1</v>
      </c>
      <c r="N1938" t="b">
        <f t="shared" si="365"/>
        <v>1</v>
      </c>
    </row>
    <row r="1939" spans="1:14" hidden="1" x14ac:dyDescent="0.25">
      <c r="A1939" t="s">
        <v>1239</v>
      </c>
      <c r="B1939" t="s">
        <v>1260</v>
      </c>
      <c r="C1939" s="1">
        <v>0.69998000000000005</v>
      </c>
      <c r="D1939" s="1">
        <v>0.41050999999999999</v>
      </c>
      <c r="E1939" s="1">
        <v>0.69998000000000005</v>
      </c>
      <c r="F1939" s="1">
        <v>0.41050999999999999</v>
      </c>
      <c r="G1939">
        <f t="shared" si="360"/>
        <v>6</v>
      </c>
      <c r="H1939" t="str">
        <f>RIGHT(B1939,3)</f>
        <v>RUR</v>
      </c>
      <c r="I1939" t="str">
        <f t="shared" si="359"/>
        <v>YOC</v>
      </c>
      <c r="J1939" t="str">
        <f t="shared" si="361"/>
        <v>RURYOC</v>
      </c>
      <c r="K1939" t="str">
        <f t="shared" si="362"/>
        <v>YOCRUR</v>
      </c>
      <c r="L1939">
        <f t="shared" si="363"/>
        <v>0</v>
      </c>
      <c r="M1939">
        <f t="shared" si="364"/>
        <v>1</v>
      </c>
      <c r="N1939" t="b">
        <f t="shared" si="365"/>
        <v>1</v>
      </c>
    </row>
    <row r="1940" spans="1:14" hidden="1" x14ac:dyDescent="0.25">
      <c r="A1940" t="s">
        <v>1403</v>
      </c>
      <c r="B1940" t="s">
        <v>1527</v>
      </c>
      <c r="C1940" s="1">
        <v>9.8999999999999994E-5</v>
      </c>
      <c r="D1940" s="1">
        <v>1E-4</v>
      </c>
      <c r="E1940" s="1">
        <v>1E-4</v>
      </c>
      <c r="F1940" s="1" t="s">
        <v>84</v>
      </c>
      <c r="G1940">
        <f t="shared" si="360"/>
        <v>6</v>
      </c>
      <c r="H1940" t="str">
        <f>RIGHT(B1940,3)</f>
        <v>BTC</v>
      </c>
      <c r="I1940" t="str">
        <f t="shared" si="359"/>
        <v>YOG</v>
      </c>
      <c r="J1940" t="str">
        <f t="shared" si="361"/>
        <v>BTCYOG</v>
      </c>
      <c r="K1940" t="str">
        <f t="shared" si="362"/>
        <v>YOGBTC</v>
      </c>
      <c r="L1940">
        <f t="shared" si="363"/>
        <v>0</v>
      </c>
      <c r="M1940">
        <f t="shared" si="364"/>
        <v>1</v>
      </c>
      <c r="N1940" t="b">
        <f t="shared" si="365"/>
        <v>1</v>
      </c>
    </row>
    <row r="1941" spans="1:14" hidden="1" x14ac:dyDescent="0.25">
      <c r="A1941" t="s">
        <v>1403</v>
      </c>
      <c r="B1941" t="s">
        <v>2091</v>
      </c>
      <c r="C1941" s="1">
        <v>6.0000000099999999</v>
      </c>
      <c r="D1941" s="1">
        <v>6.0000000099999999</v>
      </c>
      <c r="E1941" s="1">
        <v>9999999</v>
      </c>
      <c r="F1941" s="1">
        <v>12</v>
      </c>
      <c r="G1941">
        <f t="shared" si="360"/>
        <v>7</v>
      </c>
      <c r="H1941" t="str">
        <f>RIGHT(B1941,4)</f>
        <v>DOGE</v>
      </c>
      <c r="I1941" t="str">
        <f t="shared" si="359"/>
        <v>YOG</v>
      </c>
      <c r="J1941" t="str">
        <f t="shared" si="361"/>
        <v>DOGEYOG</v>
      </c>
      <c r="K1941" t="str">
        <f t="shared" si="362"/>
        <v>YOGDOGE</v>
      </c>
      <c r="L1941">
        <f t="shared" si="363"/>
        <v>0</v>
      </c>
      <c r="M1941">
        <f t="shared" si="364"/>
        <v>1</v>
      </c>
      <c r="N1941" t="b">
        <f t="shared" si="365"/>
        <v>1</v>
      </c>
    </row>
    <row r="1942" spans="1:14" hidden="1" x14ac:dyDescent="0.25">
      <c r="A1942" t="s">
        <v>1403</v>
      </c>
      <c r="B1942" t="s">
        <v>1897</v>
      </c>
      <c r="C1942" s="1">
        <v>9.4564000000000002E-3</v>
      </c>
      <c r="D1942" s="1">
        <v>9.4564000000000002E-3</v>
      </c>
      <c r="E1942" s="1">
        <v>0.79999998999999999</v>
      </c>
      <c r="F1942" s="1">
        <v>2.8000000000000002E-7</v>
      </c>
      <c r="G1942">
        <f t="shared" si="360"/>
        <v>6</v>
      </c>
      <c r="H1942" t="str">
        <f>RIGHT(B1942,3)</f>
        <v>LTC</v>
      </c>
      <c r="I1942" t="str">
        <f t="shared" si="359"/>
        <v>YOG</v>
      </c>
      <c r="J1942" t="str">
        <f t="shared" si="361"/>
        <v>LTCYOG</v>
      </c>
      <c r="K1942" t="str">
        <f t="shared" si="362"/>
        <v>YOGLTC</v>
      </c>
      <c r="L1942">
        <f t="shared" si="363"/>
        <v>0</v>
      </c>
      <c r="M1942">
        <f t="shared" si="364"/>
        <v>1</v>
      </c>
      <c r="N1942" t="b">
        <f t="shared" si="365"/>
        <v>1</v>
      </c>
    </row>
    <row r="1943" spans="1:14" hidden="1" x14ac:dyDescent="0.25">
      <c r="A1943" t="s">
        <v>1403</v>
      </c>
      <c r="B1943" t="s">
        <v>1705</v>
      </c>
      <c r="C1943" s="1">
        <v>0.79499998999999999</v>
      </c>
      <c r="D1943" s="1">
        <v>0.79499998999999999</v>
      </c>
      <c r="E1943" s="1">
        <v>0.79400051000000005</v>
      </c>
      <c r="F1943" s="1">
        <v>5.3000520000000002E-2</v>
      </c>
      <c r="G1943">
        <f t="shared" si="360"/>
        <v>6</v>
      </c>
      <c r="H1943" t="str">
        <f>RIGHT(B1943,3)</f>
        <v>USD</v>
      </c>
      <c r="I1943" t="str">
        <f t="shared" si="359"/>
        <v>YOG</v>
      </c>
      <c r="J1943" t="str">
        <f t="shared" si="361"/>
        <v>USDYOG</v>
      </c>
      <c r="K1943" t="str">
        <f t="shared" si="362"/>
        <v>YOGUSD</v>
      </c>
      <c r="L1943">
        <f t="shared" si="363"/>
        <v>0</v>
      </c>
      <c r="M1943">
        <f t="shared" si="364"/>
        <v>1</v>
      </c>
      <c r="N1943" t="b">
        <f t="shared" si="365"/>
        <v>1</v>
      </c>
    </row>
    <row r="1944" spans="1:14" hidden="1" x14ac:dyDescent="0.25">
      <c r="A1944" t="s">
        <v>5</v>
      </c>
      <c r="B1944" t="s">
        <v>1132</v>
      </c>
      <c r="C1944" s="1">
        <v>1.4052E-2</v>
      </c>
      <c r="D1944" s="1">
        <v>1.4050999999999999E-2</v>
      </c>
      <c r="E1944" s="1">
        <v>1.4052E-2</v>
      </c>
      <c r="F1944" s="1">
        <v>1.4050999999999999E-2</v>
      </c>
      <c r="G1944">
        <f t="shared" si="360"/>
        <v>7</v>
      </c>
      <c r="H1944" t="str">
        <f>RIGHT(B1944,3)</f>
        <v>BTC</v>
      </c>
      <c r="I1944" t="str">
        <f>LEFT(B1944,4)</f>
        <v>YOVI</v>
      </c>
      <c r="J1944" t="str">
        <f t="shared" si="361"/>
        <v>BTCYOVI</v>
      </c>
      <c r="K1944" t="str">
        <f t="shared" si="362"/>
        <v>YOVIBTC</v>
      </c>
      <c r="L1944">
        <f t="shared" si="363"/>
        <v>0</v>
      </c>
      <c r="M1944">
        <f t="shared" si="364"/>
        <v>1</v>
      </c>
      <c r="N1944" t="b">
        <f t="shared" si="365"/>
        <v>1</v>
      </c>
    </row>
    <row r="1945" spans="1:14" hidden="1" x14ac:dyDescent="0.25">
      <c r="A1945" t="s">
        <v>1403</v>
      </c>
      <c r="B1945" t="s">
        <v>1528</v>
      </c>
      <c r="C1945" s="1">
        <v>2.5539999999999999E-5</v>
      </c>
      <c r="D1945" s="1">
        <v>3.2990000000000001E-5</v>
      </c>
      <c r="E1945" s="1">
        <v>3.3000000000000003E-5</v>
      </c>
      <c r="F1945" s="1">
        <v>2.9009999999999998E-5</v>
      </c>
      <c r="G1945">
        <f t="shared" si="360"/>
        <v>6</v>
      </c>
      <c r="H1945" t="str">
        <f>RIGHT(B1945,3)</f>
        <v>BTC</v>
      </c>
      <c r="I1945" t="str">
        <f t="shared" ref="I1945:I1951" si="367">LEFT(B1945,3)</f>
        <v>ZAP</v>
      </c>
      <c r="J1945" t="str">
        <f t="shared" si="361"/>
        <v>BTCZAP</v>
      </c>
      <c r="K1945" t="str">
        <f t="shared" si="362"/>
        <v>ZAPBTC</v>
      </c>
      <c r="L1945">
        <f t="shared" si="363"/>
        <v>0</v>
      </c>
      <c r="M1945">
        <f t="shared" si="364"/>
        <v>1</v>
      </c>
      <c r="N1945" t="b">
        <f t="shared" si="365"/>
        <v>1</v>
      </c>
    </row>
    <row r="1946" spans="1:14" hidden="1" x14ac:dyDescent="0.25">
      <c r="A1946" t="s">
        <v>1403</v>
      </c>
      <c r="B1946" t="s">
        <v>2092</v>
      </c>
      <c r="C1946" s="1">
        <v>0</v>
      </c>
      <c r="D1946" s="1">
        <v>0</v>
      </c>
      <c r="E1946" s="1">
        <v>50.000000069999999</v>
      </c>
      <c r="F1946" s="1">
        <v>2.5200001599999999</v>
      </c>
      <c r="G1946">
        <f t="shared" si="360"/>
        <v>7</v>
      </c>
      <c r="H1946" t="str">
        <f>RIGHT(B1946,4)</f>
        <v>DOGE</v>
      </c>
      <c r="I1946" t="str">
        <f t="shared" si="367"/>
        <v>ZAP</v>
      </c>
      <c r="J1946" t="str">
        <f t="shared" si="361"/>
        <v>DOGEZAP</v>
      </c>
      <c r="K1946" t="str">
        <f t="shared" si="362"/>
        <v>ZAPDOGE</v>
      </c>
      <c r="L1946">
        <f t="shared" si="363"/>
        <v>0</v>
      </c>
      <c r="M1946">
        <f t="shared" si="364"/>
        <v>1</v>
      </c>
      <c r="N1946" t="b">
        <f t="shared" si="365"/>
        <v>1</v>
      </c>
    </row>
    <row r="1947" spans="1:14" hidden="1" x14ac:dyDescent="0.25">
      <c r="A1947" t="s">
        <v>1403</v>
      </c>
      <c r="B1947" t="s">
        <v>1898</v>
      </c>
      <c r="C1947" s="1">
        <v>0</v>
      </c>
      <c r="D1947" s="1">
        <v>0</v>
      </c>
      <c r="E1947" s="1">
        <v>0.08</v>
      </c>
      <c r="F1947" s="1" t="s">
        <v>1388</v>
      </c>
      <c r="G1947">
        <f t="shared" si="360"/>
        <v>6</v>
      </c>
      <c r="H1947" t="str">
        <f t="shared" ref="H1947:H1952" si="368">RIGHT(B1947,3)</f>
        <v>LTC</v>
      </c>
      <c r="I1947" t="str">
        <f t="shared" si="367"/>
        <v>ZAP</v>
      </c>
      <c r="J1947" t="str">
        <f t="shared" si="361"/>
        <v>LTCZAP</v>
      </c>
      <c r="K1947" t="str">
        <f t="shared" si="362"/>
        <v>ZAPLTC</v>
      </c>
      <c r="L1947">
        <f t="shared" si="363"/>
        <v>0</v>
      </c>
      <c r="M1947">
        <f t="shared" si="364"/>
        <v>1</v>
      </c>
      <c r="N1947" t="b">
        <f t="shared" si="365"/>
        <v>1</v>
      </c>
    </row>
    <row r="1948" spans="1:14" hidden="1" x14ac:dyDescent="0.25">
      <c r="A1948" t="s">
        <v>1403</v>
      </c>
      <c r="B1948" t="s">
        <v>1706</v>
      </c>
      <c r="C1948" s="1">
        <v>1</v>
      </c>
      <c r="D1948" s="1">
        <v>1</v>
      </c>
      <c r="E1948" s="1">
        <v>0.996</v>
      </c>
      <c r="F1948" s="1">
        <v>1.0100029999999999E-2</v>
      </c>
      <c r="G1948">
        <f t="shared" si="360"/>
        <v>6</v>
      </c>
      <c r="H1948" t="str">
        <f t="shared" si="368"/>
        <v>USD</v>
      </c>
      <c r="I1948" t="str">
        <f t="shared" si="367"/>
        <v>ZAP</v>
      </c>
      <c r="J1948" t="str">
        <f t="shared" si="361"/>
        <v>USDZAP</v>
      </c>
      <c r="K1948" t="str">
        <f t="shared" si="362"/>
        <v>ZAPUSD</v>
      </c>
      <c r="L1948">
        <f t="shared" si="363"/>
        <v>0</v>
      </c>
      <c r="M1948">
        <f t="shared" si="364"/>
        <v>1</v>
      </c>
      <c r="N1948" t="b">
        <f t="shared" si="365"/>
        <v>1</v>
      </c>
    </row>
    <row r="1949" spans="1:14" hidden="1" x14ac:dyDescent="0.25">
      <c r="A1949" t="s">
        <v>1239</v>
      </c>
      <c r="B1949" t="s">
        <v>1317</v>
      </c>
      <c r="C1949" s="1">
        <v>4.8980000000000002E-5</v>
      </c>
      <c r="D1949" s="1">
        <v>4.7500000000000003E-5</v>
      </c>
      <c r="E1949" s="1">
        <v>4.8980000000000002E-5</v>
      </c>
      <c r="F1949" s="1">
        <v>4.7500000000000003E-5</v>
      </c>
      <c r="G1949">
        <f t="shared" si="360"/>
        <v>6</v>
      </c>
      <c r="H1949" t="str">
        <f t="shared" si="368"/>
        <v>BTC</v>
      </c>
      <c r="I1949" t="str">
        <f t="shared" si="367"/>
        <v>ZBC</v>
      </c>
      <c r="J1949" t="str">
        <f t="shared" si="361"/>
        <v>BTCZBC</v>
      </c>
      <c r="K1949" t="str">
        <f t="shared" si="362"/>
        <v>ZBCBTC</v>
      </c>
      <c r="L1949">
        <f t="shared" si="363"/>
        <v>0</v>
      </c>
      <c r="M1949">
        <f t="shared" si="364"/>
        <v>1</v>
      </c>
      <c r="N1949" t="b">
        <f t="shared" si="365"/>
        <v>1</v>
      </c>
    </row>
    <row r="1950" spans="1:14" hidden="1" x14ac:dyDescent="0.25">
      <c r="A1950" t="s">
        <v>1239</v>
      </c>
      <c r="B1950" t="s">
        <v>1319</v>
      </c>
      <c r="C1950" s="1">
        <v>4.5099000000000002E-4</v>
      </c>
      <c r="D1950" s="1">
        <v>3.2103999999999998E-4</v>
      </c>
      <c r="E1950" s="1">
        <v>4.5099000000000002E-4</v>
      </c>
      <c r="F1950" s="1">
        <v>3.2103999999999998E-4</v>
      </c>
      <c r="G1950">
        <f t="shared" si="360"/>
        <v>6</v>
      </c>
      <c r="H1950" t="str">
        <f t="shared" si="368"/>
        <v>ETH</v>
      </c>
      <c r="I1950" t="str">
        <f t="shared" si="367"/>
        <v>ZBC</v>
      </c>
      <c r="J1950" t="str">
        <f t="shared" si="361"/>
        <v>ETHZBC</v>
      </c>
      <c r="K1950" t="str">
        <f t="shared" si="362"/>
        <v>ZBCETH</v>
      </c>
      <c r="L1950">
        <f t="shared" si="363"/>
        <v>0</v>
      </c>
      <c r="M1950">
        <f t="shared" si="364"/>
        <v>1</v>
      </c>
      <c r="N1950" t="b">
        <f t="shared" si="365"/>
        <v>1</v>
      </c>
    </row>
    <row r="1951" spans="1:14" hidden="1" x14ac:dyDescent="0.25">
      <c r="A1951" t="s">
        <v>1239</v>
      </c>
      <c r="B1951" t="s">
        <v>1316</v>
      </c>
      <c r="C1951" s="1">
        <v>0.33999000000000001</v>
      </c>
      <c r="D1951" s="1">
        <v>3.3980000000000003E-2</v>
      </c>
      <c r="E1951" s="1">
        <v>0.33999000000000001</v>
      </c>
      <c r="F1951" s="1">
        <v>3.3980000000000003E-2</v>
      </c>
      <c r="G1951">
        <f t="shared" si="360"/>
        <v>6</v>
      </c>
      <c r="H1951" t="str">
        <f t="shared" si="368"/>
        <v>EUR</v>
      </c>
      <c r="I1951" t="str">
        <f t="shared" si="367"/>
        <v>ZBC</v>
      </c>
      <c r="J1951" t="str">
        <f t="shared" si="361"/>
        <v>EURZBC</v>
      </c>
      <c r="K1951" t="str">
        <f t="shared" si="362"/>
        <v>ZBCEUR</v>
      </c>
      <c r="L1951">
        <f t="shared" si="363"/>
        <v>0</v>
      </c>
      <c r="M1951">
        <f t="shared" si="364"/>
        <v>1</v>
      </c>
      <c r="N1951" t="b">
        <f t="shared" si="365"/>
        <v>1</v>
      </c>
    </row>
    <row r="1952" spans="1:14" hidden="1" x14ac:dyDescent="0.25">
      <c r="A1952" t="s">
        <v>1403</v>
      </c>
      <c r="B1952" t="s">
        <v>1529</v>
      </c>
      <c r="C1952" s="1">
        <v>1.6540000000000001E-5</v>
      </c>
      <c r="D1952" s="1">
        <v>2.55E-5</v>
      </c>
      <c r="E1952" s="1">
        <v>2.55E-5</v>
      </c>
      <c r="F1952" s="1">
        <v>1.6529999999999999E-5</v>
      </c>
      <c r="G1952">
        <f t="shared" si="360"/>
        <v>7</v>
      </c>
      <c r="H1952" t="str">
        <f t="shared" si="368"/>
        <v>BTC</v>
      </c>
      <c r="I1952" t="str">
        <f>LEFT(B1952,4)</f>
        <v>ZBCN</v>
      </c>
      <c r="J1952" t="str">
        <f t="shared" si="361"/>
        <v>BTCZBCN</v>
      </c>
      <c r="K1952" t="str">
        <f t="shared" si="362"/>
        <v>ZBCNBTC</v>
      </c>
      <c r="L1952">
        <f t="shared" si="363"/>
        <v>0</v>
      </c>
      <c r="M1952">
        <f t="shared" si="364"/>
        <v>1</v>
      </c>
      <c r="N1952" t="b">
        <f t="shared" si="365"/>
        <v>1</v>
      </c>
    </row>
    <row r="1953" spans="1:14" hidden="1" x14ac:dyDescent="0.25">
      <c r="A1953" t="s">
        <v>1403</v>
      </c>
      <c r="B1953" t="s">
        <v>2093</v>
      </c>
      <c r="C1953" s="1">
        <v>961</v>
      </c>
      <c r="D1953" s="1">
        <v>961</v>
      </c>
      <c r="E1953" s="1">
        <v>360.99999000000003</v>
      </c>
      <c r="F1953" s="1">
        <v>13.455000030000001</v>
      </c>
      <c r="G1953">
        <f t="shared" si="360"/>
        <v>8</v>
      </c>
      <c r="H1953" t="str">
        <f>RIGHT(B1953,4)</f>
        <v>DOGE</v>
      </c>
      <c r="I1953" t="str">
        <f>LEFT(B1953,4)</f>
        <v>ZBCN</v>
      </c>
      <c r="J1953" t="str">
        <f t="shared" si="361"/>
        <v>DOGEZBCN</v>
      </c>
      <c r="K1953" t="str">
        <f t="shared" si="362"/>
        <v>ZBCNDOGE</v>
      </c>
      <c r="L1953">
        <f t="shared" si="363"/>
        <v>0</v>
      </c>
      <c r="M1953">
        <f t="shared" si="364"/>
        <v>1</v>
      </c>
      <c r="N1953" t="b">
        <f t="shared" si="365"/>
        <v>1</v>
      </c>
    </row>
    <row r="1954" spans="1:14" hidden="1" x14ac:dyDescent="0.25">
      <c r="A1954" t="s">
        <v>1403</v>
      </c>
      <c r="B1954" t="s">
        <v>1899</v>
      </c>
      <c r="C1954" s="1">
        <v>9.9900000000000006E-3</v>
      </c>
      <c r="D1954" s="1">
        <v>9.9900000000000006E-3</v>
      </c>
      <c r="E1954" s="1">
        <v>9.9799999999999993E-3</v>
      </c>
      <c r="F1954" s="1">
        <v>7.0030000000000005E-5</v>
      </c>
      <c r="G1954">
        <f t="shared" si="360"/>
        <v>7</v>
      </c>
      <c r="H1954" t="str">
        <f>RIGHT(B1954,3)</f>
        <v>LTC</v>
      </c>
      <c r="I1954" t="str">
        <f>LEFT(B1954,4)</f>
        <v>ZBCN</v>
      </c>
      <c r="J1954" t="str">
        <f t="shared" si="361"/>
        <v>LTCZBCN</v>
      </c>
      <c r="K1954" t="str">
        <f t="shared" si="362"/>
        <v>ZBCNLTC</v>
      </c>
      <c r="L1954">
        <f t="shared" si="363"/>
        <v>0</v>
      </c>
      <c r="M1954">
        <f t="shared" si="364"/>
        <v>1</v>
      </c>
      <c r="N1954" t="b">
        <f t="shared" si="365"/>
        <v>1</v>
      </c>
    </row>
    <row r="1955" spans="1:14" hidden="1" x14ac:dyDescent="0.25">
      <c r="A1955" t="s">
        <v>1403</v>
      </c>
      <c r="B1955" t="s">
        <v>1707</v>
      </c>
      <c r="C1955" s="1">
        <v>0.19300249999999999</v>
      </c>
      <c r="D1955" s="1">
        <v>0.19300249999999999</v>
      </c>
      <c r="E1955" s="1">
        <v>0.19300239999999999</v>
      </c>
      <c r="F1955" s="1">
        <v>3.30029E-3</v>
      </c>
      <c r="G1955">
        <f t="shared" si="360"/>
        <v>7</v>
      </c>
      <c r="H1955" t="str">
        <f>RIGHT(B1955,3)</f>
        <v>USD</v>
      </c>
      <c r="I1955" t="str">
        <f>LEFT(B1955,4)</f>
        <v>ZBCN</v>
      </c>
      <c r="J1955" t="str">
        <f t="shared" si="361"/>
        <v>USDZBCN</v>
      </c>
      <c r="K1955" t="str">
        <f t="shared" si="362"/>
        <v>ZBCNUSD</v>
      </c>
      <c r="L1955">
        <f t="shared" si="363"/>
        <v>0</v>
      </c>
      <c r="M1955">
        <f t="shared" si="364"/>
        <v>1</v>
      </c>
      <c r="N1955" t="b">
        <f t="shared" si="365"/>
        <v>1</v>
      </c>
    </row>
    <row r="1956" spans="1:14" hidden="1" x14ac:dyDescent="0.25">
      <c r="A1956" t="s">
        <v>1239</v>
      </c>
      <c r="B1956" t="s">
        <v>1318</v>
      </c>
      <c r="C1956" s="1">
        <v>21.99</v>
      </c>
      <c r="D1956" s="1">
        <v>2.2250000000000001</v>
      </c>
      <c r="E1956" s="1">
        <v>21.99</v>
      </c>
      <c r="F1956" s="1">
        <v>2.2250000000000001</v>
      </c>
      <c r="G1956">
        <f t="shared" si="360"/>
        <v>6</v>
      </c>
      <c r="H1956" t="str">
        <f>RIGHT(B1956,3)</f>
        <v>RUR</v>
      </c>
      <c r="I1956" t="str">
        <f t="shared" ref="I1956:I1961" si="369">LEFT(B1956,3)</f>
        <v>ZBC</v>
      </c>
      <c r="J1956" t="str">
        <f t="shared" si="361"/>
        <v>RURZBC</v>
      </c>
      <c r="K1956" t="str">
        <f t="shared" si="362"/>
        <v>ZBCRUR</v>
      </c>
      <c r="L1956">
        <f t="shared" si="363"/>
        <v>0</v>
      </c>
      <c r="M1956">
        <f t="shared" si="364"/>
        <v>1</v>
      </c>
      <c r="N1956" t="b">
        <f t="shared" si="365"/>
        <v>1</v>
      </c>
    </row>
    <row r="1957" spans="1:14" hidden="1" x14ac:dyDescent="0.25">
      <c r="A1957" t="s">
        <v>1239</v>
      </c>
      <c r="B1957" t="s">
        <v>1315</v>
      </c>
      <c r="C1957" s="1">
        <v>0.13389999999999999</v>
      </c>
      <c r="D1957" s="1">
        <v>0.11210000000000001</v>
      </c>
      <c r="E1957" s="1">
        <v>0.13389999999999999</v>
      </c>
      <c r="F1957" s="1">
        <v>0.11210000000000001</v>
      </c>
      <c r="G1957">
        <f t="shared" si="360"/>
        <v>6</v>
      </c>
      <c r="H1957" t="str">
        <f>RIGHT(B1957,3)</f>
        <v>USD</v>
      </c>
      <c r="I1957" t="str">
        <f t="shared" si="369"/>
        <v>ZBC</v>
      </c>
      <c r="J1957" t="str">
        <f t="shared" si="361"/>
        <v>USDZBC</v>
      </c>
      <c r="K1957" t="str">
        <f t="shared" si="362"/>
        <v>ZBCUSD</v>
      </c>
      <c r="L1957">
        <f t="shared" si="363"/>
        <v>0</v>
      </c>
      <c r="M1957">
        <f t="shared" si="364"/>
        <v>1</v>
      </c>
      <c r="N1957" t="b">
        <f t="shared" si="365"/>
        <v>1</v>
      </c>
    </row>
    <row r="1958" spans="1:14" hidden="1" x14ac:dyDescent="0.25">
      <c r="A1958" t="s">
        <v>1239</v>
      </c>
      <c r="B1958" t="s">
        <v>1320</v>
      </c>
      <c r="C1958" s="1">
        <v>6.6600000000000001E-3</v>
      </c>
      <c r="D1958" s="1">
        <v>9.1E-4</v>
      </c>
      <c r="E1958" s="1">
        <v>6.6600000000000001E-3</v>
      </c>
      <c r="F1958" s="1">
        <v>9.1E-4</v>
      </c>
      <c r="G1958">
        <f t="shared" si="360"/>
        <v>6</v>
      </c>
      <c r="H1958" t="str">
        <f>RIGHT(B1958,3)</f>
        <v>XMR</v>
      </c>
      <c r="I1958" t="str">
        <f t="shared" si="369"/>
        <v>ZBC</v>
      </c>
      <c r="J1958" t="str">
        <f t="shared" si="361"/>
        <v>XMRZBC</v>
      </c>
      <c r="K1958" t="str">
        <f t="shared" si="362"/>
        <v>ZBCXMR</v>
      </c>
      <c r="L1958">
        <f t="shared" si="363"/>
        <v>0</v>
      </c>
      <c r="M1958">
        <f t="shared" si="364"/>
        <v>1</v>
      </c>
      <c r="N1958" t="b">
        <f t="shared" si="365"/>
        <v>1</v>
      </c>
    </row>
    <row r="1959" spans="1:14" hidden="1" x14ac:dyDescent="0.25">
      <c r="A1959" t="s">
        <v>1403</v>
      </c>
      <c r="B1959" t="s">
        <v>2094</v>
      </c>
      <c r="C1959" s="1">
        <v>999.00000001000001</v>
      </c>
      <c r="D1959" s="1">
        <v>999.00000001000001</v>
      </c>
      <c r="E1959" s="1">
        <v>999.00000001000001</v>
      </c>
      <c r="F1959" s="1">
        <v>212.00000001000001</v>
      </c>
      <c r="G1959">
        <f t="shared" si="360"/>
        <v>7</v>
      </c>
      <c r="H1959" t="str">
        <f>RIGHT(B1959,4)</f>
        <v>DOGE</v>
      </c>
      <c r="I1959" t="str">
        <f t="shared" si="369"/>
        <v>ZCL</v>
      </c>
      <c r="J1959" t="str">
        <f t="shared" si="361"/>
        <v>DOGEZCL</v>
      </c>
      <c r="K1959" t="str">
        <f t="shared" si="362"/>
        <v>ZCLDOGE</v>
      </c>
      <c r="L1959">
        <f t="shared" si="363"/>
        <v>0</v>
      </c>
      <c r="M1959">
        <f t="shared" si="364"/>
        <v>1</v>
      </c>
      <c r="N1959" t="b">
        <f t="shared" si="365"/>
        <v>1</v>
      </c>
    </row>
    <row r="1960" spans="1:14" hidden="1" x14ac:dyDescent="0.25">
      <c r="A1960" t="s">
        <v>1403</v>
      </c>
      <c r="B1960" t="s">
        <v>1900</v>
      </c>
      <c r="C1960" s="1">
        <v>2.9999769000000001</v>
      </c>
      <c r="D1960" s="1">
        <v>2.9999769000000001</v>
      </c>
      <c r="E1960" s="1">
        <v>2.9999769000000001</v>
      </c>
      <c r="F1960" s="1">
        <v>9.1113500000000007E-3</v>
      </c>
      <c r="G1960">
        <f t="shared" si="360"/>
        <v>6</v>
      </c>
      <c r="H1960" t="str">
        <f>RIGHT(B1960,3)</f>
        <v>LTC</v>
      </c>
      <c r="I1960" t="str">
        <f t="shared" si="369"/>
        <v>ZCL</v>
      </c>
      <c r="J1960" t="str">
        <f t="shared" si="361"/>
        <v>LTCZCL</v>
      </c>
      <c r="K1960" t="str">
        <f t="shared" si="362"/>
        <v>ZCLLTC</v>
      </c>
      <c r="L1960">
        <f t="shared" si="363"/>
        <v>0</v>
      </c>
      <c r="M1960">
        <f t="shared" si="364"/>
        <v>1</v>
      </c>
      <c r="N1960" t="b">
        <f t="shared" si="365"/>
        <v>1</v>
      </c>
    </row>
    <row r="1961" spans="1:14" hidden="1" x14ac:dyDescent="0.25">
      <c r="A1961" t="s">
        <v>1403</v>
      </c>
      <c r="B1961" t="s">
        <v>1708</v>
      </c>
      <c r="C1961" s="1">
        <v>3.5100006800000001</v>
      </c>
      <c r="D1961" s="1">
        <v>3.5100006800000001</v>
      </c>
      <c r="E1961" s="1">
        <v>3</v>
      </c>
      <c r="F1961" s="1">
        <v>0.3</v>
      </c>
      <c r="G1961">
        <f t="shared" si="360"/>
        <v>6</v>
      </c>
      <c r="H1961" t="str">
        <f>RIGHT(B1961,3)</f>
        <v>USD</v>
      </c>
      <c r="I1961" t="str">
        <f t="shared" si="369"/>
        <v>ZCL</v>
      </c>
      <c r="J1961" t="str">
        <f t="shared" si="361"/>
        <v>USDZCL</v>
      </c>
      <c r="K1961" t="str">
        <f t="shared" si="362"/>
        <v>ZCLUSD</v>
      </c>
      <c r="L1961">
        <f t="shared" si="363"/>
        <v>0</v>
      </c>
      <c r="M1961">
        <f t="shared" si="364"/>
        <v>1</v>
      </c>
      <c r="N1961" t="b">
        <f t="shared" si="365"/>
        <v>1</v>
      </c>
    </row>
    <row r="1962" spans="1:14" hidden="1" x14ac:dyDescent="0.25">
      <c r="A1962" t="s">
        <v>1403</v>
      </c>
      <c r="B1962" t="s">
        <v>1531</v>
      </c>
      <c r="C1962" s="1">
        <v>3.00001E-3</v>
      </c>
      <c r="D1962" s="1">
        <v>3.00001E-3</v>
      </c>
      <c r="E1962" s="1">
        <v>5.2999800000000001E-3</v>
      </c>
      <c r="F1962" s="1">
        <v>2.8E-3</v>
      </c>
      <c r="G1962">
        <f t="shared" si="360"/>
        <v>8</v>
      </c>
      <c r="H1962" t="str">
        <f>RIGHT(B1962,3)</f>
        <v>BTC</v>
      </c>
      <c r="I1962" t="str">
        <f>LEFT(B1962,5)</f>
        <v>ZCOIN</v>
      </c>
      <c r="J1962" t="str">
        <f t="shared" si="361"/>
        <v>BTCZCOIN</v>
      </c>
      <c r="K1962" t="str">
        <f t="shared" si="362"/>
        <v>ZCOINBTC</v>
      </c>
      <c r="L1962">
        <f t="shared" si="363"/>
        <v>0</v>
      </c>
      <c r="M1962">
        <f t="shared" si="364"/>
        <v>1</v>
      </c>
      <c r="N1962" t="b">
        <f t="shared" si="365"/>
        <v>1</v>
      </c>
    </row>
    <row r="1963" spans="1:14" hidden="1" x14ac:dyDescent="0.25">
      <c r="A1963" t="s">
        <v>1403</v>
      </c>
      <c r="B1963" t="s">
        <v>2095</v>
      </c>
      <c r="C1963" s="1">
        <v>0</v>
      </c>
      <c r="D1963" s="1">
        <v>0</v>
      </c>
      <c r="E1963" s="1">
        <v>9999987.9999999292</v>
      </c>
      <c r="F1963" s="1">
        <v>1515.00000101</v>
      </c>
      <c r="G1963">
        <f t="shared" si="360"/>
        <v>9</v>
      </c>
      <c r="H1963" t="str">
        <f>RIGHT(B1963,4)</f>
        <v>DOGE</v>
      </c>
      <c r="I1963" t="str">
        <f>LEFT(B1963,5)</f>
        <v>ZCOIN</v>
      </c>
      <c r="J1963" t="str">
        <f t="shared" si="361"/>
        <v>DOGEZCOIN</v>
      </c>
      <c r="K1963" t="str">
        <f t="shared" si="362"/>
        <v>ZCOINDOGE</v>
      </c>
      <c r="L1963">
        <f t="shared" si="363"/>
        <v>0</v>
      </c>
      <c r="M1963">
        <f t="shared" si="364"/>
        <v>1</v>
      </c>
      <c r="N1963" t="b">
        <f t="shared" si="365"/>
        <v>1</v>
      </c>
    </row>
    <row r="1964" spans="1:14" hidden="1" x14ac:dyDescent="0.25">
      <c r="A1964" t="s">
        <v>1403</v>
      </c>
      <c r="B1964" t="s">
        <v>1901</v>
      </c>
      <c r="C1964" s="1">
        <v>0</v>
      </c>
      <c r="D1964" s="1">
        <v>0</v>
      </c>
      <c r="E1964" s="1">
        <v>0</v>
      </c>
      <c r="F1964" s="1">
        <v>3.2020000000000002E-5</v>
      </c>
      <c r="G1964">
        <f t="shared" si="360"/>
        <v>8</v>
      </c>
      <c r="H1964" t="str">
        <f>RIGHT(B1964,3)</f>
        <v>LTC</v>
      </c>
      <c r="I1964" t="str">
        <f>LEFT(B1964,5)</f>
        <v>ZCOIN</v>
      </c>
      <c r="J1964" t="str">
        <f t="shared" si="361"/>
        <v>LTCZCOIN</v>
      </c>
      <c r="K1964" t="str">
        <f t="shared" si="362"/>
        <v>ZCOINLTC</v>
      </c>
      <c r="L1964">
        <f t="shared" si="363"/>
        <v>0</v>
      </c>
      <c r="M1964">
        <f t="shared" si="364"/>
        <v>1</v>
      </c>
      <c r="N1964" t="b">
        <f t="shared" si="365"/>
        <v>1</v>
      </c>
    </row>
    <row r="1965" spans="1:14" hidden="1" x14ac:dyDescent="0.25">
      <c r="A1965" t="s">
        <v>1403</v>
      </c>
      <c r="B1965" t="s">
        <v>1709</v>
      </c>
      <c r="C1965" s="1">
        <v>19.98</v>
      </c>
      <c r="D1965" s="1">
        <v>19.98</v>
      </c>
      <c r="E1965" s="1">
        <v>40.947809267327102</v>
      </c>
      <c r="F1965" s="1">
        <v>0.10000014</v>
      </c>
      <c r="G1965">
        <f t="shared" si="360"/>
        <v>8</v>
      </c>
      <c r="H1965" t="str">
        <f>RIGHT(B1965,3)</f>
        <v>USD</v>
      </c>
      <c r="I1965" t="str">
        <f>LEFT(B1965,5)</f>
        <v>ZCOIN</v>
      </c>
      <c r="J1965" t="str">
        <f t="shared" si="361"/>
        <v>USDZCOIN</v>
      </c>
      <c r="K1965" t="str">
        <f t="shared" si="362"/>
        <v>ZCOINUSD</v>
      </c>
      <c r="L1965">
        <f t="shared" si="363"/>
        <v>0</v>
      </c>
      <c r="M1965">
        <f t="shared" si="364"/>
        <v>1</v>
      </c>
      <c r="N1965" t="b">
        <f t="shared" si="365"/>
        <v>1</v>
      </c>
    </row>
    <row r="1966" spans="1:14" hidden="1" x14ac:dyDescent="0.25">
      <c r="A1966" t="s">
        <v>5</v>
      </c>
      <c r="B1966" t="s">
        <v>1119</v>
      </c>
      <c r="C1966" s="1" t="s">
        <v>362</v>
      </c>
      <c r="D1966" s="1" t="s">
        <v>364</v>
      </c>
      <c r="E1966" s="1" t="s">
        <v>362</v>
      </c>
      <c r="F1966" s="1">
        <v>1.096E-5</v>
      </c>
      <c r="G1966">
        <f t="shared" si="360"/>
        <v>7</v>
      </c>
      <c r="H1966" t="str">
        <f>RIGHT(B1966,3)</f>
        <v>BTC</v>
      </c>
      <c r="I1966" t="str">
        <f>LEFT(B1966,4)</f>
        <v>ZECD</v>
      </c>
      <c r="J1966" t="str">
        <f t="shared" si="361"/>
        <v>BTCZECD</v>
      </c>
      <c r="K1966" t="str">
        <f t="shared" si="362"/>
        <v>ZECDBTC</v>
      </c>
      <c r="L1966">
        <f t="shared" si="363"/>
        <v>0</v>
      </c>
      <c r="M1966">
        <f t="shared" si="364"/>
        <v>1</v>
      </c>
      <c r="N1966" t="b">
        <f t="shared" si="365"/>
        <v>1</v>
      </c>
    </row>
    <row r="1967" spans="1:14" hidden="1" x14ac:dyDescent="0.25">
      <c r="A1967" t="s">
        <v>3</v>
      </c>
      <c r="B1967" t="s">
        <v>270</v>
      </c>
      <c r="C1967" s="1">
        <v>306.89841000000001</v>
      </c>
      <c r="D1967" s="1">
        <v>301.03052000000002</v>
      </c>
      <c r="E1967" s="1">
        <v>304.02999</v>
      </c>
      <c r="F1967" s="1">
        <v>301.03053</v>
      </c>
      <c r="G1967">
        <f t="shared" si="360"/>
        <v>6</v>
      </c>
      <c r="H1967" t="str">
        <f>RIGHT(B1967,3)</f>
        <v>EUR</v>
      </c>
      <c r="I1967" t="str">
        <f>LEFT(B1967,3)</f>
        <v>ZEC</v>
      </c>
      <c r="J1967" t="str">
        <f t="shared" si="361"/>
        <v>EURZEC</v>
      </c>
      <c r="K1967" t="str">
        <f t="shared" si="362"/>
        <v>ZECEUR</v>
      </c>
      <c r="L1967">
        <f t="shared" si="363"/>
        <v>0</v>
      </c>
      <c r="M1967">
        <f t="shared" si="364"/>
        <v>1</v>
      </c>
      <c r="N1967" t="b">
        <f t="shared" si="365"/>
        <v>1</v>
      </c>
    </row>
    <row r="1968" spans="1:14" hidden="1" x14ac:dyDescent="0.25">
      <c r="A1968" t="s">
        <v>5</v>
      </c>
      <c r="B1968" t="s">
        <v>1191</v>
      </c>
      <c r="C1968" s="1" t="s">
        <v>356</v>
      </c>
      <c r="D1968" s="1" t="s">
        <v>380</v>
      </c>
      <c r="E1968" s="1" t="s">
        <v>356</v>
      </c>
      <c r="F1968" s="1" t="s">
        <v>380</v>
      </c>
      <c r="G1968">
        <f t="shared" si="360"/>
        <v>7</v>
      </c>
      <c r="H1968" t="str">
        <f>RIGHT(B1968,3)</f>
        <v>BTC</v>
      </c>
      <c r="I1968" t="str">
        <f>LEFT(B1968,4)</f>
        <v>ZEIT</v>
      </c>
      <c r="J1968" t="str">
        <f t="shared" si="361"/>
        <v>BTCZEIT</v>
      </c>
      <c r="K1968" t="str">
        <f t="shared" si="362"/>
        <v>ZEITBTC</v>
      </c>
      <c r="L1968">
        <f t="shared" si="363"/>
        <v>0</v>
      </c>
      <c r="M1968">
        <f t="shared" si="364"/>
        <v>1</v>
      </c>
      <c r="N1968" t="b">
        <f t="shared" si="365"/>
        <v>1</v>
      </c>
    </row>
    <row r="1969" spans="1:14" hidden="1" x14ac:dyDescent="0.25">
      <c r="A1969" t="s">
        <v>1403</v>
      </c>
      <c r="B1969" t="s">
        <v>2096</v>
      </c>
      <c r="C1969" s="1">
        <v>0</v>
      </c>
      <c r="D1969" s="1">
        <v>0</v>
      </c>
      <c r="E1969" s="1">
        <v>126.649</v>
      </c>
      <c r="F1969" s="1">
        <v>0.17000013</v>
      </c>
      <c r="G1969">
        <f t="shared" si="360"/>
        <v>8</v>
      </c>
      <c r="H1969" t="str">
        <f>RIGHT(B1969,4)</f>
        <v>DOGE</v>
      </c>
      <c r="I1969" t="str">
        <f>LEFT(B1969,4)</f>
        <v>ZENI</v>
      </c>
      <c r="J1969" t="str">
        <f t="shared" si="361"/>
        <v>DOGEZENI</v>
      </c>
      <c r="K1969" t="str">
        <f t="shared" si="362"/>
        <v>ZENIDOGE</v>
      </c>
      <c r="L1969">
        <f t="shared" si="363"/>
        <v>0</v>
      </c>
      <c r="M1969">
        <f t="shared" si="364"/>
        <v>1</v>
      </c>
      <c r="N1969" t="b">
        <f t="shared" si="365"/>
        <v>1</v>
      </c>
    </row>
    <row r="1970" spans="1:14" hidden="1" x14ac:dyDescent="0.25">
      <c r="A1970" t="s">
        <v>1403</v>
      </c>
      <c r="B1970" t="s">
        <v>1902</v>
      </c>
      <c r="C1970" s="1">
        <v>0</v>
      </c>
      <c r="D1970" s="1">
        <v>0</v>
      </c>
      <c r="E1970" s="1">
        <v>0.01</v>
      </c>
      <c r="F1970" s="1">
        <v>1.1000000000000001E-7</v>
      </c>
      <c r="G1970">
        <f t="shared" si="360"/>
        <v>7</v>
      </c>
      <c r="H1970" t="str">
        <f t="shared" ref="H1970:H1978" si="370">RIGHT(B1970,3)</f>
        <v>LTC</v>
      </c>
      <c r="I1970" t="str">
        <f>LEFT(B1970,4)</f>
        <v>ZENI</v>
      </c>
      <c r="J1970" t="str">
        <f t="shared" si="361"/>
        <v>LTCZENI</v>
      </c>
      <c r="K1970" t="str">
        <f t="shared" si="362"/>
        <v>ZENILTC</v>
      </c>
      <c r="L1970">
        <f t="shared" si="363"/>
        <v>0</v>
      </c>
      <c r="M1970">
        <f t="shared" si="364"/>
        <v>1</v>
      </c>
      <c r="N1970" t="b">
        <f t="shared" si="365"/>
        <v>1</v>
      </c>
    </row>
    <row r="1971" spans="1:14" hidden="1" x14ac:dyDescent="0.25">
      <c r="A1971" t="s">
        <v>1403</v>
      </c>
      <c r="B1971" t="s">
        <v>1710</v>
      </c>
      <c r="C1971" s="1">
        <v>9.9900000000000003E-2</v>
      </c>
      <c r="D1971" s="1">
        <v>9.9900000000000003E-2</v>
      </c>
      <c r="E1971" s="1">
        <v>0.1</v>
      </c>
      <c r="F1971" s="1">
        <v>1.00001E-3</v>
      </c>
      <c r="G1971">
        <f t="shared" si="360"/>
        <v>7</v>
      </c>
      <c r="H1971" t="str">
        <f t="shared" si="370"/>
        <v>USD</v>
      </c>
      <c r="I1971" t="str">
        <f>LEFT(B1971,4)</f>
        <v>ZENI</v>
      </c>
      <c r="J1971" t="str">
        <f t="shared" si="361"/>
        <v>USDZENI</v>
      </c>
      <c r="K1971" t="str">
        <f t="shared" si="362"/>
        <v>ZENIUSD</v>
      </c>
      <c r="L1971">
        <f t="shared" si="363"/>
        <v>0</v>
      </c>
      <c r="M1971">
        <f t="shared" si="364"/>
        <v>1</v>
      </c>
      <c r="N1971" t="b">
        <f t="shared" si="365"/>
        <v>1</v>
      </c>
    </row>
    <row r="1972" spans="1:14" hidden="1" x14ac:dyDescent="0.25">
      <c r="A1972" t="s">
        <v>5</v>
      </c>
      <c r="B1972" t="s">
        <v>502</v>
      </c>
      <c r="C1972" s="1">
        <v>1.7119999999999999E-5</v>
      </c>
      <c r="D1972" s="1">
        <v>1.045E-5</v>
      </c>
      <c r="E1972" s="1">
        <v>1.7119999999999999E-5</v>
      </c>
      <c r="F1972" s="1">
        <v>1.045E-5</v>
      </c>
      <c r="G1972">
        <f t="shared" si="360"/>
        <v>7</v>
      </c>
      <c r="H1972" t="str">
        <f t="shared" si="370"/>
        <v>BTC</v>
      </c>
      <c r="I1972" t="str">
        <f>LEFT(B1972,4)</f>
        <v>ZET2</v>
      </c>
      <c r="J1972" t="str">
        <f t="shared" si="361"/>
        <v>BTCZET2</v>
      </c>
      <c r="K1972" t="str">
        <f t="shared" si="362"/>
        <v>ZET2BTC</v>
      </c>
      <c r="L1972">
        <f t="shared" si="363"/>
        <v>0</v>
      </c>
      <c r="M1972">
        <f t="shared" si="364"/>
        <v>1</v>
      </c>
      <c r="N1972" t="b">
        <f t="shared" si="365"/>
        <v>1</v>
      </c>
    </row>
    <row r="1973" spans="1:14" hidden="1" x14ac:dyDescent="0.25">
      <c r="A1973" t="s">
        <v>5</v>
      </c>
      <c r="B1973" t="s">
        <v>1044</v>
      </c>
      <c r="C1973" s="1">
        <v>9.5000000000000005E-6</v>
      </c>
      <c r="D1973" s="1">
        <v>8.7499999999999992E-6</v>
      </c>
      <c r="E1973" s="1">
        <v>9.5000000000000005E-6</v>
      </c>
      <c r="F1973" s="1">
        <v>8.7499999999999992E-6</v>
      </c>
      <c r="G1973">
        <f t="shared" si="360"/>
        <v>6</v>
      </c>
      <c r="H1973" t="str">
        <f t="shared" si="370"/>
        <v>BTC</v>
      </c>
      <c r="I1973" t="str">
        <f>LEFT(B1973,3)</f>
        <v>ZET</v>
      </c>
      <c r="J1973" t="str">
        <f t="shared" si="361"/>
        <v>BTCZET</v>
      </c>
      <c r="K1973" t="str">
        <f t="shared" si="362"/>
        <v>ZETBTC</v>
      </c>
      <c r="L1973">
        <f t="shared" si="363"/>
        <v>0</v>
      </c>
      <c r="M1973">
        <f t="shared" si="364"/>
        <v>1</v>
      </c>
      <c r="N1973" t="b">
        <f t="shared" si="365"/>
        <v>1</v>
      </c>
    </row>
    <row r="1974" spans="1:14" hidden="1" x14ac:dyDescent="0.25">
      <c r="A1974" t="s">
        <v>5</v>
      </c>
      <c r="B1974" t="s">
        <v>406</v>
      </c>
      <c r="C1974" s="1">
        <v>1.146E-5</v>
      </c>
      <c r="D1974" s="1">
        <v>1.011E-5</v>
      </c>
      <c r="E1974" s="1">
        <v>1.146E-5</v>
      </c>
      <c r="F1974" s="1">
        <v>1.011E-5</v>
      </c>
      <c r="G1974">
        <f t="shared" si="360"/>
        <v>7</v>
      </c>
      <c r="H1974" t="str">
        <f t="shared" si="370"/>
        <v>BTC</v>
      </c>
      <c r="I1974" t="str">
        <f>LEFT(B1974,4)</f>
        <v>ZIRK</v>
      </c>
      <c r="J1974" t="str">
        <f t="shared" si="361"/>
        <v>BTCZIRK</v>
      </c>
      <c r="K1974" t="str">
        <f t="shared" si="362"/>
        <v>ZIRKBTC</v>
      </c>
      <c r="L1974">
        <f t="shared" si="363"/>
        <v>0</v>
      </c>
      <c r="M1974">
        <f t="shared" si="364"/>
        <v>1</v>
      </c>
      <c r="N1974" t="b">
        <f t="shared" si="365"/>
        <v>1</v>
      </c>
    </row>
    <row r="1975" spans="1:14" hidden="1" x14ac:dyDescent="0.25">
      <c r="A1975" t="s">
        <v>5</v>
      </c>
      <c r="B1975" t="s">
        <v>584</v>
      </c>
      <c r="C1975" s="1" t="s">
        <v>355</v>
      </c>
      <c r="D1975" s="1" t="s">
        <v>356</v>
      </c>
      <c r="E1975" s="1" t="s">
        <v>355</v>
      </c>
      <c r="F1975" s="1" t="s">
        <v>356</v>
      </c>
      <c r="G1975">
        <f t="shared" si="360"/>
        <v>6</v>
      </c>
      <c r="H1975" t="str">
        <f t="shared" si="370"/>
        <v>BTC</v>
      </c>
      <c r="I1975" t="str">
        <f t="shared" ref="I1975:I1981" si="371">LEFT(B1975,3)</f>
        <v>ZLQ</v>
      </c>
      <c r="J1975" t="str">
        <f t="shared" si="361"/>
        <v>BTCZLQ</v>
      </c>
      <c r="K1975" t="str">
        <f t="shared" si="362"/>
        <v>ZLQBTC</v>
      </c>
      <c r="L1975">
        <f t="shared" si="363"/>
        <v>0</v>
      </c>
      <c r="M1975">
        <f t="shared" si="364"/>
        <v>1</v>
      </c>
      <c r="N1975" t="b">
        <f t="shared" si="365"/>
        <v>1</v>
      </c>
    </row>
    <row r="1976" spans="1:14" hidden="1" x14ac:dyDescent="0.25">
      <c r="A1976" t="s">
        <v>5</v>
      </c>
      <c r="B1976" t="s">
        <v>807</v>
      </c>
      <c r="C1976" s="1" t="s">
        <v>421</v>
      </c>
      <c r="D1976" s="1">
        <v>3.1E-7</v>
      </c>
      <c r="E1976" s="1" t="s">
        <v>421</v>
      </c>
      <c r="F1976" s="1">
        <v>3.1E-7</v>
      </c>
      <c r="G1976">
        <f t="shared" si="360"/>
        <v>6</v>
      </c>
      <c r="H1976" t="str">
        <f t="shared" si="370"/>
        <v>BTC</v>
      </c>
      <c r="I1976" t="str">
        <f t="shared" si="371"/>
        <v>ZMC</v>
      </c>
      <c r="J1976" t="str">
        <f t="shared" si="361"/>
        <v>BTCZMC</v>
      </c>
      <c r="K1976" t="str">
        <f t="shared" si="362"/>
        <v>ZMCBTC</v>
      </c>
      <c r="L1976">
        <f t="shared" si="363"/>
        <v>0</v>
      </c>
      <c r="M1976">
        <f t="shared" si="364"/>
        <v>1</v>
      </c>
      <c r="N1976" t="b">
        <f t="shared" si="365"/>
        <v>1</v>
      </c>
    </row>
    <row r="1977" spans="1:14" hidden="1" x14ac:dyDescent="0.25">
      <c r="A1977" t="s">
        <v>5</v>
      </c>
      <c r="B1977" t="s">
        <v>1131</v>
      </c>
      <c r="C1977" s="1">
        <v>1.3E-6</v>
      </c>
      <c r="D1977" s="1">
        <v>8.7000000000000003E-7</v>
      </c>
      <c r="E1977" s="1">
        <v>1.3E-6</v>
      </c>
      <c r="F1977" s="1">
        <v>8.7000000000000003E-7</v>
      </c>
      <c r="G1977">
        <f t="shared" si="360"/>
        <v>6</v>
      </c>
      <c r="H1977" t="str">
        <f t="shared" si="370"/>
        <v>BTC</v>
      </c>
      <c r="I1977" t="str">
        <f t="shared" si="371"/>
        <v>ZNE</v>
      </c>
      <c r="J1977" t="str">
        <f t="shared" si="361"/>
        <v>BTCZNE</v>
      </c>
      <c r="K1977" t="str">
        <f t="shared" si="362"/>
        <v>ZNEBTC</v>
      </c>
      <c r="L1977">
        <f t="shared" si="363"/>
        <v>0</v>
      </c>
      <c r="M1977">
        <f t="shared" si="364"/>
        <v>1</v>
      </c>
      <c r="N1977" t="b">
        <f t="shared" si="365"/>
        <v>1</v>
      </c>
    </row>
    <row r="1978" spans="1:14" hidden="1" x14ac:dyDescent="0.25">
      <c r="A1978" t="s">
        <v>1403</v>
      </c>
      <c r="B1978" t="s">
        <v>1532</v>
      </c>
      <c r="C1978" s="1">
        <v>1.9000000000000001E-7</v>
      </c>
      <c r="D1978" s="1">
        <v>2.1E-7</v>
      </c>
      <c r="E1978" s="1">
        <v>2.1E-7</v>
      </c>
      <c r="F1978" s="1">
        <v>1.9000000000000001E-7</v>
      </c>
      <c r="G1978">
        <f t="shared" si="360"/>
        <v>6</v>
      </c>
      <c r="H1978" t="str">
        <f t="shared" si="370"/>
        <v>BTC</v>
      </c>
      <c r="I1978" t="str">
        <f t="shared" si="371"/>
        <v>ZNY</v>
      </c>
      <c r="J1978" t="str">
        <f t="shared" si="361"/>
        <v>BTCZNY</v>
      </c>
      <c r="K1978" t="str">
        <f t="shared" si="362"/>
        <v>ZNYBTC</v>
      </c>
      <c r="L1978">
        <f t="shared" si="363"/>
        <v>0</v>
      </c>
      <c r="M1978">
        <f t="shared" si="364"/>
        <v>1</v>
      </c>
      <c r="N1978" t="b">
        <f t="shared" si="365"/>
        <v>1</v>
      </c>
    </row>
    <row r="1979" spans="1:14" hidden="1" x14ac:dyDescent="0.25">
      <c r="A1979" t="s">
        <v>1403</v>
      </c>
      <c r="B1979" t="s">
        <v>2097</v>
      </c>
      <c r="C1979" s="1">
        <v>3.0007840000000001E-2</v>
      </c>
      <c r="D1979" s="1">
        <v>1.9990000000000001</v>
      </c>
      <c r="E1979" s="1">
        <v>1.2</v>
      </c>
      <c r="F1979" s="1">
        <v>1.1001999999999999E-4</v>
      </c>
      <c r="G1979">
        <f t="shared" si="360"/>
        <v>7</v>
      </c>
      <c r="H1979" t="str">
        <f>RIGHT(B1979,4)</f>
        <v>DOGE</v>
      </c>
      <c r="I1979" t="str">
        <f t="shared" si="371"/>
        <v>ZNY</v>
      </c>
      <c r="J1979" t="str">
        <f t="shared" si="361"/>
        <v>DOGEZNY</v>
      </c>
      <c r="K1979" t="str">
        <f t="shared" si="362"/>
        <v>ZNYDOGE</v>
      </c>
      <c r="L1979">
        <f t="shared" si="363"/>
        <v>0</v>
      </c>
      <c r="M1979">
        <f t="shared" si="364"/>
        <v>1</v>
      </c>
      <c r="N1979" t="b">
        <f t="shared" si="365"/>
        <v>1</v>
      </c>
    </row>
    <row r="1980" spans="1:14" hidden="1" x14ac:dyDescent="0.25">
      <c r="A1980" t="s">
        <v>1403</v>
      </c>
      <c r="B1980" t="s">
        <v>1903</v>
      </c>
      <c r="C1980" s="1">
        <v>1.3699999999999999E-5</v>
      </c>
      <c r="D1980" s="1">
        <v>9.9879999999999999E-5</v>
      </c>
      <c r="E1980" s="1">
        <v>7.8399899999999998E-3</v>
      </c>
      <c r="F1980" s="1" t="s">
        <v>362</v>
      </c>
      <c r="G1980">
        <f t="shared" si="360"/>
        <v>6</v>
      </c>
      <c r="H1980" t="str">
        <f t="shared" ref="H1980:H2011" si="372">RIGHT(B1980,3)</f>
        <v>LTC</v>
      </c>
      <c r="I1980" t="str">
        <f t="shared" si="371"/>
        <v>ZNY</v>
      </c>
      <c r="J1980" t="str">
        <f t="shared" si="361"/>
        <v>LTCZNY</v>
      </c>
      <c r="K1980" t="str">
        <f t="shared" si="362"/>
        <v>ZNYLTC</v>
      </c>
      <c r="L1980">
        <f t="shared" si="363"/>
        <v>0</v>
      </c>
      <c r="M1980">
        <f t="shared" si="364"/>
        <v>1</v>
      </c>
      <c r="N1980" t="b">
        <f t="shared" si="365"/>
        <v>1</v>
      </c>
    </row>
    <row r="1981" spans="1:14" hidden="1" x14ac:dyDescent="0.25">
      <c r="A1981" t="s">
        <v>1403</v>
      </c>
      <c r="B1981" t="s">
        <v>1711</v>
      </c>
      <c r="C1981" s="1">
        <v>5.1100000000000002E-6</v>
      </c>
      <c r="D1981" s="1">
        <v>5.2647600000000003E-3</v>
      </c>
      <c r="E1981" s="1">
        <v>5.2647600000000003E-3</v>
      </c>
      <c r="F1981" s="1">
        <v>5.0019999999999999E-5</v>
      </c>
      <c r="G1981">
        <f t="shared" si="360"/>
        <v>6</v>
      </c>
      <c r="H1981" t="str">
        <f t="shared" si="372"/>
        <v>USD</v>
      </c>
      <c r="I1981" t="str">
        <f t="shared" si="371"/>
        <v>ZNY</v>
      </c>
      <c r="J1981" t="str">
        <f t="shared" si="361"/>
        <v>USDZNY</v>
      </c>
      <c r="K1981" t="str">
        <f t="shared" si="362"/>
        <v>ZNYUSD</v>
      </c>
      <c r="L1981">
        <f t="shared" si="363"/>
        <v>0</v>
      </c>
      <c r="M1981">
        <f t="shared" si="364"/>
        <v>1</v>
      </c>
      <c r="N1981" t="b">
        <f t="shared" si="365"/>
        <v>1</v>
      </c>
    </row>
    <row r="1982" spans="1:14" hidden="1" x14ac:dyDescent="0.25">
      <c r="A1982" t="s">
        <v>5</v>
      </c>
      <c r="B1982" t="s">
        <v>516</v>
      </c>
      <c r="C1982" s="1">
        <v>5.9599999999999997E-6</v>
      </c>
      <c r="D1982" s="1">
        <v>5.4999999999999999E-6</v>
      </c>
      <c r="E1982" s="1">
        <v>5.9599999999999997E-6</v>
      </c>
      <c r="F1982" s="1">
        <v>5.4999999999999999E-6</v>
      </c>
      <c r="G1982">
        <f t="shared" si="360"/>
        <v>7</v>
      </c>
      <c r="H1982" t="str">
        <f t="shared" si="372"/>
        <v>BTC</v>
      </c>
      <c r="I1982" t="str">
        <f>LEFT(B1982,4)</f>
        <v>ZOOM</v>
      </c>
      <c r="J1982" t="str">
        <f t="shared" si="361"/>
        <v>BTCZOOM</v>
      </c>
      <c r="K1982" t="str">
        <f t="shared" si="362"/>
        <v>ZOOMBTC</v>
      </c>
      <c r="L1982">
        <f t="shared" si="363"/>
        <v>0</v>
      </c>
      <c r="M1982">
        <f t="shared" si="364"/>
        <v>1</v>
      </c>
      <c r="N1982" t="b">
        <f t="shared" si="365"/>
        <v>1</v>
      </c>
    </row>
    <row r="1983" spans="1:14" hidden="1" x14ac:dyDescent="0.25">
      <c r="A1983" t="s">
        <v>4</v>
      </c>
      <c r="B1983" t="s">
        <v>299</v>
      </c>
      <c r="C1983" s="1">
        <v>3.9968999999999998E-2</v>
      </c>
      <c r="D1983" s="1">
        <v>3.3901000000000001E-2</v>
      </c>
      <c r="E1983" s="1">
        <v>3.9968999999999998E-2</v>
      </c>
      <c r="F1983" s="1">
        <v>3.3901000000000001E-2</v>
      </c>
      <c r="G1983">
        <f t="shared" si="360"/>
        <v>6</v>
      </c>
      <c r="H1983" t="str">
        <f t="shared" si="372"/>
        <v>BTC</v>
      </c>
      <c r="I1983" t="str">
        <f t="shared" ref="I1983:I2010" si="373">LEFT(B1983,3)</f>
        <v>ZRC</v>
      </c>
      <c r="J1983" t="str">
        <f t="shared" si="361"/>
        <v>BTCZRC</v>
      </c>
      <c r="K1983" t="str">
        <f t="shared" si="362"/>
        <v>ZRCBTC</v>
      </c>
      <c r="L1983">
        <f t="shared" si="363"/>
        <v>0</v>
      </c>
      <c r="M1983">
        <f t="shared" si="364"/>
        <v>1</v>
      </c>
      <c r="N1983" t="b">
        <f t="shared" si="365"/>
        <v>1</v>
      </c>
    </row>
    <row r="1984" spans="1:14" hidden="1" x14ac:dyDescent="0.25">
      <c r="A1984" t="s">
        <v>5</v>
      </c>
      <c r="B1984" t="s">
        <v>626</v>
      </c>
      <c r="C1984" s="1">
        <v>1.1999999999999999E-7</v>
      </c>
      <c r="D1984" s="1">
        <v>1.1000000000000001E-7</v>
      </c>
      <c r="E1984" s="1">
        <v>1.1999999999999999E-7</v>
      </c>
      <c r="F1984" s="1">
        <v>1.1000000000000001E-7</v>
      </c>
      <c r="G1984">
        <f t="shared" si="360"/>
        <v>6</v>
      </c>
      <c r="H1984" t="str">
        <f t="shared" si="372"/>
        <v>BTC</v>
      </c>
      <c r="I1984" t="str">
        <f t="shared" si="373"/>
        <v>ZUR</v>
      </c>
      <c r="J1984" t="str">
        <f t="shared" si="361"/>
        <v>BTCZUR</v>
      </c>
      <c r="K1984" t="str">
        <f t="shared" si="362"/>
        <v>ZURBTC</v>
      </c>
      <c r="L1984">
        <f t="shared" si="363"/>
        <v>0</v>
      </c>
      <c r="M1984">
        <f t="shared" si="364"/>
        <v>1</v>
      </c>
      <c r="N1984" t="b">
        <f t="shared" si="365"/>
        <v>1</v>
      </c>
    </row>
    <row r="1985" spans="1:14" hidden="1" x14ac:dyDescent="0.25">
      <c r="A1985" t="s">
        <v>5</v>
      </c>
      <c r="B1985" t="s">
        <v>782</v>
      </c>
      <c r="C1985" s="1">
        <v>2.1500000000000002E-6</v>
      </c>
      <c r="D1985" s="1">
        <v>2.1100000000000001E-6</v>
      </c>
      <c r="E1985" s="1">
        <v>2.1500000000000002E-6</v>
      </c>
      <c r="F1985" s="1">
        <v>2.1100000000000001E-6</v>
      </c>
      <c r="G1985">
        <f t="shared" ref="G1985:G2048" si="374">LEN(B1985)</f>
        <v>6</v>
      </c>
      <c r="H1985" t="str">
        <f t="shared" si="372"/>
        <v>BTC</v>
      </c>
      <c r="I1985" t="str">
        <f t="shared" si="373"/>
        <v>ZYD</v>
      </c>
      <c r="J1985" t="str">
        <f t="shared" ref="J1985:J2048" si="375">CONCATENATE(H1985,I1985)</f>
        <v>BTCZYD</v>
      </c>
      <c r="K1985" t="str">
        <f t="shared" ref="K1985:K2048" si="376">CONCATENATE(I1985,H1985)</f>
        <v>ZYDBTC</v>
      </c>
      <c r="L1985">
        <f t="shared" ref="L1985:L2048" si="377">COUNTIF(B:B,J1985)</f>
        <v>0</v>
      </c>
      <c r="M1985">
        <f t="shared" ref="M1985:M2048" si="378">COUNTIF(B:B,K1985)</f>
        <v>1</v>
      </c>
      <c r="N1985" t="b">
        <f t="shared" ref="N1985:N2048" si="379">L1985=0</f>
        <v>1</v>
      </c>
    </row>
    <row r="1986" spans="1:14" x14ac:dyDescent="0.25">
      <c r="A1986" s="4" t="s">
        <v>0</v>
      </c>
      <c r="B1986" s="4" t="s">
        <v>16</v>
      </c>
      <c r="C1986" s="3">
        <v>0.13622000000000001</v>
      </c>
      <c r="D1986" s="3">
        <v>0.13533000000000001</v>
      </c>
      <c r="E1986" s="3">
        <v>0.136270934988</v>
      </c>
      <c r="F1986" s="3">
        <v>0.1353208032864</v>
      </c>
      <c r="G1986">
        <f t="shared" si="374"/>
        <v>6</v>
      </c>
      <c r="H1986" t="str">
        <f t="shared" si="372"/>
        <v>BTC</v>
      </c>
      <c r="I1986" t="str">
        <f t="shared" si="373"/>
        <v>ETH</v>
      </c>
      <c r="J1986" t="str">
        <f t="shared" si="375"/>
        <v>BTCETH</v>
      </c>
      <c r="K1986" t="str">
        <f t="shared" si="376"/>
        <v>ETHBTC</v>
      </c>
      <c r="L1986">
        <f t="shared" si="377"/>
        <v>1</v>
      </c>
      <c r="M1986">
        <f t="shared" si="378"/>
        <v>9</v>
      </c>
      <c r="N1986" t="b">
        <f t="shared" si="379"/>
        <v>0</v>
      </c>
    </row>
    <row r="1987" spans="1:14" x14ac:dyDescent="0.25">
      <c r="A1987" s="4" t="s">
        <v>27</v>
      </c>
      <c r="B1987" s="4" t="s">
        <v>16</v>
      </c>
      <c r="C1987" s="3">
        <v>0.13577</v>
      </c>
      <c r="D1987" s="3">
        <v>0.1353</v>
      </c>
      <c r="E1987" s="3">
        <v>0.13577</v>
      </c>
      <c r="F1987" s="3">
        <v>0.1353</v>
      </c>
      <c r="G1987">
        <f t="shared" si="374"/>
        <v>6</v>
      </c>
      <c r="H1987" t="str">
        <f t="shared" si="372"/>
        <v>BTC</v>
      </c>
      <c r="I1987" t="str">
        <f t="shared" si="373"/>
        <v>ETH</v>
      </c>
      <c r="J1987" t="str">
        <f t="shared" si="375"/>
        <v>BTCETH</v>
      </c>
      <c r="K1987" t="str">
        <f t="shared" si="376"/>
        <v>ETHBTC</v>
      </c>
      <c r="L1987">
        <f t="shared" si="377"/>
        <v>1</v>
      </c>
      <c r="M1987">
        <f t="shared" si="378"/>
        <v>9</v>
      </c>
      <c r="N1987" t="b">
        <f t="shared" si="379"/>
        <v>0</v>
      </c>
    </row>
    <row r="1988" spans="1:14" x14ac:dyDescent="0.25">
      <c r="A1988" s="4" t="s">
        <v>3</v>
      </c>
      <c r="B1988" s="4" t="s">
        <v>16</v>
      </c>
      <c r="C1988" s="3">
        <v>0.13586999999999999</v>
      </c>
      <c r="D1988" s="3">
        <v>0.1356</v>
      </c>
      <c r="E1988" s="3">
        <v>0.13586999999999999</v>
      </c>
      <c r="F1988" s="3">
        <v>0.135601</v>
      </c>
      <c r="G1988">
        <f t="shared" si="374"/>
        <v>6</v>
      </c>
      <c r="H1988" t="str">
        <f t="shared" si="372"/>
        <v>BTC</v>
      </c>
      <c r="I1988" t="str">
        <f t="shared" si="373"/>
        <v>ETH</v>
      </c>
      <c r="J1988" t="str">
        <f t="shared" si="375"/>
        <v>BTCETH</v>
      </c>
      <c r="K1988" t="str">
        <f t="shared" si="376"/>
        <v>ETHBTC</v>
      </c>
      <c r="L1988">
        <f t="shared" si="377"/>
        <v>1</v>
      </c>
      <c r="M1988">
        <f t="shared" si="378"/>
        <v>9</v>
      </c>
      <c r="N1988" t="b">
        <f t="shared" si="379"/>
        <v>0</v>
      </c>
    </row>
    <row r="1989" spans="1:14" x14ac:dyDescent="0.25">
      <c r="A1989" s="4" t="s">
        <v>4</v>
      </c>
      <c r="B1989" s="4" t="s">
        <v>16</v>
      </c>
      <c r="C1989" s="3">
        <v>0.13628899999999999</v>
      </c>
      <c r="D1989" s="3">
        <v>0.13570099999999999</v>
      </c>
      <c r="E1989" s="3">
        <v>0.13628899999999999</v>
      </c>
      <c r="F1989" s="3">
        <v>0.13558100000000001</v>
      </c>
      <c r="G1989">
        <f t="shared" si="374"/>
        <v>6</v>
      </c>
      <c r="H1989" t="str">
        <f t="shared" si="372"/>
        <v>BTC</v>
      </c>
      <c r="I1989" t="str">
        <f t="shared" si="373"/>
        <v>ETH</v>
      </c>
      <c r="J1989" t="str">
        <f t="shared" si="375"/>
        <v>BTCETH</v>
      </c>
      <c r="K1989" t="str">
        <f t="shared" si="376"/>
        <v>ETHBTC</v>
      </c>
      <c r="L1989">
        <f t="shared" si="377"/>
        <v>1</v>
      </c>
      <c r="M1989">
        <f t="shared" si="378"/>
        <v>9</v>
      </c>
      <c r="N1989" t="b">
        <f t="shared" si="379"/>
        <v>0</v>
      </c>
    </row>
    <row r="1990" spans="1:14" x14ac:dyDescent="0.25">
      <c r="A1990" s="4" t="s">
        <v>5</v>
      </c>
      <c r="B1990" s="4" t="s">
        <v>16</v>
      </c>
      <c r="C1990" s="3">
        <v>0.13635013000000001</v>
      </c>
      <c r="D1990" s="3">
        <v>0.13518980999999999</v>
      </c>
      <c r="E1990" s="3">
        <v>0.136407309327198</v>
      </c>
      <c r="F1990" s="3">
        <v>0.13518980999999999</v>
      </c>
      <c r="G1990">
        <f t="shared" si="374"/>
        <v>6</v>
      </c>
      <c r="H1990" t="str">
        <f t="shared" si="372"/>
        <v>BTC</v>
      </c>
      <c r="I1990" t="str">
        <f t="shared" si="373"/>
        <v>ETH</v>
      </c>
      <c r="J1990" t="str">
        <f t="shared" si="375"/>
        <v>BTCETH</v>
      </c>
      <c r="K1990" t="str">
        <f t="shared" si="376"/>
        <v>ETHBTC</v>
      </c>
      <c r="L1990">
        <f t="shared" si="377"/>
        <v>1</v>
      </c>
      <c r="M1990">
        <f t="shared" si="378"/>
        <v>9</v>
      </c>
      <c r="N1990" t="b">
        <f t="shared" si="379"/>
        <v>0</v>
      </c>
    </row>
    <row r="1991" spans="1:14" x14ac:dyDescent="0.25">
      <c r="A1991" s="4" t="s">
        <v>6</v>
      </c>
      <c r="B1991" s="4" t="s">
        <v>16</v>
      </c>
      <c r="C1991" s="3">
        <v>0.13538009000000001</v>
      </c>
      <c r="D1991" s="3">
        <v>0.13677980000000001</v>
      </c>
      <c r="E1991" s="3">
        <v>0.13538009000000001</v>
      </c>
      <c r="F1991" s="3">
        <v>0.13675596000000001</v>
      </c>
      <c r="G1991">
        <f t="shared" si="374"/>
        <v>6</v>
      </c>
      <c r="H1991" t="str">
        <f t="shared" si="372"/>
        <v>BTC</v>
      </c>
      <c r="I1991" t="str">
        <f t="shared" si="373"/>
        <v>ETH</v>
      </c>
      <c r="J1991" t="str">
        <f t="shared" si="375"/>
        <v>BTCETH</v>
      </c>
      <c r="K1991" t="str">
        <f t="shared" si="376"/>
        <v>ETHBTC</v>
      </c>
      <c r="L1991">
        <f t="shared" si="377"/>
        <v>1</v>
      </c>
      <c r="M1991">
        <f t="shared" si="378"/>
        <v>9</v>
      </c>
      <c r="N1991" t="b">
        <f t="shared" si="379"/>
        <v>0</v>
      </c>
    </row>
    <row r="1992" spans="1:14" x14ac:dyDescent="0.25">
      <c r="A1992" s="4" t="s">
        <v>7</v>
      </c>
      <c r="B1992" s="4" t="s">
        <v>16</v>
      </c>
      <c r="C1992" s="3">
        <v>0.13530001</v>
      </c>
      <c r="D1992" s="3">
        <v>0.13599998999999999</v>
      </c>
      <c r="E1992" s="3">
        <v>0.1353</v>
      </c>
      <c r="F1992" s="3">
        <v>0.13599998999999999</v>
      </c>
      <c r="G1992">
        <f t="shared" si="374"/>
        <v>6</v>
      </c>
      <c r="H1992" t="str">
        <f t="shared" si="372"/>
        <v>BTC</v>
      </c>
      <c r="I1992" t="str">
        <f t="shared" si="373"/>
        <v>ETH</v>
      </c>
      <c r="J1992" t="str">
        <f t="shared" si="375"/>
        <v>BTCETH</v>
      </c>
      <c r="K1992" t="str">
        <f t="shared" si="376"/>
        <v>ETHBTC</v>
      </c>
      <c r="L1992">
        <f t="shared" si="377"/>
        <v>1</v>
      </c>
      <c r="M1992">
        <f t="shared" si="378"/>
        <v>9</v>
      </c>
      <c r="N1992" t="b">
        <f t="shared" si="379"/>
        <v>0</v>
      </c>
    </row>
    <row r="1993" spans="1:14" x14ac:dyDescent="0.25">
      <c r="A1993" s="4" t="s">
        <v>1239</v>
      </c>
      <c r="B1993" s="4" t="s">
        <v>16</v>
      </c>
      <c r="C1993" s="3">
        <v>0.13502910000000001</v>
      </c>
      <c r="D1993" s="3">
        <v>0.13502901</v>
      </c>
      <c r="E1993" s="3">
        <v>0.13600000000000001</v>
      </c>
      <c r="F1993" s="3">
        <v>0.13502901</v>
      </c>
      <c r="G1993">
        <f t="shared" si="374"/>
        <v>6</v>
      </c>
      <c r="H1993" t="str">
        <f t="shared" si="372"/>
        <v>BTC</v>
      </c>
      <c r="I1993" t="str">
        <f t="shared" si="373"/>
        <v>ETH</v>
      </c>
      <c r="J1993" t="str">
        <f t="shared" si="375"/>
        <v>BTCETH</v>
      </c>
      <c r="K1993" t="str">
        <f t="shared" si="376"/>
        <v>ETHBTC</v>
      </c>
      <c r="L1993">
        <f t="shared" si="377"/>
        <v>1</v>
      </c>
      <c r="M1993">
        <f t="shared" si="378"/>
        <v>9</v>
      </c>
      <c r="N1993" t="b">
        <f t="shared" si="379"/>
        <v>0</v>
      </c>
    </row>
    <row r="1994" spans="1:14" x14ac:dyDescent="0.25">
      <c r="A1994" s="4" t="s">
        <v>1403</v>
      </c>
      <c r="B1994" s="4" t="s">
        <v>16</v>
      </c>
      <c r="C1994" s="3">
        <v>0.13581231999999999</v>
      </c>
      <c r="D1994" s="3">
        <v>0.13581231999999999</v>
      </c>
      <c r="E1994" s="3">
        <v>0.13799968000000001</v>
      </c>
      <c r="F1994" s="3">
        <v>0.13568696475571501</v>
      </c>
      <c r="G1994">
        <f t="shared" si="374"/>
        <v>6</v>
      </c>
      <c r="H1994" t="str">
        <f t="shared" si="372"/>
        <v>BTC</v>
      </c>
      <c r="I1994" t="str">
        <f t="shared" si="373"/>
        <v>ETH</v>
      </c>
      <c r="J1994" t="str">
        <f t="shared" si="375"/>
        <v>BTCETH</v>
      </c>
      <c r="K1994" t="str">
        <f t="shared" si="376"/>
        <v>ETHBTC</v>
      </c>
      <c r="L1994">
        <f t="shared" si="377"/>
        <v>1</v>
      </c>
      <c r="M1994">
        <f t="shared" si="378"/>
        <v>9</v>
      </c>
      <c r="N1994" t="b">
        <f t="shared" si="379"/>
        <v>0</v>
      </c>
    </row>
    <row r="1995" spans="1:14" x14ac:dyDescent="0.25">
      <c r="A1995" s="4" t="s">
        <v>0</v>
      </c>
      <c r="B1995" s="4" t="s">
        <v>15</v>
      </c>
      <c r="C1995" s="3">
        <v>2387.799</v>
      </c>
      <c r="D1995" s="3">
        <v>2386.665</v>
      </c>
      <c r="E1995" s="3">
        <v>2387.7993999999999</v>
      </c>
      <c r="F1995" s="3">
        <v>2386.665</v>
      </c>
      <c r="G1995">
        <f t="shared" si="374"/>
        <v>6</v>
      </c>
      <c r="H1995" t="str">
        <f t="shared" si="372"/>
        <v>USD</v>
      </c>
      <c r="I1995" t="str">
        <f t="shared" si="373"/>
        <v>BTC</v>
      </c>
      <c r="J1995" t="str">
        <f t="shared" si="375"/>
        <v>USDBTC</v>
      </c>
      <c r="K1995" t="str">
        <f t="shared" si="376"/>
        <v>BTCUSD</v>
      </c>
      <c r="L1995">
        <f t="shared" si="377"/>
        <v>1</v>
      </c>
      <c r="M1995">
        <f t="shared" si="378"/>
        <v>8</v>
      </c>
      <c r="N1995" t="b">
        <f t="shared" si="379"/>
        <v>0</v>
      </c>
    </row>
    <row r="1996" spans="1:14" x14ac:dyDescent="0.25">
      <c r="A1996" s="4" t="s">
        <v>27</v>
      </c>
      <c r="B1996" s="4" t="s">
        <v>15</v>
      </c>
      <c r="C1996" s="3">
        <v>2240.3000000000002</v>
      </c>
      <c r="D1996" s="3">
        <v>2237.5</v>
      </c>
      <c r="E1996" s="3">
        <v>2240.001934292</v>
      </c>
      <c r="F1996" s="3">
        <v>2237.1999999999998</v>
      </c>
      <c r="G1996">
        <f t="shared" si="374"/>
        <v>6</v>
      </c>
      <c r="H1996" t="str">
        <f t="shared" si="372"/>
        <v>USD</v>
      </c>
      <c r="I1996" t="str">
        <f t="shared" si="373"/>
        <v>BTC</v>
      </c>
      <c r="J1996" t="str">
        <f t="shared" si="375"/>
        <v>USDBTC</v>
      </c>
      <c r="K1996" t="str">
        <f t="shared" si="376"/>
        <v>BTCUSD</v>
      </c>
      <c r="L1996">
        <f t="shared" si="377"/>
        <v>1</v>
      </c>
      <c r="M1996">
        <f t="shared" si="378"/>
        <v>8</v>
      </c>
      <c r="N1996" t="b">
        <f t="shared" si="379"/>
        <v>0</v>
      </c>
    </row>
    <row r="1997" spans="1:14" x14ac:dyDescent="0.25">
      <c r="A1997" s="4" t="s">
        <v>3</v>
      </c>
      <c r="B1997" s="4" t="s">
        <v>15</v>
      </c>
      <c r="C1997" s="3">
        <v>2281.5889999999999</v>
      </c>
      <c r="D1997" s="3">
        <v>2279.9989999999998</v>
      </c>
      <c r="E1997" s="3">
        <v>2281.5889999999999</v>
      </c>
      <c r="F1997" s="3">
        <v>2278.527</v>
      </c>
      <c r="G1997">
        <f t="shared" si="374"/>
        <v>6</v>
      </c>
      <c r="H1997" t="str">
        <f t="shared" si="372"/>
        <v>USD</v>
      </c>
      <c r="I1997" t="str">
        <f t="shared" si="373"/>
        <v>BTC</v>
      </c>
      <c r="J1997" t="str">
        <f t="shared" si="375"/>
        <v>USDBTC</v>
      </c>
      <c r="K1997" t="str">
        <f t="shared" si="376"/>
        <v>BTCUSD</v>
      </c>
      <c r="L1997">
        <f t="shared" si="377"/>
        <v>1</v>
      </c>
      <c r="M1997">
        <f t="shared" si="378"/>
        <v>8</v>
      </c>
      <c r="N1997" t="b">
        <f t="shared" si="379"/>
        <v>0</v>
      </c>
    </row>
    <row r="1998" spans="1:14" x14ac:dyDescent="0.25">
      <c r="A1998" s="4" t="s">
        <v>4</v>
      </c>
      <c r="B1998" s="4" t="s">
        <v>15</v>
      </c>
      <c r="C1998" s="3">
        <v>2259.6999999999998</v>
      </c>
      <c r="D1998" s="3">
        <v>2258.1</v>
      </c>
      <c r="E1998" s="3">
        <v>2263.9780000000001</v>
      </c>
      <c r="F1998" s="3">
        <v>2253.9919999999902</v>
      </c>
      <c r="G1998">
        <f t="shared" si="374"/>
        <v>6</v>
      </c>
      <c r="H1998" t="str">
        <f t="shared" si="372"/>
        <v>USD</v>
      </c>
      <c r="I1998" t="str">
        <f t="shared" si="373"/>
        <v>BTC</v>
      </c>
      <c r="J1998" t="str">
        <f t="shared" si="375"/>
        <v>USDBTC</v>
      </c>
      <c r="K1998" t="str">
        <f t="shared" si="376"/>
        <v>BTCUSD</v>
      </c>
      <c r="L1998">
        <f t="shared" si="377"/>
        <v>1</v>
      </c>
      <c r="M1998">
        <f t="shared" si="378"/>
        <v>8</v>
      </c>
      <c r="N1998" t="b">
        <f t="shared" si="379"/>
        <v>0</v>
      </c>
    </row>
    <row r="1999" spans="1:14" x14ac:dyDescent="0.25">
      <c r="A1999" s="4" t="s">
        <v>5</v>
      </c>
      <c r="B1999" s="4" t="s">
        <v>15</v>
      </c>
      <c r="C1999" s="3">
        <v>2450</v>
      </c>
      <c r="D1999" s="3">
        <v>2445</v>
      </c>
      <c r="E1999" s="3">
        <v>2450</v>
      </c>
      <c r="F1999" s="3">
        <v>2440.5590874125801</v>
      </c>
      <c r="G1999">
        <f t="shared" si="374"/>
        <v>6</v>
      </c>
      <c r="H1999" t="str">
        <f t="shared" si="372"/>
        <v>USD</v>
      </c>
      <c r="I1999" t="str">
        <f t="shared" si="373"/>
        <v>BTC</v>
      </c>
      <c r="J1999" t="str">
        <f t="shared" si="375"/>
        <v>USDBTC</v>
      </c>
      <c r="K1999" t="str">
        <f t="shared" si="376"/>
        <v>BTCUSD</v>
      </c>
      <c r="L1999">
        <f t="shared" si="377"/>
        <v>1</v>
      </c>
      <c r="M1999">
        <f t="shared" si="378"/>
        <v>8</v>
      </c>
      <c r="N1999" t="b">
        <f t="shared" si="379"/>
        <v>0</v>
      </c>
    </row>
    <row r="2000" spans="1:14" x14ac:dyDescent="0.25">
      <c r="A2000" s="4" t="s">
        <v>6</v>
      </c>
      <c r="B2000" s="4" t="s">
        <v>15</v>
      </c>
      <c r="C2000" s="3">
        <v>2500.0001000000002</v>
      </c>
      <c r="D2000" s="3">
        <v>2503.1008000000002</v>
      </c>
      <c r="E2000" s="3">
        <v>2500.0001000000002</v>
      </c>
      <c r="F2000" s="3">
        <v>2503.1008000000002</v>
      </c>
      <c r="G2000">
        <f t="shared" si="374"/>
        <v>6</v>
      </c>
      <c r="H2000" t="str">
        <f t="shared" si="372"/>
        <v>USD</v>
      </c>
      <c r="I2000" t="str">
        <f t="shared" si="373"/>
        <v>BTC</v>
      </c>
      <c r="J2000" t="str">
        <f t="shared" si="375"/>
        <v>USDBTC</v>
      </c>
      <c r="K2000" t="str">
        <f t="shared" si="376"/>
        <v>BTCUSD</v>
      </c>
      <c r="L2000">
        <f t="shared" si="377"/>
        <v>1</v>
      </c>
      <c r="M2000">
        <f t="shared" si="378"/>
        <v>8</v>
      </c>
      <c r="N2000" t="b">
        <f t="shared" si="379"/>
        <v>0</v>
      </c>
    </row>
    <row r="2001" spans="1:14" x14ac:dyDescent="0.25">
      <c r="A2001" s="4" t="s">
        <v>7</v>
      </c>
      <c r="B2001" s="4" t="s">
        <v>15</v>
      </c>
      <c r="C2001" s="3">
        <v>2482.3191406000001</v>
      </c>
      <c r="D2001" s="3">
        <v>2506.2065969800001</v>
      </c>
      <c r="E2001" s="3">
        <v>2471.7970914358998</v>
      </c>
      <c r="F2001" s="3">
        <v>2506.2065969800001</v>
      </c>
      <c r="G2001">
        <f t="shared" si="374"/>
        <v>6</v>
      </c>
      <c r="H2001" t="str">
        <f t="shared" si="372"/>
        <v>USD</v>
      </c>
      <c r="I2001" t="str">
        <f t="shared" si="373"/>
        <v>BTC</v>
      </c>
      <c r="J2001" t="str">
        <f t="shared" si="375"/>
        <v>USDBTC</v>
      </c>
      <c r="K2001" t="str">
        <f t="shared" si="376"/>
        <v>BTCUSD</v>
      </c>
      <c r="L2001">
        <f t="shared" si="377"/>
        <v>1</v>
      </c>
      <c r="M2001">
        <f t="shared" si="378"/>
        <v>8</v>
      </c>
      <c r="N2001" t="b">
        <f t="shared" si="379"/>
        <v>0</v>
      </c>
    </row>
    <row r="2002" spans="1:14" x14ac:dyDescent="0.25">
      <c r="A2002" s="4" t="s">
        <v>1239</v>
      </c>
      <c r="B2002" s="4" t="s">
        <v>15</v>
      </c>
      <c r="C2002" s="3">
        <v>2489.9299999999998</v>
      </c>
      <c r="D2002" s="3">
        <v>2480</v>
      </c>
      <c r="E2002" s="3">
        <v>2501.0971132599998</v>
      </c>
      <c r="F2002" s="3">
        <v>2480</v>
      </c>
      <c r="G2002">
        <f t="shared" si="374"/>
        <v>6</v>
      </c>
      <c r="H2002" t="str">
        <f t="shared" si="372"/>
        <v>USD</v>
      </c>
      <c r="I2002" t="str">
        <f t="shared" si="373"/>
        <v>BTC</v>
      </c>
      <c r="J2002" t="str">
        <f t="shared" si="375"/>
        <v>USDBTC</v>
      </c>
      <c r="K2002" t="str">
        <f t="shared" si="376"/>
        <v>BTCUSD</v>
      </c>
      <c r="L2002">
        <f t="shared" si="377"/>
        <v>1</v>
      </c>
      <c r="M2002">
        <f t="shared" si="378"/>
        <v>8</v>
      </c>
      <c r="N2002" t="b">
        <f t="shared" si="379"/>
        <v>0</v>
      </c>
    </row>
    <row r="2003" spans="1:14" x14ac:dyDescent="0.25">
      <c r="A2003" s="4" t="s">
        <v>0</v>
      </c>
      <c r="B2003" s="4" t="s">
        <v>17</v>
      </c>
      <c r="C2003" s="3">
        <v>1.238E-2</v>
      </c>
      <c r="D2003" s="3">
        <v>1.231E-2</v>
      </c>
      <c r="E2003" s="3">
        <v>1.238E-2</v>
      </c>
      <c r="F2003" s="3">
        <v>1.231E-2</v>
      </c>
      <c r="G2003">
        <f t="shared" si="374"/>
        <v>6</v>
      </c>
      <c r="H2003" t="str">
        <f t="shared" si="372"/>
        <v>BTC</v>
      </c>
      <c r="I2003" t="str">
        <f t="shared" si="373"/>
        <v>LTC</v>
      </c>
      <c r="J2003" t="str">
        <f t="shared" si="375"/>
        <v>BTCLTC</v>
      </c>
      <c r="K2003" t="str">
        <f t="shared" si="376"/>
        <v>LTCBTC</v>
      </c>
      <c r="L2003">
        <f t="shared" si="377"/>
        <v>2</v>
      </c>
      <c r="M2003">
        <f t="shared" si="378"/>
        <v>8</v>
      </c>
      <c r="N2003" t="b">
        <f t="shared" si="379"/>
        <v>0</v>
      </c>
    </row>
    <row r="2004" spans="1:14" x14ac:dyDescent="0.25">
      <c r="A2004" s="4" t="s">
        <v>27</v>
      </c>
      <c r="B2004" s="4" t="s">
        <v>17</v>
      </c>
      <c r="C2004" s="3">
        <v>1.234E-2</v>
      </c>
      <c r="D2004" s="3">
        <v>1.2333999999999999E-2</v>
      </c>
      <c r="E2004" s="3">
        <v>1.234E-2</v>
      </c>
      <c r="F2004" s="3">
        <v>1.2333999999999999E-2</v>
      </c>
      <c r="G2004">
        <f t="shared" si="374"/>
        <v>6</v>
      </c>
      <c r="H2004" t="str">
        <f t="shared" si="372"/>
        <v>BTC</v>
      </c>
      <c r="I2004" t="str">
        <f t="shared" si="373"/>
        <v>LTC</v>
      </c>
      <c r="J2004" t="str">
        <f t="shared" si="375"/>
        <v>BTCLTC</v>
      </c>
      <c r="K2004" t="str">
        <f t="shared" si="376"/>
        <v>LTCBTC</v>
      </c>
      <c r="L2004">
        <f t="shared" si="377"/>
        <v>2</v>
      </c>
      <c r="M2004">
        <f t="shared" si="378"/>
        <v>8</v>
      </c>
      <c r="N2004" t="b">
        <f t="shared" si="379"/>
        <v>0</v>
      </c>
    </row>
    <row r="2005" spans="1:14" x14ac:dyDescent="0.25">
      <c r="A2005" s="4" t="s">
        <v>3</v>
      </c>
      <c r="B2005" s="4" t="s">
        <v>17</v>
      </c>
      <c r="C2005" s="3">
        <v>1.2298E-2</v>
      </c>
      <c r="D2005" s="3">
        <v>1.2248E-2</v>
      </c>
      <c r="E2005" s="3">
        <v>1.2293999999999999E-2</v>
      </c>
      <c r="F2005" s="3">
        <v>1.2241E-2</v>
      </c>
      <c r="G2005">
        <f t="shared" si="374"/>
        <v>6</v>
      </c>
      <c r="H2005" t="str">
        <f t="shared" si="372"/>
        <v>BTC</v>
      </c>
      <c r="I2005" t="str">
        <f t="shared" si="373"/>
        <v>LTC</v>
      </c>
      <c r="J2005" t="str">
        <f t="shared" si="375"/>
        <v>BTCLTC</v>
      </c>
      <c r="K2005" t="str">
        <f t="shared" si="376"/>
        <v>LTCBTC</v>
      </c>
      <c r="L2005">
        <f t="shared" si="377"/>
        <v>2</v>
      </c>
      <c r="M2005">
        <f t="shared" si="378"/>
        <v>8</v>
      </c>
      <c r="N2005" t="b">
        <f t="shared" si="379"/>
        <v>0</v>
      </c>
    </row>
    <row r="2006" spans="1:14" x14ac:dyDescent="0.25">
      <c r="A2006" s="4" t="s">
        <v>4</v>
      </c>
      <c r="B2006" s="4" t="s">
        <v>17</v>
      </c>
      <c r="C2006" s="3">
        <v>1.226E-2</v>
      </c>
      <c r="D2006" s="3">
        <v>1.2239999999999999E-2</v>
      </c>
      <c r="E2006" s="3">
        <v>1.226E-2</v>
      </c>
      <c r="F2006" s="3">
        <v>1.2239999999999999E-2</v>
      </c>
      <c r="G2006">
        <f t="shared" si="374"/>
        <v>6</v>
      </c>
      <c r="H2006" t="str">
        <f t="shared" si="372"/>
        <v>BTC</v>
      </c>
      <c r="I2006" t="str">
        <f t="shared" si="373"/>
        <v>LTC</v>
      </c>
      <c r="J2006" t="str">
        <f t="shared" si="375"/>
        <v>BTCLTC</v>
      </c>
      <c r="K2006" t="str">
        <f t="shared" si="376"/>
        <v>LTCBTC</v>
      </c>
      <c r="L2006">
        <f t="shared" si="377"/>
        <v>2</v>
      </c>
      <c r="M2006">
        <f t="shared" si="378"/>
        <v>8</v>
      </c>
      <c r="N2006" t="b">
        <f t="shared" si="379"/>
        <v>0</v>
      </c>
    </row>
    <row r="2007" spans="1:14" x14ac:dyDescent="0.25">
      <c r="A2007" s="4" t="s">
        <v>5</v>
      </c>
      <c r="B2007" s="4" t="s">
        <v>17</v>
      </c>
      <c r="C2007" s="3">
        <v>1.234001E-2</v>
      </c>
      <c r="D2007" s="3">
        <v>1.229236E-2</v>
      </c>
      <c r="E2007" s="3">
        <v>1.2407974205324E-2</v>
      </c>
      <c r="F2007" s="3">
        <v>1.22528816318732E-2</v>
      </c>
      <c r="G2007">
        <f t="shared" si="374"/>
        <v>6</v>
      </c>
      <c r="H2007" t="str">
        <f t="shared" si="372"/>
        <v>BTC</v>
      </c>
      <c r="I2007" t="str">
        <f t="shared" si="373"/>
        <v>LTC</v>
      </c>
      <c r="J2007" t="str">
        <f t="shared" si="375"/>
        <v>BTCLTC</v>
      </c>
      <c r="K2007" t="str">
        <f t="shared" si="376"/>
        <v>LTCBTC</v>
      </c>
      <c r="L2007">
        <f t="shared" si="377"/>
        <v>2</v>
      </c>
      <c r="M2007">
        <f t="shared" si="378"/>
        <v>8</v>
      </c>
      <c r="N2007" t="b">
        <f t="shared" si="379"/>
        <v>0</v>
      </c>
    </row>
    <row r="2008" spans="1:14" x14ac:dyDescent="0.25">
      <c r="A2008" s="4" t="s">
        <v>7</v>
      </c>
      <c r="B2008" s="4" t="s">
        <v>17</v>
      </c>
      <c r="C2008" s="3">
        <v>1.2290000000000001E-2</v>
      </c>
      <c r="D2008" s="3">
        <v>1.2359999999999999E-2</v>
      </c>
      <c r="E2008" s="3">
        <v>1.22803599999999E-2</v>
      </c>
      <c r="F2008" s="3">
        <v>1.2366464000000001E-2</v>
      </c>
      <c r="G2008">
        <f t="shared" si="374"/>
        <v>6</v>
      </c>
      <c r="H2008" t="str">
        <f t="shared" si="372"/>
        <v>BTC</v>
      </c>
      <c r="I2008" t="str">
        <f t="shared" si="373"/>
        <v>LTC</v>
      </c>
      <c r="J2008" t="str">
        <f t="shared" si="375"/>
        <v>BTCLTC</v>
      </c>
      <c r="K2008" t="str">
        <f t="shared" si="376"/>
        <v>LTCBTC</v>
      </c>
      <c r="L2008">
        <f t="shared" si="377"/>
        <v>2</v>
      </c>
      <c r="M2008">
        <f t="shared" si="378"/>
        <v>8</v>
      </c>
      <c r="N2008" t="b">
        <f t="shared" si="379"/>
        <v>0</v>
      </c>
    </row>
    <row r="2009" spans="1:14" x14ac:dyDescent="0.25">
      <c r="A2009" s="4" t="s">
        <v>1239</v>
      </c>
      <c r="B2009" s="4" t="s">
        <v>17</v>
      </c>
      <c r="C2009" s="3">
        <v>1.2112029999999999E-2</v>
      </c>
      <c r="D2009" s="3">
        <v>1.2112019999999999E-2</v>
      </c>
      <c r="E2009" s="3">
        <v>1.2351792733974E-2</v>
      </c>
      <c r="F2009" s="3">
        <v>1.2112019999999999E-2</v>
      </c>
      <c r="G2009">
        <f t="shared" si="374"/>
        <v>6</v>
      </c>
      <c r="H2009" t="str">
        <f t="shared" si="372"/>
        <v>BTC</v>
      </c>
      <c r="I2009" t="str">
        <f t="shared" si="373"/>
        <v>LTC</v>
      </c>
      <c r="J2009" t="str">
        <f t="shared" si="375"/>
        <v>BTCLTC</v>
      </c>
      <c r="K2009" t="str">
        <f t="shared" si="376"/>
        <v>LTCBTC</v>
      </c>
      <c r="L2009">
        <f t="shared" si="377"/>
        <v>2</v>
      </c>
      <c r="M2009">
        <f t="shared" si="378"/>
        <v>8</v>
      </c>
      <c r="N2009" t="b">
        <f t="shared" si="379"/>
        <v>0</v>
      </c>
    </row>
    <row r="2010" spans="1:14" x14ac:dyDescent="0.25">
      <c r="A2010" s="4" t="s">
        <v>1403</v>
      </c>
      <c r="B2010" s="4" t="s">
        <v>17</v>
      </c>
      <c r="C2010" s="3">
        <v>1.2000169999999999E-2</v>
      </c>
      <c r="D2010" s="3">
        <v>1.24841E-2</v>
      </c>
      <c r="E2010" s="3">
        <v>1.2484E-2</v>
      </c>
      <c r="F2010" s="3">
        <v>1.200028E-2</v>
      </c>
      <c r="G2010">
        <f t="shared" si="374"/>
        <v>6</v>
      </c>
      <c r="H2010" t="str">
        <f t="shared" si="372"/>
        <v>BTC</v>
      </c>
      <c r="I2010" t="str">
        <f t="shared" si="373"/>
        <v>LTC</v>
      </c>
      <c r="J2010" t="str">
        <f t="shared" si="375"/>
        <v>BTCLTC</v>
      </c>
      <c r="K2010" t="str">
        <f t="shared" si="376"/>
        <v>LTCBTC</v>
      </c>
      <c r="L2010">
        <f t="shared" si="377"/>
        <v>2</v>
      </c>
      <c r="M2010">
        <f t="shared" si="378"/>
        <v>8</v>
      </c>
      <c r="N2010" t="b">
        <f t="shared" si="379"/>
        <v>0</v>
      </c>
    </row>
    <row r="2011" spans="1:14" x14ac:dyDescent="0.25">
      <c r="A2011" s="4" t="s">
        <v>3</v>
      </c>
      <c r="B2011" s="4" t="s">
        <v>268</v>
      </c>
      <c r="C2011" s="3">
        <v>6.5193000000000001E-2</v>
      </c>
      <c r="D2011" s="3">
        <v>6.4772999999999997E-2</v>
      </c>
      <c r="E2011" s="3">
        <v>6.5190999999999999E-2</v>
      </c>
      <c r="F2011" s="3">
        <v>6.4768999999999993E-2</v>
      </c>
      <c r="G2011">
        <f t="shared" si="374"/>
        <v>7</v>
      </c>
      <c r="H2011" t="str">
        <f t="shared" si="372"/>
        <v>BTC</v>
      </c>
      <c r="I2011" t="str">
        <f t="shared" ref="I2011:I2021" si="380">LEFT(B2011,4)</f>
        <v>DASH</v>
      </c>
      <c r="J2011" t="str">
        <f t="shared" si="375"/>
        <v>BTCDASH</v>
      </c>
      <c r="K2011" t="str">
        <f t="shared" si="376"/>
        <v>DASHBTC</v>
      </c>
      <c r="L2011">
        <f t="shared" si="377"/>
        <v>2</v>
      </c>
      <c r="M2011">
        <f t="shared" si="378"/>
        <v>6</v>
      </c>
      <c r="N2011" t="b">
        <f t="shared" si="379"/>
        <v>0</v>
      </c>
    </row>
    <row r="2012" spans="1:14" x14ac:dyDescent="0.25">
      <c r="A2012" s="4" t="s">
        <v>4</v>
      </c>
      <c r="B2012" s="4" t="s">
        <v>268</v>
      </c>
      <c r="C2012" s="3">
        <v>6.5187999999999996E-2</v>
      </c>
      <c r="D2012" s="3">
        <v>6.4917000000000002E-2</v>
      </c>
      <c r="E2012" s="3">
        <v>6.5187999999999996E-2</v>
      </c>
      <c r="F2012" s="3">
        <v>6.4917000000000002E-2</v>
      </c>
      <c r="G2012">
        <f t="shared" si="374"/>
        <v>7</v>
      </c>
      <c r="H2012" t="str">
        <f t="shared" ref="H2012:H2043" si="381">RIGHT(B2012,3)</f>
        <v>BTC</v>
      </c>
      <c r="I2012" t="str">
        <f t="shared" si="380"/>
        <v>DASH</v>
      </c>
      <c r="J2012" t="str">
        <f t="shared" si="375"/>
        <v>BTCDASH</v>
      </c>
      <c r="K2012" t="str">
        <f t="shared" si="376"/>
        <v>DASHBTC</v>
      </c>
      <c r="L2012">
        <f t="shared" si="377"/>
        <v>2</v>
      </c>
      <c r="M2012">
        <f t="shared" si="378"/>
        <v>6</v>
      </c>
      <c r="N2012" t="b">
        <f t="shared" si="379"/>
        <v>0</v>
      </c>
    </row>
    <row r="2013" spans="1:14" x14ac:dyDescent="0.25">
      <c r="A2013" s="4" t="s">
        <v>5</v>
      </c>
      <c r="B2013" s="4" t="s">
        <v>268</v>
      </c>
      <c r="C2013" s="3">
        <v>6.4949989999999999E-2</v>
      </c>
      <c r="D2013" s="3">
        <v>6.4401E-2</v>
      </c>
      <c r="E2013" s="3">
        <v>6.5479899466329594E-2</v>
      </c>
      <c r="F2013" s="3">
        <v>2.0999999999999999E-5</v>
      </c>
      <c r="G2013">
        <f t="shared" si="374"/>
        <v>7</v>
      </c>
      <c r="H2013" t="str">
        <f t="shared" si="381"/>
        <v>BTC</v>
      </c>
      <c r="I2013" t="str">
        <f t="shared" si="380"/>
        <v>DASH</v>
      </c>
      <c r="J2013" t="str">
        <f t="shared" si="375"/>
        <v>BTCDASH</v>
      </c>
      <c r="K2013" t="str">
        <f t="shared" si="376"/>
        <v>DASHBTC</v>
      </c>
      <c r="L2013">
        <f t="shared" si="377"/>
        <v>2</v>
      </c>
      <c r="M2013">
        <f t="shared" si="378"/>
        <v>6</v>
      </c>
      <c r="N2013" t="b">
        <f t="shared" si="379"/>
        <v>0</v>
      </c>
    </row>
    <row r="2014" spans="1:14" x14ac:dyDescent="0.25">
      <c r="A2014" s="4" t="s">
        <v>7</v>
      </c>
      <c r="B2014" s="4" t="s">
        <v>268</v>
      </c>
      <c r="C2014" s="3">
        <v>6.4769999999999994E-2</v>
      </c>
      <c r="D2014" s="3">
        <v>6.5009999999999998E-2</v>
      </c>
      <c r="E2014" s="3">
        <v>6.4769999999999994E-2</v>
      </c>
      <c r="F2014" s="3">
        <v>6.5009999999999998E-2</v>
      </c>
      <c r="G2014">
        <f t="shared" si="374"/>
        <v>7</v>
      </c>
      <c r="H2014" t="str">
        <f t="shared" si="381"/>
        <v>BTC</v>
      </c>
      <c r="I2014" t="str">
        <f t="shared" si="380"/>
        <v>DASH</v>
      </c>
      <c r="J2014" t="str">
        <f t="shared" si="375"/>
        <v>BTCDASH</v>
      </c>
      <c r="K2014" t="str">
        <f t="shared" si="376"/>
        <v>DASHBTC</v>
      </c>
      <c r="L2014">
        <f t="shared" si="377"/>
        <v>2</v>
      </c>
      <c r="M2014">
        <f t="shared" si="378"/>
        <v>6</v>
      </c>
      <c r="N2014" t="b">
        <f t="shared" si="379"/>
        <v>0</v>
      </c>
    </row>
    <row r="2015" spans="1:14" x14ac:dyDescent="0.25">
      <c r="A2015" s="4" t="s">
        <v>1239</v>
      </c>
      <c r="B2015" s="4" t="s">
        <v>268</v>
      </c>
      <c r="C2015" s="3">
        <v>6.4999989999999994E-2</v>
      </c>
      <c r="D2015" s="3">
        <v>6.4386559999999995E-2</v>
      </c>
      <c r="E2015" s="3">
        <v>6.4999989999999994E-2</v>
      </c>
      <c r="F2015" s="3">
        <v>6.4386552065005598E-2</v>
      </c>
      <c r="G2015">
        <f t="shared" si="374"/>
        <v>7</v>
      </c>
      <c r="H2015" t="str">
        <f t="shared" si="381"/>
        <v>BTC</v>
      </c>
      <c r="I2015" t="str">
        <f t="shared" si="380"/>
        <v>DASH</v>
      </c>
      <c r="J2015" t="str">
        <f t="shared" si="375"/>
        <v>BTCDASH</v>
      </c>
      <c r="K2015" t="str">
        <f t="shared" si="376"/>
        <v>DASHBTC</v>
      </c>
      <c r="L2015">
        <f t="shared" si="377"/>
        <v>2</v>
      </c>
      <c r="M2015">
        <f t="shared" si="378"/>
        <v>6</v>
      </c>
      <c r="N2015" t="b">
        <f t="shared" si="379"/>
        <v>0</v>
      </c>
    </row>
    <row r="2016" spans="1:14" x14ac:dyDescent="0.25">
      <c r="A2016" s="4" t="s">
        <v>1403</v>
      </c>
      <c r="B2016" s="4" t="s">
        <v>268</v>
      </c>
      <c r="C2016" s="3">
        <v>6.3428040000000005E-2</v>
      </c>
      <c r="D2016" s="3">
        <v>6.6308039999999999E-2</v>
      </c>
      <c r="E2016" s="3">
        <v>6.6305559999999999E-2</v>
      </c>
      <c r="F2016" s="3">
        <v>6.3428122859680802E-2</v>
      </c>
      <c r="G2016">
        <f t="shared" si="374"/>
        <v>7</v>
      </c>
      <c r="H2016" t="str">
        <f t="shared" si="381"/>
        <v>BTC</v>
      </c>
      <c r="I2016" t="str">
        <f t="shared" si="380"/>
        <v>DASH</v>
      </c>
      <c r="J2016" t="str">
        <f t="shared" si="375"/>
        <v>BTCDASH</v>
      </c>
      <c r="K2016" t="str">
        <f t="shared" si="376"/>
        <v>DASHBTC</v>
      </c>
      <c r="L2016">
        <f t="shared" si="377"/>
        <v>2</v>
      </c>
      <c r="M2016">
        <f t="shared" si="378"/>
        <v>6</v>
      </c>
      <c r="N2016" t="b">
        <f t="shared" si="379"/>
        <v>0</v>
      </c>
    </row>
    <row r="2017" spans="1:14" x14ac:dyDescent="0.25">
      <c r="A2017" s="4" t="s">
        <v>4</v>
      </c>
      <c r="B2017" s="4" t="s">
        <v>346</v>
      </c>
      <c r="C2017" s="7">
        <v>1.1540000000000001E-6</v>
      </c>
      <c r="D2017" s="7">
        <v>1.1519999999999999E-6</v>
      </c>
      <c r="E2017" s="7">
        <v>1.155E-6</v>
      </c>
      <c r="F2017" s="7">
        <v>1.1519999999999999E-6</v>
      </c>
      <c r="G2017">
        <f t="shared" si="374"/>
        <v>7</v>
      </c>
      <c r="H2017" t="str">
        <f t="shared" si="381"/>
        <v>BTC</v>
      </c>
      <c r="I2017" t="str">
        <f t="shared" si="380"/>
        <v>DOGE</v>
      </c>
      <c r="J2017" t="str">
        <f t="shared" si="375"/>
        <v>BTCDOGE</v>
      </c>
      <c r="K2017" t="str">
        <f t="shared" si="376"/>
        <v>DOGEBTC</v>
      </c>
      <c r="L2017">
        <f t="shared" si="377"/>
        <v>1</v>
      </c>
      <c r="M2017">
        <f t="shared" si="378"/>
        <v>5</v>
      </c>
      <c r="N2017" t="b">
        <f t="shared" si="379"/>
        <v>0</v>
      </c>
    </row>
    <row r="2018" spans="1:14" x14ac:dyDescent="0.25">
      <c r="A2018" s="4" t="s">
        <v>5</v>
      </c>
      <c r="B2018" s="4" t="s">
        <v>346</v>
      </c>
      <c r="C2018" s="7">
        <v>1.1599999999999999E-6</v>
      </c>
      <c r="D2018" s="7">
        <v>1.15E-6</v>
      </c>
      <c r="E2018" s="7">
        <v>1.1599999999999999E-6</v>
      </c>
      <c r="F2018" s="7">
        <v>1.15E-6</v>
      </c>
      <c r="G2018">
        <f t="shared" si="374"/>
        <v>7</v>
      </c>
      <c r="H2018" t="str">
        <f t="shared" si="381"/>
        <v>BTC</v>
      </c>
      <c r="I2018" t="str">
        <f t="shared" si="380"/>
        <v>DOGE</v>
      </c>
      <c r="J2018" t="str">
        <f t="shared" si="375"/>
        <v>BTCDOGE</v>
      </c>
      <c r="K2018" t="str">
        <f t="shared" si="376"/>
        <v>DOGEBTC</v>
      </c>
      <c r="L2018">
        <f t="shared" si="377"/>
        <v>1</v>
      </c>
      <c r="M2018">
        <f t="shared" si="378"/>
        <v>5</v>
      </c>
      <c r="N2018" t="b">
        <f t="shared" si="379"/>
        <v>0</v>
      </c>
    </row>
    <row r="2019" spans="1:14" x14ac:dyDescent="0.25">
      <c r="A2019" s="4" t="s">
        <v>7</v>
      </c>
      <c r="B2019" s="4" t="s">
        <v>346</v>
      </c>
      <c r="C2019" s="7">
        <v>1.1400000000000001E-6</v>
      </c>
      <c r="D2019" s="7">
        <v>1.15E-6</v>
      </c>
      <c r="E2019" s="7">
        <v>1.1400000000000001E-6</v>
      </c>
      <c r="F2019" s="7">
        <v>1.15E-6</v>
      </c>
      <c r="G2019">
        <f t="shared" si="374"/>
        <v>7</v>
      </c>
      <c r="H2019" t="str">
        <f t="shared" si="381"/>
        <v>BTC</v>
      </c>
      <c r="I2019" t="str">
        <f t="shared" si="380"/>
        <v>DOGE</v>
      </c>
      <c r="J2019" t="str">
        <f t="shared" si="375"/>
        <v>BTCDOGE</v>
      </c>
      <c r="K2019" t="str">
        <f t="shared" si="376"/>
        <v>DOGEBTC</v>
      </c>
      <c r="L2019">
        <f t="shared" si="377"/>
        <v>1</v>
      </c>
      <c r="M2019">
        <f t="shared" si="378"/>
        <v>5</v>
      </c>
      <c r="N2019" t="b">
        <f t="shared" si="379"/>
        <v>0</v>
      </c>
    </row>
    <row r="2020" spans="1:14" x14ac:dyDescent="0.25">
      <c r="A2020" s="4" t="s">
        <v>1239</v>
      </c>
      <c r="B2020" s="4" t="s">
        <v>346</v>
      </c>
      <c r="C2020" s="7">
        <v>1.17E-6</v>
      </c>
      <c r="D2020" s="7">
        <v>1.15E-6</v>
      </c>
      <c r="E2020" s="7">
        <v>1.17E-6</v>
      </c>
      <c r="F2020" s="7">
        <v>1.15E-6</v>
      </c>
      <c r="G2020">
        <f t="shared" si="374"/>
        <v>7</v>
      </c>
      <c r="H2020" t="str">
        <f t="shared" si="381"/>
        <v>BTC</v>
      </c>
      <c r="I2020" t="str">
        <f t="shared" si="380"/>
        <v>DOGE</v>
      </c>
      <c r="J2020" t="str">
        <f t="shared" si="375"/>
        <v>BTCDOGE</v>
      </c>
      <c r="K2020" t="str">
        <f t="shared" si="376"/>
        <v>DOGEBTC</v>
      </c>
      <c r="L2020">
        <f t="shared" si="377"/>
        <v>1</v>
      </c>
      <c r="M2020">
        <f t="shared" si="378"/>
        <v>5</v>
      </c>
      <c r="N2020" t="b">
        <f t="shared" si="379"/>
        <v>0</v>
      </c>
    </row>
    <row r="2021" spans="1:14" x14ac:dyDescent="0.25">
      <c r="A2021" s="4" t="s">
        <v>1403</v>
      </c>
      <c r="B2021" s="4" t="s">
        <v>346</v>
      </c>
      <c r="C2021" s="7">
        <v>1.15E-6</v>
      </c>
      <c r="D2021" s="7">
        <v>1.1599999999999999E-6</v>
      </c>
      <c r="E2021" s="7">
        <v>1.1599999999999999E-6</v>
      </c>
      <c r="F2021" s="7">
        <v>1.15E-6</v>
      </c>
      <c r="G2021">
        <f t="shared" si="374"/>
        <v>7</v>
      </c>
      <c r="H2021" t="str">
        <f t="shared" si="381"/>
        <v>BTC</v>
      </c>
      <c r="I2021" t="str">
        <f t="shared" si="380"/>
        <v>DOGE</v>
      </c>
      <c r="J2021" t="str">
        <f t="shared" si="375"/>
        <v>BTCDOGE</v>
      </c>
      <c r="K2021" t="str">
        <f t="shared" si="376"/>
        <v>DOGEBTC</v>
      </c>
      <c r="L2021">
        <f t="shared" si="377"/>
        <v>1</v>
      </c>
      <c r="M2021">
        <f t="shared" si="378"/>
        <v>5</v>
      </c>
      <c r="N2021" t="b">
        <f t="shared" si="379"/>
        <v>0</v>
      </c>
    </row>
    <row r="2022" spans="1:14" x14ac:dyDescent="0.25">
      <c r="A2022" s="4" t="s">
        <v>27</v>
      </c>
      <c r="B2022" s="4" t="s">
        <v>28</v>
      </c>
      <c r="C2022" s="3">
        <v>6.9864999999999997E-3</v>
      </c>
      <c r="D2022" s="3">
        <v>6.9864000000000002E-3</v>
      </c>
      <c r="E2022" s="3">
        <v>6.9864999999999997E-3</v>
      </c>
      <c r="F2022" s="3">
        <v>6.9864000000000002E-3</v>
      </c>
      <c r="G2022">
        <f t="shared" si="374"/>
        <v>6</v>
      </c>
      <c r="H2022" t="str">
        <f t="shared" si="381"/>
        <v>BTC</v>
      </c>
      <c r="I2022" t="str">
        <f t="shared" ref="I2022:I2052" si="382">LEFT(B2022,3)</f>
        <v>ETC</v>
      </c>
      <c r="J2022" t="str">
        <f t="shared" si="375"/>
        <v>BTCETC</v>
      </c>
      <c r="K2022" t="str">
        <f t="shared" si="376"/>
        <v>ETCBTC</v>
      </c>
      <c r="L2022">
        <f t="shared" si="377"/>
        <v>1</v>
      </c>
      <c r="M2022">
        <f t="shared" si="378"/>
        <v>5</v>
      </c>
      <c r="N2022" t="b">
        <f t="shared" si="379"/>
        <v>0</v>
      </c>
    </row>
    <row r="2023" spans="1:14" x14ac:dyDescent="0.25">
      <c r="A2023" s="4" t="s">
        <v>3</v>
      </c>
      <c r="B2023" s="4" t="s">
        <v>28</v>
      </c>
      <c r="C2023" s="3">
        <v>6.9999900000000002E-3</v>
      </c>
      <c r="D2023" s="3">
        <v>6.9440099999999996E-3</v>
      </c>
      <c r="E2023" s="3">
        <v>7.0000000000000001E-3</v>
      </c>
      <c r="F2023" s="3">
        <v>6.9449999999999998E-3</v>
      </c>
      <c r="G2023">
        <f t="shared" si="374"/>
        <v>6</v>
      </c>
      <c r="H2023" t="str">
        <f t="shared" si="381"/>
        <v>BTC</v>
      </c>
      <c r="I2023" t="str">
        <f t="shared" si="382"/>
        <v>ETC</v>
      </c>
      <c r="J2023" t="str">
        <f t="shared" si="375"/>
        <v>BTCETC</v>
      </c>
      <c r="K2023" t="str">
        <f t="shared" si="376"/>
        <v>ETCBTC</v>
      </c>
      <c r="L2023">
        <f t="shared" si="377"/>
        <v>1</v>
      </c>
      <c r="M2023">
        <f t="shared" si="378"/>
        <v>5</v>
      </c>
      <c r="N2023" t="b">
        <f t="shared" si="379"/>
        <v>0</v>
      </c>
    </row>
    <row r="2024" spans="1:14" x14ac:dyDescent="0.25">
      <c r="A2024" s="4" t="s">
        <v>4</v>
      </c>
      <c r="B2024" s="4" t="s">
        <v>28</v>
      </c>
      <c r="C2024" s="3">
        <v>7.0070000000000002E-3</v>
      </c>
      <c r="D2024" s="3">
        <v>6.9480000000000002E-3</v>
      </c>
      <c r="E2024" s="3">
        <v>7.0070000000000002E-3</v>
      </c>
      <c r="F2024" s="3">
        <v>6.9480000000000002E-3</v>
      </c>
      <c r="G2024">
        <f t="shared" si="374"/>
        <v>6</v>
      </c>
      <c r="H2024" t="str">
        <f t="shared" si="381"/>
        <v>BTC</v>
      </c>
      <c r="I2024" t="str">
        <f t="shared" si="382"/>
        <v>ETC</v>
      </c>
      <c r="J2024" t="str">
        <f t="shared" si="375"/>
        <v>BTCETC</v>
      </c>
      <c r="K2024" t="str">
        <f t="shared" si="376"/>
        <v>ETCBTC</v>
      </c>
      <c r="L2024">
        <f t="shared" si="377"/>
        <v>1</v>
      </c>
      <c r="M2024">
        <f t="shared" si="378"/>
        <v>5</v>
      </c>
      <c r="N2024" t="b">
        <f t="shared" si="379"/>
        <v>0</v>
      </c>
    </row>
    <row r="2025" spans="1:14" x14ac:dyDescent="0.25">
      <c r="A2025" s="4" t="s">
        <v>5</v>
      </c>
      <c r="B2025" s="4" t="s">
        <v>28</v>
      </c>
      <c r="C2025" s="3">
        <v>7.0092899999999996E-3</v>
      </c>
      <c r="D2025" s="3">
        <v>6.8904300000000003E-3</v>
      </c>
      <c r="E2025" s="3">
        <v>7.0092899999999996E-3</v>
      </c>
      <c r="F2025" s="3">
        <v>6.8904300000000003E-3</v>
      </c>
      <c r="G2025">
        <f t="shared" si="374"/>
        <v>6</v>
      </c>
      <c r="H2025" t="str">
        <f t="shared" si="381"/>
        <v>BTC</v>
      </c>
      <c r="I2025" t="str">
        <f t="shared" si="382"/>
        <v>ETC</v>
      </c>
      <c r="J2025" t="str">
        <f t="shared" si="375"/>
        <v>BTCETC</v>
      </c>
      <c r="K2025" t="str">
        <f t="shared" si="376"/>
        <v>ETCBTC</v>
      </c>
      <c r="L2025">
        <f t="shared" si="377"/>
        <v>1</v>
      </c>
      <c r="M2025">
        <f t="shared" si="378"/>
        <v>5</v>
      </c>
      <c r="N2025" t="b">
        <f t="shared" si="379"/>
        <v>0</v>
      </c>
    </row>
    <row r="2026" spans="1:14" x14ac:dyDescent="0.25">
      <c r="A2026" s="4" t="s">
        <v>1403</v>
      </c>
      <c r="B2026" s="4" t="s">
        <v>28</v>
      </c>
      <c r="C2026" s="3">
        <v>6.9539399999999996E-3</v>
      </c>
      <c r="D2026" s="3">
        <v>7.0000000000000001E-3</v>
      </c>
      <c r="E2026" s="3">
        <v>7.0999899999999996E-3</v>
      </c>
      <c r="F2026" s="3">
        <v>6.5000099999999996E-3</v>
      </c>
      <c r="G2026">
        <f t="shared" si="374"/>
        <v>6</v>
      </c>
      <c r="H2026" t="str">
        <f t="shared" si="381"/>
        <v>BTC</v>
      </c>
      <c r="I2026" t="str">
        <f t="shared" si="382"/>
        <v>ETC</v>
      </c>
      <c r="J2026" t="str">
        <f t="shared" si="375"/>
        <v>BTCETC</v>
      </c>
      <c r="K2026" t="str">
        <f t="shared" si="376"/>
        <v>ETCBTC</v>
      </c>
      <c r="L2026">
        <f t="shared" si="377"/>
        <v>1</v>
      </c>
      <c r="M2026">
        <f t="shared" si="378"/>
        <v>5</v>
      </c>
      <c r="N2026" t="b">
        <f t="shared" si="379"/>
        <v>0</v>
      </c>
    </row>
    <row r="2027" spans="1:14" x14ac:dyDescent="0.25">
      <c r="A2027" s="4" t="s">
        <v>27</v>
      </c>
      <c r="B2027" s="4" t="s">
        <v>35</v>
      </c>
      <c r="C2027" s="3">
        <v>1.8866000000000001E-2</v>
      </c>
      <c r="D2027" s="3">
        <v>1.873E-2</v>
      </c>
      <c r="E2027" s="3">
        <v>1.88732E-2</v>
      </c>
      <c r="F2027" s="3">
        <v>1.8731000000000001E-2</v>
      </c>
      <c r="G2027">
        <f t="shared" si="374"/>
        <v>6</v>
      </c>
      <c r="H2027" t="str">
        <f t="shared" si="381"/>
        <v>BTC</v>
      </c>
      <c r="I2027" t="str">
        <f t="shared" si="382"/>
        <v>XMR</v>
      </c>
      <c r="J2027" t="str">
        <f t="shared" si="375"/>
        <v>BTCXMR</v>
      </c>
      <c r="K2027" t="str">
        <f t="shared" si="376"/>
        <v>XMRBTC</v>
      </c>
      <c r="L2027">
        <f t="shared" si="377"/>
        <v>1</v>
      </c>
      <c r="M2027">
        <f t="shared" si="378"/>
        <v>4</v>
      </c>
      <c r="N2027" t="b">
        <f t="shared" si="379"/>
        <v>0</v>
      </c>
    </row>
    <row r="2028" spans="1:14" x14ac:dyDescent="0.25">
      <c r="A2028" s="4" t="s">
        <v>3</v>
      </c>
      <c r="B2028" s="4" t="s">
        <v>35</v>
      </c>
      <c r="C2028" s="3">
        <v>1.8853000000000002E-2</v>
      </c>
      <c r="D2028" s="3">
        <v>1.8773999999999999E-2</v>
      </c>
      <c r="E2028" s="3">
        <v>1.8851E-2</v>
      </c>
      <c r="F2028" s="3">
        <v>1.8773999999999999E-2</v>
      </c>
      <c r="G2028">
        <f t="shared" si="374"/>
        <v>6</v>
      </c>
      <c r="H2028" t="str">
        <f t="shared" si="381"/>
        <v>BTC</v>
      </c>
      <c r="I2028" t="str">
        <f t="shared" si="382"/>
        <v>XMR</v>
      </c>
      <c r="J2028" t="str">
        <f t="shared" si="375"/>
        <v>BTCXMR</v>
      </c>
      <c r="K2028" t="str">
        <f t="shared" si="376"/>
        <v>XMRBTC</v>
      </c>
      <c r="L2028">
        <f t="shared" si="377"/>
        <v>1</v>
      </c>
      <c r="M2028">
        <f t="shared" si="378"/>
        <v>4</v>
      </c>
      <c r="N2028" t="b">
        <f t="shared" si="379"/>
        <v>0</v>
      </c>
    </row>
    <row r="2029" spans="1:14" x14ac:dyDescent="0.25">
      <c r="A2029" s="4" t="s">
        <v>4</v>
      </c>
      <c r="B2029" s="4" t="s">
        <v>35</v>
      </c>
      <c r="C2029" s="3">
        <v>1.8800999999999998E-2</v>
      </c>
      <c r="D2029" s="3">
        <v>1.8800000000000001E-2</v>
      </c>
      <c r="E2029" s="3">
        <v>1.8825959999999999E-2</v>
      </c>
      <c r="F2029" s="3">
        <v>1.8800000000000001E-2</v>
      </c>
      <c r="G2029">
        <f t="shared" si="374"/>
        <v>6</v>
      </c>
      <c r="H2029" t="str">
        <f t="shared" si="381"/>
        <v>BTC</v>
      </c>
      <c r="I2029" t="str">
        <f t="shared" si="382"/>
        <v>XMR</v>
      </c>
      <c r="J2029" t="str">
        <f t="shared" si="375"/>
        <v>BTCXMR</v>
      </c>
      <c r="K2029" t="str">
        <f t="shared" si="376"/>
        <v>XMRBTC</v>
      </c>
      <c r="L2029">
        <f t="shared" si="377"/>
        <v>1</v>
      </c>
      <c r="M2029">
        <f t="shared" si="378"/>
        <v>4</v>
      </c>
      <c r="N2029" t="b">
        <f t="shared" si="379"/>
        <v>0</v>
      </c>
    </row>
    <row r="2030" spans="1:14" x14ac:dyDescent="0.25">
      <c r="A2030" s="4" t="s">
        <v>1239</v>
      </c>
      <c r="B2030" s="4" t="s">
        <v>35</v>
      </c>
      <c r="C2030" s="3">
        <v>1.9289710000000002E-2</v>
      </c>
      <c r="D2030" s="3">
        <v>1.8736579999999999E-2</v>
      </c>
      <c r="E2030" s="3">
        <v>1.9289716797709501E-2</v>
      </c>
      <c r="F2030" s="3">
        <v>1.8736576000000001E-2</v>
      </c>
      <c r="G2030">
        <f t="shared" si="374"/>
        <v>6</v>
      </c>
      <c r="H2030" t="str">
        <f t="shared" si="381"/>
        <v>BTC</v>
      </c>
      <c r="I2030" t="str">
        <f t="shared" si="382"/>
        <v>XMR</v>
      </c>
      <c r="J2030" t="str">
        <f t="shared" si="375"/>
        <v>BTCXMR</v>
      </c>
      <c r="K2030" t="str">
        <f t="shared" si="376"/>
        <v>XMRBTC</v>
      </c>
      <c r="L2030">
        <f t="shared" si="377"/>
        <v>1</v>
      </c>
      <c r="M2030">
        <f t="shared" si="378"/>
        <v>4</v>
      </c>
      <c r="N2030" t="b">
        <f t="shared" si="379"/>
        <v>0</v>
      </c>
    </row>
    <row r="2031" spans="1:14" x14ac:dyDescent="0.25">
      <c r="A2031" s="4" t="s">
        <v>27</v>
      </c>
      <c r="B2031" s="4" t="s">
        <v>33</v>
      </c>
      <c r="C2031" s="3">
        <v>0.14957999999999999</v>
      </c>
      <c r="D2031" s="3">
        <v>0.14879000000000001</v>
      </c>
      <c r="E2031" s="3">
        <v>0.14949199999999899</v>
      </c>
      <c r="F2031" s="3">
        <v>0.14851400000000001</v>
      </c>
      <c r="G2031">
        <f t="shared" si="374"/>
        <v>6</v>
      </c>
      <c r="H2031" t="str">
        <f t="shared" si="381"/>
        <v>BTC</v>
      </c>
      <c r="I2031" t="str">
        <f t="shared" si="382"/>
        <v>ZEC</v>
      </c>
      <c r="J2031" t="str">
        <f t="shared" si="375"/>
        <v>BTCZEC</v>
      </c>
      <c r="K2031" t="str">
        <f t="shared" si="376"/>
        <v>ZECBTC</v>
      </c>
      <c r="L2031">
        <f t="shared" si="377"/>
        <v>1</v>
      </c>
      <c r="M2031">
        <f t="shared" si="378"/>
        <v>4</v>
      </c>
      <c r="N2031" t="b">
        <f t="shared" si="379"/>
        <v>0</v>
      </c>
    </row>
    <row r="2032" spans="1:14" x14ac:dyDescent="0.25">
      <c r="A2032" s="4" t="s">
        <v>3</v>
      </c>
      <c r="B2032" s="4" t="s">
        <v>33</v>
      </c>
      <c r="C2032" s="3">
        <v>0.14933099999999999</v>
      </c>
      <c r="D2032" s="3">
        <v>0.148396</v>
      </c>
      <c r="E2032" s="3">
        <v>0.14933099999999999</v>
      </c>
      <c r="F2032" s="3">
        <v>0.148396</v>
      </c>
      <c r="G2032">
        <f t="shared" si="374"/>
        <v>6</v>
      </c>
      <c r="H2032" t="str">
        <f t="shared" si="381"/>
        <v>BTC</v>
      </c>
      <c r="I2032" t="str">
        <f t="shared" si="382"/>
        <v>ZEC</v>
      </c>
      <c r="J2032" t="str">
        <f t="shared" si="375"/>
        <v>BTCZEC</v>
      </c>
      <c r="K2032" t="str">
        <f t="shared" si="376"/>
        <v>ZECBTC</v>
      </c>
      <c r="L2032">
        <f t="shared" si="377"/>
        <v>1</v>
      </c>
      <c r="M2032">
        <f t="shared" si="378"/>
        <v>4</v>
      </c>
      <c r="N2032" t="b">
        <f t="shared" si="379"/>
        <v>0</v>
      </c>
    </row>
    <row r="2033" spans="1:14" x14ac:dyDescent="0.25">
      <c r="A2033" s="4" t="s">
        <v>4</v>
      </c>
      <c r="B2033" s="4" t="s">
        <v>33</v>
      </c>
      <c r="C2033" s="3">
        <v>0.149119</v>
      </c>
      <c r="D2033" s="3">
        <v>0.14902299999999999</v>
      </c>
      <c r="E2033" s="3">
        <v>0.149119</v>
      </c>
      <c r="F2033" s="3">
        <v>0.14902299999999999</v>
      </c>
      <c r="G2033">
        <f t="shared" si="374"/>
        <v>6</v>
      </c>
      <c r="H2033" t="str">
        <f t="shared" si="381"/>
        <v>BTC</v>
      </c>
      <c r="I2033" t="str">
        <f t="shared" si="382"/>
        <v>ZEC</v>
      </c>
      <c r="J2033" t="str">
        <f t="shared" si="375"/>
        <v>BTCZEC</v>
      </c>
      <c r="K2033" t="str">
        <f t="shared" si="376"/>
        <v>ZECBTC</v>
      </c>
      <c r="L2033">
        <f t="shared" si="377"/>
        <v>1</v>
      </c>
      <c r="M2033">
        <f t="shared" si="378"/>
        <v>4</v>
      </c>
      <c r="N2033" t="b">
        <f t="shared" si="379"/>
        <v>0</v>
      </c>
    </row>
    <row r="2034" spans="1:14" x14ac:dyDescent="0.25">
      <c r="A2034" s="4" t="s">
        <v>5</v>
      </c>
      <c r="B2034" s="4" t="s">
        <v>33</v>
      </c>
      <c r="C2034" s="3">
        <v>0.14788981000000001</v>
      </c>
      <c r="D2034" s="3">
        <v>0.14658979999999999</v>
      </c>
      <c r="E2034" s="3">
        <v>0.14812407606116701</v>
      </c>
      <c r="F2034" s="3">
        <v>0.14536650536278101</v>
      </c>
      <c r="G2034">
        <f t="shared" si="374"/>
        <v>6</v>
      </c>
      <c r="H2034" t="str">
        <f t="shared" si="381"/>
        <v>BTC</v>
      </c>
      <c r="I2034" t="str">
        <f t="shared" si="382"/>
        <v>ZEC</v>
      </c>
      <c r="J2034" t="str">
        <f t="shared" si="375"/>
        <v>BTCZEC</v>
      </c>
      <c r="K2034" t="str">
        <f t="shared" si="376"/>
        <v>ZECBTC</v>
      </c>
      <c r="L2034">
        <f t="shared" si="377"/>
        <v>1</v>
      </c>
      <c r="M2034">
        <f t="shared" si="378"/>
        <v>4</v>
      </c>
      <c r="N2034" t="b">
        <f t="shared" si="379"/>
        <v>0</v>
      </c>
    </row>
    <row r="2035" spans="1:14" x14ac:dyDescent="0.25">
      <c r="A2035" s="4" t="s">
        <v>4</v>
      </c>
      <c r="B2035" s="4" t="s">
        <v>312</v>
      </c>
      <c r="C2035" s="3">
        <v>5.0000000000000001E-4</v>
      </c>
      <c r="D2035" s="3">
        <v>4.1461999999999998E-4</v>
      </c>
      <c r="E2035" s="3">
        <v>5.0000000000000001E-4</v>
      </c>
      <c r="F2035" s="3">
        <v>4.1461999999999998E-4</v>
      </c>
      <c r="G2035">
        <f t="shared" si="374"/>
        <v>6</v>
      </c>
      <c r="H2035" t="str">
        <f t="shared" si="381"/>
        <v>BTC</v>
      </c>
      <c r="I2035" t="str">
        <f t="shared" si="382"/>
        <v>EMC</v>
      </c>
      <c r="J2035" t="str">
        <f t="shared" si="375"/>
        <v>BTCEMC</v>
      </c>
      <c r="K2035" t="str">
        <f t="shared" si="376"/>
        <v>EMCBTC</v>
      </c>
      <c r="L2035">
        <f t="shared" si="377"/>
        <v>1</v>
      </c>
      <c r="M2035">
        <f t="shared" si="378"/>
        <v>3</v>
      </c>
      <c r="N2035" t="b">
        <f t="shared" si="379"/>
        <v>0</v>
      </c>
    </row>
    <row r="2036" spans="1:14" x14ac:dyDescent="0.25">
      <c r="A2036" s="4" t="s">
        <v>5</v>
      </c>
      <c r="B2036" s="4" t="s">
        <v>312</v>
      </c>
      <c r="C2036" s="3">
        <v>5.4445000000000003E-4</v>
      </c>
      <c r="D2036" s="3">
        <v>4.104E-4</v>
      </c>
      <c r="E2036" s="3">
        <v>5.4445000000000003E-4</v>
      </c>
      <c r="F2036" s="3">
        <v>4.104E-4</v>
      </c>
      <c r="G2036">
        <f t="shared" si="374"/>
        <v>6</v>
      </c>
      <c r="H2036" t="str">
        <f t="shared" si="381"/>
        <v>BTC</v>
      </c>
      <c r="I2036" t="str">
        <f t="shared" si="382"/>
        <v>EMC</v>
      </c>
      <c r="J2036" t="str">
        <f t="shared" si="375"/>
        <v>BTCEMC</v>
      </c>
      <c r="K2036" t="str">
        <f t="shared" si="376"/>
        <v>EMCBTC</v>
      </c>
      <c r="L2036">
        <f t="shared" si="377"/>
        <v>1</v>
      </c>
      <c r="M2036">
        <f t="shared" si="378"/>
        <v>3</v>
      </c>
      <c r="N2036" t="b">
        <f t="shared" si="379"/>
        <v>0</v>
      </c>
    </row>
    <row r="2037" spans="1:14" x14ac:dyDescent="0.25">
      <c r="A2037" s="4" t="s">
        <v>1239</v>
      </c>
      <c r="B2037" s="4" t="s">
        <v>312</v>
      </c>
      <c r="C2037" s="3">
        <v>4.5743999999999998E-4</v>
      </c>
      <c r="D2037" s="3">
        <v>4.5000999999999998E-4</v>
      </c>
      <c r="E2037" s="3">
        <v>4.5743999999999998E-4</v>
      </c>
      <c r="F2037" s="3">
        <v>4.5000999999999998E-4</v>
      </c>
      <c r="G2037">
        <f t="shared" si="374"/>
        <v>6</v>
      </c>
      <c r="H2037" t="str">
        <f t="shared" si="381"/>
        <v>BTC</v>
      </c>
      <c r="I2037" t="str">
        <f t="shared" si="382"/>
        <v>EMC</v>
      </c>
      <c r="J2037" t="str">
        <f t="shared" si="375"/>
        <v>BTCEMC</v>
      </c>
      <c r="K2037" t="str">
        <f t="shared" si="376"/>
        <v>EMCBTC</v>
      </c>
      <c r="L2037">
        <f t="shared" si="377"/>
        <v>1</v>
      </c>
      <c r="M2037">
        <f t="shared" si="378"/>
        <v>3</v>
      </c>
      <c r="N2037" t="b">
        <f t="shared" si="379"/>
        <v>0</v>
      </c>
    </row>
    <row r="2038" spans="1:14" x14ac:dyDescent="0.25">
      <c r="A2038" s="4" t="s">
        <v>4</v>
      </c>
      <c r="B2038" s="4" t="s">
        <v>340</v>
      </c>
      <c r="C2038" s="3">
        <v>1.2122999999999999E-3</v>
      </c>
      <c r="D2038" s="3">
        <v>1.1982E-3</v>
      </c>
      <c r="E2038" s="3">
        <v>1.2156000000000001E-3</v>
      </c>
      <c r="F2038" s="3">
        <v>1.1982E-3</v>
      </c>
      <c r="G2038">
        <f t="shared" si="374"/>
        <v>6</v>
      </c>
      <c r="H2038" t="str">
        <f t="shared" si="381"/>
        <v>BTC</v>
      </c>
      <c r="I2038" t="str">
        <f t="shared" si="382"/>
        <v>LSK</v>
      </c>
      <c r="J2038" t="str">
        <f t="shared" si="375"/>
        <v>BTCLSK</v>
      </c>
      <c r="K2038" t="str">
        <f t="shared" si="376"/>
        <v>LSKBTC</v>
      </c>
      <c r="L2038">
        <f t="shared" si="377"/>
        <v>1</v>
      </c>
      <c r="M2038">
        <f t="shared" si="378"/>
        <v>3</v>
      </c>
      <c r="N2038" t="b">
        <f t="shared" si="379"/>
        <v>0</v>
      </c>
    </row>
    <row r="2039" spans="1:14" x14ac:dyDescent="0.25">
      <c r="A2039" s="4" t="s">
        <v>5</v>
      </c>
      <c r="B2039" s="4" t="s">
        <v>340</v>
      </c>
      <c r="C2039" s="3">
        <v>1.2082600000000001E-3</v>
      </c>
      <c r="D2039" s="3">
        <v>1.19878E-3</v>
      </c>
      <c r="E2039" s="3">
        <v>1.2082600000000001E-3</v>
      </c>
      <c r="F2039" s="3">
        <v>1.19878E-3</v>
      </c>
      <c r="G2039">
        <f t="shared" si="374"/>
        <v>6</v>
      </c>
      <c r="H2039" t="str">
        <f t="shared" si="381"/>
        <v>BTC</v>
      </c>
      <c r="I2039" t="str">
        <f t="shared" si="382"/>
        <v>LSK</v>
      </c>
      <c r="J2039" t="str">
        <f t="shared" si="375"/>
        <v>BTCLSK</v>
      </c>
      <c r="K2039" t="str">
        <f t="shared" si="376"/>
        <v>LSKBTC</v>
      </c>
      <c r="L2039">
        <f t="shared" si="377"/>
        <v>1</v>
      </c>
      <c r="M2039">
        <f t="shared" si="378"/>
        <v>3</v>
      </c>
      <c r="N2039" t="b">
        <f t="shared" si="379"/>
        <v>0</v>
      </c>
    </row>
    <row r="2040" spans="1:14" x14ac:dyDescent="0.25">
      <c r="A2040" s="4" t="s">
        <v>1239</v>
      </c>
      <c r="B2040" s="4" t="s">
        <v>340</v>
      </c>
      <c r="C2040" s="3">
        <v>1.22916E-3</v>
      </c>
      <c r="D2040" s="3">
        <v>1.1709999999999999E-3</v>
      </c>
      <c r="E2040" s="3">
        <v>1.22923E-3</v>
      </c>
      <c r="F2040" s="3">
        <v>1.1709999999999999E-3</v>
      </c>
      <c r="G2040">
        <f t="shared" si="374"/>
        <v>6</v>
      </c>
      <c r="H2040" t="str">
        <f t="shared" si="381"/>
        <v>BTC</v>
      </c>
      <c r="I2040" t="str">
        <f t="shared" si="382"/>
        <v>LSK</v>
      </c>
      <c r="J2040" t="str">
        <f t="shared" si="375"/>
        <v>BTCLSK</v>
      </c>
      <c r="K2040" t="str">
        <f t="shared" si="376"/>
        <v>LSKBTC</v>
      </c>
      <c r="L2040">
        <f t="shared" si="377"/>
        <v>1</v>
      </c>
      <c r="M2040">
        <f t="shared" si="378"/>
        <v>3</v>
      </c>
      <c r="N2040" t="b">
        <f t="shared" si="379"/>
        <v>0</v>
      </c>
    </row>
    <row r="2041" spans="1:14" x14ac:dyDescent="0.25">
      <c r="A2041" s="4" t="s">
        <v>4</v>
      </c>
      <c r="B2041" s="4" t="s">
        <v>334</v>
      </c>
      <c r="C2041" s="3">
        <v>6.7009999999999997E-5</v>
      </c>
      <c r="D2041" s="3">
        <v>6.6639999999999999E-5</v>
      </c>
      <c r="E2041" s="3">
        <v>6.6649999999999994E-5</v>
      </c>
      <c r="F2041" s="3">
        <v>6.6639999999999999E-5</v>
      </c>
      <c r="G2041">
        <f t="shared" si="374"/>
        <v>6</v>
      </c>
      <c r="H2041" t="str">
        <f t="shared" si="381"/>
        <v>BTC</v>
      </c>
      <c r="I2041" t="str">
        <f t="shared" si="382"/>
        <v>NXT</v>
      </c>
      <c r="J2041" t="str">
        <f t="shared" si="375"/>
        <v>BTCNXT</v>
      </c>
      <c r="K2041" t="str">
        <f t="shared" si="376"/>
        <v>NXTBTC</v>
      </c>
      <c r="L2041">
        <f t="shared" si="377"/>
        <v>2</v>
      </c>
      <c r="M2041">
        <f t="shared" si="378"/>
        <v>3</v>
      </c>
      <c r="N2041" t="b">
        <f t="shared" si="379"/>
        <v>0</v>
      </c>
    </row>
    <row r="2042" spans="1:14" x14ac:dyDescent="0.25">
      <c r="A2042" s="4" t="s">
        <v>1239</v>
      </c>
      <c r="B2042" s="4" t="s">
        <v>334</v>
      </c>
      <c r="C2042" s="3">
        <v>7.046E-5</v>
      </c>
      <c r="D2042" s="3">
        <v>6.101E-5</v>
      </c>
      <c r="E2042" s="3">
        <v>7.046E-5</v>
      </c>
      <c r="F2042" s="3">
        <v>6.101E-5</v>
      </c>
      <c r="G2042">
        <f t="shared" si="374"/>
        <v>6</v>
      </c>
      <c r="H2042" t="str">
        <f t="shared" si="381"/>
        <v>BTC</v>
      </c>
      <c r="I2042" t="str">
        <f t="shared" si="382"/>
        <v>NXT</v>
      </c>
      <c r="J2042" t="str">
        <f t="shared" si="375"/>
        <v>BTCNXT</v>
      </c>
      <c r="K2042" t="str">
        <f t="shared" si="376"/>
        <v>NXTBTC</v>
      </c>
      <c r="L2042">
        <f t="shared" si="377"/>
        <v>2</v>
      </c>
      <c r="M2042">
        <f t="shared" si="378"/>
        <v>3</v>
      </c>
      <c r="N2042" t="b">
        <f t="shared" si="379"/>
        <v>0</v>
      </c>
    </row>
    <row r="2043" spans="1:14" x14ac:dyDescent="0.25">
      <c r="A2043" s="4" t="s">
        <v>1403</v>
      </c>
      <c r="B2043" s="4" t="s">
        <v>334</v>
      </c>
      <c r="C2043" s="3">
        <v>6.0010000000000003E-5</v>
      </c>
      <c r="D2043" s="3">
        <v>6.9889999999999997E-5</v>
      </c>
      <c r="E2043" s="3">
        <v>6.9980000000000004E-5</v>
      </c>
      <c r="F2043" s="3">
        <v>6.0099999999999997E-5</v>
      </c>
      <c r="G2043">
        <f t="shared" si="374"/>
        <v>6</v>
      </c>
      <c r="H2043" t="str">
        <f t="shared" si="381"/>
        <v>BTC</v>
      </c>
      <c r="I2043" t="str">
        <f t="shared" si="382"/>
        <v>NXT</v>
      </c>
      <c r="J2043" t="str">
        <f t="shared" si="375"/>
        <v>BTCNXT</v>
      </c>
      <c r="K2043" t="str">
        <f t="shared" si="376"/>
        <v>NXTBTC</v>
      </c>
      <c r="L2043">
        <f t="shared" si="377"/>
        <v>2</v>
      </c>
      <c r="M2043">
        <f t="shared" si="378"/>
        <v>3</v>
      </c>
      <c r="N2043" t="b">
        <f t="shared" si="379"/>
        <v>0</v>
      </c>
    </row>
    <row r="2044" spans="1:14" x14ac:dyDescent="0.25">
      <c r="A2044" s="4" t="s">
        <v>0</v>
      </c>
      <c r="B2044" s="4" t="s">
        <v>20</v>
      </c>
      <c r="C2044" s="3">
        <v>7.6000000000000004E-4</v>
      </c>
      <c r="D2044" s="3">
        <v>7.3999999999999999E-4</v>
      </c>
      <c r="E2044" s="3">
        <v>7.6000000000000004E-4</v>
      </c>
      <c r="F2044" s="3">
        <v>7.3999999999999999E-4</v>
      </c>
      <c r="G2044">
        <f t="shared" si="374"/>
        <v>6</v>
      </c>
      <c r="H2044" t="str">
        <f t="shared" ref="H2044:H2062" si="383">RIGHT(B2044,3)</f>
        <v>BTC</v>
      </c>
      <c r="I2044" t="str">
        <f t="shared" si="382"/>
        <v>PPC</v>
      </c>
      <c r="J2044" t="str">
        <f t="shared" si="375"/>
        <v>BTCPPC</v>
      </c>
      <c r="K2044" t="str">
        <f t="shared" si="376"/>
        <v>PPCBTC</v>
      </c>
      <c r="L2044">
        <f t="shared" si="377"/>
        <v>1</v>
      </c>
      <c r="M2044">
        <f t="shared" si="378"/>
        <v>3</v>
      </c>
      <c r="N2044" t="b">
        <f t="shared" si="379"/>
        <v>0</v>
      </c>
    </row>
    <row r="2045" spans="1:14" x14ac:dyDescent="0.25">
      <c r="A2045" s="4" t="s">
        <v>5</v>
      </c>
      <c r="B2045" s="4" t="s">
        <v>20</v>
      </c>
      <c r="C2045" s="3">
        <v>7.7799E-4</v>
      </c>
      <c r="D2045" s="3">
        <v>7.2749999999999996E-4</v>
      </c>
      <c r="E2045" s="3">
        <v>7.7799E-4</v>
      </c>
      <c r="F2045" s="3">
        <v>7.2749999999999996E-4</v>
      </c>
      <c r="G2045">
        <f t="shared" si="374"/>
        <v>6</v>
      </c>
      <c r="H2045" t="str">
        <f t="shared" si="383"/>
        <v>BTC</v>
      </c>
      <c r="I2045" t="str">
        <f t="shared" si="382"/>
        <v>PPC</v>
      </c>
      <c r="J2045" t="str">
        <f t="shared" si="375"/>
        <v>BTCPPC</v>
      </c>
      <c r="K2045" t="str">
        <f t="shared" si="376"/>
        <v>PPCBTC</v>
      </c>
      <c r="L2045">
        <f t="shared" si="377"/>
        <v>1</v>
      </c>
      <c r="M2045">
        <f t="shared" si="378"/>
        <v>3</v>
      </c>
      <c r="N2045" t="b">
        <f t="shared" si="379"/>
        <v>0</v>
      </c>
    </row>
    <row r="2046" spans="1:14" x14ac:dyDescent="0.25">
      <c r="A2046" s="4" t="s">
        <v>1239</v>
      </c>
      <c r="B2046" s="4" t="s">
        <v>20</v>
      </c>
      <c r="C2046" s="3">
        <v>7.9699999999999997E-4</v>
      </c>
      <c r="D2046" s="3">
        <v>7.2968999999999996E-4</v>
      </c>
      <c r="E2046" s="3">
        <v>7.9699999999999997E-4</v>
      </c>
      <c r="F2046" s="3">
        <v>7.2968999999999996E-4</v>
      </c>
      <c r="G2046">
        <f t="shared" si="374"/>
        <v>6</v>
      </c>
      <c r="H2046" t="str">
        <f t="shared" si="383"/>
        <v>BTC</v>
      </c>
      <c r="I2046" t="str">
        <f t="shared" si="382"/>
        <v>PPC</v>
      </c>
      <c r="J2046" t="str">
        <f t="shared" si="375"/>
        <v>BTCPPC</v>
      </c>
      <c r="K2046" t="str">
        <f t="shared" si="376"/>
        <v>PPCBTC</v>
      </c>
      <c r="L2046">
        <f t="shared" si="377"/>
        <v>1</v>
      </c>
      <c r="M2046">
        <f t="shared" si="378"/>
        <v>3</v>
      </c>
      <c r="N2046" t="b">
        <f t="shared" si="379"/>
        <v>0</v>
      </c>
    </row>
    <row r="2047" spans="1:14" x14ac:dyDescent="0.25">
      <c r="A2047" s="4" t="s">
        <v>3</v>
      </c>
      <c r="B2047" s="4" t="s">
        <v>273</v>
      </c>
      <c r="C2047" s="3">
        <v>1.1473000000000001E-2</v>
      </c>
      <c r="D2047" s="3">
        <v>1.1372999999999999E-2</v>
      </c>
      <c r="E2047" s="3">
        <v>1.1472E-2</v>
      </c>
      <c r="F2047" s="3">
        <v>1.1372999999999999E-2</v>
      </c>
      <c r="G2047">
        <f t="shared" si="374"/>
        <v>6</v>
      </c>
      <c r="H2047" t="str">
        <f t="shared" si="383"/>
        <v>BTC</v>
      </c>
      <c r="I2047" t="str">
        <f t="shared" si="382"/>
        <v>REP</v>
      </c>
      <c r="J2047" t="str">
        <f t="shared" si="375"/>
        <v>BTCREP</v>
      </c>
      <c r="K2047" t="str">
        <f t="shared" si="376"/>
        <v>REPBTC</v>
      </c>
      <c r="L2047">
        <f t="shared" si="377"/>
        <v>2</v>
      </c>
      <c r="M2047">
        <f t="shared" si="378"/>
        <v>3</v>
      </c>
      <c r="N2047" t="b">
        <f t="shared" si="379"/>
        <v>0</v>
      </c>
    </row>
    <row r="2048" spans="1:14" x14ac:dyDescent="0.25">
      <c r="A2048" s="4" t="s">
        <v>4</v>
      </c>
      <c r="B2048" s="4" t="s">
        <v>273</v>
      </c>
      <c r="C2048" s="3">
        <v>1.375E-2</v>
      </c>
      <c r="D2048" s="3">
        <v>1.1042E-2</v>
      </c>
      <c r="E2048" s="3">
        <v>1.375E-2</v>
      </c>
      <c r="F2048" s="3">
        <v>1.1042E-2</v>
      </c>
      <c r="G2048">
        <f t="shared" si="374"/>
        <v>6</v>
      </c>
      <c r="H2048" t="str">
        <f t="shared" si="383"/>
        <v>BTC</v>
      </c>
      <c r="I2048" t="str">
        <f t="shared" si="382"/>
        <v>REP</v>
      </c>
      <c r="J2048" t="str">
        <f t="shared" si="375"/>
        <v>BTCREP</v>
      </c>
      <c r="K2048" t="str">
        <f t="shared" si="376"/>
        <v>REPBTC</v>
      </c>
      <c r="L2048">
        <f t="shared" si="377"/>
        <v>2</v>
      </c>
      <c r="M2048">
        <f t="shared" si="378"/>
        <v>3</v>
      </c>
      <c r="N2048" t="b">
        <f t="shared" si="379"/>
        <v>0</v>
      </c>
    </row>
    <row r="2049" spans="1:14" x14ac:dyDescent="0.25">
      <c r="A2049" s="4" t="s">
        <v>5</v>
      </c>
      <c r="B2049" s="4" t="s">
        <v>273</v>
      </c>
      <c r="C2049" s="3">
        <v>2.55E-5</v>
      </c>
      <c r="D2049" s="3">
        <v>2.05E-5</v>
      </c>
      <c r="E2049" s="3">
        <v>2.55E-5</v>
      </c>
      <c r="F2049" s="3">
        <v>2.05E-5</v>
      </c>
      <c r="G2049">
        <f t="shared" ref="G2049:G2112" si="384">LEN(B2049)</f>
        <v>6</v>
      </c>
      <c r="H2049" t="str">
        <f t="shared" si="383"/>
        <v>BTC</v>
      </c>
      <c r="I2049" t="str">
        <f t="shared" si="382"/>
        <v>REP</v>
      </c>
      <c r="J2049" t="str">
        <f t="shared" ref="J2049:J2112" si="385">CONCATENATE(H2049,I2049)</f>
        <v>BTCREP</v>
      </c>
      <c r="K2049" t="str">
        <f t="shared" ref="K2049:K2112" si="386">CONCATENATE(I2049,H2049)</f>
        <v>REPBTC</v>
      </c>
      <c r="L2049">
        <f t="shared" ref="L2049:L2112" si="387">COUNTIF(B:B,J2049)</f>
        <v>2</v>
      </c>
      <c r="M2049">
        <f t="shared" ref="M2049:M2112" si="388">COUNTIF(B:B,K2049)</f>
        <v>3</v>
      </c>
      <c r="N2049" t="b">
        <f t="shared" ref="N2049:N2112" si="389">L2049=0</f>
        <v>0</v>
      </c>
    </row>
    <row r="2050" spans="1:14" x14ac:dyDescent="0.25">
      <c r="A2050" s="4" t="s">
        <v>5</v>
      </c>
      <c r="B2050" s="4" t="s">
        <v>664</v>
      </c>
      <c r="C2050" s="3">
        <v>1.9000000000000001E-4</v>
      </c>
      <c r="D2050" s="3">
        <v>1.8011000000000001E-4</v>
      </c>
      <c r="E2050" s="3">
        <v>1.9000000000000001E-4</v>
      </c>
      <c r="F2050" s="3">
        <v>1.8011000000000001E-4</v>
      </c>
      <c r="G2050">
        <f t="shared" si="384"/>
        <v>6</v>
      </c>
      <c r="H2050" t="str">
        <f t="shared" si="383"/>
        <v>BTC</v>
      </c>
      <c r="I2050" t="str">
        <f t="shared" si="382"/>
        <v>SIB</v>
      </c>
      <c r="J2050" t="str">
        <f t="shared" si="385"/>
        <v>BTCSIB</v>
      </c>
      <c r="K2050" t="str">
        <f t="shared" si="386"/>
        <v>SIBBTC</v>
      </c>
      <c r="L2050">
        <f t="shared" si="387"/>
        <v>1</v>
      </c>
      <c r="M2050">
        <f t="shared" si="388"/>
        <v>3</v>
      </c>
      <c r="N2050" t="b">
        <f t="shared" si="389"/>
        <v>0</v>
      </c>
    </row>
    <row r="2051" spans="1:14" x14ac:dyDescent="0.25">
      <c r="A2051" s="4" t="s">
        <v>1239</v>
      </c>
      <c r="B2051" s="4" t="s">
        <v>664</v>
      </c>
      <c r="C2051" s="3">
        <v>2.0984000000000001E-4</v>
      </c>
      <c r="D2051" s="3">
        <v>1.9888999999999999E-4</v>
      </c>
      <c r="E2051" s="3">
        <v>2.0984000000000001E-4</v>
      </c>
      <c r="F2051" s="3">
        <v>1.9888999999999999E-4</v>
      </c>
      <c r="G2051">
        <f t="shared" si="384"/>
        <v>6</v>
      </c>
      <c r="H2051" t="str">
        <f t="shared" si="383"/>
        <v>BTC</v>
      </c>
      <c r="I2051" t="str">
        <f t="shared" si="382"/>
        <v>SIB</v>
      </c>
      <c r="J2051" t="str">
        <f t="shared" si="385"/>
        <v>BTCSIB</v>
      </c>
      <c r="K2051" t="str">
        <f t="shared" si="386"/>
        <v>SIBBTC</v>
      </c>
      <c r="L2051">
        <f t="shared" si="387"/>
        <v>1</v>
      </c>
      <c r="M2051">
        <f t="shared" si="388"/>
        <v>3</v>
      </c>
      <c r="N2051" t="b">
        <f t="shared" si="389"/>
        <v>0</v>
      </c>
    </row>
    <row r="2052" spans="1:14" x14ac:dyDescent="0.25">
      <c r="A2052" s="4" t="s">
        <v>1403</v>
      </c>
      <c r="B2052" s="4" t="s">
        <v>664</v>
      </c>
      <c r="C2052" s="3">
        <v>1.65E-4</v>
      </c>
      <c r="D2052" s="3">
        <v>2.03E-4</v>
      </c>
      <c r="E2052" s="3">
        <v>2.05E-4</v>
      </c>
      <c r="F2052" s="3">
        <v>1.8600999999999999E-4</v>
      </c>
      <c r="G2052">
        <f t="shared" si="384"/>
        <v>6</v>
      </c>
      <c r="H2052" t="str">
        <f t="shared" si="383"/>
        <v>BTC</v>
      </c>
      <c r="I2052" t="str">
        <f t="shared" si="382"/>
        <v>SIB</v>
      </c>
      <c r="J2052" t="str">
        <f t="shared" si="385"/>
        <v>BTCSIB</v>
      </c>
      <c r="K2052" t="str">
        <f t="shared" si="386"/>
        <v>SIBBTC</v>
      </c>
      <c r="L2052">
        <f t="shared" si="387"/>
        <v>1</v>
      </c>
      <c r="M2052">
        <f t="shared" si="388"/>
        <v>3</v>
      </c>
      <c r="N2052" t="b">
        <f t="shared" si="389"/>
        <v>0</v>
      </c>
    </row>
    <row r="2053" spans="1:14" x14ac:dyDescent="0.25">
      <c r="A2053" s="4" t="s">
        <v>4</v>
      </c>
      <c r="B2053" s="4" t="s">
        <v>349</v>
      </c>
      <c r="C2053" s="3">
        <v>2.2485999999999999E-3</v>
      </c>
      <c r="D2053" s="3">
        <v>2.0303000000000001E-3</v>
      </c>
      <c r="E2053" s="3">
        <v>2.2485999999999999E-3</v>
      </c>
      <c r="F2053" s="3">
        <v>2.0303000000000001E-3</v>
      </c>
      <c r="G2053">
        <f t="shared" si="384"/>
        <v>8</v>
      </c>
      <c r="H2053" t="str">
        <f t="shared" si="383"/>
        <v>BTC</v>
      </c>
      <c r="I2053" t="str">
        <f>LEFT(B2053,5)</f>
        <v>WAVES</v>
      </c>
      <c r="J2053" t="str">
        <f t="shared" si="385"/>
        <v>BTCWAVES</v>
      </c>
      <c r="K2053" t="str">
        <f t="shared" si="386"/>
        <v>WAVESBTC</v>
      </c>
      <c r="L2053">
        <f t="shared" si="387"/>
        <v>1</v>
      </c>
      <c r="M2053">
        <f t="shared" si="388"/>
        <v>3</v>
      </c>
      <c r="N2053" t="b">
        <f t="shared" si="389"/>
        <v>0</v>
      </c>
    </row>
    <row r="2054" spans="1:14" x14ac:dyDescent="0.25">
      <c r="A2054" s="4" t="s">
        <v>5</v>
      </c>
      <c r="B2054" s="4" t="s">
        <v>349</v>
      </c>
      <c r="C2054" s="3">
        <v>2.3999899999999998E-3</v>
      </c>
      <c r="D2054" s="3">
        <v>2.3844500000000002E-3</v>
      </c>
      <c r="E2054" s="3">
        <v>2.3999899999999998E-3</v>
      </c>
      <c r="F2054" s="3">
        <v>2.3844500000000002E-3</v>
      </c>
      <c r="G2054">
        <f t="shared" si="384"/>
        <v>8</v>
      </c>
      <c r="H2054" t="str">
        <f t="shared" si="383"/>
        <v>BTC</v>
      </c>
      <c r="I2054" t="str">
        <f>LEFT(B2054,5)</f>
        <v>WAVES</v>
      </c>
      <c r="J2054" t="str">
        <f t="shared" si="385"/>
        <v>BTCWAVES</v>
      </c>
      <c r="K2054" t="str">
        <f t="shared" si="386"/>
        <v>WAVESBTC</v>
      </c>
      <c r="L2054">
        <f t="shared" si="387"/>
        <v>1</v>
      </c>
      <c r="M2054">
        <f t="shared" si="388"/>
        <v>3</v>
      </c>
      <c r="N2054" t="b">
        <f t="shared" si="389"/>
        <v>0</v>
      </c>
    </row>
    <row r="2055" spans="1:14" x14ac:dyDescent="0.25">
      <c r="A2055" s="4" t="s">
        <v>1239</v>
      </c>
      <c r="B2055" s="4" t="s">
        <v>349</v>
      </c>
      <c r="C2055" s="3">
        <v>2.16643E-3</v>
      </c>
      <c r="D2055" s="3">
        <v>2.0664899999999998E-3</v>
      </c>
      <c r="E2055" s="3">
        <v>2.16643E-3</v>
      </c>
      <c r="F2055" s="3">
        <v>2.0664899999999998E-3</v>
      </c>
      <c r="G2055">
        <f t="shared" si="384"/>
        <v>8</v>
      </c>
      <c r="H2055" t="str">
        <f t="shared" si="383"/>
        <v>BTC</v>
      </c>
      <c r="I2055" t="str">
        <f>LEFT(B2055,5)</f>
        <v>WAVES</v>
      </c>
      <c r="J2055" t="str">
        <f t="shared" si="385"/>
        <v>BTCWAVES</v>
      </c>
      <c r="K2055" t="str">
        <f t="shared" si="386"/>
        <v>WAVESBTC</v>
      </c>
      <c r="L2055">
        <f t="shared" si="387"/>
        <v>1</v>
      </c>
      <c r="M2055">
        <f t="shared" si="388"/>
        <v>3</v>
      </c>
      <c r="N2055" t="b">
        <f t="shared" si="389"/>
        <v>0</v>
      </c>
    </row>
    <row r="2056" spans="1:14" x14ac:dyDescent="0.25">
      <c r="A2056" s="4" t="s">
        <v>4</v>
      </c>
      <c r="B2056" s="4" t="s">
        <v>352</v>
      </c>
      <c r="C2056" s="3">
        <v>1.199E-4</v>
      </c>
      <c r="D2056" s="3">
        <v>9.4510000000000001E-5</v>
      </c>
      <c r="E2056" s="3">
        <v>1.199E-4</v>
      </c>
      <c r="F2056" s="3">
        <v>9.4510000000000001E-5</v>
      </c>
      <c r="G2056">
        <f t="shared" si="384"/>
        <v>7</v>
      </c>
      <c r="H2056" t="str">
        <f t="shared" si="383"/>
        <v>BTC</v>
      </c>
      <c r="I2056" t="str">
        <f>LEFT(B2056,4)</f>
        <v>XAUR</v>
      </c>
      <c r="J2056" t="str">
        <f t="shared" si="385"/>
        <v>BTCXAUR</v>
      </c>
      <c r="K2056" t="str">
        <f t="shared" si="386"/>
        <v>XAURBTC</v>
      </c>
      <c r="L2056">
        <f t="shared" si="387"/>
        <v>1</v>
      </c>
      <c r="M2056">
        <f t="shared" si="388"/>
        <v>3</v>
      </c>
      <c r="N2056" t="b">
        <f t="shared" si="389"/>
        <v>0</v>
      </c>
    </row>
    <row r="2057" spans="1:14" x14ac:dyDescent="0.25">
      <c r="A2057" s="4" t="s">
        <v>1239</v>
      </c>
      <c r="B2057" s="4" t="s">
        <v>352</v>
      </c>
      <c r="C2057" s="3">
        <v>1.1957E-4</v>
      </c>
      <c r="D2057" s="3">
        <v>1.0509E-4</v>
      </c>
      <c r="E2057" s="3">
        <v>1.1957E-4</v>
      </c>
      <c r="F2057" s="3">
        <v>1.0509E-4</v>
      </c>
      <c r="G2057">
        <f t="shared" si="384"/>
        <v>7</v>
      </c>
      <c r="H2057" t="str">
        <f t="shared" si="383"/>
        <v>BTC</v>
      </c>
      <c r="I2057" t="str">
        <f>LEFT(B2057,4)</f>
        <v>XAUR</v>
      </c>
      <c r="J2057" t="str">
        <f t="shared" si="385"/>
        <v>BTCXAUR</v>
      </c>
      <c r="K2057" t="str">
        <f t="shared" si="386"/>
        <v>XAURBTC</v>
      </c>
      <c r="L2057">
        <f t="shared" si="387"/>
        <v>1</v>
      </c>
      <c r="M2057">
        <f t="shared" si="388"/>
        <v>3</v>
      </c>
      <c r="N2057" t="b">
        <f t="shared" si="389"/>
        <v>0</v>
      </c>
    </row>
    <row r="2058" spans="1:14" x14ac:dyDescent="0.25">
      <c r="A2058" s="4" t="s">
        <v>1403</v>
      </c>
      <c r="B2058" s="4" t="s">
        <v>352</v>
      </c>
      <c r="C2058" s="3">
        <v>1.0419E-4</v>
      </c>
      <c r="D2058" s="3">
        <v>1.1152E-4</v>
      </c>
      <c r="E2058" s="3">
        <v>1.1461E-4</v>
      </c>
      <c r="F2058" s="3">
        <v>1.0501999999999999E-4</v>
      </c>
      <c r="G2058">
        <f t="shared" si="384"/>
        <v>7</v>
      </c>
      <c r="H2058" t="str">
        <f t="shared" si="383"/>
        <v>BTC</v>
      </c>
      <c r="I2058" t="str">
        <f>LEFT(B2058,4)</f>
        <v>XAUR</v>
      </c>
      <c r="J2058" t="str">
        <f t="shared" si="385"/>
        <v>BTCXAUR</v>
      </c>
      <c r="K2058" t="str">
        <f t="shared" si="386"/>
        <v>XAURBTC</v>
      </c>
      <c r="L2058">
        <f t="shared" si="387"/>
        <v>1</v>
      </c>
      <c r="M2058">
        <f t="shared" si="388"/>
        <v>3</v>
      </c>
      <c r="N2058" t="b">
        <f t="shared" si="389"/>
        <v>0</v>
      </c>
    </row>
    <row r="2059" spans="1:14" x14ac:dyDescent="0.25">
      <c r="A2059" s="4" t="s">
        <v>5</v>
      </c>
      <c r="B2059" s="4" t="s">
        <v>461</v>
      </c>
      <c r="C2059" s="3">
        <v>3.1997999999999998E-4</v>
      </c>
      <c r="D2059" s="3">
        <v>2.5527999999999998E-4</v>
      </c>
      <c r="E2059" s="3">
        <v>3.1997999999999998E-4</v>
      </c>
      <c r="F2059" s="3">
        <v>2.5527999999999998E-4</v>
      </c>
      <c r="G2059">
        <f t="shared" si="384"/>
        <v>6</v>
      </c>
      <c r="H2059" t="str">
        <f t="shared" si="383"/>
        <v>BTC</v>
      </c>
      <c r="I2059" t="str">
        <f t="shared" ref="I2059:I2088" si="390">LEFT(B2059,3)</f>
        <v>BTA</v>
      </c>
      <c r="J2059" t="str">
        <f t="shared" si="385"/>
        <v>BTCBTA</v>
      </c>
      <c r="K2059" t="str">
        <f t="shared" si="386"/>
        <v>BTABTC</v>
      </c>
      <c r="L2059">
        <f t="shared" si="387"/>
        <v>1</v>
      </c>
      <c r="M2059">
        <f t="shared" si="388"/>
        <v>2</v>
      </c>
      <c r="N2059" t="b">
        <f t="shared" si="389"/>
        <v>0</v>
      </c>
    </row>
    <row r="2060" spans="1:14" x14ac:dyDescent="0.25">
      <c r="A2060" s="4" t="s">
        <v>1239</v>
      </c>
      <c r="B2060" s="4" t="s">
        <v>461</v>
      </c>
      <c r="C2060" s="3">
        <v>2.7298999999999997E-4</v>
      </c>
      <c r="D2060" s="3">
        <v>2.2502000000000001E-4</v>
      </c>
      <c r="E2060" s="3">
        <v>2.7298999999999997E-4</v>
      </c>
      <c r="F2060" s="3">
        <v>2.2502000000000001E-4</v>
      </c>
      <c r="G2060">
        <f t="shared" si="384"/>
        <v>6</v>
      </c>
      <c r="H2060" t="str">
        <f t="shared" si="383"/>
        <v>BTC</v>
      </c>
      <c r="I2060" t="str">
        <f t="shared" si="390"/>
        <v>BTA</v>
      </c>
      <c r="J2060" t="str">
        <f t="shared" si="385"/>
        <v>BTCBTA</v>
      </c>
      <c r="K2060" t="str">
        <f t="shared" si="386"/>
        <v>BTABTC</v>
      </c>
      <c r="L2060">
        <f t="shared" si="387"/>
        <v>1</v>
      </c>
      <c r="M2060">
        <f t="shared" si="388"/>
        <v>2</v>
      </c>
      <c r="N2060" t="b">
        <f t="shared" si="389"/>
        <v>0</v>
      </c>
    </row>
    <row r="2061" spans="1:14" x14ac:dyDescent="0.25">
      <c r="A2061" s="4" t="s">
        <v>1</v>
      </c>
      <c r="B2061" s="4" t="s">
        <v>65</v>
      </c>
      <c r="C2061" s="3">
        <v>1.8090000000000001E-4</v>
      </c>
      <c r="D2061" s="3">
        <v>1.7864000000000001E-4</v>
      </c>
      <c r="E2061" s="3">
        <v>1.8090000000000001E-4</v>
      </c>
      <c r="F2061" s="3">
        <v>1.7864000000000001E-4</v>
      </c>
      <c r="G2061">
        <f t="shared" si="384"/>
        <v>6</v>
      </c>
      <c r="H2061" t="str">
        <f t="shared" si="383"/>
        <v>AMP</v>
      </c>
      <c r="I2061" t="str">
        <f t="shared" si="390"/>
        <v>BTC</v>
      </c>
      <c r="J2061" t="str">
        <f t="shared" si="385"/>
        <v>AMPBTC</v>
      </c>
      <c r="K2061" t="str">
        <f t="shared" si="386"/>
        <v>BTCAMP</v>
      </c>
      <c r="L2061">
        <f t="shared" si="387"/>
        <v>1</v>
      </c>
      <c r="M2061">
        <f t="shared" si="388"/>
        <v>2</v>
      </c>
      <c r="N2061" t="b">
        <f t="shared" si="389"/>
        <v>0</v>
      </c>
    </row>
    <row r="2062" spans="1:14" x14ac:dyDescent="0.25">
      <c r="A2062" s="4" t="s">
        <v>2</v>
      </c>
      <c r="B2062" s="4" t="s">
        <v>65</v>
      </c>
      <c r="C2062" s="3">
        <v>1.8096E-4</v>
      </c>
      <c r="D2062" s="3">
        <v>1.7721999999999999E-4</v>
      </c>
      <c r="E2062" s="3">
        <v>1.8096E-4</v>
      </c>
      <c r="F2062" s="3">
        <v>1.7721999999999999E-4</v>
      </c>
      <c r="G2062">
        <f t="shared" si="384"/>
        <v>6</v>
      </c>
      <c r="H2062" t="str">
        <f t="shared" si="383"/>
        <v>AMP</v>
      </c>
      <c r="I2062" t="str">
        <f t="shared" si="390"/>
        <v>BTC</v>
      </c>
      <c r="J2062" t="str">
        <f t="shared" si="385"/>
        <v>AMPBTC</v>
      </c>
      <c r="K2062" t="str">
        <f t="shared" si="386"/>
        <v>BTCAMP</v>
      </c>
      <c r="L2062">
        <f t="shared" si="387"/>
        <v>1</v>
      </c>
      <c r="M2062">
        <f t="shared" si="388"/>
        <v>2</v>
      </c>
      <c r="N2062" t="b">
        <f t="shared" si="389"/>
        <v>0</v>
      </c>
    </row>
    <row r="2063" spans="1:14" x14ac:dyDescent="0.25">
      <c r="A2063" s="4" t="s">
        <v>1</v>
      </c>
      <c r="B2063" s="4" t="s">
        <v>77</v>
      </c>
      <c r="C2063" s="3">
        <v>6.5004309999999996E-2</v>
      </c>
      <c r="D2063" s="3">
        <v>6.4939399999999994E-2</v>
      </c>
      <c r="E2063" s="3">
        <v>6.5004300000000001E-2</v>
      </c>
      <c r="F2063" s="3">
        <v>6.4929798235878397E-2</v>
      </c>
      <c r="G2063">
        <f t="shared" si="384"/>
        <v>7</v>
      </c>
      <c r="H2063" t="str">
        <f>RIGHT(B2063,4)</f>
        <v>DASH</v>
      </c>
      <c r="I2063" t="str">
        <f t="shared" si="390"/>
        <v>BTC</v>
      </c>
      <c r="J2063" t="str">
        <f t="shared" si="385"/>
        <v>DASHBTC</v>
      </c>
      <c r="K2063" t="str">
        <f t="shared" si="386"/>
        <v>BTCDASH</v>
      </c>
      <c r="L2063">
        <f t="shared" si="387"/>
        <v>6</v>
      </c>
      <c r="M2063">
        <f t="shared" si="388"/>
        <v>2</v>
      </c>
      <c r="N2063" t="b">
        <f t="shared" si="389"/>
        <v>0</v>
      </c>
    </row>
    <row r="2064" spans="1:14" x14ac:dyDescent="0.25">
      <c r="A2064" s="4" t="s">
        <v>2</v>
      </c>
      <c r="B2064" s="4" t="s">
        <v>77</v>
      </c>
      <c r="C2064" s="3">
        <v>6.5299990000000002E-2</v>
      </c>
      <c r="D2064" s="3">
        <v>6.4899999999999999E-2</v>
      </c>
      <c r="E2064" s="3">
        <v>6.5299990000000002E-2</v>
      </c>
      <c r="F2064" s="3">
        <v>6.4899999999999999E-2</v>
      </c>
      <c r="G2064">
        <f t="shared" si="384"/>
        <v>7</v>
      </c>
      <c r="H2064" t="str">
        <f>RIGHT(B2064,4)</f>
        <v>DASH</v>
      </c>
      <c r="I2064" t="str">
        <f t="shared" si="390"/>
        <v>BTC</v>
      </c>
      <c r="J2064" t="str">
        <f t="shared" si="385"/>
        <v>DASHBTC</v>
      </c>
      <c r="K2064" t="str">
        <f t="shared" si="386"/>
        <v>BTCDASH</v>
      </c>
      <c r="L2064">
        <f t="shared" si="387"/>
        <v>6</v>
      </c>
      <c r="M2064">
        <f t="shared" si="388"/>
        <v>2</v>
      </c>
      <c r="N2064" t="b">
        <f t="shared" si="389"/>
        <v>0</v>
      </c>
    </row>
    <row r="2065" spans="1:14" x14ac:dyDescent="0.25">
      <c r="A2065" s="4" t="s">
        <v>1</v>
      </c>
      <c r="B2065" s="4" t="s">
        <v>63</v>
      </c>
      <c r="C2065" s="3">
        <v>1.2257830000000001E-2</v>
      </c>
      <c r="D2065" s="3">
        <v>1.223399E-2</v>
      </c>
      <c r="E2065" s="3">
        <v>1.2257830000000001E-2</v>
      </c>
      <c r="F2065" s="3">
        <v>1.223399E-2</v>
      </c>
      <c r="G2065">
        <f t="shared" si="384"/>
        <v>6</v>
      </c>
      <c r="H2065" t="str">
        <f t="shared" ref="H2065:H2072" si="391">RIGHT(B2065,3)</f>
        <v>DCR</v>
      </c>
      <c r="I2065" t="str">
        <f t="shared" si="390"/>
        <v>BTC</v>
      </c>
      <c r="J2065" t="str">
        <f t="shared" si="385"/>
        <v>DCRBTC</v>
      </c>
      <c r="K2065" t="str">
        <f t="shared" si="386"/>
        <v>BTCDCR</v>
      </c>
      <c r="L2065">
        <f t="shared" si="387"/>
        <v>1</v>
      </c>
      <c r="M2065">
        <f t="shared" si="388"/>
        <v>2</v>
      </c>
      <c r="N2065" t="b">
        <f t="shared" si="389"/>
        <v>0</v>
      </c>
    </row>
    <row r="2066" spans="1:14" x14ac:dyDescent="0.25">
      <c r="A2066" s="4" t="s">
        <v>2</v>
      </c>
      <c r="B2066" s="4" t="s">
        <v>63</v>
      </c>
      <c r="C2066" s="3">
        <v>1.224864E-2</v>
      </c>
      <c r="D2066" s="3">
        <v>1.207811E-2</v>
      </c>
      <c r="E2066" s="3">
        <v>1.224864E-2</v>
      </c>
      <c r="F2066" s="3">
        <v>1.207811E-2</v>
      </c>
      <c r="G2066">
        <f t="shared" si="384"/>
        <v>6</v>
      </c>
      <c r="H2066" t="str">
        <f t="shared" si="391"/>
        <v>DCR</v>
      </c>
      <c r="I2066" t="str">
        <f t="shared" si="390"/>
        <v>BTC</v>
      </c>
      <c r="J2066" t="str">
        <f t="shared" si="385"/>
        <v>DCRBTC</v>
      </c>
      <c r="K2066" t="str">
        <f t="shared" si="386"/>
        <v>BTCDCR</v>
      </c>
      <c r="L2066">
        <f t="shared" si="387"/>
        <v>1</v>
      </c>
      <c r="M2066">
        <f t="shared" si="388"/>
        <v>2</v>
      </c>
      <c r="N2066" t="b">
        <f t="shared" si="389"/>
        <v>0</v>
      </c>
    </row>
    <row r="2067" spans="1:14" x14ac:dyDescent="0.25">
      <c r="A2067" s="4" t="s">
        <v>1</v>
      </c>
      <c r="B2067" s="4" t="s">
        <v>56</v>
      </c>
      <c r="C2067" s="3">
        <v>9.5316150000000002E-2</v>
      </c>
      <c r="D2067" s="3">
        <v>9.4526059999999995E-2</v>
      </c>
      <c r="E2067" s="3">
        <v>9.5384401741411204E-2</v>
      </c>
      <c r="F2067" s="3">
        <v>9.466832E-2</v>
      </c>
      <c r="G2067">
        <f t="shared" si="384"/>
        <v>6</v>
      </c>
      <c r="H2067" t="str">
        <f t="shared" si="391"/>
        <v>GNO</v>
      </c>
      <c r="I2067" t="str">
        <f t="shared" si="390"/>
        <v>BTC</v>
      </c>
      <c r="J2067" t="str">
        <f t="shared" si="385"/>
        <v>GNOBTC</v>
      </c>
      <c r="K2067" t="str">
        <f t="shared" si="386"/>
        <v>BTCGNO</v>
      </c>
      <c r="L2067">
        <f t="shared" si="387"/>
        <v>2</v>
      </c>
      <c r="M2067">
        <f t="shared" si="388"/>
        <v>2</v>
      </c>
      <c r="N2067" t="b">
        <f t="shared" si="389"/>
        <v>0</v>
      </c>
    </row>
    <row r="2068" spans="1:14" x14ac:dyDescent="0.25">
      <c r="A2068" s="4" t="s">
        <v>2</v>
      </c>
      <c r="B2068" s="4" t="s">
        <v>56</v>
      </c>
      <c r="C2068" s="3">
        <v>9.7354659999999996E-2</v>
      </c>
      <c r="D2068" s="3">
        <v>9.3686649999999996E-2</v>
      </c>
      <c r="E2068" s="3">
        <v>9.7354659999999996E-2</v>
      </c>
      <c r="F2068" s="3">
        <v>9.3686649999999996E-2</v>
      </c>
      <c r="G2068">
        <f t="shared" si="384"/>
        <v>6</v>
      </c>
      <c r="H2068" t="str">
        <f t="shared" si="391"/>
        <v>GNO</v>
      </c>
      <c r="I2068" t="str">
        <f t="shared" si="390"/>
        <v>BTC</v>
      </c>
      <c r="J2068" t="str">
        <f t="shared" si="385"/>
        <v>GNOBTC</v>
      </c>
      <c r="K2068" t="str">
        <f t="shared" si="386"/>
        <v>BTCGNO</v>
      </c>
      <c r="L2068">
        <f t="shared" si="387"/>
        <v>2</v>
      </c>
      <c r="M2068">
        <f t="shared" si="388"/>
        <v>2</v>
      </c>
      <c r="N2068" t="b">
        <f t="shared" si="389"/>
        <v>0</v>
      </c>
    </row>
    <row r="2069" spans="1:14" x14ac:dyDescent="0.25">
      <c r="A2069" s="4" t="s">
        <v>1</v>
      </c>
      <c r="B2069" s="4" t="s">
        <v>73</v>
      </c>
      <c r="C2069" s="3">
        <v>2.936E-5</v>
      </c>
      <c r="D2069" s="3">
        <v>2.9329999999999999E-5</v>
      </c>
      <c r="E2069" s="3">
        <v>2.936E-5</v>
      </c>
      <c r="F2069" s="3">
        <v>2.9329999999999999E-5</v>
      </c>
      <c r="G2069">
        <f t="shared" si="384"/>
        <v>6</v>
      </c>
      <c r="H2069" t="str">
        <f t="shared" si="391"/>
        <v>GRC</v>
      </c>
      <c r="I2069" t="str">
        <f t="shared" si="390"/>
        <v>BTC</v>
      </c>
      <c r="J2069" t="str">
        <f t="shared" si="385"/>
        <v>GRCBTC</v>
      </c>
      <c r="K2069" t="str">
        <f t="shared" si="386"/>
        <v>BTCGRC</v>
      </c>
      <c r="L2069">
        <f t="shared" si="387"/>
        <v>1</v>
      </c>
      <c r="M2069">
        <f t="shared" si="388"/>
        <v>2</v>
      </c>
      <c r="N2069" t="b">
        <f t="shared" si="389"/>
        <v>0</v>
      </c>
    </row>
    <row r="2070" spans="1:14" x14ac:dyDescent="0.25">
      <c r="A2070" s="4" t="s">
        <v>2</v>
      </c>
      <c r="B2070" s="4" t="s">
        <v>73</v>
      </c>
      <c r="C2070" s="3">
        <v>2.9430000000000001E-5</v>
      </c>
      <c r="D2070" s="3">
        <v>2.942E-5</v>
      </c>
      <c r="E2070" s="3">
        <v>2.9430000000000001E-5</v>
      </c>
      <c r="F2070" s="3">
        <v>2.942E-5</v>
      </c>
      <c r="G2070">
        <f t="shared" si="384"/>
        <v>6</v>
      </c>
      <c r="H2070" t="str">
        <f t="shared" si="391"/>
        <v>GRC</v>
      </c>
      <c r="I2070" t="str">
        <f t="shared" si="390"/>
        <v>BTC</v>
      </c>
      <c r="J2070" t="str">
        <f t="shared" si="385"/>
        <v>GRCBTC</v>
      </c>
      <c r="K2070" t="str">
        <f t="shared" si="386"/>
        <v>BTCGRC</v>
      </c>
      <c r="L2070">
        <f t="shared" si="387"/>
        <v>1</v>
      </c>
      <c r="M2070">
        <f t="shared" si="388"/>
        <v>2</v>
      </c>
      <c r="N2070" t="b">
        <f t="shared" si="389"/>
        <v>0</v>
      </c>
    </row>
    <row r="2071" spans="1:14" x14ac:dyDescent="0.25">
      <c r="A2071" s="4" t="s">
        <v>1</v>
      </c>
      <c r="B2071" s="4" t="s">
        <v>76</v>
      </c>
      <c r="C2071" s="3">
        <v>1.234999E-2</v>
      </c>
      <c r="D2071" s="3">
        <v>1.2335840000000001E-2</v>
      </c>
      <c r="E2071" s="3">
        <v>1.2343089999999999E-2</v>
      </c>
      <c r="F2071" s="3">
        <v>1.2335850000000001E-2</v>
      </c>
      <c r="G2071">
        <f t="shared" si="384"/>
        <v>6</v>
      </c>
      <c r="H2071" t="str">
        <f t="shared" si="391"/>
        <v>LTC</v>
      </c>
      <c r="I2071" t="str">
        <f t="shared" si="390"/>
        <v>BTC</v>
      </c>
      <c r="J2071" t="str">
        <f t="shared" si="385"/>
        <v>LTCBTC</v>
      </c>
      <c r="K2071" t="str">
        <f t="shared" si="386"/>
        <v>BTCLTC</v>
      </c>
      <c r="L2071">
        <f t="shared" si="387"/>
        <v>8</v>
      </c>
      <c r="M2071">
        <f t="shared" si="388"/>
        <v>2</v>
      </c>
      <c r="N2071" t="b">
        <f t="shared" si="389"/>
        <v>0</v>
      </c>
    </row>
    <row r="2072" spans="1:14" x14ac:dyDescent="0.25">
      <c r="A2072" s="4" t="s">
        <v>2</v>
      </c>
      <c r="B2072" s="4" t="s">
        <v>76</v>
      </c>
      <c r="C2072" s="3">
        <v>1.239966E-2</v>
      </c>
      <c r="D2072" s="3">
        <v>1.2358060000000001E-2</v>
      </c>
      <c r="E2072" s="3">
        <v>1.239967E-2</v>
      </c>
      <c r="F2072" s="3">
        <v>1.2358060000000001E-2</v>
      </c>
      <c r="G2072">
        <f t="shared" si="384"/>
        <v>6</v>
      </c>
      <c r="H2072" t="str">
        <f t="shared" si="391"/>
        <v>LTC</v>
      </c>
      <c r="I2072" t="str">
        <f t="shared" si="390"/>
        <v>BTC</v>
      </c>
      <c r="J2072" t="str">
        <f t="shared" si="385"/>
        <v>LTCBTC</v>
      </c>
      <c r="K2072" t="str">
        <f t="shared" si="386"/>
        <v>BTCLTC</v>
      </c>
      <c r="L2072">
        <f t="shared" si="387"/>
        <v>8</v>
      </c>
      <c r="M2072">
        <f t="shared" si="388"/>
        <v>2</v>
      </c>
      <c r="N2072" t="b">
        <f t="shared" si="389"/>
        <v>0</v>
      </c>
    </row>
    <row r="2073" spans="1:14" x14ac:dyDescent="0.25">
      <c r="A2073" s="4" t="s">
        <v>1</v>
      </c>
      <c r="B2073" s="4" t="s">
        <v>51</v>
      </c>
      <c r="C2073" s="3">
        <v>1.8699999999999999E-4</v>
      </c>
      <c r="D2073" s="3">
        <v>1.8698E-4</v>
      </c>
      <c r="E2073" s="3">
        <v>1.8699999999999999E-4</v>
      </c>
      <c r="F2073" s="3">
        <v>1.8698E-4</v>
      </c>
      <c r="G2073">
        <f t="shared" si="384"/>
        <v>7</v>
      </c>
      <c r="H2073" t="str">
        <f>RIGHT(B2073,4)</f>
        <v>MAID</v>
      </c>
      <c r="I2073" t="str">
        <f t="shared" si="390"/>
        <v>BTC</v>
      </c>
      <c r="J2073" t="str">
        <f t="shared" si="385"/>
        <v>MAIDBTC</v>
      </c>
      <c r="K2073" t="str">
        <f t="shared" si="386"/>
        <v>BTCMAID</v>
      </c>
      <c r="L2073">
        <f t="shared" si="387"/>
        <v>2</v>
      </c>
      <c r="M2073">
        <f t="shared" si="388"/>
        <v>2</v>
      </c>
      <c r="N2073" t="b">
        <f t="shared" si="389"/>
        <v>0</v>
      </c>
    </row>
    <row r="2074" spans="1:14" x14ac:dyDescent="0.25">
      <c r="A2074" s="4" t="s">
        <v>2</v>
      </c>
      <c r="B2074" s="4" t="s">
        <v>51</v>
      </c>
      <c r="C2074" s="3">
        <v>1.8791000000000001E-4</v>
      </c>
      <c r="D2074" s="3">
        <v>1.8678999999999999E-4</v>
      </c>
      <c r="E2074" s="3">
        <v>1.8791000000000001E-4</v>
      </c>
      <c r="F2074" s="3">
        <v>1.8678999999999999E-4</v>
      </c>
      <c r="G2074">
        <f t="shared" si="384"/>
        <v>7</v>
      </c>
      <c r="H2074" t="str">
        <f>RIGHT(B2074,4)</f>
        <v>MAID</v>
      </c>
      <c r="I2074" t="str">
        <f t="shared" si="390"/>
        <v>BTC</v>
      </c>
      <c r="J2074" t="str">
        <f t="shared" si="385"/>
        <v>MAIDBTC</v>
      </c>
      <c r="K2074" t="str">
        <f t="shared" si="386"/>
        <v>BTCMAID</v>
      </c>
      <c r="L2074">
        <f t="shared" si="387"/>
        <v>2</v>
      </c>
      <c r="M2074">
        <f t="shared" si="388"/>
        <v>2</v>
      </c>
      <c r="N2074" t="b">
        <f t="shared" si="389"/>
        <v>0</v>
      </c>
    </row>
    <row r="2075" spans="1:14" x14ac:dyDescent="0.25">
      <c r="A2075" s="4" t="s">
        <v>1</v>
      </c>
      <c r="B2075" s="4" t="s">
        <v>74</v>
      </c>
      <c r="C2075" s="3">
        <v>1.1909E-4</v>
      </c>
      <c r="D2075" s="3">
        <v>1.1825E-4</v>
      </c>
      <c r="E2075" s="3">
        <v>1.1909E-4</v>
      </c>
      <c r="F2075" s="3">
        <v>1.1825E-4</v>
      </c>
      <c r="G2075">
        <f t="shared" si="384"/>
        <v>6</v>
      </c>
      <c r="H2075" t="str">
        <f t="shared" ref="H2075:H2080" si="392">RIGHT(B2075,3)</f>
        <v>NXC</v>
      </c>
      <c r="I2075" t="str">
        <f t="shared" si="390"/>
        <v>BTC</v>
      </c>
      <c r="J2075" t="str">
        <f t="shared" si="385"/>
        <v>NXCBTC</v>
      </c>
      <c r="K2075" t="str">
        <f t="shared" si="386"/>
        <v>BTCNXC</v>
      </c>
      <c r="L2075">
        <f t="shared" si="387"/>
        <v>1</v>
      </c>
      <c r="M2075">
        <f t="shared" si="388"/>
        <v>2</v>
      </c>
      <c r="N2075" t="b">
        <f t="shared" si="389"/>
        <v>0</v>
      </c>
    </row>
    <row r="2076" spans="1:14" x14ac:dyDescent="0.25">
      <c r="A2076" s="4" t="s">
        <v>2</v>
      </c>
      <c r="B2076" s="4" t="s">
        <v>74</v>
      </c>
      <c r="C2076" s="3">
        <v>1.1708E-4</v>
      </c>
      <c r="D2076" s="3">
        <v>1.1553E-4</v>
      </c>
      <c r="E2076" s="3">
        <v>1.1708E-4</v>
      </c>
      <c r="F2076" s="3">
        <v>1.1553E-4</v>
      </c>
      <c r="G2076">
        <f t="shared" si="384"/>
        <v>6</v>
      </c>
      <c r="H2076" t="str">
        <f t="shared" si="392"/>
        <v>NXC</v>
      </c>
      <c r="I2076" t="str">
        <f t="shared" si="390"/>
        <v>BTC</v>
      </c>
      <c r="J2076" t="str">
        <f t="shared" si="385"/>
        <v>NXCBTC</v>
      </c>
      <c r="K2076" t="str">
        <f t="shared" si="386"/>
        <v>BTCNXC</v>
      </c>
      <c r="L2076">
        <f t="shared" si="387"/>
        <v>1</v>
      </c>
      <c r="M2076">
        <f t="shared" si="388"/>
        <v>2</v>
      </c>
      <c r="N2076" t="b">
        <f t="shared" si="389"/>
        <v>0</v>
      </c>
    </row>
    <row r="2077" spans="1:14" x14ac:dyDescent="0.25">
      <c r="A2077" s="4" t="s">
        <v>1</v>
      </c>
      <c r="B2077" s="4" t="s">
        <v>67</v>
      </c>
      <c r="C2077" s="3">
        <v>6.6710000000000003E-5</v>
      </c>
      <c r="D2077" s="3">
        <v>6.6439999999999994E-5</v>
      </c>
      <c r="E2077" s="3">
        <v>6.6710000000000003E-5</v>
      </c>
      <c r="F2077" s="3">
        <v>6.6439999999999994E-5</v>
      </c>
      <c r="G2077">
        <f t="shared" si="384"/>
        <v>6</v>
      </c>
      <c r="H2077" t="str">
        <f t="shared" si="392"/>
        <v>NXT</v>
      </c>
      <c r="I2077" t="str">
        <f t="shared" si="390"/>
        <v>BTC</v>
      </c>
      <c r="J2077" t="str">
        <f t="shared" si="385"/>
        <v>NXTBTC</v>
      </c>
      <c r="K2077" t="str">
        <f t="shared" si="386"/>
        <v>BTCNXT</v>
      </c>
      <c r="L2077">
        <f t="shared" si="387"/>
        <v>3</v>
      </c>
      <c r="M2077">
        <f t="shared" si="388"/>
        <v>2</v>
      </c>
      <c r="N2077" t="b">
        <f t="shared" si="389"/>
        <v>0</v>
      </c>
    </row>
    <row r="2078" spans="1:14" x14ac:dyDescent="0.25">
      <c r="A2078" s="4" t="s">
        <v>2</v>
      </c>
      <c r="B2078" s="4" t="s">
        <v>67</v>
      </c>
      <c r="C2078" s="3">
        <v>6.6229999999999994E-5</v>
      </c>
      <c r="D2078" s="3">
        <v>6.5909999999999997E-5</v>
      </c>
      <c r="E2078" s="3">
        <v>6.6229999999999994E-5</v>
      </c>
      <c r="F2078" s="3">
        <v>6.5909999999999997E-5</v>
      </c>
      <c r="G2078">
        <f t="shared" si="384"/>
        <v>6</v>
      </c>
      <c r="H2078" t="str">
        <f t="shared" si="392"/>
        <v>NXT</v>
      </c>
      <c r="I2078" t="str">
        <f t="shared" si="390"/>
        <v>BTC</v>
      </c>
      <c r="J2078" t="str">
        <f t="shared" si="385"/>
        <v>NXTBTC</v>
      </c>
      <c r="K2078" t="str">
        <f t="shared" si="386"/>
        <v>BTCNXT</v>
      </c>
      <c r="L2078">
        <f t="shared" si="387"/>
        <v>3</v>
      </c>
      <c r="M2078">
        <f t="shared" si="388"/>
        <v>2</v>
      </c>
      <c r="N2078" t="b">
        <f t="shared" si="389"/>
        <v>0</v>
      </c>
    </row>
    <row r="2079" spans="1:14" x14ac:dyDescent="0.25">
      <c r="A2079" s="4" t="s">
        <v>1</v>
      </c>
      <c r="B2079" s="4" t="s">
        <v>54</v>
      </c>
      <c r="C2079" s="3">
        <v>1.146143E-2</v>
      </c>
      <c r="D2079" s="3">
        <v>1.145E-2</v>
      </c>
      <c r="E2079" s="3">
        <v>1.146143E-2</v>
      </c>
      <c r="F2079" s="3">
        <v>1.145E-2</v>
      </c>
      <c r="G2079">
        <f t="shared" si="384"/>
        <v>6</v>
      </c>
      <c r="H2079" t="str">
        <f t="shared" si="392"/>
        <v>REP</v>
      </c>
      <c r="I2079" t="str">
        <f t="shared" si="390"/>
        <v>BTC</v>
      </c>
      <c r="J2079" t="str">
        <f t="shared" si="385"/>
        <v>REPBTC</v>
      </c>
      <c r="K2079" t="str">
        <f t="shared" si="386"/>
        <v>BTCREP</v>
      </c>
      <c r="L2079">
        <f t="shared" si="387"/>
        <v>3</v>
      </c>
      <c r="M2079">
        <f t="shared" si="388"/>
        <v>2</v>
      </c>
      <c r="N2079" t="b">
        <f t="shared" si="389"/>
        <v>0</v>
      </c>
    </row>
    <row r="2080" spans="1:14" x14ac:dyDescent="0.25">
      <c r="A2080" s="4" t="s">
        <v>2</v>
      </c>
      <c r="B2080" s="4" t="s">
        <v>54</v>
      </c>
      <c r="C2080" s="3">
        <v>1.153654E-2</v>
      </c>
      <c r="D2080" s="3">
        <v>1.130716E-2</v>
      </c>
      <c r="E2080" s="3">
        <v>1.153655E-2</v>
      </c>
      <c r="F2080" s="3">
        <v>1.130712E-2</v>
      </c>
      <c r="G2080">
        <f t="shared" si="384"/>
        <v>6</v>
      </c>
      <c r="H2080" t="str">
        <f t="shared" si="392"/>
        <v>REP</v>
      </c>
      <c r="I2080" t="str">
        <f t="shared" si="390"/>
        <v>BTC</v>
      </c>
      <c r="J2080" t="str">
        <f t="shared" si="385"/>
        <v>REPBTC</v>
      </c>
      <c r="K2080" t="str">
        <f t="shared" si="386"/>
        <v>BTCREP</v>
      </c>
      <c r="L2080">
        <f t="shared" si="387"/>
        <v>3</v>
      </c>
      <c r="M2080">
        <f t="shared" si="388"/>
        <v>2</v>
      </c>
      <c r="N2080" t="b">
        <f t="shared" si="389"/>
        <v>0</v>
      </c>
    </row>
    <row r="2081" spans="1:14" x14ac:dyDescent="0.25">
      <c r="A2081" s="4" t="s">
        <v>1</v>
      </c>
      <c r="B2081" s="4" t="s">
        <v>50</v>
      </c>
      <c r="C2081" s="3">
        <v>5.31E-6</v>
      </c>
      <c r="D2081" s="3">
        <v>5.3000000000000001E-6</v>
      </c>
      <c r="E2081" s="3">
        <v>5.31E-6</v>
      </c>
      <c r="F2081" s="3">
        <v>5.3000000000000001E-6</v>
      </c>
      <c r="G2081">
        <f t="shared" si="384"/>
        <v>5</v>
      </c>
      <c r="H2081" t="str">
        <f>RIGHT(B2081,2)</f>
        <v>SC</v>
      </c>
      <c r="I2081" t="str">
        <f t="shared" si="390"/>
        <v>BTC</v>
      </c>
      <c r="J2081" t="str">
        <f t="shared" si="385"/>
        <v>SCBTC</v>
      </c>
      <c r="K2081" t="str">
        <f t="shared" si="386"/>
        <v>BTCSC</v>
      </c>
      <c r="L2081">
        <f t="shared" si="387"/>
        <v>1</v>
      </c>
      <c r="M2081">
        <f t="shared" si="388"/>
        <v>2</v>
      </c>
      <c r="N2081" t="b">
        <f t="shared" si="389"/>
        <v>0</v>
      </c>
    </row>
    <row r="2082" spans="1:14" x14ac:dyDescent="0.25">
      <c r="A2082" s="4" t="s">
        <v>2</v>
      </c>
      <c r="B2082" s="4" t="s">
        <v>50</v>
      </c>
      <c r="C2082" s="3">
        <v>5.3299999999999998E-6</v>
      </c>
      <c r="D2082" s="3">
        <v>5.3199999999999999E-6</v>
      </c>
      <c r="E2082" s="3">
        <v>5.3299999999999998E-6</v>
      </c>
      <c r="F2082" s="3">
        <v>5.3199999999999999E-6</v>
      </c>
      <c r="G2082">
        <f t="shared" si="384"/>
        <v>5</v>
      </c>
      <c r="H2082" t="str">
        <f>RIGHT(B2082,2)</f>
        <v>SC</v>
      </c>
      <c r="I2082" t="str">
        <f t="shared" si="390"/>
        <v>BTC</v>
      </c>
      <c r="J2082" t="str">
        <f t="shared" si="385"/>
        <v>SCBTC</v>
      </c>
      <c r="K2082" t="str">
        <f t="shared" si="386"/>
        <v>BTCSC</v>
      </c>
      <c r="L2082">
        <f t="shared" si="387"/>
        <v>1</v>
      </c>
      <c r="M2082">
        <f t="shared" si="388"/>
        <v>2</v>
      </c>
      <c r="N2082" t="b">
        <f t="shared" si="389"/>
        <v>0</v>
      </c>
    </row>
    <row r="2083" spans="1:14" x14ac:dyDescent="0.25">
      <c r="A2083" s="4" t="s">
        <v>1</v>
      </c>
      <c r="B2083" s="4" t="s">
        <v>47</v>
      </c>
      <c r="C2083" s="3">
        <v>7.2550000000000002E-5</v>
      </c>
      <c r="D2083" s="3">
        <v>7.2479999999999997E-5</v>
      </c>
      <c r="E2083" s="3">
        <v>7.2550000000000002E-5</v>
      </c>
      <c r="F2083" s="3">
        <v>7.2479999999999997E-5</v>
      </c>
      <c r="G2083">
        <f t="shared" si="384"/>
        <v>6</v>
      </c>
      <c r="H2083" t="str">
        <f t="shared" ref="H2083:H2114" si="393">RIGHT(B2083,3)</f>
        <v>SYS</v>
      </c>
      <c r="I2083" t="str">
        <f t="shared" si="390"/>
        <v>BTC</v>
      </c>
      <c r="J2083" t="str">
        <f t="shared" si="385"/>
        <v>SYSBTC</v>
      </c>
      <c r="K2083" t="str">
        <f t="shared" si="386"/>
        <v>BTCSYS</v>
      </c>
      <c r="L2083">
        <f t="shared" si="387"/>
        <v>2</v>
      </c>
      <c r="M2083">
        <f t="shared" si="388"/>
        <v>2</v>
      </c>
      <c r="N2083" t="b">
        <f t="shared" si="389"/>
        <v>0</v>
      </c>
    </row>
    <row r="2084" spans="1:14" x14ac:dyDescent="0.25">
      <c r="A2084" s="4" t="s">
        <v>2</v>
      </c>
      <c r="B2084" s="4" t="s">
        <v>47</v>
      </c>
      <c r="C2084" s="3">
        <v>7.2550000000000002E-5</v>
      </c>
      <c r="D2084" s="3">
        <v>7.169E-5</v>
      </c>
      <c r="E2084" s="3">
        <v>7.2550000000000002E-5</v>
      </c>
      <c r="F2084" s="3">
        <v>7.169E-5</v>
      </c>
      <c r="G2084">
        <f t="shared" si="384"/>
        <v>6</v>
      </c>
      <c r="H2084" t="str">
        <f t="shared" si="393"/>
        <v>SYS</v>
      </c>
      <c r="I2084" t="str">
        <f t="shared" si="390"/>
        <v>BTC</v>
      </c>
      <c r="J2084" t="str">
        <f t="shared" si="385"/>
        <v>SYSBTC</v>
      </c>
      <c r="K2084" t="str">
        <f t="shared" si="386"/>
        <v>BTCSYS</v>
      </c>
      <c r="L2084">
        <f t="shared" si="387"/>
        <v>2</v>
      </c>
      <c r="M2084">
        <f t="shared" si="388"/>
        <v>2</v>
      </c>
      <c r="N2084" t="b">
        <f t="shared" si="389"/>
        <v>0</v>
      </c>
    </row>
    <row r="2085" spans="1:14" x14ac:dyDescent="0.25">
      <c r="A2085" s="4" t="s">
        <v>1</v>
      </c>
      <c r="B2085" s="4" t="s">
        <v>68</v>
      </c>
      <c r="C2085" s="3">
        <v>2.9901E-4</v>
      </c>
      <c r="D2085" s="3">
        <v>2.99E-4</v>
      </c>
      <c r="E2085" s="3">
        <v>2.9901E-4</v>
      </c>
      <c r="F2085" s="3">
        <v>2.99E-4</v>
      </c>
      <c r="G2085">
        <f t="shared" si="384"/>
        <v>6</v>
      </c>
      <c r="H2085" t="str">
        <f t="shared" si="393"/>
        <v>VTC</v>
      </c>
      <c r="I2085" t="str">
        <f t="shared" si="390"/>
        <v>BTC</v>
      </c>
      <c r="J2085" t="str">
        <f t="shared" si="385"/>
        <v>VTCBTC</v>
      </c>
      <c r="K2085" t="str">
        <f t="shared" si="386"/>
        <v>BTCVTC</v>
      </c>
      <c r="L2085">
        <f t="shared" si="387"/>
        <v>1</v>
      </c>
      <c r="M2085">
        <f t="shared" si="388"/>
        <v>2</v>
      </c>
      <c r="N2085" t="b">
        <f t="shared" si="389"/>
        <v>0</v>
      </c>
    </row>
    <row r="2086" spans="1:14" x14ac:dyDescent="0.25">
      <c r="A2086" s="4" t="s">
        <v>2</v>
      </c>
      <c r="B2086" s="4" t="s">
        <v>68</v>
      </c>
      <c r="C2086" s="3">
        <v>3.0205999999999999E-4</v>
      </c>
      <c r="D2086" s="3">
        <v>2.9854000000000002E-4</v>
      </c>
      <c r="E2086" s="3">
        <v>3.0205999999999999E-4</v>
      </c>
      <c r="F2086" s="3">
        <v>2.9854000000000002E-4</v>
      </c>
      <c r="G2086">
        <f t="shared" si="384"/>
        <v>6</v>
      </c>
      <c r="H2086" t="str">
        <f t="shared" si="393"/>
        <v>VTC</v>
      </c>
      <c r="I2086" t="str">
        <f t="shared" si="390"/>
        <v>BTC</v>
      </c>
      <c r="J2086" t="str">
        <f t="shared" si="385"/>
        <v>VTCBTC</v>
      </c>
      <c r="K2086" t="str">
        <f t="shared" si="386"/>
        <v>BTCVTC</v>
      </c>
      <c r="L2086">
        <f t="shared" si="387"/>
        <v>1</v>
      </c>
      <c r="M2086">
        <f t="shared" si="388"/>
        <v>2</v>
      </c>
      <c r="N2086" t="b">
        <f t="shared" si="389"/>
        <v>0</v>
      </c>
    </row>
    <row r="2087" spans="1:14" x14ac:dyDescent="0.25">
      <c r="A2087" s="4" t="s">
        <v>5</v>
      </c>
      <c r="B2087" s="4" t="s">
        <v>507</v>
      </c>
      <c r="C2087" s="3">
        <v>1.7998999999999999E-4</v>
      </c>
      <c r="D2087" s="3">
        <v>1.4019999999999999E-4</v>
      </c>
      <c r="E2087" s="3">
        <v>1.7998999999999999E-4</v>
      </c>
      <c r="F2087" s="3">
        <v>1.4019999999999999E-4</v>
      </c>
      <c r="G2087">
        <f t="shared" si="384"/>
        <v>6</v>
      </c>
      <c r="H2087" t="str">
        <f t="shared" si="393"/>
        <v>BTC</v>
      </c>
      <c r="I2087" t="str">
        <f t="shared" si="390"/>
        <v>BTS</v>
      </c>
      <c r="J2087" t="str">
        <f t="shared" si="385"/>
        <v>BTCBTS</v>
      </c>
      <c r="K2087" t="str">
        <f t="shared" si="386"/>
        <v>BTSBTC</v>
      </c>
      <c r="L2087">
        <f t="shared" si="387"/>
        <v>1</v>
      </c>
      <c r="M2087">
        <f t="shared" si="388"/>
        <v>2</v>
      </c>
      <c r="N2087" t="b">
        <f t="shared" si="389"/>
        <v>0</v>
      </c>
    </row>
    <row r="2088" spans="1:14" x14ac:dyDescent="0.25">
      <c r="A2088" s="4" t="s">
        <v>1239</v>
      </c>
      <c r="B2088" s="4" t="s">
        <v>507</v>
      </c>
      <c r="C2088" s="3">
        <v>1.225E-4</v>
      </c>
      <c r="D2088" s="3">
        <v>1.2142999999999999E-4</v>
      </c>
      <c r="E2088" s="3">
        <v>1.225E-4</v>
      </c>
      <c r="F2088" s="3">
        <v>1.2142999999999999E-4</v>
      </c>
      <c r="G2088">
        <f t="shared" si="384"/>
        <v>6</v>
      </c>
      <c r="H2088" t="str">
        <f t="shared" si="393"/>
        <v>BTC</v>
      </c>
      <c r="I2088" t="str">
        <f t="shared" si="390"/>
        <v>BTS</v>
      </c>
      <c r="J2088" t="str">
        <f t="shared" si="385"/>
        <v>BTCBTS</v>
      </c>
      <c r="K2088" t="str">
        <f t="shared" si="386"/>
        <v>BTSBTC</v>
      </c>
      <c r="L2088">
        <f t="shared" si="387"/>
        <v>1</v>
      </c>
      <c r="M2088">
        <f t="shared" si="388"/>
        <v>2</v>
      </c>
      <c r="N2088" t="b">
        <f t="shared" si="389"/>
        <v>0</v>
      </c>
    </row>
    <row r="2089" spans="1:14" x14ac:dyDescent="0.25">
      <c r="A2089" s="4" t="s">
        <v>1239</v>
      </c>
      <c r="B2089" s="4" t="s">
        <v>1288</v>
      </c>
      <c r="C2089" s="3">
        <v>6.0800000000000002E-6</v>
      </c>
      <c r="D2089" s="3">
        <v>5.7300000000000002E-6</v>
      </c>
      <c r="E2089" s="3">
        <v>6.0800000000000002E-6</v>
      </c>
      <c r="F2089" s="3">
        <v>5.7300000000000002E-6</v>
      </c>
      <c r="G2089">
        <f t="shared" si="384"/>
        <v>8</v>
      </c>
      <c r="H2089" t="str">
        <f t="shared" si="393"/>
        <v>BTC</v>
      </c>
      <c r="I2089" t="str">
        <f>LEFT(B2089,5)</f>
        <v>BURST</v>
      </c>
      <c r="J2089" t="str">
        <f t="shared" si="385"/>
        <v>BTCBURST</v>
      </c>
      <c r="K2089" t="str">
        <f t="shared" si="386"/>
        <v>BURSTBTC</v>
      </c>
      <c r="L2089">
        <f t="shared" si="387"/>
        <v>1</v>
      </c>
      <c r="M2089">
        <f t="shared" si="388"/>
        <v>2</v>
      </c>
      <c r="N2089" t="b">
        <f t="shared" si="389"/>
        <v>0</v>
      </c>
    </row>
    <row r="2090" spans="1:14" x14ac:dyDescent="0.25">
      <c r="A2090" s="4" t="s">
        <v>1403</v>
      </c>
      <c r="B2090" s="4" t="s">
        <v>1288</v>
      </c>
      <c r="C2090" s="3">
        <v>5.6999999999999996E-6</v>
      </c>
      <c r="D2090" s="3">
        <v>6.1299999999999998E-6</v>
      </c>
      <c r="E2090" s="3">
        <v>6.1299999999999998E-6</v>
      </c>
      <c r="F2090" s="3">
        <v>5.7400000000000001E-6</v>
      </c>
      <c r="G2090">
        <f t="shared" si="384"/>
        <v>8</v>
      </c>
      <c r="H2090" t="str">
        <f t="shared" si="393"/>
        <v>BTC</v>
      </c>
      <c r="I2090" t="str">
        <f>LEFT(B2090,5)</f>
        <v>BURST</v>
      </c>
      <c r="J2090" t="str">
        <f t="shared" si="385"/>
        <v>BTCBURST</v>
      </c>
      <c r="K2090" t="str">
        <f t="shared" si="386"/>
        <v>BURSTBTC</v>
      </c>
      <c r="L2090">
        <f t="shared" si="387"/>
        <v>1</v>
      </c>
      <c r="M2090">
        <f t="shared" si="388"/>
        <v>2</v>
      </c>
      <c r="N2090" t="b">
        <f t="shared" si="389"/>
        <v>0</v>
      </c>
    </row>
    <row r="2091" spans="1:14" x14ac:dyDescent="0.25">
      <c r="A2091" s="4" t="s">
        <v>5</v>
      </c>
      <c r="B2091" s="4" t="s">
        <v>1050</v>
      </c>
      <c r="C2091" s="3">
        <v>1.5E-3</v>
      </c>
      <c r="D2091" s="3">
        <v>1.10228E-3</v>
      </c>
      <c r="E2091" s="3">
        <v>1.5E-3</v>
      </c>
      <c r="F2091" s="3">
        <v>1.1022748170036001E-3</v>
      </c>
      <c r="G2091">
        <f t="shared" si="384"/>
        <v>8</v>
      </c>
      <c r="H2091" t="str">
        <f t="shared" si="393"/>
        <v>BTC</v>
      </c>
      <c r="I2091" t="str">
        <f>LEFT(B2091,5)</f>
        <v>CLOAK</v>
      </c>
      <c r="J2091" t="str">
        <f t="shared" si="385"/>
        <v>BTCCLOAK</v>
      </c>
      <c r="K2091" t="str">
        <f t="shared" si="386"/>
        <v>CLOAKBTC</v>
      </c>
      <c r="L2091">
        <f t="shared" si="387"/>
        <v>1</v>
      </c>
      <c r="M2091">
        <f t="shared" si="388"/>
        <v>2</v>
      </c>
      <c r="N2091" t="b">
        <f t="shared" si="389"/>
        <v>0</v>
      </c>
    </row>
    <row r="2092" spans="1:14" x14ac:dyDescent="0.25">
      <c r="A2092" s="4" t="s">
        <v>1239</v>
      </c>
      <c r="B2092" s="4" t="s">
        <v>1050</v>
      </c>
      <c r="C2092" s="3">
        <v>1.4799699999999999E-3</v>
      </c>
      <c r="D2092" s="3">
        <v>1.4199900000000001E-3</v>
      </c>
      <c r="E2092" s="3">
        <v>1.4799699999999999E-3</v>
      </c>
      <c r="F2092" s="3">
        <v>1.4199804225384E-3</v>
      </c>
      <c r="G2092">
        <f t="shared" si="384"/>
        <v>8</v>
      </c>
      <c r="H2092" t="str">
        <f t="shared" si="393"/>
        <v>BTC</v>
      </c>
      <c r="I2092" t="str">
        <f>LEFT(B2092,5)</f>
        <v>CLOAK</v>
      </c>
      <c r="J2092" t="str">
        <f t="shared" si="385"/>
        <v>BTCCLOAK</v>
      </c>
      <c r="K2092" t="str">
        <f t="shared" si="386"/>
        <v>CLOAKBTC</v>
      </c>
      <c r="L2092">
        <f t="shared" si="387"/>
        <v>1</v>
      </c>
      <c r="M2092">
        <f t="shared" si="388"/>
        <v>2</v>
      </c>
      <c r="N2092" t="b">
        <f t="shared" si="389"/>
        <v>0</v>
      </c>
    </row>
    <row r="2093" spans="1:14" x14ac:dyDescent="0.25">
      <c r="A2093" s="4" t="s">
        <v>5</v>
      </c>
      <c r="B2093" s="4" t="s">
        <v>1178</v>
      </c>
      <c r="C2093" s="3">
        <v>2.9221E-4</v>
      </c>
      <c r="D2093" s="3">
        <v>2.9015999999999997E-4</v>
      </c>
      <c r="E2093" s="3">
        <v>2.9221E-4</v>
      </c>
      <c r="F2093" s="3">
        <v>2.9015999999999997E-4</v>
      </c>
      <c r="G2093">
        <f t="shared" si="384"/>
        <v>6</v>
      </c>
      <c r="H2093" t="str">
        <f t="shared" si="393"/>
        <v>BTC</v>
      </c>
      <c r="I2093" t="str">
        <f t="shared" ref="I2093:I2098" si="394">LEFT(B2093,3)</f>
        <v>CRW</v>
      </c>
      <c r="J2093" t="str">
        <f t="shared" si="385"/>
        <v>BTCCRW</v>
      </c>
      <c r="K2093" t="str">
        <f t="shared" si="386"/>
        <v>CRWBTC</v>
      </c>
      <c r="L2093">
        <f t="shared" si="387"/>
        <v>1</v>
      </c>
      <c r="M2093">
        <f t="shared" si="388"/>
        <v>2</v>
      </c>
      <c r="N2093" t="b">
        <f t="shared" si="389"/>
        <v>0</v>
      </c>
    </row>
    <row r="2094" spans="1:14" x14ac:dyDescent="0.25">
      <c r="A2094" s="4" t="s">
        <v>1403</v>
      </c>
      <c r="B2094" s="4" t="s">
        <v>1178</v>
      </c>
      <c r="C2094" s="3">
        <v>2.8761999999999999E-4</v>
      </c>
      <c r="D2094" s="3">
        <v>3.3384000000000002E-4</v>
      </c>
      <c r="E2094" s="3">
        <v>3.3379999999999998E-4</v>
      </c>
      <c r="F2094" s="3">
        <v>2.8762999999999998E-4</v>
      </c>
      <c r="G2094">
        <f t="shared" si="384"/>
        <v>6</v>
      </c>
      <c r="H2094" t="str">
        <f t="shared" si="393"/>
        <v>BTC</v>
      </c>
      <c r="I2094" t="str">
        <f t="shared" si="394"/>
        <v>CRW</v>
      </c>
      <c r="J2094" t="str">
        <f t="shared" si="385"/>
        <v>BTCCRW</v>
      </c>
      <c r="K2094" t="str">
        <f t="shared" si="386"/>
        <v>CRWBTC</v>
      </c>
      <c r="L2094">
        <f t="shared" si="387"/>
        <v>1</v>
      </c>
      <c r="M2094">
        <f t="shared" si="388"/>
        <v>2</v>
      </c>
      <c r="N2094" t="b">
        <f t="shared" si="389"/>
        <v>0</v>
      </c>
    </row>
    <row r="2095" spans="1:14" x14ac:dyDescent="0.25">
      <c r="A2095" s="4" t="s">
        <v>5</v>
      </c>
      <c r="B2095" s="4" t="s">
        <v>1140</v>
      </c>
      <c r="C2095" s="3">
        <v>1.182E-5</v>
      </c>
      <c r="D2095" s="3">
        <v>1.151E-5</v>
      </c>
      <c r="E2095" s="3">
        <v>1.182E-5</v>
      </c>
      <c r="F2095" s="3">
        <v>1.151E-5</v>
      </c>
      <c r="G2095">
        <f t="shared" si="384"/>
        <v>6</v>
      </c>
      <c r="H2095" t="str">
        <f t="shared" si="393"/>
        <v>BTC</v>
      </c>
      <c r="I2095" t="str">
        <f t="shared" si="394"/>
        <v>DGB</v>
      </c>
      <c r="J2095" t="str">
        <f t="shared" si="385"/>
        <v>BTCDGB</v>
      </c>
      <c r="K2095" t="str">
        <f t="shared" si="386"/>
        <v>DGBBTC</v>
      </c>
      <c r="L2095">
        <f t="shared" si="387"/>
        <v>1</v>
      </c>
      <c r="M2095">
        <f t="shared" si="388"/>
        <v>2</v>
      </c>
      <c r="N2095" t="b">
        <f t="shared" si="389"/>
        <v>0</v>
      </c>
    </row>
    <row r="2096" spans="1:14" x14ac:dyDescent="0.25">
      <c r="A2096" s="4" t="s">
        <v>1239</v>
      </c>
      <c r="B2096" s="4" t="s">
        <v>1140</v>
      </c>
      <c r="C2096" s="3">
        <v>1.1950000000000001E-5</v>
      </c>
      <c r="D2096" s="3">
        <v>1.1600000000000001E-5</v>
      </c>
      <c r="E2096" s="3">
        <v>1.1950000000000001E-5</v>
      </c>
      <c r="F2096" s="3">
        <v>1.1600000000000001E-5</v>
      </c>
      <c r="G2096">
        <f t="shared" si="384"/>
        <v>6</v>
      </c>
      <c r="H2096" t="str">
        <f t="shared" si="393"/>
        <v>BTC</v>
      </c>
      <c r="I2096" t="str">
        <f t="shared" si="394"/>
        <v>DGB</v>
      </c>
      <c r="J2096" t="str">
        <f t="shared" si="385"/>
        <v>BTCDGB</v>
      </c>
      <c r="K2096" t="str">
        <f t="shared" si="386"/>
        <v>DGBBTC</v>
      </c>
      <c r="L2096">
        <f t="shared" si="387"/>
        <v>1</v>
      </c>
      <c r="M2096">
        <f t="shared" si="388"/>
        <v>2</v>
      </c>
      <c r="N2096" t="b">
        <f t="shared" si="389"/>
        <v>0</v>
      </c>
    </row>
    <row r="2097" spans="1:14" x14ac:dyDescent="0.25">
      <c r="A2097" s="4" t="s">
        <v>4</v>
      </c>
      <c r="B2097" s="4" t="s">
        <v>353</v>
      </c>
      <c r="C2097" s="3">
        <v>3.85E-2</v>
      </c>
      <c r="D2097" s="3">
        <v>3.1E-2</v>
      </c>
      <c r="E2097" s="3">
        <v>3.85E-2</v>
      </c>
      <c r="F2097" s="3">
        <v>3.0058635999999899E-2</v>
      </c>
      <c r="G2097">
        <f t="shared" si="384"/>
        <v>6</v>
      </c>
      <c r="H2097" t="str">
        <f t="shared" si="393"/>
        <v>BTC</v>
      </c>
      <c r="I2097" t="str">
        <f t="shared" si="394"/>
        <v>DGD</v>
      </c>
      <c r="J2097" t="str">
        <f t="shared" si="385"/>
        <v>BTCDGD</v>
      </c>
      <c r="K2097" t="str">
        <f t="shared" si="386"/>
        <v>DGDBTC</v>
      </c>
      <c r="L2097">
        <f t="shared" si="387"/>
        <v>1</v>
      </c>
      <c r="M2097">
        <f t="shared" si="388"/>
        <v>2</v>
      </c>
      <c r="N2097" t="b">
        <f t="shared" si="389"/>
        <v>0</v>
      </c>
    </row>
    <row r="2098" spans="1:14" x14ac:dyDescent="0.25">
      <c r="A2098" s="4" t="s">
        <v>5</v>
      </c>
      <c r="B2098" s="4" t="s">
        <v>353</v>
      </c>
      <c r="C2098" s="3">
        <v>4.1669999999999999E-5</v>
      </c>
      <c r="D2098" s="3">
        <v>3.9010000000000001E-5</v>
      </c>
      <c r="E2098" s="3">
        <v>4.1669999999999999E-5</v>
      </c>
      <c r="F2098" s="3">
        <v>3.9010000000000001E-5</v>
      </c>
      <c r="G2098">
        <f t="shared" si="384"/>
        <v>6</v>
      </c>
      <c r="H2098" t="str">
        <f t="shared" si="393"/>
        <v>BTC</v>
      </c>
      <c r="I2098" t="str">
        <f t="shared" si="394"/>
        <v>DGD</v>
      </c>
      <c r="J2098" t="str">
        <f t="shared" si="385"/>
        <v>BTCDGD</v>
      </c>
      <c r="K2098" t="str">
        <f t="shared" si="386"/>
        <v>DGDBTC</v>
      </c>
      <c r="L2098">
        <f t="shared" si="387"/>
        <v>1</v>
      </c>
      <c r="M2098">
        <f t="shared" si="388"/>
        <v>2</v>
      </c>
      <c r="N2098" t="b">
        <f t="shared" si="389"/>
        <v>0</v>
      </c>
    </row>
    <row r="2099" spans="1:14" x14ac:dyDescent="0.25">
      <c r="A2099" s="4" t="s">
        <v>5</v>
      </c>
      <c r="B2099" s="4" t="s">
        <v>505</v>
      </c>
      <c r="C2099" s="3">
        <v>5.8730000000000002E-5</v>
      </c>
      <c r="D2099" s="3">
        <v>3.5830000000000001E-5</v>
      </c>
      <c r="E2099" s="3">
        <v>5.8730000000000002E-5</v>
      </c>
      <c r="F2099" s="3">
        <v>3.5830000000000001E-5</v>
      </c>
      <c r="G2099">
        <f t="shared" si="384"/>
        <v>8</v>
      </c>
      <c r="H2099" t="str">
        <f t="shared" si="393"/>
        <v>BTC</v>
      </c>
      <c r="I2099" t="str">
        <f>LEFT(B2099,5)</f>
        <v>DRACO</v>
      </c>
      <c r="J2099" t="str">
        <f t="shared" si="385"/>
        <v>BTCDRACO</v>
      </c>
      <c r="K2099" t="str">
        <f t="shared" si="386"/>
        <v>DRACOBTC</v>
      </c>
      <c r="L2099">
        <f t="shared" si="387"/>
        <v>1</v>
      </c>
      <c r="M2099">
        <f t="shared" si="388"/>
        <v>2</v>
      </c>
      <c r="N2099" t="b">
        <f t="shared" si="389"/>
        <v>0</v>
      </c>
    </row>
    <row r="2100" spans="1:14" x14ac:dyDescent="0.25">
      <c r="A2100" s="4" t="s">
        <v>1403</v>
      </c>
      <c r="B2100" s="4" t="s">
        <v>505</v>
      </c>
      <c r="C2100" s="3">
        <v>2.26E-6</v>
      </c>
      <c r="D2100" s="3">
        <v>3.7000000000000002E-6</v>
      </c>
      <c r="E2100" s="3">
        <v>3.7799999999999998E-6</v>
      </c>
      <c r="F2100" s="3">
        <v>2.2699999999999999E-6</v>
      </c>
      <c r="G2100">
        <f t="shared" si="384"/>
        <v>8</v>
      </c>
      <c r="H2100" t="str">
        <f t="shared" si="393"/>
        <v>BTC</v>
      </c>
      <c r="I2100" t="str">
        <f>LEFT(B2100,5)</f>
        <v>DRACO</v>
      </c>
      <c r="J2100" t="str">
        <f t="shared" si="385"/>
        <v>BTCDRACO</v>
      </c>
      <c r="K2100" t="str">
        <f t="shared" si="386"/>
        <v>DRACOBTC</v>
      </c>
      <c r="L2100">
        <f t="shared" si="387"/>
        <v>1</v>
      </c>
      <c r="M2100">
        <f t="shared" si="388"/>
        <v>2</v>
      </c>
      <c r="N2100" t="b">
        <f t="shared" si="389"/>
        <v>0</v>
      </c>
    </row>
    <row r="2101" spans="1:14" x14ac:dyDescent="0.25">
      <c r="A2101" s="4" t="s">
        <v>5</v>
      </c>
      <c r="B2101" s="4" t="s">
        <v>491</v>
      </c>
      <c r="C2101" s="3">
        <v>6.3E-5</v>
      </c>
      <c r="D2101" s="3">
        <v>4.4199999999999997E-5</v>
      </c>
      <c r="E2101" s="3">
        <v>6.3E-5</v>
      </c>
      <c r="F2101" s="3">
        <v>4.4199999999999997E-5</v>
      </c>
      <c r="G2101">
        <f t="shared" si="384"/>
        <v>6</v>
      </c>
      <c r="H2101" t="str">
        <f t="shared" si="393"/>
        <v>BTC</v>
      </c>
      <c r="I2101" t="str">
        <f>LEFT(B2101,3)</f>
        <v>EGC</v>
      </c>
      <c r="J2101" t="str">
        <f t="shared" si="385"/>
        <v>BTCEGC</v>
      </c>
      <c r="K2101" t="str">
        <f t="shared" si="386"/>
        <v>EGCBTC</v>
      </c>
      <c r="L2101">
        <f t="shared" si="387"/>
        <v>1</v>
      </c>
      <c r="M2101">
        <f t="shared" si="388"/>
        <v>2</v>
      </c>
      <c r="N2101" t="b">
        <f t="shared" si="389"/>
        <v>0</v>
      </c>
    </row>
    <row r="2102" spans="1:14" x14ac:dyDescent="0.25">
      <c r="A2102" s="4" t="s">
        <v>1403</v>
      </c>
      <c r="B2102" s="4" t="s">
        <v>491</v>
      </c>
      <c r="C2102" s="3">
        <v>3.201E-5</v>
      </c>
      <c r="D2102" s="3">
        <v>5.0599999999999997E-5</v>
      </c>
      <c r="E2102" s="3">
        <v>7.4939999999999997E-5</v>
      </c>
      <c r="F2102" s="3">
        <v>4.0009999999999998E-5</v>
      </c>
      <c r="G2102">
        <f t="shared" si="384"/>
        <v>6</v>
      </c>
      <c r="H2102" t="str">
        <f t="shared" si="393"/>
        <v>BTC</v>
      </c>
      <c r="I2102" t="str">
        <f>LEFT(B2102,3)</f>
        <v>EGC</v>
      </c>
      <c r="J2102" t="str">
        <f t="shared" si="385"/>
        <v>BTCEGC</v>
      </c>
      <c r="K2102" t="str">
        <f t="shared" si="386"/>
        <v>EGCBTC</v>
      </c>
      <c r="L2102">
        <f t="shared" si="387"/>
        <v>1</v>
      </c>
      <c r="M2102">
        <f t="shared" si="388"/>
        <v>2</v>
      </c>
      <c r="N2102" t="b">
        <f t="shared" si="389"/>
        <v>0</v>
      </c>
    </row>
    <row r="2103" spans="1:14" x14ac:dyDescent="0.25">
      <c r="A2103" s="4" t="s">
        <v>5</v>
      </c>
      <c r="B2103" s="4" t="s">
        <v>695</v>
      </c>
      <c r="C2103" s="3">
        <v>1.4749800000000001E-3</v>
      </c>
      <c r="D2103" s="3">
        <v>1.30185E-3</v>
      </c>
      <c r="E2103" s="3">
        <v>1.4749800000000001E-3</v>
      </c>
      <c r="F2103" s="3">
        <v>1.30185E-3</v>
      </c>
      <c r="G2103">
        <f t="shared" si="384"/>
        <v>7</v>
      </c>
      <c r="H2103" t="str">
        <f t="shared" si="393"/>
        <v>BTC</v>
      </c>
      <c r="I2103" t="str">
        <f>LEFT(B2103,4)</f>
        <v>GAME</v>
      </c>
      <c r="J2103" t="str">
        <f t="shared" si="385"/>
        <v>BTCGAME</v>
      </c>
      <c r="K2103" t="str">
        <f t="shared" si="386"/>
        <v>GAMEBTC</v>
      </c>
      <c r="L2103">
        <f t="shared" si="387"/>
        <v>1</v>
      </c>
      <c r="M2103">
        <f t="shared" si="388"/>
        <v>2</v>
      </c>
      <c r="N2103" t="b">
        <f t="shared" si="389"/>
        <v>0</v>
      </c>
    </row>
    <row r="2104" spans="1:14" x14ac:dyDescent="0.25">
      <c r="A2104" s="4" t="s">
        <v>1239</v>
      </c>
      <c r="B2104" s="4" t="s">
        <v>695</v>
      </c>
      <c r="C2104" s="3">
        <v>1.4507400000000001E-3</v>
      </c>
      <c r="D2104" s="3">
        <v>1.3563799999999999E-3</v>
      </c>
      <c r="E2104" s="3">
        <v>1.4507400000000001E-3</v>
      </c>
      <c r="F2104" s="3">
        <v>1.3563799999999999E-3</v>
      </c>
      <c r="G2104">
        <f t="shared" si="384"/>
        <v>7</v>
      </c>
      <c r="H2104" t="str">
        <f t="shared" si="393"/>
        <v>BTC</v>
      </c>
      <c r="I2104" t="str">
        <f>LEFT(B2104,4)</f>
        <v>GAME</v>
      </c>
      <c r="J2104" t="str">
        <f t="shared" si="385"/>
        <v>BTCGAME</v>
      </c>
      <c r="K2104" t="str">
        <f t="shared" si="386"/>
        <v>GAMEBTC</v>
      </c>
      <c r="L2104">
        <f t="shared" si="387"/>
        <v>1</v>
      </c>
      <c r="M2104">
        <f t="shared" si="388"/>
        <v>2</v>
      </c>
      <c r="N2104" t="b">
        <f t="shared" si="389"/>
        <v>0</v>
      </c>
    </row>
    <row r="2105" spans="1:14" x14ac:dyDescent="0.25">
      <c r="A2105" s="4" t="s">
        <v>3</v>
      </c>
      <c r="B2105" s="4" t="s">
        <v>271</v>
      </c>
      <c r="C2105" s="3">
        <v>9.5235E-2</v>
      </c>
      <c r="D2105" s="3">
        <v>9.3667E-2</v>
      </c>
      <c r="E2105" s="3">
        <v>9.5238000000000003E-2</v>
      </c>
      <c r="F2105" s="3">
        <v>9.3669000000000002E-2</v>
      </c>
      <c r="G2105">
        <f t="shared" si="384"/>
        <v>6</v>
      </c>
      <c r="H2105" t="str">
        <f t="shared" si="393"/>
        <v>BTC</v>
      </c>
      <c r="I2105" t="str">
        <f t="shared" ref="I2105:I2110" si="395">LEFT(B2105,3)</f>
        <v>GNO</v>
      </c>
      <c r="J2105" t="str">
        <f t="shared" si="385"/>
        <v>BTCGNO</v>
      </c>
      <c r="K2105" t="str">
        <f t="shared" si="386"/>
        <v>GNOBTC</v>
      </c>
      <c r="L2105">
        <f t="shared" si="387"/>
        <v>2</v>
      </c>
      <c r="M2105">
        <f t="shared" si="388"/>
        <v>2</v>
      </c>
      <c r="N2105" t="b">
        <f t="shared" si="389"/>
        <v>0</v>
      </c>
    </row>
    <row r="2106" spans="1:14" x14ac:dyDescent="0.25">
      <c r="A2106" s="4" t="s">
        <v>4</v>
      </c>
      <c r="B2106" s="4" t="s">
        <v>271</v>
      </c>
      <c r="C2106" s="3">
        <v>0.1045</v>
      </c>
      <c r="D2106" s="3">
        <v>9.0000999999999998E-2</v>
      </c>
      <c r="E2106" s="3">
        <v>0.105043359999999</v>
      </c>
      <c r="F2106" s="3">
        <v>6.7459419999999895E-2</v>
      </c>
      <c r="G2106">
        <f t="shared" si="384"/>
        <v>6</v>
      </c>
      <c r="H2106" t="str">
        <f t="shared" si="393"/>
        <v>BTC</v>
      </c>
      <c r="I2106" t="str">
        <f t="shared" si="395"/>
        <v>GNO</v>
      </c>
      <c r="J2106" t="str">
        <f t="shared" si="385"/>
        <v>BTCGNO</v>
      </c>
      <c r="K2106" t="str">
        <f t="shared" si="386"/>
        <v>GNOBTC</v>
      </c>
      <c r="L2106">
        <f t="shared" si="387"/>
        <v>2</v>
      </c>
      <c r="M2106">
        <f t="shared" si="388"/>
        <v>2</v>
      </c>
      <c r="N2106" t="b">
        <f t="shared" si="389"/>
        <v>0</v>
      </c>
    </row>
    <row r="2107" spans="1:14" x14ac:dyDescent="0.25">
      <c r="A2107" s="4" t="s">
        <v>4</v>
      </c>
      <c r="B2107" s="4" t="s">
        <v>307</v>
      </c>
      <c r="C2107" s="3">
        <v>1.7988999999999999E-4</v>
      </c>
      <c r="D2107" s="3">
        <v>1.2999999999999999E-4</v>
      </c>
      <c r="E2107" s="3">
        <v>1.7988999999999999E-4</v>
      </c>
      <c r="F2107" s="3">
        <v>1.2999999999999999E-4</v>
      </c>
      <c r="G2107">
        <f t="shared" si="384"/>
        <v>6</v>
      </c>
      <c r="H2107" t="str">
        <f t="shared" si="393"/>
        <v>BTC</v>
      </c>
      <c r="I2107" t="str">
        <f t="shared" si="395"/>
        <v>GUP</v>
      </c>
      <c r="J2107" t="str">
        <f t="shared" si="385"/>
        <v>BTCGUP</v>
      </c>
      <c r="K2107" t="str">
        <f t="shared" si="386"/>
        <v>GUPBTC</v>
      </c>
      <c r="L2107">
        <f t="shared" si="387"/>
        <v>1</v>
      </c>
      <c r="M2107">
        <f t="shared" si="388"/>
        <v>2</v>
      </c>
      <c r="N2107" t="b">
        <f t="shared" si="389"/>
        <v>0</v>
      </c>
    </row>
    <row r="2108" spans="1:14" x14ac:dyDescent="0.25">
      <c r="A2108" s="4" t="s">
        <v>1239</v>
      </c>
      <c r="B2108" s="4" t="s">
        <v>307</v>
      </c>
      <c r="C2108" s="3">
        <v>1.7887999999999999E-4</v>
      </c>
      <c r="D2108" s="3">
        <v>1.3459999999999999E-4</v>
      </c>
      <c r="E2108" s="3">
        <v>1.7887999999999999E-4</v>
      </c>
      <c r="F2108" s="3">
        <v>1.3459999999999999E-4</v>
      </c>
      <c r="G2108">
        <f t="shared" si="384"/>
        <v>6</v>
      </c>
      <c r="H2108" t="str">
        <f t="shared" si="393"/>
        <v>BTC</v>
      </c>
      <c r="I2108" t="str">
        <f t="shared" si="395"/>
        <v>GUP</v>
      </c>
      <c r="J2108" t="str">
        <f t="shared" si="385"/>
        <v>BTCGUP</v>
      </c>
      <c r="K2108" t="str">
        <f t="shared" si="386"/>
        <v>GUPBTC</v>
      </c>
      <c r="L2108">
        <f t="shared" si="387"/>
        <v>1</v>
      </c>
      <c r="M2108">
        <f t="shared" si="388"/>
        <v>2</v>
      </c>
      <c r="N2108" t="b">
        <f t="shared" si="389"/>
        <v>0</v>
      </c>
    </row>
    <row r="2109" spans="1:14" x14ac:dyDescent="0.25">
      <c r="A2109" s="4" t="s">
        <v>4</v>
      </c>
      <c r="B2109" s="4" t="s">
        <v>332</v>
      </c>
      <c r="C2109" s="3">
        <v>2.6999799999999998E-3</v>
      </c>
      <c r="D2109" s="3">
        <v>1.0600099999999999E-3</v>
      </c>
      <c r="E2109" s="3">
        <v>2.6999799999999998E-3</v>
      </c>
      <c r="F2109" s="3">
        <v>1.0600099999999999E-3</v>
      </c>
      <c r="G2109">
        <f t="shared" si="384"/>
        <v>6</v>
      </c>
      <c r="H2109" t="str">
        <f t="shared" si="393"/>
        <v>BTC</v>
      </c>
      <c r="I2109" t="str">
        <f t="shared" si="395"/>
        <v>LUN</v>
      </c>
      <c r="J2109" t="str">
        <f t="shared" si="385"/>
        <v>BTCLUN</v>
      </c>
      <c r="K2109" t="str">
        <f t="shared" si="386"/>
        <v>LUNBTC</v>
      </c>
      <c r="L2109">
        <f t="shared" si="387"/>
        <v>1</v>
      </c>
      <c r="M2109">
        <f t="shared" si="388"/>
        <v>2</v>
      </c>
      <c r="N2109" t="b">
        <f t="shared" si="389"/>
        <v>0</v>
      </c>
    </row>
    <row r="2110" spans="1:14" x14ac:dyDescent="0.25">
      <c r="A2110" s="4" t="s">
        <v>5</v>
      </c>
      <c r="B2110" s="4" t="s">
        <v>332</v>
      </c>
      <c r="C2110" s="3">
        <v>1.4699999999999999E-6</v>
      </c>
      <c r="D2110" s="3">
        <v>1.37E-6</v>
      </c>
      <c r="E2110" s="3">
        <v>1.4699999999999999E-6</v>
      </c>
      <c r="F2110" s="3">
        <v>1.37E-6</v>
      </c>
      <c r="G2110">
        <f t="shared" si="384"/>
        <v>6</v>
      </c>
      <c r="H2110" t="str">
        <f t="shared" si="393"/>
        <v>BTC</v>
      </c>
      <c r="I2110" t="str">
        <f t="shared" si="395"/>
        <v>LUN</v>
      </c>
      <c r="J2110" t="str">
        <f t="shared" si="385"/>
        <v>BTCLUN</v>
      </c>
      <c r="K2110" t="str">
        <f t="shared" si="386"/>
        <v>LUNBTC</v>
      </c>
      <c r="L2110">
        <f t="shared" si="387"/>
        <v>1</v>
      </c>
      <c r="M2110">
        <f t="shared" si="388"/>
        <v>2</v>
      </c>
      <c r="N2110" t="b">
        <f t="shared" si="389"/>
        <v>0</v>
      </c>
    </row>
    <row r="2111" spans="1:14" x14ac:dyDescent="0.25">
      <c r="A2111" s="4" t="s">
        <v>4</v>
      </c>
      <c r="B2111" s="4" t="s">
        <v>303</v>
      </c>
      <c r="C2111" s="3">
        <v>1.8710999999999999E-4</v>
      </c>
      <c r="D2111" s="3">
        <v>1.8639000000000001E-4</v>
      </c>
      <c r="E2111" s="3">
        <v>1.8710999999999999E-4</v>
      </c>
      <c r="F2111" s="3">
        <v>1.8639000000000001E-4</v>
      </c>
      <c r="G2111">
        <f t="shared" si="384"/>
        <v>7</v>
      </c>
      <c r="H2111" t="str">
        <f t="shared" si="393"/>
        <v>BTC</v>
      </c>
      <c r="I2111" t="str">
        <f>LEFT(B2111,4)</f>
        <v>MAID</v>
      </c>
      <c r="J2111" t="str">
        <f t="shared" si="385"/>
        <v>BTCMAID</v>
      </c>
      <c r="K2111" t="str">
        <f t="shared" si="386"/>
        <v>MAIDBTC</v>
      </c>
      <c r="L2111">
        <f t="shared" si="387"/>
        <v>2</v>
      </c>
      <c r="M2111">
        <f t="shared" si="388"/>
        <v>2</v>
      </c>
      <c r="N2111" t="b">
        <f t="shared" si="389"/>
        <v>0</v>
      </c>
    </row>
    <row r="2112" spans="1:14" x14ac:dyDescent="0.25">
      <c r="A2112" s="4" t="s">
        <v>1239</v>
      </c>
      <c r="B2112" s="4" t="s">
        <v>303</v>
      </c>
      <c r="C2112" s="3">
        <v>1.908E-4</v>
      </c>
      <c r="D2112" s="3">
        <v>1.8302999999999999E-4</v>
      </c>
      <c r="E2112" s="3">
        <v>1.908E-4</v>
      </c>
      <c r="F2112" s="3">
        <v>1.8302999999999999E-4</v>
      </c>
      <c r="G2112">
        <f t="shared" si="384"/>
        <v>7</v>
      </c>
      <c r="H2112" t="str">
        <f t="shared" si="393"/>
        <v>BTC</v>
      </c>
      <c r="I2112" t="str">
        <f>LEFT(B2112,4)</f>
        <v>MAID</v>
      </c>
      <c r="J2112" t="str">
        <f t="shared" si="385"/>
        <v>BTCMAID</v>
      </c>
      <c r="K2112" t="str">
        <f t="shared" si="386"/>
        <v>MAIDBTC</v>
      </c>
      <c r="L2112">
        <f t="shared" si="387"/>
        <v>2</v>
      </c>
      <c r="M2112">
        <f t="shared" si="388"/>
        <v>2</v>
      </c>
      <c r="N2112" t="b">
        <f t="shared" si="389"/>
        <v>0</v>
      </c>
    </row>
    <row r="2113" spans="1:14" x14ac:dyDescent="0.25">
      <c r="A2113" s="4" t="s">
        <v>5</v>
      </c>
      <c r="B2113" s="4" t="s">
        <v>1136</v>
      </c>
      <c r="C2113" s="3">
        <v>1.4630000000000001E-5</v>
      </c>
      <c r="D2113" s="3">
        <v>1.4600000000000001E-5</v>
      </c>
      <c r="E2113" s="3">
        <v>1.4630000000000001E-5</v>
      </c>
      <c r="F2113" s="3">
        <v>1.4600000000000001E-5</v>
      </c>
      <c r="G2113">
        <f t="shared" ref="G2113:G2176" si="396">LEN(B2113)</f>
        <v>6</v>
      </c>
      <c r="H2113" t="str">
        <f t="shared" si="393"/>
        <v>BTC</v>
      </c>
      <c r="I2113" t="str">
        <f>LEFT(B2113,3)</f>
        <v>MUE</v>
      </c>
      <c r="J2113" t="str">
        <f t="shared" ref="J2113:J2176" si="397">CONCATENATE(H2113,I2113)</f>
        <v>BTCMUE</v>
      </c>
      <c r="K2113" t="str">
        <f t="shared" ref="K2113:K2176" si="398">CONCATENATE(I2113,H2113)</f>
        <v>MUEBTC</v>
      </c>
      <c r="L2113">
        <f t="shared" ref="L2113:L2176" si="399">COUNTIF(B:B,J2113)</f>
        <v>1</v>
      </c>
      <c r="M2113">
        <f t="shared" ref="M2113:M2176" si="400">COUNTIF(B:B,K2113)</f>
        <v>2</v>
      </c>
      <c r="N2113" t="b">
        <f t="shared" ref="N2113:N2176" si="401">L2113=0</f>
        <v>0</v>
      </c>
    </row>
    <row r="2114" spans="1:14" x14ac:dyDescent="0.25">
      <c r="A2114" s="4" t="s">
        <v>1403</v>
      </c>
      <c r="B2114" s="4" t="s">
        <v>1136</v>
      </c>
      <c r="C2114" s="3">
        <v>2.673E-5</v>
      </c>
      <c r="D2114" s="3">
        <v>4.8680000000000001E-5</v>
      </c>
      <c r="E2114" s="3">
        <v>4.871E-5</v>
      </c>
      <c r="F2114" s="3">
        <v>2.6740000000000001E-5</v>
      </c>
      <c r="G2114">
        <f t="shared" si="396"/>
        <v>6</v>
      </c>
      <c r="H2114" t="str">
        <f t="shared" si="393"/>
        <v>BTC</v>
      </c>
      <c r="I2114" t="str">
        <f>LEFT(B2114,3)</f>
        <v>MUE</v>
      </c>
      <c r="J2114" t="str">
        <f t="shared" si="397"/>
        <v>BTCMUE</v>
      </c>
      <c r="K2114" t="str">
        <f t="shared" si="398"/>
        <v>MUEBTC</v>
      </c>
      <c r="L2114">
        <f t="shared" si="399"/>
        <v>1</v>
      </c>
      <c r="M2114">
        <f t="shared" si="400"/>
        <v>2</v>
      </c>
      <c r="N2114" t="b">
        <f t="shared" si="401"/>
        <v>0</v>
      </c>
    </row>
    <row r="2115" spans="1:14" x14ac:dyDescent="0.25">
      <c r="A2115" s="4" t="s">
        <v>5</v>
      </c>
      <c r="B2115" s="4" t="s">
        <v>744</v>
      </c>
      <c r="C2115" s="3">
        <v>5.7525000000000002E-4</v>
      </c>
      <c r="D2115" s="3">
        <v>5.4040999999999996E-4</v>
      </c>
      <c r="E2115" s="3">
        <v>5.7525000000000002E-4</v>
      </c>
      <c r="F2115" s="3">
        <v>5.4040999999999996E-4</v>
      </c>
      <c r="G2115">
        <f t="shared" si="396"/>
        <v>7</v>
      </c>
      <c r="H2115" t="str">
        <f t="shared" ref="H2115:H2148" si="402">RIGHT(B2115,3)</f>
        <v>BTC</v>
      </c>
      <c r="I2115" t="str">
        <f>LEFT(B2115,4)</f>
        <v>PIVX</v>
      </c>
      <c r="J2115" t="str">
        <f t="shared" si="397"/>
        <v>BTCPIVX</v>
      </c>
      <c r="K2115" t="str">
        <f t="shared" si="398"/>
        <v>PIVXBTC</v>
      </c>
      <c r="L2115">
        <f t="shared" si="399"/>
        <v>1</v>
      </c>
      <c r="M2115">
        <f t="shared" si="400"/>
        <v>2</v>
      </c>
      <c r="N2115" t="b">
        <f t="shared" si="401"/>
        <v>0</v>
      </c>
    </row>
    <row r="2116" spans="1:14" x14ac:dyDescent="0.25">
      <c r="A2116" s="4" t="s">
        <v>1239</v>
      </c>
      <c r="B2116" s="4" t="s">
        <v>744</v>
      </c>
      <c r="C2116" s="3">
        <v>5.8854000000000003E-4</v>
      </c>
      <c r="D2116" s="3">
        <v>5.3176999999999999E-4</v>
      </c>
      <c r="E2116" s="3">
        <v>5.8854000000000003E-4</v>
      </c>
      <c r="F2116" s="3">
        <v>5.3176999999999999E-4</v>
      </c>
      <c r="G2116">
        <f t="shared" si="396"/>
        <v>7</v>
      </c>
      <c r="H2116" t="str">
        <f t="shared" si="402"/>
        <v>BTC</v>
      </c>
      <c r="I2116" t="str">
        <f>LEFT(B2116,4)</f>
        <v>PIVX</v>
      </c>
      <c r="J2116" t="str">
        <f t="shared" si="397"/>
        <v>BTCPIVX</v>
      </c>
      <c r="K2116" t="str">
        <f t="shared" si="398"/>
        <v>PIVXBTC</v>
      </c>
      <c r="L2116">
        <f t="shared" si="399"/>
        <v>1</v>
      </c>
      <c r="M2116">
        <f t="shared" si="400"/>
        <v>2</v>
      </c>
      <c r="N2116" t="b">
        <f t="shared" si="401"/>
        <v>0</v>
      </c>
    </row>
    <row r="2117" spans="1:14" x14ac:dyDescent="0.25">
      <c r="A2117" s="4" t="s">
        <v>4</v>
      </c>
      <c r="B2117" s="4" t="s">
        <v>347</v>
      </c>
      <c r="C2117" s="3">
        <v>8.0999999999999996E-4</v>
      </c>
      <c r="D2117" s="3">
        <v>8.0000000000000004E-4</v>
      </c>
      <c r="E2117" s="3">
        <v>8.0999999999999996E-4</v>
      </c>
      <c r="F2117" s="3">
        <v>8.0000000000000004E-4</v>
      </c>
      <c r="G2117">
        <f t="shared" si="396"/>
        <v>8</v>
      </c>
      <c r="H2117" t="str">
        <f t="shared" si="402"/>
        <v>BTC</v>
      </c>
      <c r="I2117" t="str">
        <f>LEFT(B2117,5)</f>
        <v>STEEM</v>
      </c>
      <c r="J2117" t="str">
        <f t="shared" si="397"/>
        <v>BTCSTEEM</v>
      </c>
      <c r="K2117" t="str">
        <f t="shared" si="398"/>
        <v>STEEMBTC</v>
      </c>
      <c r="L2117">
        <f t="shared" si="399"/>
        <v>1</v>
      </c>
      <c r="M2117">
        <f t="shared" si="400"/>
        <v>2</v>
      </c>
      <c r="N2117" t="b">
        <f t="shared" si="401"/>
        <v>0</v>
      </c>
    </row>
    <row r="2118" spans="1:14" x14ac:dyDescent="0.25">
      <c r="A2118" s="4" t="s">
        <v>1239</v>
      </c>
      <c r="B2118" s="4" t="s">
        <v>347</v>
      </c>
      <c r="C2118" s="3">
        <v>8.3498999999999997E-4</v>
      </c>
      <c r="D2118" s="3">
        <v>7.9564999999999996E-4</v>
      </c>
      <c r="E2118" s="3">
        <v>8.3498999999999997E-4</v>
      </c>
      <c r="F2118" s="3">
        <v>7.9564999999999996E-4</v>
      </c>
      <c r="G2118">
        <f t="shared" si="396"/>
        <v>8</v>
      </c>
      <c r="H2118" t="str">
        <f t="shared" si="402"/>
        <v>BTC</v>
      </c>
      <c r="I2118" t="str">
        <f>LEFT(B2118,5)</f>
        <v>STEEM</v>
      </c>
      <c r="J2118" t="str">
        <f t="shared" si="397"/>
        <v>BTCSTEEM</v>
      </c>
      <c r="K2118" t="str">
        <f t="shared" si="398"/>
        <v>STEEMBTC</v>
      </c>
      <c r="L2118">
        <f t="shared" si="399"/>
        <v>1</v>
      </c>
      <c r="M2118">
        <f t="shared" si="400"/>
        <v>2</v>
      </c>
      <c r="N2118" t="b">
        <f t="shared" si="401"/>
        <v>0</v>
      </c>
    </row>
    <row r="2119" spans="1:14" x14ac:dyDescent="0.25">
      <c r="A2119" s="4" t="s">
        <v>5</v>
      </c>
      <c r="B2119" s="4" t="s">
        <v>957</v>
      </c>
      <c r="C2119" s="3">
        <v>7.9789999999999993E-5</v>
      </c>
      <c r="D2119" s="3">
        <v>6.3600000000000001E-5</v>
      </c>
      <c r="E2119" s="3">
        <v>7.9789999999999993E-5</v>
      </c>
      <c r="F2119" s="3">
        <v>6.3600000000000001E-5</v>
      </c>
      <c r="G2119">
        <f t="shared" si="396"/>
        <v>6</v>
      </c>
      <c r="H2119" t="str">
        <f t="shared" si="402"/>
        <v>BTC</v>
      </c>
      <c r="I2119" t="str">
        <f>LEFT(B2119,3)</f>
        <v>SYS</v>
      </c>
      <c r="J2119" t="str">
        <f t="shared" si="397"/>
        <v>BTCSYS</v>
      </c>
      <c r="K2119" t="str">
        <f t="shared" si="398"/>
        <v>SYSBTC</v>
      </c>
      <c r="L2119">
        <f t="shared" si="399"/>
        <v>2</v>
      </c>
      <c r="M2119">
        <f t="shared" si="400"/>
        <v>2</v>
      </c>
      <c r="N2119" t="b">
        <f t="shared" si="401"/>
        <v>0</v>
      </c>
    </row>
    <row r="2120" spans="1:14" x14ac:dyDescent="0.25">
      <c r="A2120" s="4" t="s">
        <v>1239</v>
      </c>
      <c r="B2120" s="4" t="s">
        <v>957</v>
      </c>
      <c r="C2120" s="3">
        <v>7.1420000000000004E-5</v>
      </c>
      <c r="D2120" s="3">
        <v>6.745E-5</v>
      </c>
      <c r="E2120" s="3">
        <v>7.1420000000000004E-5</v>
      </c>
      <c r="F2120" s="3">
        <v>6.745E-5</v>
      </c>
      <c r="G2120">
        <f t="shared" si="396"/>
        <v>6</v>
      </c>
      <c r="H2120" t="str">
        <f t="shared" si="402"/>
        <v>BTC</v>
      </c>
      <c r="I2120" t="str">
        <f>LEFT(B2120,3)</f>
        <v>SYS</v>
      </c>
      <c r="J2120" t="str">
        <f t="shared" si="397"/>
        <v>BTCSYS</v>
      </c>
      <c r="K2120" t="str">
        <f t="shared" si="398"/>
        <v>SYSBTC</v>
      </c>
      <c r="L2120">
        <f t="shared" si="399"/>
        <v>2</v>
      </c>
      <c r="M2120">
        <f t="shared" si="400"/>
        <v>2</v>
      </c>
      <c r="N2120" t="b">
        <f t="shared" si="401"/>
        <v>0</v>
      </c>
    </row>
    <row r="2121" spans="1:14" x14ac:dyDescent="0.25">
      <c r="A2121" s="4" t="s">
        <v>4</v>
      </c>
      <c r="B2121" s="4" t="s">
        <v>301</v>
      </c>
      <c r="C2121" s="3">
        <v>7.7650000000000002E-3</v>
      </c>
      <c r="D2121" s="3">
        <v>7.0000000000000001E-3</v>
      </c>
      <c r="E2121" s="3">
        <v>8.4677559999999999E-3</v>
      </c>
      <c r="F2121" s="3">
        <v>1.40895999999999E-4</v>
      </c>
      <c r="G2121">
        <f t="shared" si="396"/>
        <v>7</v>
      </c>
      <c r="H2121" t="str">
        <f t="shared" si="402"/>
        <v>BTC</v>
      </c>
      <c r="I2121" t="str">
        <f>LEFT(B2121,4)</f>
        <v>TIME</v>
      </c>
      <c r="J2121" t="str">
        <f t="shared" si="397"/>
        <v>BTCTIME</v>
      </c>
      <c r="K2121" t="str">
        <f t="shared" si="398"/>
        <v>TIMEBTC</v>
      </c>
      <c r="L2121">
        <f t="shared" si="399"/>
        <v>1</v>
      </c>
      <c r="M2121">
        <f t="shared" si="400"/>
        <v>2</v>
      </c>
      <c r="N2121" t="b">
        <f t="shared" si="401"/>
        <v>0</v>
      </c>
    </row>
    <row r="2122" spans="1:14" x14ac:dyDescent="0.25">
      <c r="A2122" s="4" t="s">
        <v>1239</v>
      </c>
      <c r="B2122" s="4" t="s">
        <v>301</v>
      </c>
      <c r="C2122" s="3">
        <v>8.2000000000000007E-3</v>
      </c>
      <c r="D2122" s="3">
        <v>8.0000100000000001E-3</v>
      </c>
      <c r="E2122" s="3">
        <v>8.2596644336883993E-3</v>
      </c>
      <c r="F2122" s="3">
        <v>8.0000074999908004E-3</v>
      </c>
      <c r="G2122">
        <f t="shared" si="396"/>
        <v>7</v>
      </c>
      <c r="H2122" t="str">
        <f t="shared" si="402"/>
        <v>BTC</v>
      </c>
      <c r="I2122" t="str">
        <f>LEFT(B2122,4)</f>
        <v>TIME</v>
      </c>
      <c r="J2122" t="str">
        <f t="shared" si="397"/>
        <v>BTCTIME</v>
      </c>
      <c r="K2122" t="str">
        <f t="shared" si="398"/>
        <v>TIMEBTC</v>
      </c>
      <c r="L2122">
        <f t="shared" si="399"/>
        <v>1</v>
      </c>
      <c r="M2122">
        <f t="shared" si="400"/>
        <v>2</v>
      </c>
      <c r="N2122" t="b">
        <f t="shared" si="401"/>
        <v>0</v>
      </c>
    </row>
    <row r="2123" spans="1:14" x14ac:dyDescent="0.25">
      <c r="A2123" s="4" t="s">
        <v>4</v>
      </c>
      <c r="B2123" s="4" t="s">
        <v>336</v>
      </c>
      <c r="C2123" s="3">
        <v>4.0000000000000002E-4</v>
      </c>
      <c r="D2123" s="3">
        <v>3.1050000000000001E-4</v>
      </c>
      <c r="E2123" s="3">
        <v>4.0000000000000002E-4</v>
      </c>
      <c r="F2123" s="3">
        <v>3.1050000000000001E-4</v>
      </c>
      <c r="G2123">
        <f t="shared" si="396"/>
        <v>6</v>
      </c>
      <c r="H2123" t="str">
        <f t="shared" si="402"/>
        <v>BTC</v>
      </c>
      <c r="I2123" t="str">
        <f>LEFT(B2123,3)</f>
        <v>TKN</v>
      </c>
      <c r="J2123" t="str">
        <f t="shared" si="397"/>
        <v>BTCTKN</v>
      </c>
      <c r="K2123" t="str">
        <f t="shared" si="398"/>
        <v>TKNBTC</v>
      </c>
      <c r="L2123">
        <f t="shared" si="399"/>
        <v>1</v>
      </c>
      <c r="M2123">
        <f t="shared" si="400"/>
        <v>2</v>
      </c>
      <c r="N2123" t="b">
        <f t="shared" si="401"/>
        <v>0</v>
      </c>
    </row>
    <row r="2124" spans="1:14" x14ac:dyDescent="0.25">
      <c r="A2124" s="4" t="s">
        <v>5</v>
      </c>
      <c r="B2124" s="4" t="s">
        <v>336</v>
      </c>
      <c r="C2124" s="3">
        <v>3.6499999999999998E-4</v>
      </c>
      <c r="D2124" s="3">
        <v>2.9901E-4</v>
      </c>
      <c r="E2124" s="3">
        <v>3.6499999999999998E-4</v>
      </c>
      <c r="F2124" s="3">
        <v>2.9901E-4</v>
      </c>
      <c r="G2124">
        <f t="shared" si="396"/>
        <v>6</v>
      </c>
      <c r="H2124" t="str">
        <f t="shared" si="402"/>
        <v>BTC</v>
      </c>
      <c r="I2124" t="str">
        <f>LEFT(B2124,3)</f>
        <v>TKN</v>
      </c>
      <c r="J2124" t="str">
        <f t="shared" si="397"/>
        <v>BTCTKN</v>
      </c>
      <c r="K2124" t="str">
        <f t="shared" si="398"/>
        <v>TKNBTC</v>
      </c>
      <c r="L2124">
        <f t="shared" si="399"/>
        <v>1</v>
      </c>
      <c r="M2124">
        <f t="shared" si="400"/>
        <v>2</v>
      </c>
      <c r="N2124" t="b">
        <f t="shared" si="401"/>
        <v>0</v>
      </c>
    </row>
    <row r="2125" spans="1:14" x14ac:dyDescent="0.25">
      <c r="A2125" s="4" t="s">
        <v>5</v>
      </c>
      <c r="B2125" s="4" t="s">
        <v>466</v>
      </c>
      <c r="C2125" s="3">
        <v>1.7496999999999999E-4</v>
      </c>
      <c r="D2125" s="3">
        <v>1.3276999999999999E-4</v>
      </c>
      <c r="E2125" s="3">
        <v>1.7496999999999999E-4</v>
      </c>
      <c r="F2125" s="3">
        <v>1.3276999999999999E-4</v>
      </c>
      <c r="G2125">
        <f t="shared" si="396"/>
        <v>5</v>
      </c>
      <c r="H2125" t="str">
        <f t="shared" si="402"/>
        <v>BTC</v>
      </c>
      <c r="I2125" t="str">
        <f>LEFT(B2125,2)</f>
        <v>TX</v>
      </c>
      <c r="J2125" t="str">
        <f t="shared" si="397"/>
        <v>BTCTX</v>
      </c>
      <c r="K2125" t="str">
        <f t="shared" si="398"/>
        <v>TXBTC</v>
      </c>
      <c r="L2125">
        <f t="shared" si="399"/>
        <v>1</v>
      </c>
      <c r="M2125">
        <f t="shared" si="400"/>
        <v>2</v>
      </c>
      <c r="N2125" t="b">
        <f t="shared" si="401"/>
        <v>0</v>
      </c>
    </row>
    <row r="2126" spans="1:14" x14ac:dyDescent="0.25">
      <c r="A2126" s="4" t="s">
        <v>1239</v>
      </c>
      <c r="B2126" s="4" t="s">
        <v>466</v>
      </c>
      <c r="C2126" s="3">
        <v>1.5982999999999999E-4</v>
      </c>
      <c r="D2126" s="3">
        <v>1.3606999999999999E-4</v>
      </c>
      <c r="E2126" s="3">
        <v>1.5982999999999999E-4</v>
      </c>
      <c r="F2126" s="3">
        <v>1.3606999999999999E-4</v>
      </c>
      <c r="G2126">
        <f t="shared" si="396"/>
        <v>5</v>
      </c>
      <c r="H2126" t="str">
        <f t="shared" si="402"/>
        <v>BTC</v>
      </c>
      <c r="I2126" t="str">
        <f>LEFT(B2126,2)</f>
        <v>TX</v>
      </c>
      <c r="J2126" t="str">
        <f t="shared" si="397"/>
        <v>BTCTX</v>
      </c>
      <c r="K2126" t="str">
        <f t="shared" si="398"/>
        <v>TXBTC</v>
      </c>
      <c r="L2126">
        <f t="shared" si="399"/>
        <v>1</v>
      </c>
      <c r="M2126">
        <f t="shared" si="400"/>
        <v>2</v>
      </c>
      <c r="N2126" t="b">
        <f t="shared" si="401"/>
        <v>0</v>
      </c>
    </row>
    <row r="2127" spans="1:14" x14ac:dyDescent="0.25">
      <c r="A2127" s="4" t="s">
        <v>5</v>
      </c>
      <c r="B2127" s="4" t="s">
        <v>552</v>
      </c>
      <c r="C2127" s="3">
        <v>60.999999979999998</v>
      </c>
      <c r="D2127" s="3">
        <v>60.100002230000001</v>
      </c>
      <c r="E2127" s="3">
        <v>60.999999998697199</v>
      </c>
      <c r="F2127" s="3">
        <v>60.1000022240992</v>
      </c>
      <c r="G2127">
        <f t="shared" si="396"/>
        <v>6</v>
      </c>
      <c r="H2127" t="str">
        <f t="shared" si="402"/>
        <v>RUR</v>
      </c>
      <c r="I2127" t="str">
        <f>LEFT(B2127,3)</f>
        <v>USD</v>
      </c>
      <c r="J2127" t="str">
        <f t="shared" si="397"/>
        <v>RURUSD</v>
      </c>
      <c r="K2127" t="str">
        <f t="shared" si="398"/>
        <v>USDRUR</v>
      </c>
      <c r="L2127">
        <f t="shared" si="399"/>
        <v>1</v>
      </c>
      <c r="M2127">
        <f t="shared" si="400"/>
        <v>2</v>
      </c>
      <c r="N2127" t="b">
        <f t="shared" si="401"/>
        <v>0</v>
      </c>
    </row>
    <row r="2128" spans="1:14" x14ac:dyDescent="0.25">
      <c r="A2128" s="4" t="s">
        <v>1239</v>
      </c>
      <c r="B2128" s="4" t="s">
        <v>552</v>
      </c>
      <c r="C2128" s="3">
        <v>59.349989999999998</v>
      </c>
      <c r="D2128" s="3">
        <v>58.3</v>
      </c>
      <c r="E2128" s="3">
        <v>59.349989999999998</v>
      </c>
      <c r="F2128" s="3">
        <v>58.3</v>
      </c>
      <c r="G2128">
        <f t="shared" si="396"/>
        <v>6</v>
      </c>
      <c r="H2128" t="str">
        <f t="shared" si="402"/>
        <v>RUR</v>
      </c>
      <c r="I2128" t="str">
        <f>LEFT(B2128,3)</f>
        <v>USD</v>
      </c>
      <c r="J2128" t="str">
        <f t="shared" si="397"/>
        <v>RURUSD</v>
      </c>
      <c r="K2128" t="str">
        <f t="shared" si="398"/>
        <v>USDRUR</v>
      </c>
      <c r="L2128">
        <f t="shared" si="399"/>
        <v>1</v>
      </c>
      <c r="M2128">
        <f t="shared" si="400"/>
        <v>2</v>
      </c>
      <c r="N2128" t="b">
        <f t="shared" si="401"/>
        <v>0</v>
      </c>
    </row>
    <row r="2129" spans="1:14" x14ac:dyDescent="0.25">
      <c r="A2129" s="4" t="s">
        <v>4</v>
      </c>
      <c r="B2129" s="4" t="s">
        <v>320</v>
      </c>
      <c r="C2129" s="3">
        <v>2.9999999999999997E-4</v>
      </c>
      <c r="D2129" s="3">
        <v>2.3007E-4</v>
      </c>
      <c r="E2129" s="3">
        <v>2.9999999999999997E-4</v>
      </c>
      <c r="F2129" s="3">
        <v>2.3007E-4</v>
      </c>
      <c r="G2129">
        <f t="shared" si="396"/>
        <v>8</v>
      </c>
      <c r="H2129" t="str">
        <f t="shared" si="402"/>
        <v>BTC</v>
      </c>
      <c r="I2129" t="str">
        <f>LEFT(B2129,5)</f>
        <v>WINGS</v>
      </c>
      <c r="J2129" t="str">
        <f t="shared" si="397"/>
        <v>BTCWINGS</v>
      </c>
      <c r="K2129" t="str">
        <f t="shared" si="398"/>
        <v>WINGSBTC</v>
      </c>
      <c r="L2129">
        <f t="shared" si="399"/>
        <v>1</v>
      </c>
      <c r="M2129">
        <f t="shared" si="400"/>
        <v>2</v>
      </c>
      <c r="N2129" t="b">
        <f t="shared" si="401"/>
        <v>0</v>
      </c>
    </row>
    <row r="2130" spans="1:14" x14ac:dyDescent="0.25">
      <c r="A2130" s="4" t="s">
        <v>1239</v>
      </c>
      <c r="B2130" s="4" t="s">
        <v>320</v>
      </c>
      <c r="C2130" s="3">
        <v>2.7985E-4</v>
      </c>
      <c r="D2130" s="3">
        <v>2.4000000000000001E-4</v>
      </c>
      <c r="E2130" s="3">
        <v>2.7985E-4</v>
      </c>
      <c r="F2130" s="3">
        <v>2.4000000000000001E-4</v>
      </c>
      <c r="G2130">
        <f t="shared" si="396"/>
        <v>8</v>
      </c>
      <c r="H2130" t="str">
        <f t="shared" si="402"/>
        <v>BTC</v>
      </c>
      <c r="I2130" t="str">
        <f>LEFT(B2130,5)</f>
        <v>WINGS</v>
      </c>
      <c r="J2130" t="str">
        <f t="shared" si="397"/>
        <v>BTCWINGS</v>
      </c>
      <c r="K2130" t="str">
        <f t="shared" si="398"/>
        <v>WINGSBTC</v>
      </c>
      <c r="L2130">
        <f t="shared" si="399"/>
        <v>1</v>
      </c>
      <c r="M2130">
        <f t="shared" si="400"/>
        <v>2</v>
      </c>
      <c r="N2130" t="b">
        <f t="shared" si="401"/>
        <v>0</v>
      </c>
    </row>
    <row r="2131" spans="1:14" x14ac:dyDescent="0.25">
      <c r="A2131" s="4" t="s">
        <v>27</v>
      </c>
      <c r="B2131" s="4" t="s">
        <v>41</v>
      </c>
      <c r="C2131" s="3">
        <v>1.0433E-4</v>
      </c>
      <c r="D2131" s="3">
        <v>1.0373E-4</v>
      </c>
      <c r="E2131" s="3">
        <v>1.04336E-4</v>
      </c>
      <c r="F2131" s="3">
        <v>1.0373E-4</v>
      </c>
      <c r="G2131">
        <f t="shared" si="396"/>
        <v>6</v>
      </c>
      <c r="H2131" t="str">
        <f t="shared" si="402"/>
        <v>BTC</v>
      </c>
      <c r="I2131" t="str">
        <f>LEFT(B2131,3)</f>
        <v>XRP</v>
      </c>
      <c r="J2131" t="str">
        <f t="shared" si="397"/>
        <v>BTCXRP</v>
      </c>
      <c r="K2131" t="str">
        <f t="shared" si="398"/>
        <v>XRPBTC</v>
      </c>
      <c r="L2131">
        <f t="shared" si="399"/>
        <v>1</v>
      </c>
      <c r="M2131">
        <f t="shared" si="400"/>
        <v>2</v>
      </c>
      <c r="N2131" t="b">
        <f t="shared" si="401"/>
        <v>0</v>
      </c>
    </row>
    <row r="2132" spans="1:14" x14ac:dyDescent="0.25">
      <c r="A2132" s="4" t="s">
        <v>3</v>
      </c>
      <c r="B2132" s="4" t="s">
        <v>41</v>
      </c>
      <c r="C2132" s="3">
        <v>1.0466E-4</v>
      </c>
      <c r="D2132" s="3">
        <v>1.0403000000000001E-4</v>
      </c>
      <c r="E2132" s="3">
        <v>1.0425E-4</v>
      </c>
      <c r="F2132" s="3">
        <v>1.0404999999999999E-4</v>
      </c>
      <c r="G2132">
        <f t="shared" si="396"/>
        <v>6</v>
      </c>
      <c r="H2132" t="str">
        <f t="shared" si="402"/>
        <v>BTC</v>
      </c>
      <c r="I2132" t="str">
        <f>LEFT(B2132,3)</f>
        <v>XRP</v>
      </c>
      <c r="J2132" t="str">
        <f t="shared" si="397"/>
        <v>BTCXRP</v>
      </c>
      <c r="K2132" t="str">
        <f t="shared" si="398"/>
        <v>XRPBTC</v>
      </c>
      <c r="L2132">
        <f t="shared" si="399"/>
        <v>1</v>
      </c>
      <c r="M2132">
        <f t="shared" si="400"/>
        <v>2</v>
      </c>
      <c r="N2132" t="b">
        <f t="shared" si="401"/>
        <v>0</v>
      </c>
    </row>
    <row r="2133" spans="1:14" x14ac:dyDescent="0.25">
      <c r="A2133" s="4" t="s">
        <v>5</v>
      </c>
      <c r="B2133" s="4" t="s">
        <v>557</v>
      </c>
      <c r="C2133" s="3">
        <v>1.37E-6</v>
      </c>
      <c r="D2133" s="3">
        <v>1.3400000000000001E-6</v>
      </c>
      <c r="E2133" s="3">
        <v>1.37E-6</v>
      </c>
      <c r="F2133" s="3">
        <v>1.3400000000000001E-6</v>
      </c>
      <c r="G2133">
        <f t="shared" si="396"/>
        <v>6</v>
      </c>
      <c r="H2133" t="str">
        <f t="shared" si="402"/>
        <v>BTC</v>
      </c>
      <c r="I2133" t="str">
        <f>LEFT(B2133,3)</f>
        <v>XVG</v>
      </c>
      <c r="J2133" t="str">
        <f t="shared" si="397"/>
        <v>BTCXVG</v>
      </c>
      <c r="K2133" t="str">
        <f t="shared" si="398"/>
        <v>XVGBTC</v>
      </c>
      <c r="L2133">
        <f t="shared" si="399"/>
        <v>1</v>
      </c>
      <c r="M2133">
        <f t="shared" si="400"/>
        <v>2</v>
      </c>
      <c r="N2133" t="b">
        <f t="shared" si="401"/>
        <v>0</v>
      </c>
    </row>
    <row r="2134" spans="1:14" x14ac:dyDescent="0.25">
      <c r="A2134" s="4" t="s">
        <v>1403</v>
      </c>
      <c r="B2134" s="4" t="s">
        <v>557</v>
      </c>
      <c r="C2134" s="3">
        <v>1.3400000000000001E-6</v>
      </c>
      <c r="D2134" s="3">
        <v>1.3599999999999999E-6</v>
      </c>
      <c r="E2134" s="3">
        <v>1.3799999999999999E-6</v>
      </c>
      <c r="F2134" s="3">
        <v>1.37E-6</v>
      </c>
      <c r="G2134">
        <f t="shared" si="396"/>
        <v>6</v>
      </c>
      <c r="H2134" t="str">
        <f t="shared" si="402"/>
        <v>BTC</v>
      </c>
      <c r="I2134" t="str">
        <f>LEFT(B2134,3)</f>
        <v>XVG</v>
      </c>
      <c r="J2134" t="str">
        <f t="shared" si="397"/>
        <v>BTCXVG</v>
      </c>
      <c r="K2134" t="str">
        <f t="shared" si="398"/>
        <v>XVGBTC</v>
      </c>
      <c r="L2134">
        <f t="shared" si="399"/>
        <v>1</v>
      </c>
      <c r="M2134">
        <f t="shared" si="400"/>
        <v>2</v>
      </c>
      <c r="N2134" t="b">
        <f t="shared" si="401"/>
        <v>0</v>
      </c>
    </row>
    <row r="2135" spans="1:14" x14ac:dyDescent="0.25">
      <c r="A2135" s="4" t="s">
        <v>4</v>
      </c>
      <c r="B2135" s="4" t="s">
        <v>304</v>
      </c>
      <c r="C2135" s="3">
        <v>3.9800000000000002E-4</v>
      </c>
      <c r="D2135" s="3">
        <v>3.2499999999999999E-4</v>
      </c>
      <c r="E2135" s="3">
        <v>3.9800000000000002E-4</v>
      </c>
      <c r="F2135" s="3">
        <v>3.2499999999999999E-4</v>
      </c>
      <c r="G2135">
        <f t="shared" si="396"/>
        <v>6</v>
      </c>
      <c r="H2135" t="str">
        <f t="shared" si="402"/>
        <v>BTC</v>
      </c>
      <c r="I2135" t="str">
        <f>LEFT(B2135,3)</f>
        <v>1ST</v>
      </c>
      <c r="J2135" t="str">
        <f t="shared" si="397"/>
        <v>BTC1ST</v>
      </c>
      <c r="K2135" t="str">
        <f t="shared" si="398"/>
        <v>1STBTC</v>
      </c>
      <c r="L2135">
        <f t="shared" si="399"/>
        <v>1</v>
      </c>
      <c r="M2135">
        <f t="shared" si="400"/>
        <v>1</v>
      </c>
      <c r="N2135" t="b">
        <f t="shared" si="401"/>
        <v>0</v>
      </c>
    </row>
    <row r="2136" spans="1:14" x14ac:dyDescent="0.25">
      <c r="A2136" s="4" t="s">
        <v>5</v>
      </c>
      <c r="B2136" s="4" t="s">
        <v>1124</v>
      </c>
      <c r="C2136" s="3">
        <v>2.2900000000000001E-6</v>
      </c>
      <c r="D2136" s="3">
        <v>1.5799999999999999E-6</v>
      </c>
      <c r="E2136" s="3">
        <v>2.2900000000000001E-6</v>
      </c>
      <c r="F2136" s="3">
        <v>1.5799999999999999E-6</v>
      </c>
      <c r="G2136">
        <f t="shared" si="396"/>
        <v>8</v>
      </c>
      <c r="H2136" t="str">
        <f t="shared" si="402"/>
        <v>BTC</v>
      </c>
      <c r="I2136" t="str">
        <f>LEFT(B2136,5)</f>
        <v>2GIVE</v>
      </c>
      <c r="J2136" t="str">
        <f t="shared" si="397"/>
        <v>BTC2GIVE</v>
      </c>
      <c r="K2136" t="str">
        <f t="shared" si="398"/>
        <v>2GIVEBTC</v>
      </c>
      <c r="L2136">
        <f t="shared" si="399"/>
        <v>1</v>
      </c>
      <c r="M2136">
        <f t="shared" si="400"/>
        <v>1</v>
      </c>
      <c r="N2136" t="b">
        <f t="shared" si="401"/>
        <v>0</v>
      </c>
    </row>
    <row r="2137" spans="1:14" x14ac:dyDescent="0.25">
      <c r="A2137" s="4" t="s">
        <v>5</v>
      </c>
      <c r="B2137" s="4" t="s">
        <v>651</v>
      </c>
      <c r="C2137" s="3">
        <v>7.0000000000000001E-3</v>
      </c>
      <c r="D2137" s="3">
        <v>5.9000299999999997E-3</v>
      </c>
      <c r="E2137" s="3">
        <v>7.5321134948100003E-3</v>
      </c>
      <c r="F2137" s="3">
        <v>5.9000299999999997E-3</v>
      </c>
      <c r="G2137">
        <f t="shared" si="396"/>
        <v>7</v>
      </c>
      <c r="H2137" t="str">
        <f t="shared" si="402"/>
        <v>BTC</v>
      </c>
      <c r="I2137" t="str">
        <f>LEFT(B2137,4)</f>
        <v>8BIT</v>
      </c>
      <c r="J2137" t="str">
        <f t="shared" si="397"/>
        <v>BTC8BIT</v>
      </c>
      <c r="K2137" t="str">
        <f t="shared" si="398"/>
        <v>8BITBTC</v>
      </c>
      <c r="L2137">
        <f t="shared" si="399"/>
        <v>1</v>
      </c>
      <c r="M2137">
        <f t="shared" si="400"/>
        <v>1</v>
      </c>
      <c r="N2137" t="b">
        <f t="shared" si="401"/>
        <v>0</v>
      </c>
    </row>
    <row r="2138" spans="1:14" x14ac:dyDescent="0.25">
      <c r="A2138" s="4" t="s">
        <v>5</v>
      </c>
      <c r="B2138" s="4" t="s">
        <v>787</v>
      </c>
      <c r="C2138" s="3">
        <v>2.9299999999999999E-6</v>
      </c>
      <c r="D2138" s="3">
        <v>2.7E-6</v>
      </c>
      <c r="E2138" s="3">
        <v>2.9299999999999999E-6</v>
      </c>
      <c r="F2138" s="3">
        <v>2.7E-6</v>
      </c>
      <c r="G2138">
        <f t="shared" si="396"/>
        <v>6</v>
      </c>
      <c r="H2138" t="str">
        <f t="shared" si="402"/>
        <v>BTC</v>
      </c>
      <c r="I2138" t="str">
        <f>LEFT(B2138,3)</f>
        <v>ABY</v>
      </c>
      <c r="J2138" t="str">
        <f t="shared" si="397"/>
        <v>BTCABY</v>
      </c>
      <c r="K2138" t="str">
        <f t="shared" si="398"/>
        <v>ABYBTC</v>
      </c>
      <c r="L2138">
        <f t="shared" si="399"/>
        <v>1</v>
      </c>
      <c r="M2138">
        <f t="shared" si="400"/>
        <v>1</v>
      </c>
      <c r="N2138" t="b">
        <f t="shared" si="401"/>
        <v>0</v>
      </c>
    </row>
    <row r="2139" spans="1:14" x14ac:dyDescent="0.25">
      <c r="A2139" s="4" t="s">
        <v>4</v>
      </c>
      <c r="B2139" s="4" t="s">
        <v>309</v>
      </c>
      <c r="C2139" s="3">
        <v>3.2996000000000002E-4</v>
      </c>
      <c r="D2139" s="3">
        <v>2.61E-4</v>
      </c>
      <c r="E2139" s="3">
        <v>3.2997199999999999E-4</v>
      </c>
      <c r="F2139" s="3">
        <v>2.61E-4</v>
      </c>
      <c r="G2139">
        <f t="shared" si="396"/>
        <v>7</v>
      </c>
      <c r="H2139" t="str">
        <f t="shared" si="402"/>
        <v>BTC</v>
      </c>
      <c r="I2139" t="str">
        <f>LEFT(B2139,4)</f>
        <v>AEON</v>
      </c>
      <c r="J2139" t="str">
        <f t="shared" si="397"/>
        <v>BTCAEON</v>
      </c>
      <c r="K2139" t="str">
        <f t="shared" si="398"/>
        <v>AEONBTC</v>
      </c>
      <c r="L2139">
        <f t="shared" si="399"/>
        <v>1</v>
      </c>
      <c r="M2139">
        <f t="shared" si="400"/>
        <v>1</v>
      </c>
      <c r="N2139" t="b">
        <f t="shared" si="401"/>
        <v>0</v>
      </c>
    </row>
    <row r="2140" spans="1:14" x14ac:dyDescent="0.25">
      <c r="A2140" s="4" t="s">
        <v>4</v>
      </c>
      <c r="B2140" s="4" t="s">
        <v>351</v>
      </c>
      <c r="C2140" s="3">
        <v>2.0071999999999999E-4</v>
      </c>
      <c r="D2140" s="3">
        <v>1.7301E-4</v>
      </c>
      <c r="E2140" s="3">
        <v>2.0071999999999999E-4</v>
      </c>
      <c r="F2140" s="3">
        <v>1.7300399999999901E-4</v>
      </c>
      <c r="G2140">
        <f t="shared" si="396"/>
        <v>6</v>
      </c>
      <c r="H2140" t="str">
        <f t="shared" si="402"/>
        <v>BTC</v>
      </c>
      <c r="I2140" t="str">
        <f>LEFT(B2140,3)</f>
        <v>AMP</v>
      </c>
      <c r="J2140" t="str">
        <f t="shared" si="397"/>
        <v>BTCAMP</v>
      </c>
      <c r="K2140" t="str">
        <f t="shared" si="398"/>
        <v>AMPBTC</v>
      </c>
      <c r="L2140">
        <f t="shared" si="399"/>
        <v>2</v>
      </c>
      <c r="M2140">
        <f t="shared" si="400"/>
        <v>1</v>
      </c>
      <c r="N2140" t="b">
        <f t="shared" si="401"/>
        <v>0</v>
      </c>
    </row>
    <row r="2141" spans="1:14" x14ac:dyDescent="0.25">
      <c r="A2141" s="4" t="s">
        <v>4</v>
      </c>
      <c r="B2141" s="4" t="s">
        <v>343</v>
      </c>
      <c r="C2141" s="3">
        <v>9.48E-5</v>
      </c>
      <c r="D2141" s="3">
        <v>8.2501000000000002E-5</v>
      </c>
      <c r="E2141" s="3">
        <v>9.48E-5</v>
      </c>
      <c r="F2141" s="3">
        <v>8.2501000000000002E-5</v>
      </c>
      <c r="G2141">
        <f t="shared" si="396"/>
        <v>7</v>
      </c>
      <c r="H2141" t="str">
        <f t="shared" si="402"/>
        <v>BTC</v>
      </c>
      <c r="I2141" t="str">
        <f>LEFT(B2141,4)</f>
        <v>ARDR</v>
      </c>
      <c r="J2141" t="str">
        <f t="shared" si="397"/>
        <v>BTCARDR</v>
      </c>
      <c r="K2141" t="str">
        <f t="shared" si="398"/>
        <v>ARDRBTC</v>
      </c>
      <c r="L2141">
        <f t="shared" si="399"/>
        <v>1</v>
      </c>
      <c r="M2141">
        <f t="shared" si="400"/>
        <v>1</v>
      </c>
      <c r="N2141" t="b">
        <f t="shared" si="401"/>
        <v>0</v>
      </c>
    </row>
    <row r="2142" spans="1:14" x14ac:dyDescent="0.25">
      <c r="A2142" s="4" t="s">
        <v>5</v>
      </c>
      <c r="B2142" s="4" t="s">
        <v>432</v>
      </c>
      <c r="C2142" s="3">
        <v>3.3995E-4</v>
      </c>
      <c r="D2142" s="3">
        <v>2.3029999999999999E-4</v>
      </c>
      <c r="E2142" s="3">
        <v>3.3995E-4</v>
      </c>
      <c r="F2142" s="3">
        <v>2.3029999999999999E-4</v>
      </c>
      <c r="G2142">
        <f t="shared" si="396"/>
        <v>6</v>
      </c>
      <c r="H2142" t="str">
        <f t="shared" si="402"/>
        <v>BTC</v>
      </c>
      <c r="I2142" t="str">
        <f>LEFT(B2142,3)</f>
        <v>AUR</v>
      </c>
      <c r="J2142" t="str">
        <f t="shared" si="397"/>
        <v>BTCAUR</v>
      </c>
      <c r="K2142" t="str">
        <f t="shared" si="398"/>
        <v>AURBTC</v>
      </c>
      <c r="L2142">
        <f t="shared" si="399"/>
        <v>1</v>
      </c>
      <c r="M2142">
        <f t="shared" si="400"/>
        <v>1</v>
      </c>
      <c r="N2142" t="b">
        <f t="shared" si="401"/>
        <v>0</v>
      </c>
    </row>
    <row r="2143" spans="1:14" x14ac:dyDescent="0.25">
      <c r="A2143" s="4" t="s">
        <v>1403</v>
      </c>
      <c r="B2143" s="4" t="s">
        <v>1411</v>
      </c>
      <c r="C2143" s="3">
        <v>1.0890000000000001E-5</v>
      </c>
      <c r="D2143" s="3">
        <v>1.0900000000000001E-5</v>
      </c>
      <c r="E2143" s="3">
        <v>1.3380000000000001E-5</v>
      </c>
      <c r="F2143" s="3">
        <v>8.1499999999999999E-6</v>
      </c>
      <c r="G2143">
        <f t="shared" si="396"/>
        <v>6</v>
      </c>
      <c r="H2143" t="str">
        <f t="shared" si="402"/>
        <v>BTC</v>
      </c>
      <c r="I2143" t="str">
        <f>LEFT(B2143,3)</f>
        <v>BAY</v>
      </c>
      <c r="J2143" t="str">
        <f t="shared" si="397"/>
        <v>BTCBAY</v>
      </c>
      <c r="K2143" t="str">
        <f t="shared" si="398"/>
        <v>BAYBTC</v>
      </c>
      <c r="L2143">
        <f t="shared" si="399"/>
        <v>1</v>
      </c>
      <c r="M2143">
        <f t="shared" si="400"/>
        <v>1</v>
      </c>
      <c r="N2143" t="b">
        <f t="shared" si="401"/>
        <v>0</v>
      </c>
    </row>
    <row r="2144" spans="1:14" x14ac:dyDescent="0.25">
      <c r="A2144" s="4" t="s">
        <v>4</v>
      </c>
      <c r="B2144" s="4" t="s">
        <v>330</v>
      </c>
      <c r="C2144" s="3">
        <v>7.8930000000000001E-7</v>
      </c>
      <c r="D2144" s="3">
        <v>7.8909999999999999E-7</v>
      </c>
      <c r="E2144" s="3">
        <v>7.8930000000000001E-7</v>
      </c>
      <c r="F2144" s="3">
        <v>7.8909999999999999E-7</v>
      </c>
      <c r="G2144">
        <f t="shared" si="396"/>
        <v>6</v>
      </c>
      <c r="H2144" t="str">
        <f t="shared" si="402"/>
        <v>BTC</v>
      </c>
      <c r="I2144" t="str">
        <f>LEFT(B2144,3)</f>
        <v>BCN</v>
      </c>
      <c r="J2144" t="str">
        <f t="shared" si="397"/>
        <v>BTCBCN</v>
      </c>
      <c r="K2144" t="str">
        <f t="shared" si="398"/>
        <v>BCNBTC</v>
      </c>
      <c r="L2144">
        <f t="shared" si="399"/>
        <v>1</v>
      </c>
      <c r="M2144">
        <f t="shared" si="400"/>
        <v>1</v>
      </c>
      <c r="N2144" t="b">
        <f t="shared" si="401"/>
        <v>0</v>
      </c>
    </row>
    <row r="2145" spans="1:14" x14ac:dyDescent="0.25">
      <c r="A2145" s="4" t="s">
        <v>5</v>
      </c>
      <c r="B2145" s="4" t="s">
        <v>918</v>
      </c>
      <c r="C2145" s="3">
        <v>1.95E-6</v>
      </c>
      <c r="D2145" s="3">
        <v>1.84E-6</v>
      </c>
      <c r="E2145" s="3">
        <v>1.95E-6</v>
      </c>
      <c r="F2145" s="3">
        <v>1.7859999999999999E-6</v>
      </c>
      <c r="G2145">
        <f t="shared" si="396"/>
        <v>7</v>
      </c>
      <c r="H2145" t="str">
        <f t="shared" si="402"/>
        <v>BTC</v>
      </c>
      <c r="I2145" t="str">
        <f>LEFT(B2145,4)</f>
        <v>BITB</v>
      </c>
      <c r="J2145" t="str">
        <f t="shared" si="397"/>
        <v>BTCBITB</v>
      </c>
      <c r="K2145" t="str">
        <f t="shared" si="398"/>
        <v>BITBBTC</v>
      </c>
      <c r="L2145">
        <f t="shared" si="399"/>
        <v>1</v>
      </c>
      <c r="M2145">
        <f t="shared" si="400"/>
        <v>1</v>
      </c>
      <c r="N2145" t="b">
        <f t="shared" si="401"/>
        <v>0</v>
      </c>
    </row>
    <row r="2146" spans="1:14" x14ac:dyDescent="0.25">
      <c r="A2146" s="4" t="s">
        <v>1239</v>
      </c>
      <c r="B2146" s="4" t="s">
        <v>1272</v>
      </c>
      <c r="C2146" s="3">
        <v>1.6336000000000001E-4</v>
      </c>
      <c r="D2146" s="3">
        <v>1.4001000000000001E-4</v>
      </c>
      <c r="E2146" s="3">
        <v>1.6336000000000001E-4</v>
      </c>
      <c r="F2146" s="3">
        <v>1.3093500848999901E-4</v>
      </c>
      <c r="G2146">
        <f t="shared" si="396"/>
        <v>6</v>
      </c>
      <c r="H2146" t="str">
        <f t="shared" si="402"/>
        <v>BTC</v>
      </c>
      <c r="I2146" t="str">
        <f t="shared" ref="I2146:I2177" si="403">LEFT(B2146,3)</f>
        <v>BLK</v>
      </c>
      <c r="J2146" t="str">
        <f t="shared" si="397"/>
        <v>BTCBLK</v>
      </c>
      <c r="K2146" t="str">
        <f t="shared" si="398"/>
        <v>BLKBTC</v>
      </c>
      <c r="L2146">
        <f t="shared" si="399"/>
        <v>1</v>
      </c>
      <c r="M2146">
        <f t="shared" si="400"/>
        <v>1</v>
      </c>
      <c r="N2146" t="b">
        <f t="shared" si="401"/>
        <v>0</v>
      </c>
    </row>
    <row r="2147" spans="1:14" x14ac:dyDescent="0.25">
      <c r="A2147" s="4" t="s">
        <v>1239</v>
      </c>
      <c r="B2147" s="4" t="s">
        <v>1252</v>
      </c>
      <c r="C2147" s="3">
        <v>1.2256999999999999E-4</v>
      </c>
      <c r="D2147" s="3">
        <v>1.1401E-4</v>
      </c>
      <c r="E2147" s="3">
        <v>1.2256999999999999E-4</v>
      </c>
      <c r="F2147" s="3">
        <v>1.1401E-4</v>
      </c>
      <c r="G2147">
        <f t="shared" si="396"/>
        <v>6</v>
      </c>
      <c r="H2147" t="str">
        <f t="shared" si="402"/>
        <v>BTC</v>
      </c>
      <c r="I2147" t="str">
        <f t="shared" si="403"/>
        <v>BSD</v>
      </c>
      <c r="J2147" t="str">
        <f t="shared" si="397"/>
        <v>BTCBSD</v>
      </c>
      <c r="K2147" t="str">
        <f t="shared" si="398"/>
        <v>BSDBTC</v>
      </c>
      <c r="L2147">
        <f t="shared" si="399"/>
        <v>1</v>
      </c>
      <c r="M2147">
        <f t="shared" si="400"/>
        <v>1</v>
      </c>
      <c r="N2147" t="b">
        <f t="shared" si="401"/>
        <v>0</v>
      </c>
    </row>
    <row r="2148" spans="1:14" x14ac:dyDescent="0.25">
      <c r="A2148" s="4" t="s">
        <v>2</v>
      </c>
      <c r="B2148" s="4" t="s">
        <v>255</v>
      </c>
      <c r="C2148" s="3">
        <v>3.3799999999999998E-4</v>
      </c>
      <c r="D2148" s="3">
        <v>3.2954000000000002E-4</v>
      </c>
      <c r="E2148" s="3">
        <v>3.3799999999999998E-4</v>
      </c>
      <c r="F2148" s="3">
        <v>3.2954000000000002E-4</v>
      </c>
      <c r="G2148">
        <f t="shared" si="396"/>
        <v>6</v>
      </c>
      <c r="H2148" t="str">
        <f t="shared" si="402"/>
        <v>1ST</v>
      </c>
      <c r="I2148" t="str">
        <f t="shared" si="403"/>
        <v>BTC</v>
      </c>
      <c r="J2148" t="str">
        <f t="shared" si="397"/>
        <v>1STBTC</v>
      </c>
      <c r="K2148" t="str">
        <f t="shared" si="398"/>
        <v>BTC1ST</v>
      </c>
      <c r="L2148">
        <f t="shared" si="399"/>
        <v>1</v>
      </c>
      <c r="M2148">
        <f t="shared" si="400"/>
        <v>1</v>
      </c>
      <c r="N2148" t="b">
        <f t="shared" si="401"/>
        <v>0</v>
      </c>
    </row>
    <row r="2149" spans="1:14" x14ac:dyDescent="0.25">
      <c r="A2149" s="4" t="s">
        <v>2</v>
      </c>
      <c r="B2149" s="4" t="s">
        <v>178</v>
      </c>
      <c r="C2149" s="3">
        <v>1.72E-6</v>
      </c>
      <c r="D2149" s="3">
        <v>1.7099999999999999E-6</v>
      </c>
      <c r="E2149" s="3">
        <v>1.72E-6</v>
      </c>
      <c r="F2149" s="3">
        <v>1.7099999999999999E-6</v>
      </c>
      <c r="G2149">
        <f t="shared" si="396"/>
        <v>8</v>
      </c>
      <c r="H2149" t="str">
        <f>RIGHT(B2149,5)</f>
        <v>2GIVE</v>
      </c>
      <c r="I2149" t="str">
        <f t="shared" si="403"/>
        <v>BTC</v>
      </c>
      <c r="J2149" t="str">
        <f t="shared" si="397"/>
        <v>2GIVEBTC</v>
      </c>
      <c r="K2149" t="str">
        <f t="shared" si="398"/>
        <v>BTC2GIVE</v>
      </c>
      <c r="L2149">
        <f t="shared" si="399"/>
        <v>1</v>
      </c>
      <c r="M2149">
        <f t="shared" si="400"/>
        <v>1</v>
      </c>
      <c r="N2149" t="b">
        <f t="shared" si="401"/>
        <v>0</v>
      </c>
    </row>
    <row r="2150" spans="1:14" x14ac:dyDescent="0.25">
      <c r="A2150" s="4" t="s">
        <v>2</v>
      </c>
      <c r="B2150" s="4" t="s">
        <v>147</v>
      </c>
      <c r="C2150" s="3">
        <v>1.6602000000000001E-4</v>
      </c>
      <c r="D2150" s="3">
        <v>1.64E-4</v>
      </c>
      <c r="E2150" s="3">
        <v>1.6602000000000001E-4</v>
      </c>
      <c r="F2150" s="3">
        <v>1.64E-4</v>
      </c>
      <c r="G2150">
        <f t="shared" si="396"/>
        <v>7</v>
      </c>
      <c r="H2150" t="str">
        <f>RIGHT(B2150,4)</f>
        <v>8BIT</v>
      </c>
      <c r="I2150" t="str">
        <f t="shared" si="403"/>
        <v>BTC</v>
      </c>
      <c r="J2150" t="str">
        <f t="shared" si="397"/>
        <v>8BITBTC</v>
      </c>
      <c r="K2150" t="str">
        <f t="shared" si="398"/>
        <v>BTC8BIT</v>
      </c>
      <c r="L2150">
        <f t="shared" si="399"/>
        <v>1</v>
      </c>
      <c r="M2150">
        <f t="shared" si="400"/>
        <v>1</v>
      </c>
      <c r="N2150" t="b">
        <f t="shared" si="401"/>
        <v>0</v>
      </c>
    </row>
    <row r="2151" spans="1:14" x14ac:dyDescent="0.25">
      <c r="A2151" s="4" t="s">
        <v>2</v>
      </c>
      <c r="B2151" s="4" t="s">
        <v>125</v>
      </c>
      <c r="C2151" s="3">
        <v>2.9799999999999998E-6</v>
      </c>
      <c r="D2151" s="3">
        <v>2.9699999999999999E-6</v>
      </c>
      <c r="E2151" s="3">
        <v>2.9799999999999998E-6</v>
      </c>
      <c r="F2151" s="3">
        <v>2.9699999999999999E-6</v>
      </c>
      <c r="G2151">
        <f t="shared" si="396"/>
        <v>6</v>
      </c>
      <c r="H2151" t="str">
        <f>RIGHT(B2151,3)</f>
        <v>ABY</v>
      </c>
      <c r="I2151" t="str">
        <f t="shared" si="403"/>
        <v>BTC</v>
      </c>
      <c r="J2151" t="str">
        <f t="shared" si="397"/>
        <v>ABYBTC</v>
      </c>
      <c r="K2151" t="str">
        <f t="shared" si="398"/>
        <v>BTCABY</v>
      </c>
      <c r="L2151">
        <f t="shared" si="399"/>
        <v>1</v>
      </c>
      <c r="M2151">
        <f t="shared" si="400"/>
        <v>1</v>
      </c>
      <c r="N2151" t="b">
        <f t="shared" si="401"/>
        <v>0</v>
      </c>
    </row>
    <row r="2152" spans="1:14" x14ac:dyDescent="0.25">
      <c r="A2152" s="4" t="s">
        <v>2</v>
      </c>
      <c r="B2152" s="4" t="s">
        <v>156</v>
      </c>
      <c r="C2152" s="3">
        <v>3.1688000000000002E-4</v>
      </c>
      <c r="D2152" s="3">
        <v>3.1383000000000002E-4</v>
      </c>
      <c r="E2152" s="3">
        <v>3.1688000000000002E-4</v>
      </c>
      <c r="F2152" s="3">
        <v>3.1383000000000002E-4</v>
      </c>
      <c r="G2152">
        <f t="shared" si="396"/>
        <v>7</v>
      </c>
      <c r="H2152" t="str">
        <f>RIGHT(B2152,4)</f>
        <v>AEON</v>
      </c>
      <c r="I2152" t="str">
        <f t="shared" si="403"/>
        <v>BTC</v>
      </c>
      <c r="J2152" t="str">
        <f t="shared" si="397"/>
        <v>AEONBTC</v>
      </c>
      <c r="K2152" t="str">
        <f t="shared" si="398"/>
        <v>BTCAEON</v>
      </c>
      <c r="L2152">
        <f t="shared" si="399"/>
        <v>1</v>
      </c>
      <c r="M2152">
        <f t="shared" si="400"/>
        <v>1</v>
      </c>
      <c r="N2152" t="b">
        <f t="shared" si="401"/>
        <v>0</v>
      </c>
    </row>
    <row r="2153" spans="1:14" x14ac:dyDescent="0.25">
      <c r="A2153" s="4" t="s">
        <v>2</v>
      </c>
      <c r="B2153" s="4" t="s">
        <v>202</v>
      </c>
      <c r="C2153" s="3">
        <v>8.8999999999999995E-5</v>
      </c>
      <c r="D2153" s="3">
        <v>8.8850000000000005E-5</v>
      </c>
      <c r="E2153" s="3">
        <v>8.8999999999999995E-5</v>
      </c>
      <c r="F2153" s="3">
        <v>8.8850000000000005E-5</v>
      </c>
      <c r="G2153">
        <f t="shared" si="396"/>
        <v>7</v>
      </c>
      <c r="H2153" t="str">
        <f>RIGHT(B2153,4)</f>
        <v>ARDR</v>
      </c>
      <c r="I2153" t="str">
        <f t="shared" si="403"/>
        <v>BTC</v>
      </c>
      <c r="J2153" t="str">
        <f t="shared" si="397"/>
        <v>ARDRBTC</v>
      </c>
      <c r="K2153" t="str">
        <f t="shared" si="398"/>
        <v>BTCARDR</v>
      </c>
      <c r="L2153">
        <f t="shared" si="399"/>
        <v>1</v>
      </c>
      <c r="M2153">
        <f t="shared" si="400"/>
        <v>1</v>
      </c>
      <c r="N2153" t="b">
        <f t="shared" si="401"/>
        <v>0</v>
      </c>
    </row>
    <row r="2154" spans="1:14" x14ac:dyDescent="0.25">
      <c r="A2154" s="4" t="s">
        <v>2</v>
      </c>
      <c r="B2154" s="4" t="s">
        <v>87</v>
      </c>
      <c r="C2154" s="3">
        <v>2.4977000000000002E-4</v>
      </c>
      <c r="D2154" s="3">
        <v>2.4222999999999999E-4</v>
      </c>
      <c r="E2154" s="3">
        <v>2.4977000000000002E-4</v>
      </c>
      <c r="F2154" s="3">
        <v>2.4222999999999999E-4</v>
      </c>
      <c r="G2154">
        <f t="shared" si="396"/>
        <v>6</v>
      </c>
      <c r="H2154" t="str">
        <f>RIGHT(B2154,3)</f>
        <v>AUR</v>
      </c>
      <c r="I2154" t="str">
        <f t="shared" si="403"/>
        <v>BTC</v>
      </c>
      <c r="J2154" t="str">
        <f t="shared" si="397"/>
        <v>AURBTC</v>
      </c>
      <c r="K2154" t="str">
        <f t="shared" si="398"/>
        <v>BTCAUR</v>
      </c>
      <c r="L2154">
        <f t="shared" si="399"/>
        <v>1</v>
      </c>
      <c r="M2154">
        <f t="shared" si="400"/>
        <v>1</v>
      </c>
      <c r="N2154" t="b">
        <f t="shared" si="401"/>
        <v>0</v>
      </c>
    </row>
    <row r="2155" spans="1:14" x14ac:dyDescent="0.25">
      <c r="A2155" s="4" t="s">
        <v>2</v>
      </c>
      <c r="B2155" s="4" t="s">
        <v>129</v>
      </c>
      <c r="C2155" s="3">
        <v>1.128E-5</v>
      </c>
      <c r="D2155" s="3">
        <v>1.115E-5</v>
      </c>
      <c r="E2155" s="3">
        <v>1.128E-5</v>
      </c>
      <c r="F2155" s="3">
        <v>1.115E-5</v>
      </c>
      <c r="G2155">
        <f t="shared" si="396"/>
        <v>6</v>
      </c>
      <c r="H2155" t="str">
        <f>RIGHT(B2155,3)</f>
        <v>BAY</v>
      </c>
      <c r="I2155" t="str">
        <f t="shared" si="403"/>
        <v>BTC</v>
      </c>
      <c r="J2155" t="str">
        <f t="shared" si="397"/>
        <v>BAYBTC</v>
      </c>
      <c r="K2155" t="str">
        <f t="shared" si="398"/>
        <v>BTCBAY</v>
      </c>
      <c r="L2155">
        <f t="shared" si="399"/>
        <v>1</v>
      </c>
      <c r="M2155">
        <f t="shared" si="400"/>
        <v>1</v>
      </c>
      <c r="N2155" t="b">
        <f t="shared" si="401"/>
        <v>0</v>
      </c>
    </row>
    <row r="2156" spans="1:14" x14ac:dyDescent="0.25">
      <c r="A2156" s="4" t="s">
        <v>1</v>
      </c>
      <c r="B2156" s="4" t="s">
        <v>53</v>
      </c>
      <c r="C2156" s="3">
        <v>1.1799999999999999E-6</v>
      </c>
      <c r="D2156" s="3">
        <v>1.17E-6</v>
      </c>
      <c r="E2156" s="3">
        <v>1.1799999999999999E-6</v>
      </c>
      <c r="F2156" s="3">
        <v>1.17E-6</v>
      </c>
      <c r="G2156">
        <f t="shared" si="396"/>
        <v>6</v>
      </c>
      <c r="H2156" t="str">
        <f>RIGHT(B2156,3)</f>
        <v>BCN</v>
      </c>
      <c r="I2156" t="str">
        <f t="shared" si="403"/>
        <v>BTC</v>
      </c>
      <c r="J2156" t="str">
        <f t="shared" si="397"/>
        <v>BCNBTC</v>
      </c>
      <c r="K2156" t="str">
        <f t="shared" si="398"/>
        <v>BTCBCN</v>
      </c>
      <c r="L2156">
        <f t="shared" si="399"/>
        <v>1</v>
      </c>
      <c r="M2156">
        <f t="shared" si="400"/>
        <v>1</v>
      </c>
      <c r="N2156" t="b">
        <f t="shared" si="401"/>
        <v>0</v>
      </c>
    </row>
    <row r="2157" spans="1:14" x14ac:dyDescent="0.25">
      <c r="A2157" s="4" t="s">
        <v>2</v>
      </c>
      <c r="B2157" s="4" t="s">
        <v>140</v>
      </c>
      <c r="C2157" s="3">
        <v>1.86E-6</v>
      </c>
      <c r="D2157" s="3">
        <v>1.84E-6</v>
      </c>
      <c r="E2157" s="3">
        <v>1.86E-6</v>
      </c>
      <c r="F2157" s="3">
        <v>1.84E-6</v>
      </c>
      <c r="G2157">
        <f t="shared" si="396"/>
        <v>7</v>
      </c>
      <c r="H2157" t="str">
        <f>RIGHT(B2157,4)</f>
        <v>BITB</v>
      </c>
      <c r="I2157" t="str">
        <f t="shared" si="403"/>
        <v>BTC</v>
      </c>
      <c r="J2157" t="str">
        <f t="shared" si="397"/>
        <v>BITBBTC</v>
      </c>
      <c r="K2157" t="str">
        <f t="shared" si="398"/>
        <v>BTCBITB</v>
      </c>
      <c r="L2157">
        <f t="shared" si="399"/>
        <v>1</v>
      </c>
      <c r="M2157">
        <f t="shared" si="400"/>
        <v>1</v>
      </c>
      <c r="N2157" t="b">
        <f t="shared" si="401"/>
        <v>0</v>
      </c>
    </row>
    <row r="2158" spans="1:14" x14ac:dyDescent="0.25">
      <c r="A2158" s="4" t="s">
        <v>2</v>
      </c>
      <c r="B2158" s="4" t="s">
        <v>85</v>
      </c>
      <c r="C2158" s="3">
        <v>1.6208999999999999E-4</v>
      </c>
      <c r="D2158" s="3">
        <v>1.6090000000000001E-4</v>
      </c>
      <c r="E2158" s="3">
        <v>1.6208999999999999E-4</v>
      </c>
      <c r="F2158" s="3">
        <v>1.6090000000000001E-4</v>
      </c>
      <c r="G2158">
        <f t="shared" si="396"/>
        <v>6</v>
      </c>
      <c r="H2158" t="str">
        <f>RIGHT(B2158,3)</f>
        <v>BLK</v>
      </c>
      <c r="I2158" t="str">
        <f t="shared" si="403"/>
        <v>BTC</v>
      </c>
      <c r="J2158" t="str">
        <f t="shared" si="397"/>
        <v>BLKBTC</v>
      </c>
      <c r="K2158" t="str">
        <f t="shared" si="398"/>
        <v>BTCBLK</v>
      </c>
      <c r="L2158">
        <f t="shared" si="399"/>
        <v>1</v>
      </c>
      <c r="M2158">
        <f t="shared" si="400"/>
        <v>1</v>
      </c>
      <c r="N2158" t="b">
        <f t="shared" si="401"/>
        <v>0</v>
      </c>
    </row>
    <row r="2159" spans="1:14" x14ac:dyDescent="0.25">
      <c r="A2159" s="4" t="s">
        <v>2</v>
      </c>
      <c r="B2159" s="4" t="s">
        <v>173</v>
      </c>
      <c r="C2159" s="3">
        <v>1.2342000000000001E-4</v>
      </c>
      <c r="D2159" s="3">
        <v>1.1856E-4</v>
      </c>
      <c r="E2159" s="3">
        <v>1.2342000000000001E-4</v>
      </c>
      <c r="F2159" s="3">
        <v>1.1856E-4</v>
      </c>
      <c r="G2159">
        <f t="shared" si="396"/>
        <v>6</v>
      </c>
      <c r="H2159" t="str">
        <f>RIGHT(B2159,3)</f>
        <v>BSD</v>
      </c>
      <c r="I2159" t="str">
        <f t="shared" si="403"/>
        <v>BTC</v>
      </c>
      <c r="J2159" t="str">
        <f t="shared" si="397"/>
        <v>BSDBTC</v>
      </c>
      <c r="K2159" t="str">
        <f t="shared" si="398"/>
        <v>BTCBSD</v>
      </c>
      <c r="L2159">
        <f t="shared" si="399"/>
        <v>1</v>
      </c>
      <c r="M2159">
        <f t="shared" si="400"/>
        <v>1</v>
      </c>
      <c r="N2159" t="b">
        <f t="shared" si="401"/>
        <v>0</v>
      </c>
    </row>
    <row r="2160" spans="1:14" x14ac:dyDescent="0.25">
      <c r="A2160" s="4" t="s">
        <v>2</v>
      </c>
      <c r="B2160" s="4" t="s">
        <v>165</v>
      </c>
      <c r="C2160" s="3">
        <v>2.4237E-4</v>
      </c>
      <c r="D2160" s="3">
        <v>2.3238999999999999E-4</v>
      </c>
      <c r="E2160" s="3">
        <v>2.4237E-4</v>
      </c>
      <c r="F2160" s="3">
        <v>2.3238999999999999E-4</v>
      </c>
      <c r="G2160">
        <f t="shared" si="396"/>
        <v>6</v>
      </c>
      <c r="H2160" t="str">
        <f>RIGHT(B2160,3)</f>
        <v>BTA</v>
      </c>
      <c r="I2160" t="str">
        <f t="shared" si="403"/>
        <v>BTC</v>
      </c>
      <c r="J2160" t="str">
        <f t="shared" si="397"/>
        <v>BTABTC</v>
      </c>
      <c r="K2160" t="str">
        <f t="shared" si="398"/>
        <v>BTCBTA</v>
      </c>
      <c r="L2160">
        <f t="shared" si="399"/>
        <v>2</v>
      </c>
      <c r="M2160">
        <f t="shared" si="400"/>
        <v>1</v>
      </c>
      <c r="N2160" t="b">
        <f t="shared" si="401"/>
        <v>0</v>
      </c>
    </row>
    <row r="2161" spans="1:14" x14ac:dyDescent="0.25">
      <c r="A2161" s="4" t="s">
        <v>2</v>
      </c>
      <c r="B2161" s="4" t="s">
        <v>130</v>
      </c>
      <c r="C2161" s="3">
        <v>1.2245999999999999E-4</v>
      </c>
      <c r="D2161" s="3">
        <v>1.2155999999999999E-4</v>
      </c>
      <c r="E2161" s="3">
        <v>1.2245999999999999E-4</v>
      </c>
      <c r="F2161" s="3">
        <v>1.2155999999999999E-4</v>
      </c>
      <c r="G2161">
        <f t="shared" si="396"/>
        <v>6</v>
      </c>
      <c r="H2161" t="str">
        <f>RIGHT(B2161,3)</f>
        <v>BTS</v>
      </c>
      <c r="I2161" t="str">
        <f t="shared" si="403"/>
        <v>BTC</v>
      </c>
      <c r="J2161" t="str">
        <f t="shared" si="397"/>
        <v>BTSBTC</v>
      </c>
      <c r="K2161" t="str">
        <f t="shared" si="398"/>
        <v>BTCBTS</v>
      </c>
      <c r="L2161">
        <f t="shared" si="399"/>
        <v>2</v>
      </c>
      <c r="M2161">
        <f t="shared" si="400"/>
        <v>1</v>
      </c>
      <c r="N2161" t="b">
        <f t="shared" si="401"/>
        <v>0</v>
      </c>
    </row>
    <row r="2162" spans="1:14" x14ac:dyDescent="0.25">
      <c r="A2162" s="4" t="s">
        <v>2</v>
      </c>
      <c r="B2162" s="4" t="s">
        <v>119</v>
      </c>
      <c r="C2162" s="3">
        <v>6.0800000000000002E-6</v>
      </c>
      <c r="D2162" s="3">
        <v>6.0599999999999996E-6</v>
      </c>
      <c r="E2162" s="3">
        <v>6.0800000000000002E-6</v>
      </c>
      <c r="F2162" s="3">
        <v>6.0599999999999996E-6</v>
      </c>
      <c r="G2162">
        <f t="shared" si="396"/>
        <v>8</v>
      </c>
      <c r="H2162" t="str">
        <f>RIGHT(B2162,5)</f>
        <v>BURST</v>
      </c>
      <c r="I2162" t="str">
        <f t="shared" si="403"/>
        <v>BTC</v>
      </c>
      <c r="J2162" t="str">
        <f t="shared" si="397"/>
        <v>BURSTBTC</v>
      </c>
      <c r="K2162" t="str">
        <f t="shared" si="398"/>
        <v>BTCBURST</v>
      </c>
      <c r="L2162">
        <f t="shared" si="399"/>
        <v>2</v>
      </c>
      <c r="M2162">
        <f t="shared" si="400"/>
        <v>1</v>
      </c>
      <c r="N2162" t="b">
        <f t="shared" si="401"/>
        <v>0</v>
      </c>
    </row>
    <row r="2163" spans="1:14" x14ac:dyDescent="0.25">
      <c r="A2163" s="4" t="s">
        <v>2</v>
      </c>
      <c r="B2163" s="4" t="s">
        <v>116</v>
      </c>
      <c r="C2163" s="3"/>
      <c r="D2163" s="3"/>
      <c r="E2163" s="3">
        <v>6.5888000000000003E-4</v>
      </c>
      <c r="F2163" s="3">
        <v>6.3851000000000001E-4</v>
      </c>
      <c r="G2163">
        <f t="shared" si="396"/>
        <v>7</v>
      </c>
      <c r="H2163" t="str">
        <f>RIGHT(B2163,4)</f>
        <v>CANN</v>
      </c>
      <c r="I2163" t="str">
        <f t="shared" si="403"/>
        <v>BTC</v>
      </c>
      <c r="J2163" t="str">
        <f t="shared" si="397"/>
        <v>CANNBTC</v>
      </c>
      <c r="K2163" t="str">
        <f t="shared" si="398"/>
        <v>BTCCANN</v>
      </c>
      <c r="L2163">
        <f t="shared" si="399"/>
        <v>1</v>
      </c>
      <c r="M2163">
        <f t="shared" si="400"/>
        <v>1</v>
      </c>
      <c r="N2163" t="b">
        <f t="shared" si="401"/>
        <v>0</v>
      </c>
    </row>
    <row r="2164" spans="1:14" x14ac:dyDescent="0.25">
      <c r="A2164" s="4" t="s">
        <v>2</v>
      </c>
      <c r="B2164" s="4" t="s">
        <v>148</v>
      </c>
      <c r="C2164" s="3">
        <v>2.12363E-3</v>
      </c>
      <c r="D2164" s="3">
        <v>2.0664699999999999E-3</v>
      </c>
      <c r="E2164" s="3">
        <v>2.12363E-3</v>
      </c>
      <c r="F2164" s="3">
        <v>2.0639914366848001E-3</v>
      </c>
      <c r="G2164">
        <f t="shared" si="396"/>
        <v>7</v>
      </c>
      <c r="H2164" t="str">
        <f>RIGHT(B2164,4)</f>
        <v>CLAM</v>
      </c>
      <c r="I2164" t="str">
        <f t="shared" si="403"/>
        <v>BTC</v>
      </c>
      <c r="J2164" t="str">
        <f t="shared" si="397"/>
        <v>CLAMBTC</v>
      </c>
      <c r="K2164" t="str">
        <f t="shared" si="398"/>
        <v>BTCCLAM</v>
      </c>
      <c r="L2164">
        <f t="shared" si="399"/>
        <v>1</v>
      </c>
      <c r="M2164">
        <f t="shared" si="400"/>
        <v>1</v>
      </c>
      <c r="N2164" t="b">
        <f t="shared" si="401"/>
        <v>0</v>
      </c>
    </row>
    <row r="2165" spans="1:14" x14ac:dyDescent="0.25">
      <c r="A2165" s="4" t="s">
        <v>2</v>
      </c>
      <c r="B2165" s="4" t="s">
        <v>105</v>
      </c>
      <c r="C2165" s="3">
        <v>1.4250700000000001E-3</v>
      </c>
      <c r="D2165" s="3">
        <v>1.39923E-3</v>
      </c>
      <c r="E2165" s="3">
        <v>1.4250700000000001E-3</v>
      </c>
      <c r="F2165" s="3">
        <v>1.39923E-3</v>
      </c>
      <c r="G2165">
        <f t="shared" si="396"/>
        <v>8</v>
      </c>
      <c r="H2165" t="str">
        <f>RIGHT(B2165,5)</f>
        <v>CLOAK</v>
      </c>
      <c r="I2165" t="str">
        <f t="shared" si="403"/>
        <v>BTC</v>
      </c>
      <c r="J2165" t="str">
        <f t="shared" si="397"/>
        <v>CLOAKBTC</v>
      </c>
      <c r="K2165" t="str">
        <f t="shared" si="398"/>
        <v>BTCCLOAK</v>
      </c>
      <c r="L2165">
        <f t="shared" si="399"/>
        <v>2</v>
      </c>
      <c r="M2165">
        <f t="shared" si="400"/>
        <v>1</v>
      </c>
      <c r="N2165" t="b">
        <f t="shared" si="401"/>
        <v>0</v>
      </c>
    </row>
    <row r="2166" spans="1:14" x14ac:dyDescent="0.25">
      <c r="A2166" s="4" t="s">
        <v>2</v>
      </c>
      <c r="B2166" s="4" t="s">
        <v>167</v>
      </c>
      <c r="C2166" s="3">
        <v>1.3200000000000001E-4</v>
      </c>
      <c r="D2166" s="3">
        <v>1.2861E-4</v>
      </c>
      <c r="E2166" s="3">
        <v>1.3200000000000001E-4</v>
      </c>
      <c r="F2166" s="3">
        <v>1.2861E-4</v>
      </c>
      <c r="G2166">
        <f t="shared" si="396"/>
        <v>7</v>
      </c>
      <c r="H2166" t="str">
        <f>RIGHT(B2166,4)</f>
        <v>CLUB</v>
      </c>
      <c r="I2166" t="str">
        <f t="shared" si="403"/>
        <v>BTC</v>
      </c>
      <c r="J2166" t="str">
        <f t="shared" si="397"/>
        <v>CLUBBTC</v>
      </c>
      <c r="K2166" t="str">
        <f t="shared" si="398"/>
        <v>BTCCLUB</v>
      </c>
      <c r="L2166">
        <f t="shared" si="399"/>
        <v>1</v>
      </c>
      <c r="M2166">
        <f t="shared" si="400"/>
        <v>1</v>
      </c>
      <c r="N2166" t="b">
        <f t="shared" si="401"/>
        <v>0</v>
      </c>
    </row>
    <row r="2167" spans="1:14" x14ac:dyDescent="0.25">
      <c r="A2167" s="4" t="s">
        <v>2</v>
      </c>
      <c r="B2167" s="4" t="s">
        <v>155</v>
      </c>
      <c r="C2167" s="3">
        <v>2.1378E-4</v>
      </c>
      <c r="D2167" s="3">
        <v>2.1210000000000001E-4</v>
      </c>
      <c r="E2167" s="3">
        <v>2.1378E-4</v>
      </c>
      <c r="F2167" s="3">
        <v>2.1210000000000001E-4</v>
      </c>
      <c r="G2167">
        <f t="shared" si="396"/>
        <v>6</v>
      </c>
      <c r="H2167" t="str">
        <f>RIGHT(B2167,3)</f>
        <v>CPC</v>
      </c>
      <c r="I2167" t="str">
        <f t="shared" si="403"/>
        <v>BTC</v>
      </c>
      <c r="J2167" t="str">
        <f t="shared" si="397"/>
        <v>CPCBTC</v>
      </c>
      <c r="K2167" t="str">
        <f t="shared" si="398"/>
        <v>BTCCPC</v>
      </c>
      <c r="L2167">
        <f t="shared" si="399"/>
        <v>1</v>
      </c>
      <c r="M2167">
        <f t="shared" si="400"/>
        <v>1</v>
      </c>
      <c r="N2167" t="b">
        <f t="shared" si="401"/>
        <v>0</v>
      </c>
    </row>
    <row r="2168" spans="1:14" x14ac:dyDescent="0.25">
      <c r="A2168" s="4" t="s">
        <v>2</v>
      </c>
      <c r="B2168" s="4" t="s">
        <v>218</v>
      </c>
      <c r="C2168" s="3">
        <v>3.0940999999999998E-4</v>
      </c>
      <c r="D2168" s="3">
        <v>3.0002000000000002E-4</v>
      </c>
      <c r="E2168" s="3">
        <v>3.0940999999999998E-4</v>
      </c>
      <c r="F2168" s="3">
        <v>3.0002000000000002E-4</v>
      </c>
      <c r="G2168">
        <f t="shared" si="396"/>
        <v>6</v>
      </c>
      <c r="H2168" t="str">
        <f>RIGHT(B2168,3)</f>
        <v>CRW</v>
      </c>
      <c r="I2168" t="str">
        <f t="shared" si="403"/>
        <v>BTC</v>
      </c>
      <c r="J2168" t="str">
        <f t="shared" si="397"/>
        <v>CRWBTC</v>
      </c>
      <c r="K2168" t="str">
        <f t="shared" si="398"/>
        <v>BTCCRW</v>
      </c>
      <c r="L2168">
        <f t="shared" si="399"/>
        <v>2</v>
      </c>
      <c r="M2168">
        <f t="shared" si="400"/>
        <v>1</v>
      </c>
      <c r="N2168" t="b">
        <f t="shared" si="401"/>
        <v>0</v>
      </c>
    </row>
    <row r="2169" spans="1:14" x14ac:dyDescent="0.25">
      <c r="A2169" s="4" t="s">
        <v>2</v>
      </c>
      <c r="B2169" s="4" t="s">
        <v>102</v>
      </c>
      <c r="C2169" s="3">
        <v>5.7750000000000001E-5</v>
      </c>
      <c r="D2169" s="3">
        <v>5.702E-5</v>
      </c>
      <c r="E2169" s="3">
        <v>5.7750000000000001E-5</v>
      </c>
      <c r="F2169" s="3">
        <v>5.702E-5</v>
      </c>
      <c r="G2169">
        <f t="shared" si="396"/>
        <v>7</v>
      </c>
      <c r="H2169" t="str">
        <f>RIGHT(B2169,4)</f>
        <v>CURE</v>
      </c>
      <c r="I2169" t="str">
        <f t="shared" si="403"/>
        <v>BTC</v>
      </c>
      <c r="J2169" t="str">
        <f t="shared" si="397"/>
        <v>CUREBTC</v>
      </c>
      <c r="K2169" t="str">
        <f t="shared" si="398"/>
        <v>BTCCURE</v>
      </c>
      <c r="L2169">
        <f t="shared" si="399"/>
        <v>1</v>
      </c>
      <c r="M2169">
        <f t="shared" si="400"/>
        <v>1</v>
      </c>
      <c r="N2169" t="b">
        <f t="shared" si="401"/>
        <v>0</v>
      </c>
    </row>
    <row r="2170" spans="1:14" x14ac:dyDescent="0.25">
      <c r="A2170" s="4" t="s">
        <v>2</v>
      </c>
      <c r="B2170" s="4" t="s">
        <v>118</v>
      </c>
      <c r="C2170" s="3">
        <v>1.1770000000000001E-5</v>
      </c>
      <c r="D2170" s="3">
        <v>1.163E-5</v>
      </c>
      <c r="E2170" s="3">
        <v>1.1770000000000001E-5</v>
      </c>
      <c r="F2170" s="3">
        <v>1.164E-5</v>
      </c>
      <c r="G2170">
        <f t="shared" si="396"/>
        <v>6</v>
      </c>
      <c r="H2170" t="str">
        <f>RIGHT(B2170,3)</f>
        <v>DGB</v>
      </c>
      <c r="I2170" t="str">
        <f t="shared" si="403"/>
        <v>BTC</v>
      </c>
      <c r="J2170" t="str">
        <f t="shared" si="397"/>
        <v>DGBBTC</v>
      </c>
      <c r="K2170" t="str">
        <f t="shared" si="398"/>
        <v>BTCDGB</v>
      </c>
      <c r="L2170">
        <f t="shared" si="399"/>
        <v>2</v>
      </c>
      <c r="M2170">
        <f t="shared" si="400"/>
        <v>1</v>
      </c>
      <c r="N2170" t="b">
        <f t="shared" si="401"/>
        <v>0</v>
      </c>
    </row>
    <row r="2171" spans="1:14" x14ac:dyDescent="0.25">
      <c r="A2171" s="4" t="s">
        <v>2</v>
      </c>
      <c r="B2171" s="4" t="s">
        <v>182</v>
      </c>
      <c r="C2171" s="3">
        <v>3.5299999999999998E-2</v>
      </c>
      <c r="D2171" s="3">
        <v>3.5161850000000001E-2</v>
      </c>
      <c r="E2171" s="3">
        <v>3.5299999999999998E-2</v>
      </c>
      <c r="F2171" s="3">
        <v>3.5157776540531899E-2</v>
      </c>
      <c r="G2171">
        <f t="shared" si="396"/>
        <v>6</v>
      </c>
      <c r="H2171" t="str">
        <f>RIGHT(B2171,3)</f>
        <v>DGD</v>
      </c>
      <c r="I2171" t="str">
        <f t="shared" si="403"/>
        <v>BTC</v>
      </c>
      <c r="J2171" t="str">
        <f t="shared" si="397"/>
        <v>DGDBTC</v>
      </c>
      <c r="K2171" t="str">
        <f t="shared" si="398"/>
        <v>BTCDGD</v>
      </c>
      <c r="L2171">
        <f t="shared" si="399"/>
        <v>2</v>
      </c>
      <c r="M2171">
        <f t="shared" si="400"/>
        <v>1</v>
      </c>
      <c r="N2171" t="b">
        <f t="shared" si="401"/>
        <v>0</v>
      </c>
    </row>
    <row r="2172" spans="1:14" x14ac:dyDescent="0.25">
      <c r="A2172" s="4" t="s">
        <v>2</v>
      </c>
      <c r="B2172" s="4" t="s">
        <v>79</v>
      </c>
      <c r="C2172" s="3">
        <v>1.15E-6</v>
      </c>
      <c r="D2172" s="3">
        <v>1.1400000000000001E-6</v>
      </c>
      <c r="E2172" s="3">
        <v>1.15E-6</v>
      </c>
      <c r="F2172" s="3">
        <v>1.1400000000000001E-6</v>
      </c>
      <c r="G2172">
        <f t="shared" si="396"/>
        <v>7</v>
      </c>
      <c r="H2172" t="str">
        <f>RIGHT(B2172,4)</f>
        <v>DOGE</v>
      </c>
      <c r="I2172" t="str">
        <f t="shared" si="403"/>
        <v>BTC</v>
      </c>
      <c r="J2172" t="str">
        <f t="shared" si="397"/>
        <v>DOGEBTC</v>
      </c>
      <c r="K2172" t="str">
        <f t="shared" si="398"/>
        <v>BTCDOGE</v>
      </c>
      <c r="L2172">
        <f t="shared" si="399"/>
        <v>5</v>
      </c>
      <c r="M2172">
        <f t="shared" si="400"/>
        <v>1</v>
      </c>
      <c r="N2172" t="b">
        <f t="shared" si="401"/>
        <v>0</v>
      </c>
    </row>
    <row r="2173" spans="1:14" x14ac:dyDescent="0.25">
      <c r="A2173" s="4" t="s">
        <v>2</v>
      </c>
      <c r="B2173" s="4" t="s">
        <v>188</v>
      </c>
      <c r="C2173" s="3">
        <v>3.45E-6</v>
      </c>
      <c r="D2173" s="3">
        <v>3.3400000000000002E-6</v>
      </c>
      <c r="E2173" s="3">
        <v>3.45E-6</v>
      </c>
      <c r="F2173" s="3">
        <v>3.3400000000000002E-6</v>
      </c>
      <c r="G2173">
        <f t="shared" si="396"/>
        <v>8</v>
      </c>
      <c r="H2173" t="str">
        <f>RIGHT(B2173,5)</f>
        <v>DRACO</v>
      </c>
      <c r="I2173" t="str">
        <f t="shared" si="403"/>
        <v>BTC</v>
      </c>
      <c r="J2173" t="str">
        <f t="shared" si="397"/>
        <v>DRACOBTC</v>
      </c>
      <c r="K2173" t="str">
        <f t="shared" si="398"/>
        <v>BTCDRACO</v>
      </c>
      <c r="L2173">
        <f t="shared" si="399"/>
        <v>2</v>
      </c>
      <c r="M2173">
        <f t="shared" si="400"/>
        <v>1</v>
      </c>
      <c r="N2173" t="b">
        <f t="shared" si="401"/>
        <v>0</v>
      </c>
    </row>
    <row r="2174" spans="1:14" x14ac:dyDescent="0.25">
      <c r="A2174" s="4" t="s">
        <v>2</v>
      </c>
      <c r="B2174" s="4" t="s">
        <v>170</v>
      </c>
      <c r="C2174" s="3">
        <v>4.6050000000000001E-5</v>
      </c>
      <c r="D2174" s="3">
        <v>4.604E-5</v>
      </c>
      <c r="E2174" s="3">
        <v>4.6050000000000001E-5</v>
      </c>
      <c r="F2174" s="3">
        <v>4.604E-5</v>
      </c>
      <c r="G2174">
        <f t="shared" si="396"/>
        <v>6</v>
      </c>
      <c r="H2174" t="str">
        <f>RIGHT(B2174,3)</f>
        <v>EGC</v>
      </c>
      <c r="I2174" t="str">
        <f t="shared" si="403"/>
        <v>BTC</v>
      </c>
      <c r="J2174" t="str">
        <f t="shared" si="397"/>
        <v>EGCBTC</v>
      </c>
      <c r="K2174" t="str">
        <f t="shared" si="398"/>
        <v>BTCEGC</v>
      </c>
      <c r="L2174">
        <f t="shared" si="399"/>
        <v>2</v>
      </c>
      <c r="M2174">
        <f t="shared" si="400"/>
        <v>1</v>
      </c>
      <c r="N2174" t="b">
        <f t="shared" si="401"/>
        <v>0</v>
      </c>
    </row>
    <row r="2175" spans="1:14" x14ac:dyDescent="0.25">
      <c r="A2175" s="4" t="s">
        <v>2</v>
      </c>
      <c r="B2175" s="4" t="s">
        <v>169</v>
      </c>
      <c r="C2175" s="3">
        <v>4.6500000000000003E-4</v>
      </c>
      <c r="D2175" s="3">
        <v>4.5226000000000001E-4</v>
      </c>
      <c r="E2175" s="3">
        <v>4.6500000000000003E-4</v>
      </c>
      <c r="F2175" s="3">
        <v>4.5226000000000001E-4</v>
      </c>
      <c r="G2175">
        <f t="shared" si="396"/>
        <v>6</v>
      </c>
      <c r="H2175" t="str">
        <f>RIGHT(B2175,3)</f>
        <v>EMC</v>
      </c>
      <c r="I2175" t="str">
        <f t="shared" si="403"/>
        <v>BTC</v>
      </c>
      <c r="J2175" t="str">
        <f t="shared" si="397"/>
        <v>EMCBTC</v>
      </c>
      <c r="K2175" t="str">
        <f t="shared" si="398"/>
        <v>BTCEMC</v>
      </c>
      <c r="L2175">
        <f t="shared" si="399"/>
        <v>3</v>
      </c>
      <c r="M2175">
        <f t="shared" si="400"/>
        <v>1</v>
      </c>
      <c r="N2175" t="b">
        <f t="shared" si="401"/>
        <v>0</v>
      </c>
    </row>
    <row r="2176" spans="1:14" x14ac:dyDescent="0.25">
      <c r="A2176" s="4" t="s">
        <v>2</v>
      </c>
      <c r="B2176" s="4" t="s">
        <v>189</v>
      </c>
      <c r="C2176" s="3">
        <v>7.0579800000000002E-3</v>
      </c>
      <c r="D2176" s="3">
        <v>6.91473E-3</v>
      </c>
      <c r="E2176" s="3">
        <v>7.0592999995248004E-3</v>
      </c>
      <c r="F2176" s="3">
        <v>6.91473E-3</v>
      </c>
      <c r="G2176">
        <f t="shared" si="396"/>
        <v>6</v>
      </c>
      <c r="H2176" t="str">
        <f>RIGHT(B2176,3)</f>
        <v>ETC</v>
      </c>
      <c r="I2176" t="str">
        <f t="shared" si="403"/>
        <v>BTC</v>
      </c>
      <c r="J2176" t="str">
        <f t="shared" si="397"/>
        <v>ETCBTC</v>
      </c>
      <c r="K2176" t="str">
        <f t="shared" si="398"/>
        <v>BTCETC</v>
      </c>
      <c r="L2176">
        <f t="shared" si="399"/>
        <v>5</v>
      </c>
      <c r="M2176">
        <f t="shared" si="400"/>
        <v>1</v>
      </c>
      <c r="N2176" t="b">
        <f t="shared" si="401"/>
        <v>0</v>
      </c>
    </row>
    <row r="2177" spans="1:14" x14ac:dyDescent="0.25">
      <c r="A2177" s="4" t="s">
        <v>2</v>
      </c>
      <c r="B2177" s="4" t="s">
        <v>157</v>
      </c>
      <c r="C2177" s="3">
        <v>0.13599994000000001</v>
      </c>
      <c r="D2177" s="3">
        <v>0.135489</v>
      </c>
      <c r="E2177" s="3">
        <v>0.13599994000000001</v>
      </c>
      <c r="F2177" s="3">
        <v>0.135489</v>
      </c>
      <c r="G2177">
        <f t="shared" ref="G2177:G2240" si="404">LEN(B2177)</f>
        <v>6</v>
      </c>
      <c r="H2177" t="str">
        <f>RIGHT(B2177,3)</f>
        <v>ETH</v>
      </c>
      <c r="I2177" t="str">
        <f t="shared" si="403"/>
        <v>BTC</v>
      </c>
      <c r="J2177" t="str">
        <f t="shared" ref="J2177:J2240" si="405">CONCATENATE(H2177,I2177)</f>
        <v>ETHBTC</v>
      </c>
      <c r="K2177" t="str">
        <f t="shared" ref="K2177:K2240" si="406">CONCATENATE(I2177,H2177)</f>
        <v>BTCETH</v>
      </c>
      <c r="L2177">
        <f t="shared" ref="L2177:L2240" si="407">COUNTIF(B:B,J2177)</f>
        <v>9</v>
      </c>
      <c r="M2177">
        <f t="shared" ref="M2177:M2240" si="408">COUNTIF(B:B,K2177)</f>
        <v>1</v>
      </c>
      <c r="N2177" t="b">
        <f t="shared" ref="N2177:N2240" si="409">L2177=0</f>
        <v>0</v>
      </c>
    </row>
    <row r="2178" spans="1:14" x14ac:dyDescent="0.25">
      <c r="A2178" s="4" t="s">
        <v>2</v>
      </c>
      <c r="B2178" s="4" t="s">
        <v>160</v>
      </c>
      <c r="C2178" s="3">
        <v>1.31441E-3</v>
      </c>
      <c r="D2178" s="3">
        <v>1.3007100000000001E-3</v>
      </c>
      <c r="E2178" s="3">
        <v>1.31441E-3</v>
      </c>
      <c r="F2178" s="3">
        <v>1.3007100000000001E-3</v>
      </c>
      <c r="G2178">
        <f t="shared" si="404"/>
        <v>6</v>
      </c>
      <c r="H2178" t="str">
        <f>RIGHT(B2178,3)</f>
        <v>EXP</v>
      </c>
      <c r="I2178" t="str">
        <f t="shared" ref="I2178:I2209" si="410">LEFT(B2178,3)</f>
        <v>BTC</v>
      </c>
      <c r="J2178" t="str">
        <f t="shared" si="405"/>
        <v>EXPBTC</v>
      </c>
      <c r="K2178" t="str">
        <f t="shared" si="406"/>
        <v>BTCEXP</v>
      </c>
      <c r="L2178">
        <f t="shared" si="407"/>
        <v>1</v>
      </c>
      <c r="M2178">
        <f t="shared" si="408"/>
        <v>1</v>
      </c>
      <c r="N2178" t="b">
        <f t="shared" si="409"/>
        <v>0</v>
      </c>
    </row>
    <row r="2179" spans="1:14" x14ac:dyDescent="0.25">
      <c r="A2179" s="4" t="s">
        <v>2</v>
      </c>
      <c r="B2179" s="4" t="s">
        <v>135</v>
      </c>
      <c r="C2179" s="3">
        <v>1.3810300000000001E-3</v>
      </c>
      <c r="D2179" s="3">
        <v>1.3801E-3</v>
      </c>
      <c r="E2179" s="3">
        <v>1.3810300000000001E-3</v>
      </c>
      <c r="F2179" s="3">
        <v>1.3801E-3</v>
      </c>
      <c r="G2179">
        <f t="shared" si="404"/>
        <v>7</v>
      </c>
      <c r="H2179" t="str">
        <f>RIGHT(B2179,4)</f>
        <v>GAME</v>
      </c>
      <c r="I2179" t="str">
        <f t="shared" si="410"/>
        <v>BTC</v>
      </c>
      <c r="J2179" t="str">
        <f t="shared" si="405"/>
        <v>GAMEBTC</v>
      </c>
      <c r="K2179" t="str">
        <f t="shared" si="406"/>
        <v>BTCGAME</v>
      </c>
      <c r="L2179">
        <f t="shared" si="407"/>
        <v>2</v>
      </c>
      <c r="M2179">
        <f t="shared" si="408"/>
        <v>1</v>
      </c>
      <c r="N2179" t="b">
        <f t="shared" si="409"/>
        <v>0</v>
      </c>
    </row>
    <row r="2180" spans="1:14" x14ac:dyDescent="0.25">
      <c r="A2180" s="4" t="s">
        <v>2</v>
      </c>
      <c r="B2180" s="4" t="s">
        <v>158</v>
      </c>
      <c r="C2180" s="3">
        <v>2.245E-5</v>
      </c>
      <c r="D2180" s="3">
        <v>2.2059999999999999E-5</v>
      </c>
      <c r="E2180" s="3">
        <v>2.245E-5</v>
      </c>
      <c r="F2180" s="3">
        <v>2.2059999999999999E-5</v>
      </c>
      <c r="G2180">
        <f t="shared" si="404"/>
        <v>6</v>
      </c>
      <c r="H2180" t="str">
        <f>RIGHT(B2180,3)</f>
        <v>GCR</v>
      </c>
      <c r="I2180" t="str">
        <f t="shared" si="410"/>
        <v>BTC</v>
      </c>
      <c r="J2180" t="str">
        <f t="shared" si="405"/>
        <v>GCRBTC</v>
      </c>
      <c r="K2180" t="str">
        <f t="shared" si="406"/>
        <v>BTCGCR</v>
      </c>
      <c r="L2180">
        <f t="shared" si="407"/>
        <v>1</v>
      </c>
      <c r="M2180">
        <f t="shared" si="408"/>
        <v>1</v>
      </c>
      <c r="N2180" t="b">
        <f t="shared" si="409"/>
        <v>0</v>
      </c>
    </row>
    <row r="2181" spans="1:14" x14ac:dyDescent="0.25">
      <c r="A2181" s="4" t="s">
        <v>2</v>
      </c>
      <c r="B2181" s="4" t="s">
        <v>141</v>
      </c>
      <c r="C2181" s="3">
        <v>2.2148E-4</v>
      </c>
      <c r="D2181" s="3">
        <v>2.1115000000000001E-4</v>
      </c>
      <c r="E2181" s="3">
        <v>2.2148E-4</v>
      </c>
      <c r="F2181" s="3">
        <v>2.1115000000000001E-4</v>
      </c>
      <c r="G2181">
        <f t="shared" si="404"/>
        <v>6</v>
      </c>
      <c r="H2181" t="str">
        <f>RIGHT(B2181,3)</f>
        <v>GEO</v>
      </c>
      <c r="I2181" t="str">
        <f t="shared" si="410"/>
        <v>BTC</v>
      </c>
      <c r="J2181" t="str">
        <f t="shared" si="405"/>
        <v>GEOBTC</v>
      </c>
      <c r="K2181" t="str">
        <f t="shared" si="406"/>
        <v>BTCGEO</v>
      </c>
      <c r="L2181">
        <f t="shared" si="407"/>
        <v>1</v>
      </c>
      <c r="M2181">
        <f t="shared" si="408"/>
        <v>1</v>
      </c>
      <c r="N2181" t="b">
        <f t="shared" si="409"/>
        <v>0</v>
      </c>
    </row>
    <row r="2182" spans="1:14" x14ac:dyDescent="0.25">
      <c r="A2182" s="4" t="s">
        <v>2</v>
      </c>
      <c r="B2182" s="4" t="s">
        <v>89</v>
      </c>
      <c r="C2182" s="3">
        <v>3.5960000000000001E-5</v>
      </c>
      <c r="D2182" s="3">
        <v>3.578E-5</v>
      </c>
      <c r="E2182" s="3">
        <v>3.5960000000000001E-5</v>
      </c>
      <c r="F2182" s="3">
        <v>3.578E-5</v>
      </c>
      <c r="G2182">
        <f t="shared" si="404"/>
        <v>6</v>
      </c>
      <c r="H2182" t="str">
        <f>RIGHT(B2182,3)</f>
        <v>GLD</v>
      </c>
      <c r="I2182" t="str">
        <f t="shared" si="410"/>
        <v>BTC</v>
      </c>
      <c r="J2182" t="str">
        <f t="shared" si="405"/>
        <v>GLDBTC</v>
      </c>
      <c r="K2182" t="str">
        <f t="shared" si="406"/>
        <v>BTCGLD</v>
      </c>
      <c r="L2182">
        <f t="shared" si="407"/>
        <v>1</v>
      </c>
      <c r="M2182">
        <f t="shared" si="408"/>
        <v>1</v>
      </c>
      <c r="N2182" t="b">
        <f t="shared" si="409"/>
        <v>0</v>
      </c>
    </row>
    <row r="2183" spans="1:14" x14ac:dyDescent="0.25">
      <c r="A2183" s="4" t="s">
        <v>2</v>
      </c>
      <c r="B2183" s="4" t="s">
        <v>209</v>
      </c>
      <c r="C2183" s="3">
        <v>4.2020000000000001E-5</v>
      </c>
      <c r="D2183" s="3">
        <v>4.1329999999999999E-5</v>
      </c>
      <c r="E2183" s="3">
        <v>4.2020000000000001E-5</v>
      </c>
      <c r="F2183" s="3">
        <v>4.1329999999999999E-5</v>
      </c>
      <c r="G2183">
        <f t="shared" si="404"/>
        <v>8</v>
      </c>
      <c r="H2183" t="str">
        <f>RIGHT(B2183,5)</f>
        <v>GOLOS</v>
      </c>
      <c r="I2183" t="str">
        <f t="shared" si="410"/>
        <v>BTC</v>
      </c>
      <c r="J2183" t="str">
        <f t="shared" si="405"/>
        <v>GOLOSBTC</v>
      </c>
      <c r="K2183" t="str">
        <f t="shared" si="406"/>
        <v>BTCGOLOS</v>
      </c>
      <c r="L2183">
        <f t="shared" si="407"/>
        <v>1</v>
      </c>
      <c r="M2183">
        <f t="shared" si="408"/>
        <v>1</v>
      </c>
      <c r="N2183" t="b">
        <f t="shared" si="409"/>
        <v>0</v>
      </c>
    </row>
    <row r="2184" spans="1:14" x14ac:dyDescent="0.25">
      <c r="A2184" s="4" t="s">
        <v>2</v>
      </c>
      <c r="B2184" s="4" t="s">
        <v>237</v>
      </c>
      <c r="C2184" s="3">
        <v>1.3694999999999999E-4</v>
      </c>
      <c r="D2184" s="3">
        <v>1.3682000000000001E-4</v>
      </c>
      <c r="E2184" s="3">
        <v>1.3694999999999999E-4</v>
      </c>
      <c r="F2184" s="3">
        <v>1.3682000000000001E-4</v>
      </c>
      <c r="G2184">
        <f t="shared" si="404"/>
        <v>6</v>
      </c>
      <c r="H2184" t="str">
        <f>RIGHT(B2184,3)</f>
        <v>GUP</v>
      </c>
      <c r="I2184" t="str">
        <f t="shared" si="410"/>
        <v>BTC</v>
      </c>
      <c r="J2184" t="str">
        <f t="shared" si="405"/>
        <v>GUPBTC</v>
      </c>
      <c r="K2184" t="str">
        <f t="shared" si="406"/>
        <v>BTCGUP</v>
      </c>
      <c r="L2184">
        <f t="shared" si="407"/>
        <v>2</v>
      </c>
      <c r="M2184">
        <f t="shared" si="408"/>
        <v>1</v>
      </c>
      <c r="N2184" t="b">
        <f t="shared" si="409"/>
        <v>0</v>
      </c>
    </row>
    <row r="2185" spans="1:14" x14ac:dyDescent="0.25">
      <c r="A2185" s="4" t="s">
        <v>2</v>
      </c>
      <c r="B2185" s="4" t="s">
        <v>227</v>
      </c>
      <c r="C2185" s="3">
        <v>1.1934000000000001E-4</v>
      </c>
      <c r="D2185" s="3">
        <v>1.1854E-4</v>
      </c>
      <c r="E2185" s="3">
        <v>1.1934000000000001E-4</v>
      </c>
      <c r="F2185" s="3">
        <v>1.1854E-4</v>
      </c>
      <c r="G2185">
        <f t="shared" si="404"/>
        <v>8</v>
      </c>
      <c r="H2185" t="str">
        <f>RIGHT(B2185,5)</f>
        <v>INCNT</v>
      </c>
      <c r="I2185" t="str">
        <f t="shared" si="410"/>
        <v>BTC</v>
      </c>
      <c r="J2185" t="str">
        <f t="shared" si="405"/>
        <v>INCNTBTC</v>
      </c>
      <c r="K2185" t="str">
        <f t="shared" si="406"/>
        <v>BTCINCNT</v>
      </c>
      <c r="L2185">
        <f t="shared" si="407"/>
        <v>1</v>
      </c>
      <c r="M2185">
        <f t="shared" si="408"/>
        <v>1</v>
      </c>
      <c r="N2185" t="b">
        <f t="shared" si="409"/>
        <v>0</v>
      </c>
    </row>
    <row r="2186" spans="1:14" x14ac:dyDescent="0.25">
      <c r="A2186" s="4" t="s">
        <v>2</v>
      </c>
      <c r="B2186" s="4" t="s">
        <v>161</v>
      </c>
      <c r="C2186" s="3">
        <v>2.6132999999999999E-4</v>
      </c>
      <c r="D2186" s="3">
        <v>2.5701000000000001E-4</v>
      </c>
      <c r="E2186" s="3">
        <v>2.6132999999999999E-4</v>
      </c>
      <c r="F2186" s="3">
        <v>2.5701000000000001E-4</v>
      </c>
      <c r="G2186">
        <f t="shared" si="404"/>
        <v>7</v>
      </c>
      <c r="H2186" t="str">
        <f>RIGHT(B2186,4)</f>
        <v>INFX</v>
      </c>
      <c r="I2186" t="str">
        <f t="shared" si="410"/>
        <v>BTC</v>
      </c>
      <c r="J2186" t="str">
        <f t="shared" si="405"/>
        <v>INFXBTC</v>
      </c>
      <c r="K2186" t="str">
        <f t="shared" si="406"/>
        <v>BTCINFX</v>
      </c>
      <c r="L2186">
        <f t="shared" si="407"/>
        <v>1</v>
      </c>
      <c r="M2186">
        <f t="shared" si="408"/>
        <v>1</v>
      </c>
      <c r="N2186" t="b">
        <f t="shared" si="409"/>
        <v>0</v>
      </c>
    </row>
    <row r="2187" spans="1:14" x14ac:dyDescent="0.25">
      <c r="A2187" s="4" t="s">
        <v>2</v>
      </c>
      <c r="B2187" s="4" t="s">
        <v>115</v>
      </c>
      <c r="C2187" s="3">
        <v>6.5888000000000003E-4</v>
      </c>
      <c r="D2187" s="3">
        <v>6.3851000000000001E-4</v>
      </c>
      <c r="E2187" s="3">
        <v>6.5888000000000003E-4</v>
      </c>
      <c r="F2187" s="3">
        <v>6.3851000000000001E-4</v>
      </c>
      <c r="G2187">
        <f t="shared" si="404"/>
        <v>6</v>
      </c>
      <c r="H2187" t="str">
        <f t="shared" ref="H2187:H2193" si="411">RIGHT(B2187,3)</f>
        <v>IOC</v>
      </c>
      <c r="I2187" t="str">
        <f t="shared" si="410"/>
        <v>BTC</v>
      </c>
      <c r="J2187" t="str">
        <f t="shared" si="405"/>
        <v>IOCBTC</v>
      </c>
      <c r="K2187" t="str">
        <f t="shared" si="406"/>
        <v>BTCIOC</v>
      </c>
      <c r="L2187">
        <f t="shared" si="407"/>
        <v>1</v>
      </c>
      <c r="M2187">
        <f t="shared" si="408"/>
        <v>1</v>
      </c>
      <c r="N2187" t="b">
        <f t="shared" si="409"/>
        <v>0</v>
      </c>
    </row>
    <row r="2188" spans="1:14" x14ac:dyDescent="0.25">
      <c r="A2188" s="4" t="s">
        <v>2</v>
      </c>
      <c r="B2188" s="4" t="s">
        <v>215</v>
      </c>
      <c r="C2188" s="3">
        <v>2.1918E-4</v>
      </c>
      <c r="D2188" s="3">
        <v>2.1720999999999999E-4</v>
      </c>
      <c r="E2188" s="3">
        <v>2.1918E-4</v>
      </c>
      <c r="F2188" s="3">
        <v>2.1720999999999999E-4</v>
      </c>
      <c r="G2188">
        <f t="shared" si="404"/>
        <v>6</v>
      </c>
      <c r="H2188" t="str">
        <f t="shared" si="411"/>
        <v>ION</v>
      </c>
      <c r="I2188" t="str">
        <f t="shared" si="410"/>
        <v>BTC</v>
      </c>
      <c r="J2188" t="str">
        <f t="shared" si="405"/>
        <v>IONBTC</v>
      </c>
      <c r="K2188" t="str">
        <f t="shared" si="406"/>
        <v>BTCION</v>
      </c>
      <c r="L2188">
        <f t="shared" si="407"/>
        <v>1</v>
      </c>
      <c r="M2188">
        <f t="shared" si="408"/>
        <v>1</v>
      </c>
      <c r="N2188" t="b">
        <f t="shared" si="409"/>
        <v>0</v>
      </c>
    </row>
    <row r="2189" spans="1:14" x14ac:dyDescent="0.25">
      <c r="A2189" s="4" t="s">
        <v>2</v>
      </c>
      <c r="B2189" s="4" t="s">
        <v>207</v>
      </c>
      <c r="C2189" s="3">
        <v>6.5076000000000001E-4</v>
      </c>
      <c r="D2189" s="3">
        <v>6.3000999999999997E-4</v>
      </c>
      <c r="E2189" s="3">
        <v>6.5076000000000001E-4</v>
      </c>
      <c r="F2189" s="3">
        <v>6.3000999999999997E-4</v>
      </c>
      <c r="G2189">
        <f t="shared" si="404"/>
        <v>6</v>
      </c>
      <c r="H2189" t="str">
        <f t="shared" si="411"/>
        <v>IOP</v>
      </c>
      <c r="I2189" t="str">
        <f t="shared" si="410"/>
        <v>BTC</v>
      </c>
      <c r="J2189" t="str">
        <f t="shared" si="405"/>
        <v>IOPBTC</v>
      </c>
      <c r="K2189" t="str">
        <f t="shared" si="406"/>
        <v>BTCIOP</v>
      </c>
      <c r="L2189">
        <f t="shared" si="407"/>
        <v>1</v>
      </c>
      <c r="M2189">
        <f t="shared" si="408"/>
        <v>1</v>
      </c>
      <c r="N2189" t="b">
        <f t="shared" si="409"/>
        <v>0</v>
      </c>
    </row>
    <row r="2190" spans="1:14" x14ac:dyDescent="0.25">
      <c r="A2190" s="4" t="s">
        <v>2</v>
      </c>
      <c r="B2190" s="4" t="s">
        <v>200</v>
      </c>
      <c r="C2190" s="3">
        <v>2.2000000000000001E-6</v>
      </c>
      <c r="D2190" s="3">
        <v>2.0700000000000001E-6</v>
      </c>
      <c r="E2190" s="3">
        <v>2.2000000000000001E-6</v>
      </c>
      <c r="F2190" s="3">
        <v>2.0700000000000001E-6</v>
      </c>
      <c r="G2190">
        <f t="shared" si="404"/>
        <v>6</v>
      </c>
      <c r="H2190" t="str">
        <f t="shared" si="411"/>
        <v>JWL</v>
      </c>
      <c r="I2190" t="str">
        <f t="shared" si="410"/>
        <v>BTC</v>
      </c>
      <c r="J2190" t="str">
        <f t="shared" si="405"/>
        <v>JWLBTC</v>
      </c>
      <c r="K2190" t="str">
        <f t="shared" si="406"/>
        <v>BTCJWL</v>
      </c>
      <c r="L2190">
        <f t="shared" si="407"/>
        <v>1</v>
      </c>
      <c r="M2190">
        <f t="shared" si="408"/>
        <v>1</v>
      </c>
      <c r="N2190" t="b">
        <f t="shared" si="409"/>
        <v>0</v>
      </c>
    </row>
    <row r="2191" spans="1:14" x14ac:dyDescent="0.25">
      <c r="A2191" s="4" t="s">
        <v>2</v>
      </c>
      <c r="B2191" s="4" t="s">
        <v>179</v>
      </c>
      <c r="C2191" s="3">
        <v>1.20798E-3</v>
      </c>
      <c r="D2191" s="3">
        <v>1.20195E-3</v>
      </c>
      <c r="E2191" s="3">
        <v>1.20798E-3</v>
      </c>
      <c r="F2191" s="3">
        <v>1.20195E-3</v>
      </c>
      <c r="G2191">
        <f t="shared" si="404"/>
        <v>6</v>
      </c>
      <c r="H2191" t="str">
        <f t="shared" si="411"/>
        <v>LSK</v>
      </c>
      <c r="I2191" t="str">
        <f t="shared" si="410"/>
        <v>BTC</v>
      </c>
      <c r="J2191" t="str">
        <f t="shared" si="405"/>
        <v>LSKBTC</v>
      </c>
      <c r="K2191" t="str">
        <f t="shared" si="406"/>
        <v>BTCLSK</v>
      </c>
      <c r="L2191">
        <f t="shared" si="407"/>
        <v>3</v>
      </c>
      <c r="M2191">
        <f t="shared" si="408"/>
        <v>1</v>
      </c>
      <c r="N2191" t="b">
        <f t="shared" si="409"/>
        <v>0</v>
      </c>
    </row>
    <row r="2192" spans="1:14" x14ac:dyDescent="0.25">
      <c r="A2192" s="4" t="s">
        <v>2</v>
      </c>
      <c r="B2192" s="4" t="s">
        <v>238</v>
      </c>
      <c r="C2192" s="3">
        <v>1.51476E-3</v>
      </c>
      <c r="D2192" s="3">
        <v>1.4735099999999999E-3</v>
      </c>
      <c r="E2192" s="3">
        <v>1.51476E-3</v>
      </c>
      <c r="F2192" s="3">
        <v>1.47353E-3</v>
      </c>
      <c r="G2192">
        <f t="shared" si="404"/>
        <v>6</v>
      </c>
      <c r="H2192" t="str">
        <f t="shared" si="411"/>
        <v>LUN</v>
      </c>
      <c r="I2192" t="str">
        <f t="shared" si="410"/>
        <v>BTC</v>
      </c>
      <c r="J2192" t="str">
        <f t="shared" si="405"/>
        <v>LUNBTC</v>
      </c>
      <c r="K2192" t="str">
        <f t="shared" si="406"/>
        <v>BTCLUN</v>
      </c>
      <c r="L2192">
        <f t="shared" si="407"/>
        <v>2</v>
      </c>
      <c r="M2192">
        <f t="shared" si="408"/>
        <v>1</v>
      </c>
      <c r="N2192" t="b">
        <f t="shared" si="409"/>
        <v>0</v>
      </c>
    </row>
    <row r="2193" spans="1:14" x14ac:dyDescent="0.25">
      <c r="A2193" s="4" t="s">
        <v>2</v>
      </c>
      <c r="B2193" s="4" t="s">
        <v>221</v>
      </c>
      <c r="C2193" s="3">
        <v>3.409309E-2</v>
      </c>
      <c r="D2193" s="3">
        <v>3.3000000000000002E-2</v>
      </c>
      <c r="E2193" s="3">
        <v>3.4152942142824799E-2</v>
      </c>
      <c r="F2193" s="3">
        <v>3.3000000000000002E-2</v>
      </c>
      <c r="G2193">
        <f t="shared" si="404"/>
        <v>6</v>
      </c>
      <c r="H2193" t="str">
        <f t="shared" si="411"/>
        <v>MLN</v>
      </c>
      <c r="I2193" t="str">
        <f t="shared" si="410"/>
        <v>BTC</v>
      </c>
      <c r="J2193" t="str">
        <f t="shared" si="405"/>
        <v>MLNBTC</v>
      </c>
      <c r="K2193" t="str">
        <f t="shared" si="406"/>
        <v>BTCMLN</v>
      </c>
      <c r="L2193">
        <f t="shared" si="407"/>
        <v>1</v>
      </c>
      <c r="M2193">
        <f t="shared" si="408"/>
        <v>1</v>
      </c>
      <c r="N2193" t="b">
        <f t="shared" si="409"/>
        <v>0</v>
      </c>
    </row>
    <row r="2194" spans="1:14" x14ac:dyDescent="0.25">
      <c r="A2194" s="4" t="s">
        <v>2</v>
      </c>
      <c r="B2194" s="4" t="s">
        <v>97</v>
      </c>
      <c r="C2194" s="3">
        <v>1.4299000000000001E-4</v>
      </c>
      <c r="D2194" s="3">
        <v>1.4035999999999999E-4</v>
      </c>
      <c r="E2194" s="3">
        <v>1.4299000000000001E-4</v>
      </c>
      <c r="F2194" s="3">
        <v>1.4035999999999999E-4</v>
      </c>
      <c r="G2194">
        <f t="shared" si="404"/>
        <v>7</v>
      </c>
      <c r="H2194" t="str">
        <f>RIGHT(B2194,4)</f>
        <v>MONA</v>
      </c>
      <c r="I2194" t="str">
        <f t="shared" si="410"/>
        <v>BTC</v>
      </c>
      <c r="J2194" t="str">
        <f t="shared" si="405"/>
        <v>MONABTC</v>
      </c>
      <c r="K2194" t="str">
        <f t="shared" si="406"/>
        <v>BTCMONA</v>
      </c>
      <c r="L2194">
        <f t="shared" si="407"/>
        <v>1</v>
      </c>
      <c r="M2194">
        <f t="shared" si="408"/>
        <v>1</v>
      </c>
      <c r="N2194" t="b">
        <f t="shared" si="409"/>
        <v>0</v>
      </c>
    </row>
    <row r="2195" spans="1:14" x14ac:dyDescent="0.25">
      <c r="A2195" s="4" t="s">
        <v>2</v>
      </c>
      <c r="B2195" s="4" t="s">
        <v>145</v>
      </c>
      <c r="C2195" s="3">
        <v>3.0859999999999999E-5</v>
      </c>
      <c r="D2195" s="3">
        <v>3.021E-5</v>
      </c>
      <c r="E2195" s="3">
        <v>3.0859999999999999E-5</v>
      </c>
      <c r="F2195" s="3">
        <v>3.021E-5</v>
      </c>
      <c r="G2195">
        <f t="shared" si="404"/>
        <v>6</v>
      </c>
      <c r="H2195" t="str">
        <f>RIGHT(B2195,3)</f>
        <v>MUE</v>
      </c>
      <c r="I2195" t="str">
        <f t="shared" si="410"/>
        <v>BTC</v>
      </c>
      <c r="J2195" t="str">
        <f t="shared" si="405"/>
        <v>MUEBTC</v>
      </c>
      <c r="K2195" t="str">
        <f t="shared" si="406"/>
        <v>BTCMUE</v>
      </c>
      <c r="L2195">
        <f t="shared" si="407"/>
        <v>2</v>
      </c>
      <c r="M2195">
        <f t="shared" si="408"/>
        <v>1</v>
      </c>
      <c r="N2195" t="b">
        <f t="shared" si="409"/>
        <v>0</v>
      </c>
    </row>
    <row r="2196" spans="1:14" x14ac:dyDescent="0.25">
      <c r="A2196" s="4" t="s">
        <v>2</v>
      </c>
      <c r="B2196" s="4" t="s">
        <v>111</v>
      </c>
      <c r="C2196" s="3">
        <v>1.4594E-4</v>
      </c>
      <c r="D2196" s="3">
        <v>1.4414000000000001E-4</v>
      </c>
      <c r="E2196" s="3">
        <v>1.478099998504E-4</v>
      </c>
      <c r="F2196" s="3">
        <v>1.4415000000000001E-4</v>
      </c>
      <c r="G2196">
        <f t="shared" si="404"/>
        <v>6</v>
      </c>
      <c r="H2196" t="str">
        <f>RIGHT(B2196,3)</f>
        <v>NAV</v>
      </c>
      <c r="I2196" t="str">
        <f t="shared" si="410"/>
        <v>BTC</v>
      </c>
      <c r="J2196" t="str">
        <f t="shared" si="405"/>
        <v>NAVBTC</v>
      </c>
      <c r="K2196" t="str">
        <f t="shared" si="406"/>
        <v>BTCNAV</v>
      </c>
      <c r="L2196">
        <f t="shared" si="407"/>
        <v>1</v>
      </c>
      <c r="M2196">
        <f t="shared" si="408"/>
        <v>1</v>
      </c>
      <c r="N2196" t="b">
        <f t="shared" si="409"/>
        <v>0</v>
      </c>
    </row>
    <row r="2197" spans="1:14" x14ac:dyDescent="0.25">
      <c r="A2197" s="4" t="s">
        <v>2</v>
      </c>
      <c r="B2197" s="4" t="s">
        <v>93</v>
      </c>
      <c r="C2197" s="3">
        <v>4.46E-5</v>
      </c>
      <c r="D2197" s="3">
        <v>4.4499999999999997E-5</v>
      </c>
      <c r="E2197" s="3">
        <v>4.46E-5</v>
      </c>
      <c r="F2197" s="3">
        <v>4.4499999999999997E-5</v>
      </c>
      <c r="G2197">
        <f t="shared" si="404"/>
        <v>6</v>
      </c>
      <c r="H2197" t="str">
        <f>RIGHT(B2197,3)</f>
        <v>NLG</v>
      </c>
      <c r="I2197" t="str">
        <f t="shared" si="410"/>
        <v>BTC</v>
      </c>
      <c r="J2197" t="str">
        <f t="shared" si="405"/>
        <v>NLGBTC</v>
      </c>
      <c r="K2197" t="str">
        <f t="shared" si="406"/>
        <v>BTCNLG</v>
      </c>
      <c r="L2197">
        <f t="shared" si="407"/>
        <v>1</v>
      </c>
      <c r="M2197">
        <f t="shared" si="408"/>
        <v>1</v>
      </c>
      <c r="N2197" t="b">
        <f t="shared" si="409"/>
        <v>0</v>
      </c>
    </row>
    <row r="2198" spans="1:14" x14ac:dyDescent="0.25">
      <c r="A2198" s="4" t="s">
        <v>2</v>
      </c>
      <c r="B2198" s="4" t="s">
        <v>152</v>
      </c>
      <c r="C2198" s="3">
        <v>5.2349999999999999E-5</v>
      </c>
      <c r="D2198" s="3">
        <v>5.0510000000000003E-5</v>
      </c>
      <c r="E2198" s="3">
        <v>5.2349999999999999E-5</v>
      </c>
      <c r="F2198" s="3">
        <v>5.0510000000000003E-5</v>
      </c>
      <c r="G2198">
        <f t="shared" si="404"/>
        <v>5</v>
      </c>
      <c r="H2198" t="str">
        <f>RIGHT(B2198,2)</f>
        <v>OK</v>
      </c>
      <c r="I2198" t="str">
        <f t="shared" si="410"/>
        <v>BTC</v>
      </c>
      <c r="J2198" t="str">
        <f t="shared" si="405"/>
        <v>OKBTC</v>
      </c>
      <c r="K2198" t="str">
        <f t="shared" si="406"/>
        <v>BTCOK</v>
      </c>
      <c r="L2198">
        <f t="shared" si="407"/>
        <v>1</v>
      </c>
      <c r="M2198">
        <f t="shared" si="408"/>
        <v>1</v>
      </c>
      <c r="N2198" t="b">
        <f t="shared" si="409"/>
        <v>0</v>
      </c>
    </row>
    <row r="2199" spans="1:14" x14ac:dyDescent="0.25">
      <c r="A2199" s="4" t="s">
        <v>2</v>
      </c>
      <c r="B2199" s="4" t="s">
        <v>162</v>
      </c>
      <c r="C2199" s="3">
        <v>2.155692E-2</v>
      </c>
      <c r="D2199" s="3">
        <v>2.0682229999999999E-2</v>
      </c>
      <c r="E2199" s="3">
        <v>2.155692E-2</v>
      </c>
      <c r="F2199" s="3">
        <v>2.0682229999999999E-2</v>
      </c>
      <c r="G2199">
        <f t="shared" si="404"/>
        <v>7</v>
      </c>
      <c r="H2199" t="str">
        <f>RIGHT(B2199,4)</f>
        <v>OMNI</v>
      </c>
      <c r="I2199" t="str">
        <f t="shared" si="410"/>
        <v>BTC</v>
      </c>
      <c r="J2199" t="str">
        <f t="shared" si="405"/>
        <v>OMNIBTC</v>
      </c>
      <c r="K2199" t="str">
        <f t="shared" si="406"/>
        <v>BTCOMNI</v>
      </c>
      <c r="L2199">
        <f t="shared" si="407"/>
        <v>1</v>
      </c>
      <c r="M2199">
        <f t="shared" si="408"/>
        <v>1</v>
      </c>
      <c r="N2199" t="b">
        <f t="shared" si="409"/>
        <v>0</v>
      </c>
    </row>
    <row r="2200" spans="1:14" x14ac:dyDescent="0.25">
      <c r="A2200" s="4" t="s">
        <v>2</v>
      </c>
      <c r="B2200" s="4" t="s">
        <v>175</v>
      </c>
      <c r="C2200" s="3">
        <v>5.7275000000000002E-4</v>
      </c>
      <c r="D2200" s="3">
        <v>5.6718999999999997E-4</v>
      </c>
      <c r="E2200" s="3">
        <v>5.7319999999999995E-4</v>
      </c>
      <c r="F2200" s="3">
        <v>5.6718999999999997E-4</v>
      </c>
      <c r="G2200">
        <f t="shared" si="404"/>
        <v>7</v>
      </c>
      <c r="H2200" t="str">
        <f>RIGHT(B2200,4)</f>
        <v>PIVX</v>
      </c>
      <c r="I2200" t="str">
        <f t="shared" si="410"/>
        <v>BTC</v>
      </c>
      <c r="J2200" t="str">
        <f t="shared" si="405"/>
        <v>PIVXBTC</v>
      </c>
      <c r="K2200" t="str">
        <f t="shared" si="406"/>
        <v>BTCPIVX</v>
      </c>
      <c r="L2200">
        <f t="shared" si="407"/>
        <v>2</v>
      </c>
      <c r="M2200">
        <f t="shared" si="408"/>
        <v>1</v>
      </c>
      <c r="N2200" t="b">
        <f t="shared" si="409"/>
        <v>0</v>
      </c>
    </row>
    <row r="2201" spans="1:14" x14ac:dyDescent="0.25">
      <c r="A2201" s="4" t="s">
        <v>2</v>
      </c>
      <c r="B2201" s="4" t="s">
        <v>154</v>
      </c>
      <c r="C2201" s="3">
        <v>1.3561000000000001E-4</v>
      </c>
      <c r="D2201" s="3">
        <v>1.3289000000000001E-4</v>
      </c>
      <c r="E2201" s="3">
        <v>1.3561000000000001E-4</v>
      </c>
      <c r="F2201" s="3">
        <v>1.3289000000000001E-4</v>
      </c>
      <c r="G2201">
        <f t="shared" si="404"/>
        <v>6</v>
      </c>
      <c r="H2201" t="str">
        <f>RIGHT(B2201,3)</f>
        <v>PKB</v>
      </c>
      <c r="I2201" t="str">
        <f t="shared" si="410"/>
        <v>BTC</v>
      </c>
      <c r="J2201" t="str">
        <f t="shared" si="405"/>
        <v>PKBBTC</v>
      </c>
      <c r="K2201" t="str">
        <f t="shared" si="406"/>
        <v>BTCPKB</v>
      </c>
      <c r="L2201">
        <f t="shared" si="407"/>
        <v>1</v>
      </c>
      <c r="M2201">
        <f t="shared" si="408"/>
        <v>1</v>
      </c>
      <c r="N2201" t="b">
        <f t="shared" si="409"/>
        <v>0</v>
      </c>
    </row>
    <row r="2202" spans="1:14" x14ac:dyDescent="0.25">
      <c r="A2202" s="4" t="s">
        <v>2</v>
      </c>
      <c r="B2202" s="4" t="s">
        <v>80</v>
      </c>
      <c r="C2202" s="3">
        <v>7.6128999999999997E-4</v>
      </c>
      <c r="D2202" s="3">
        <v>7.4567000000000004E-4</v>
      </c>
      <c r="E2202" s="3">
        <v>7.6128999999999997E-4</v>
      </c>
      <c r="F2202" s="3">
        <v>7.4567000000000004E-4</v>
      </c>
      <c r="G2202">
        <f t="shared" si="404"/>
        <v>6</v>
      </c>
      <c r="H2202" t="str">
        <f>RIGHT(B2202,3)</f>
        <v>PPC</v>
      </c>
      <c r="I2202" t="str">
        <f t="shared" si="410"/>
        <v>BTC</v>
      </c>
      <c r="J2202" t="str">
        <f t="shared" si="405"/>
        <v>PPCBTC</v>
      </c>
      <c r="K2202" t="str">
        <f t="shared" si="406"/>
        <v>BTCPPC</v>
      </c>
      <c r="L2202">
        <f t="shared" si="407"/>
        <v>3</v>
      </c>
      <c r="M2202">
        <f t="shared" si="408"/>
        <v>1</v>
      </c>
      <c r="N2202" t="b">
        <f t="shared" si="409"/>
        <v>0</v>
      </c>
    </row>
    <row r="2203" spans="1:14" x14ac:dyDescent="0.25">
      <c r="A2203" s="4" t="s">
        <v>2</v>
      </c>
      <c r="B2203" s="4" t="s">
        <v>82</v>
      </c>
      <c r="C2203" s="3">
        <v>8.7000000000000003E-7</v>
      </c>
      <c r="D2203" s="3">
        <v>8.5000000000000001E-7</v>
      </c>
      <c r="E2203" s="3">
        <v>8.7000000000000003E-7</v>
      </c>
      <c r="F2203" s="3">
        <v>8.5000000000000001E-7</v>
      </c>
      <c r="G2203">
        <f t="shared" si="404"/>
        <v>6</v>
      </c>
      <c r="H2203" t="str">
        <f>RIGHT(B2203,3)</f>
        <v>RDD</v>
      </c>
      <c r="I2203" t="str">
        <f t="shared" si="410"/>
        <v>BTC</v>
      </c>
      <c r="J2203" t="str">
        <f t="shared" si="405"/>
        <v>RDDBTC</v>
      </c>
      <c r="K2203" t="str">
        <f t="shared" si="406"/>
        <v>BTCRDD</v>
      </c>
      <c r="L2203">
        <f t="shared" si="407"/>
        <v>1</v>
      </c>
      <c r="M2203">
        <f t="shared" si="408"/>
        <v>1</v>
      </c>
      <c r="N2203" t="b">
        <f t="shared" si="409"/>
        <v>0</v>
      </c>
    </row>
    <row r="2204" spans="1:14" x14ac:dyDescent="0.25">
      <c r="A2204" s="4" t="s">
        <v>2</v>
      </c>
      <c r="B2204" s="4" t="s">
        <v>185</v>
      </c>
      <c r="C2204" s="3">
        <v>3.2030000000000003E-5</v>
      </c>
      <c r="D2204" s="3">
        <v>3.1819999999999997E-5</v>
      </c>
      <c r="E2204" s="3">
        <v>3.2030000000000003E-5</v>
      </c>
      <c r="F2204" s="3">
        <v>3.1819999999999997E-5</v>
      </c>
      <c r="G2204">
        <f t="shared" si="404"/>
        <v>7</v>
      </c>
      <c r="H2204" t="str">
        <f>RIGHT(B2204,4)</f>
        <v>RISE</v>
      </c>
      <c r="I2204" t="str">
        <f t="shared" si="410"/>
        <v>BTC</v>
      </c>
      <c r="J2204" t="str">
        <f t="shared" si="405"/>
        <v>RISEBTC</v>
      </c>
      <c r="K2204" t="str">
        <f t="shared" si="406"/>
        <v>BTCRISE</v>
      </c>
      <c r="L2204">
        <f t="shared" si="407"/>
        <v>1</v>
      </c>
      <c r="M2204">
        <f t="shared" si="408"/>
        <v>1</v>
      </c>
      <c r="N2204" t="b">
        <f t="shared" si="409"/>
        <v>0</v>
      </c>
    </row>
    <row r="2205" spans="1:14" x14ac:dyDescent="0.25">
      <c r="A2205" s="4" t="s">
        <v>2</v>
      </c>
      <c r="B2205" s="4" t="s">
        <v>236</v>
      </c>
      <c r="C2205" s="3">
        <v>2.6696000000000001E-4</v>
      </c>
      <c r="D2205" s="3">
        <v>2.6295000000000002E-4</v>
      </c>
      <c r="E2205" s="3">
        <v>2.6696000000000001E-4</v>
      </c>
      <c r="F2205" s="3">
        <v>2.6295000000000002E-4</v>
      </c>
      <c r="G2205">
        <f t="shared" si="404"/>
        <v>6</v>
      </c>
      <c r="H2205" t="str">
        <f>RIGHT(B2205,3)</f>
        <v>RLC</v>
      </c>
      <c r="I2205" t="str">
        <f t="shared" si="410"/>
        <v>BTC</v>
      </c>
      <c r="J2205" t="str">
        <f t="shared" si="405"/>
        <v>RLCBTC</v>
      </c>
      <c r="K2205" t="str">
        <f t="shared" si="406"/>
        <v>BTCRLC</v>
      </c>
      <c r="L2205">
        <f t="shared" si="407"/>
        <v>1</v>
      </c>
      <c r="M2205">
        <f t="shared" si="408"/>
        <v>1</v>
      </c>
      <c r="N2205" t="b">
        <f t="shared" si="409"/>
        <v>0</v>
      </c>
    </row>
    <row r="2206" spans="1:14" x14ac:dyDescent="0.25">
      <c r="A2206" s="4" t="s">
        <v>2</v>
      </c>
      <c r="B2206" s="4" t="s">
        <v>186</v>
      </c>
      <c r="C2206" s="3">
        <v>6.3995999999999996E-4</v>
      </c>
      <c r="D2206" s="3">
        <v>6.1914000000000001E-4</v>
      </c>
      <c r="E2206" s="3">
        <v>6.3995999999999996E-4</v>
      </c>
      <c r="F2206" s="3">
        <v>6.1914000000000001E-4</v>
      </c>
      <c r="G2206">
        <f t="shared" si="404"/>
        <v>6</v>
      </c>
      <c r="H2206" t="str">
        <f>RIGHT(B2206,3)</f>
        <v>SBD</v>
      </c>
      <c r="I2206" t="str">
        <f t="shared" si="410"/>
        <v>BTC</v>
      </c>
      <c r="J2206" t="str">
        <f t="shared" si="405"/>
        <v>SBDBTC</v>
      </c>
      <c r="K2206" t="str">
        <f t="shared" si="406"/>
        <v>BTCSBD</v>
      </c>
      <c r="L2206">
        <f t="shared" si="407"/>
        <v>1</v>
      </c>
      <c r="M2206">
        <f t="shared" si="408"/>
        <v>1</v>
      </c>
      <c r="N2206" t="b">
        <f t="shared" si="409"/>
        <v>0</v>
      </c>
    </row>
    <row r="2207" spans="1:14" x14ac:dyDescent="0.25">
      <c r="A2207" s="4" t="s">
        <v>2</v>
      </c>
      <c r="B2207" s="4" t="s">
        <v>201</v>
      </c>
      <c r="C2207" s="3">
        <v>6.4077000000000003E-4</v>
      </c>
      <c r="D2207" s="3">
        <v>6.2991999999999996E-4</v>
      </c>
      <c r="E2207" s="3">
        <v>6.4077000000000003E-4</v>
      </c>
      <c r="F2207" s="3">
        <v>6.2991999999999996E-4</v>
      </c>
      <c r="G2207">
        <f t="shared" si="404"/>
        <v>8</v>
      </c>
      <c r="H2207" t="str">
        <f>RIGHT(B2207,5)</f>
        <v>SHIFT</v>
      </c>
      <c r="I2207" t="str">
        <f t="shared" si="410"/>
        <v>BTC</v>
      </c>
      <c r="J2207" t="str">
        <f t="shared" si="405"/>
        <v>SHIFTBTC</v>
      </c>
      <c r="K2207" t="str">
        <f t="shared" si="406"/>
        <v>BTCSHIFT</v>
      </c>
      <c r="L2207">
        <f t="shared" si="407"/>
        <v>1</v>
      </c>
      <c r="M2207">
        <f t="shared" si="408"/>
        <v>1</v>
      </c>
      <c r="N2207" t="b">
        <f t="shared" si="409"/>
        <v>0</v>
      </c>
    </row>
    <row r="2208" spans="1:14" x14ac:dyDescent="0.25">
      <c r="A2208" s="4" t="s">
        <v>2</v>
      </c>
      <c r="B2208" s="4" t="s">
        <v>214</v>
      </c>
      <c r="C2208" s="3">
        <v>2.0445000000000001E-4</v>
      </c>
      <c r="D2208" s="3">
        <v>1.9139999999999999E-4</v>
      </c>
      <c r="E2208" s="3">
        <v>2.0445000000000001E-4</v>
      </c>
      <c r="F2208" s="3">
        <v>1.9141000000000001E-4</v>
      </c>
      <c r="G2208">
        <f t="shared" si="404"/>
        <v>6</v>
      </c>
      <c r="H2208" t="str">
        <f>RIGHT(B2208,3)</f>
        <v>SIB</v>
      </c>
      <c r="I2208" t="str">
        <f t="shared" si="410"/>
        <v>BTC</v>
      </c>
      <c r="J2208" t="str">
        <f t="shared" si="405"/>
        <v>SIBBTC</v>
      </c>
      <c r="K2208" t="str">
        <f t="shared" si="406"/>
        <v>BTCSIB</v>
      </c>
      <c r="L2208">
        <f t="shared" si="407"/>
        <v>3</v>
      </c>
      <c r="M2208">
        <f t="shared" si="408"/>
        <v>1</v>
      </c>
      <c r="N2208" t="b">
        <f t="shared" si="409"/>
        <v>0</v>
      </c>
    </row>
    <row r="2209" spans="1:14" x14ac:dyDescent="0.25">
      <c r="A2209" s="4" t="s">
        <v>2</v>
      </c>
      <c r="B2209" s="4" t="s">
        <v>90</v>
      </c>
      <c r="C2209" s="3">
        <v>9.0589999999999998E-5</v>
      </c>
      <c r="D2209" s="3">
        <v>8.8360000000000001E-5</v>
      </c>
      <c r="E2209" s="3">
        <v>9.0589999999999998E-5</v>
      </c>
      <c r="F2209" s="3">
        <v>8.8360000000000001E-5</v>
      </c>
      <c r="G2209">
        <f t="shared" si="404"/>
        <v>6</v>
      </c>
      <c r="H2209" t="str">
        <f>RIGHT(B2209,3)</f>
        <v>SLR</v>
      </c>
      <c r="I2209" t="str">
        <f t="shared" si="410"/>
        <v>BTC</v>
      </c>
      <c r="J2209" t="str">
        <f t="shared" si="405"/>
        <v>SLRBTC</v>
      </c>
      <c r="K2209" t="str">
        <f t="shared" si="406"/>
        <v>BTCSLR</v>
      </c>
      <c r="L2209">
        <f t="shared" si="407"/>
        <v>1</v>
      </c>
      <c r="M2209">
        <f t="shared" si="408"/>
        <v>1</v>
      </c>
      <c r="N2209" t="b">
        <f t="shared" si="409"/>
        <v>0</v>
      </c>
    </row>
    <row r="2210" spans="1:14" x14ac:dyDescent="0.25">
      <c r="A2210" s="4" t="s">
        <v>2</v>
      </c>
      <c r="B2210" s="4" t="s">
        <v>171</v>
      </c>
      <c r="C2210" s="3">
        <v>3.1829800000000002E-3</v>
      </c>
      <c r="D2210" s="3">
        <v>2.94728E-3</v>
      </c>
      <c r="E2210" s="3">
        <v>3.1829800000000002E-3</v>
      </c>
      <c r="F2210" s="3">
        <v>2.94728E-3</v>
      </c>
      <c r="G2210">
        <f t="shared" si="404"/>
        <v>6</v>
      </c>
      <c r="H2210" t="str">
        <f>RIGHT(B2210,3)</f>
        <v>SLS</v>
      </c>
      <c r="I2210" t="str">
        <f t="shared" ref="I2210:I2238" si="412">LEFT(B2210,3)</f>
        <v>BTC</v>
      </c>
      <c r="J2210" t="str">
        <f t="shared" si="405"/>
        <v>SLSBTC</v>
      </c>
      <c r="K2210" t="str">
        <f t="shared" si="406"/>
        <v>BTCSLS</v>
      </c>
      <c r="L2210">
        <f t="shared" si="407"/>
        <v>1</v>
      </c>
      <c r="M2210">
        <f t="shared" si="408"/>
        <v>1</v>
      </c>
      <c r="N2210" t="b">
        <f t="shared" si="409"/>
        <v>0</v>
      </c>
    </row>
    <row r="2211" spans="1:14" x14ac:dyDescent="0.25">
      <c r="A2211" s="4" t="s">
        <v>2</v>
      </c>
      <c r="B2211" s="4" t="s">
        <v>199</v>
      </c>
      <c r="C2211" s="3">
        <v>8.4439999999999998E-5</v>
      </c>
      <c r="D2211" s="3">
        <v>8.4430000000000003E-5</v>
      </c>
      <c r="E2211" s="3">
        <v>8.4439999999999998E-5</v>
      </c>
      <c r="F2211" s="3">
        <v>8.4430000000000003E-5</v>
      </c>
      <c r="G2211">
        <f t="shared" si="404"/>
        <v>8</v>
      </c>
      <c r="H2211" t="str">
        <f>RIGHT(B2211,5)</f>
        <v>SNGLS</v>
      </c>
      <c r="I2211" t="str">
        <f t="shared" si="412"/>
        <v>BTC</v>
      </c>
      <c r="J2211" t="str">
        <f t="shared" si="405"/>
        <v>SNGLSBTC</v>
      </c>
      <c r="K2211" t="str">
        <f t="shared" si="406"/>
        <v>BTCSNGLS</v>
      </c>
      <c r="L2211">
        <f t="shared" si="407"/>
        <v>1</v>
      </c>
      <c r="M2211">
        <f t="shared" si="408"/>
        <v>1</v>
      </c>
      <c r="N2211" t="b">
        <f t="shared" si="409"/>
        <v>0</v>
      </c>
    </row>
    <row r="2212" spans="1:14" x14ac:dyDescent="0.25">
      <c r="A2212" s="4" t="s">
        <v>2</v>
      </c>
      <c r="B2212" s="4" t="s">
        <v>153</v>
      </c>
      <c r="C2212" s="3">
        <v>2.6635E-4</v>
      </c>
      <c r="D2212" s="3">
        <v>2.5526999999999999E-4</v>
      </c>
      <c r="E2212" s="3">
        <v>2.6635E-4</v>
      </c>
      <c r="F2212" s="3">
        <v>2.5526999999999999E-4</v>
      </c>
      <c r="G2212">
        <f t="shared" si="404"/>
        <v>7</v>
      </c>
      <c r="H2212" t="str">
        <f>RIGHT(B2212,4)</f>
        <v>SNRG</v>
      </c>
      <c r="I2212" t="str">
        <f t="shared" si="412"/>
        <v>BTC</v>
      </c>
      <c r="J2212" t="str">
        <f t="shared" si="405"/>
        <v>SNRGBTC</v>
      </c>
      <c r="K2212" t="str">
        <f t="shared" si="406"/>
        <v>BTCSNRG</v>
      </c>
      <c r="L2212">
        <f t="shared" si="407"/>
        <v>1</v>
      </c>
      <c r="M2212">
        <f t="shared" si="408"/>
        <v>1</v>
      </c>
      <c r="N2212" t="b">
        <f t="shared" si="409"/>
        <v>0</v>
      </c>
    </row>
    <row r="2213" spans="1:14" x14ac:dyDescent="0.25">
      <c r="A2213" s="4" t="s">
        <v>2</v>
      </c>
      <c r="B2213" s="4" t="s">
        <v>132</v>
      </c>
      <c r="C2213" s="3">
        <v>2.0425E-4</v>
      </c>
      <c r="D2213" s="3">
        <v>2.0000000000000001E-4</v>
      </c>
      <c r="E2213" s="3">
        <v>2.0425E-4</v>
      </c>
      <c r="F2213" s="3">
        <v>2.0000000000000001E-4</v>
      </c>
      <c r="G2213">
        <f t="shared" si="404"/>
        <v>6</v>
      </c>
      <c r="H2213" t="str">
        <f>RIGHT(B2213,3)</f>
        <v>SPR</v>
      </c>
      <c r="I2213" t="str">
        <f t="shared" si="412"/>
        <v>BTC</v>
      </c>
      <c r="J2213" t="str">
        <f t="shared" si="405"/>
        <v>SPRBTC</v>
      </c>
      <c r="K2213" t="str">
        <f t="shared" si="406"/>
        <v>BTCSPR</v>
      </c>
      <c r="L2213">
        <f t="shared" si="407"/>
        <v>1</v>
      </c>
      <c r="M2213">
        <f t="shared" si="408"/>
        <v>1</v>
      </c>
      <c r="N2213" t="b">
        <f t="shared" si="409"/>
        <v>0</v>
      </c>
    </row>
    <row r="2214" spans="1:14" x14ac:dyDescent="0.25">
      <c r="A2214" s="4" t="s">
        <v>2</v>
      </c>
      <c r="B2214" s="4" t="s">
        <v>106</v>
      </c>
      <c r="C2214" s="3">
        <v>1.611E-5</v>
      </c>
      <c r="D2214" s="3">
        <v>1.588E-5</v>
      </c>
      <c r="E2214" s="3">
        <v>1.611E-5</v>
      </c>
      <c r="F2214" s="3">
        <v>1.588E-5</v>
      </c>
      <c r="G2214">
        <f t="shared" si="404"/>
        <v>8</v>
      </c>
      <c r="H2214" t="str">
        <f>RIGHT(B2214,5)</f>
        <v>START</v>
      </c>
      <c r="I2214" t="str">
        <f t="shared" si="412"/>
        <v>BTC</v>
      </c>
      <c r="J2214" t="str">
        <f t="shared" si="405"/>
        <v>STARTBTC</v>
      </c>
      <c r="K2214" t="str">
        <f t="shared" si="406"/>
        <v>BTCSTART</v>
      </c>
      <c r="L2214">
        <f t="shared" si="407"/>
        <v>1</v>
      </c>
      <c r="M2214">
        <f t="shared" si="408"/>
        <v>1</v>
      </c>
      <c r="N2214" t="b">
        <f t="shared" si="409"/>
        <v>0</v>
      </c>
    </row>
    <row r="2215" spans="1:14" x14ac:dyDescent="0.25">
      <c r="A2215" s="4" t="s">
        <v>2</v>
      </c>
      <c r="B2215" s="4" t="s">
        <v>177</v>
      </c>
      <c r="C2215" s="3">
        <v>8.0245000000000002E-4</v>
      </c>
      <c r="D2215" s="3">
        <v>8.0000000000000004E-4</v>
      </c>
      <c r="E2215" s="3">
        <v>8.0245000000000002E-4</v>
      </c>
      <c r="F2215" s="3">
        <v>8.0000000000000004E-4</v>
      </c>
      <c r="G2215">
        <f t="shared" si="404"/>
        <v>8</v>
      </c>
      <c r="H2215" t="str">
        <f>RIGHT(B2215,5)</f>
        <v>STEEM</v>
      </c>
      <c r="I2215" t="str">
        <f t="shared" si="412"/>
        <v>BTC</v>
      </c>
      <c r="J2215" t="str">
        <f t="shared" si="405"/>
        <v>STEEMBTC</v>
      </c>
      <c r="K2215" t="str">
        <f t="shared" si="406"/>
        <v>BTCSTEEM</v>
      </c>
      <c r="L2215">
        <f t="shared" si="407"/>
        <v>2</v>
      </c>
      <c r="M2215">
        <f t="shared" si="408"/>
        <v>1</v>
      </c>
      <c r="N2215" t="b">
        <f t="shared" si="409"/>
        <v>0</v>
      </c>
    </row>
    <row r="2216" spans="1:14" x14ac:dyDescent="0.25">
      <c r="A2216" s="4" t="s">
        <v>2</v>
      </c>
      <c r="B2216" s="4" t="s">
        <v>191</v>
      </c>
      <c r="C2216" s="3">
        <v>3.1899900000000002E-3</v>
      </c>
      <c r="D2216" s="3">
        <v>3.1800000000000001E-3</v>
      </c>
      <c r="E2216" s="3">
        <v>3.1899900000000002E-3</v>
      </c>
      <c r="F2216" s="3">
        <v>3.1800000000000001E-3</v>
      </c>
      <c r="G2216">
        <f t="shared" si="404"/>
        <v>8</v>
      </c>
      <c r="H2216" t="str">
        <f>RIGHT(B2216,5)</f>
        <v>STRAT</v>
      </c>
      <c r="I2216" t="str">
        <f t="shared" si="412"/>
        <v>BTC</v>
      </c>
      <c r="J2216" t="str">
        <f t="shared" si="405"/>
        <v>STRATBTC</v>
      </c>
      <c r="K2216" t="str">
        <f t="shared" si="406"/>
        <v>BTCSTRAT</v>
      </c>
      <c r="L2216">
        <f t="shared" si="407"/>
        <v>1</v>
      </c>
      <c r="M2216">
        <f t="shared" si="408"/>
        <v>1</v>
      </c>
      <c r="N2216" t="b">
        <f t="shared" si="409"/>
        <v>0</v>
      </c>
    </row>
    <row r="2217" spans="1:14" x14ac:dyDescent="0.25">
      <c r="A2217" s="4" t="s">
        <v>2</v>
      </c>
      <c r="B2217" s="4" t="s">
        <v>219</v>
      </c>
      <c r="C2217" s="3">
        <v>2.3357600000000001E-3</v>
      </c>
      <c r="D2217" s="3">
        <v>2.2746200000000002E-3</v>
      </c>
      <c r="E2217" s="3">
        <v>2.3357600000000001E-3</v>
      </c>
      <c r="F2217" s="3">
        <v>2.2746200000000002E-3</v>
      </c>
      <c r="G2217">
        <f t="shared" si="404"/>
        <v>6</v>
      </c>
      <c r="H2217" t="str">
        <f>RIGHT(B2217,3)</f>
        <v>SWT</v>
      </c>
      <c r="I2217" t="str">
        <f t="shared" si="412"/>
        <v>BTC</v>
      </c>
      <c r="J2217" t="str">
        <f t="shared" si="405"/>
        <v>SWTBTC</v>
      </c>
      <c r="K2217" t="str">
        <f t="shared" si="406"/>
        <v>BTCSWT</v>
      </c>
      <c r="L2217">
        <f t="shared" si="407"/>
        <v>1</v>
      </c>
      <c r="M2217">
        <f t="shared" si="408"/>
        <v>1</v>
      </c>
      <c r="N2217" t="b">
        <f t="shared" si="409"/>
        <v>0</v>
      </c>
    </row>
    <row r="2218" spans="1:14" x14ac:dyDescent="0.25">
      <c r="A2218" s="4" t="s">
        <v>2</v>
      </c>
      <c r="B2218" s="4" t="s">
        <v>193</v>
      </c>
      <c r="C2218" s="3">
        <v>4.1390000000000002E-5</v>
      </c>
      <c r="D2218" s="3">
        <v>4.1019999999999997E-5</v>
      </c>
      <c r="E2218" s="3">
        <v>4.1390000000000002E-5</v>
      </c>
      <c r="F2218" s="3">
        <v>4.1019999999999997E-5</v>
      </c>
      <c r="G2218">
        <f t="shared" si="404"/>
        <v>7</v>
      </c>
      <c r="H2218" t="str">
        <f>RIGHT(B2218,4)</f>
        <v>SYNX</v>
      </c>
      <c r="I2218" t="str">
        <f t="shared" si="412"/>
        <v>BTC</v>
      </c>
      <c r="J2218" t="str">
        <f t="shared" si="405"/>
        <v>SYNXBTC</v>
      </c>
      <c r="K2218" t="str">
        <f t="shared" si="406"/>
        <v>BTCSYNX</v>
      </c>
      <c r="L2218">
        <f t="shared" si="407"/>
        <v>1</v>
      </c>
      <c r="M2218">
        <f t="shared" si="408"/>
        <v>1</v>
      </c>
      <c r="N2218" t="b">
        <f t="shared" si="409"/>
        <v>0</v>
      </c>
    </row>
    <row r="2219" spans="1:14" x14ac:dyDescent="0.25">
      <c r="A2219" s="4" t="s">
        <v>2</v>
      </c>
      <c r="B2219" s="4" t="s">
        <v>220</v>
      </c>
      <c r="C2219" s="3">
        <v>8.1951100000000002E-3</v>
      </c>
      <c r="D2219" s="3">
        <v>7.9554699999999992E-3</v>
      </c>
      <c r="E2219" s="3">
        <v>8.1951100000000002E-3</v>
      </c>
      <c r="F2219" s="3">
        <v>7.9554699999999992E-3</v>
      </c>
      <c r="G2219">
        <f t="shared" si="404"/>
        <v>7</v>
      </c>
      <c r="H2219" t="str">
        <f>RIGHT(B2219,4)</f>
        <v>TIME</v>
      </c>
      <c r="I2219" t="str">
        <f t="shared" si="412"/>
        <v>BTC</v>
      </c>
      <c r="J2219" t="str">
        <f t="shared" si="405"/>
        <v>TIMEBTC</v>
      </c>
      <c r="K2219" t="str">
        <f t="shared" si="406"/>
        <v>BTCTIME</v>
      </c>
      <c r="L2219">
        <f t="shared" si="407"/>
        <v>2</v>
      </c>
      <c r="M2219">
        <f t="shared" si="408"/>
        <v>1</v>
      </c>
      <c r="N2219" t="b">
        <f t="shared" si="409"/>
        <v>0</v>
      </c>
    </row>
    <row r="2220" spans="1:14" x14ac:dyDescent="0.25">
      <c r="A2220" s="4" t="s">
        <v>2</v>
      </c>
      <c r="B2220" s="4" t="s">
        <v>245</v>
      </c>
      <c r="C2220" s="3">
        <v>3.5901999999999999E-4</v>
      </c>
      <c r="D2220" s="3">
        <v>3.5848999999999999E-4</v>
      </c>
      <c r="E2220" s="3">
        <v>3.5901999999999999E-4</v>
      </c>
      <c r="F2220" s="3">
        <v>3.5848999999999999E-4</v>
      </c>
      <c r="G2220">
        <f t="shared" si="404"/>
        <v>6</v>
      </c>
      <c r="H2220" t="str">
        <f>RIGHT(B2220,3)</f>
        <v>TKN</v>
      </c>
      <c r="I2220" t="str">
        <f t="shared" si="412"/>
        <v>BTC</v>
      </c>
      <c r="J2220" t="str">
        <f t="shared" si="405"/>
        <v>TKNBTC</v>
      </c>
      <c r="K2220" t="str">
        <f t="shared" si="406"/>
        <v>BTCTKN</v>
      </c>
      <c r="L2220">
        <f t="shared" si="407"/>
        <v>2</v>
      </c>
      <c r="M2220">
        <f t="shared" si="408"/>
        <v>1</v>
      </c>
      <c r="N2220" t="b">
        <f t="shared" si="409"/>
        <v>0</v>
      </c>
    </row>
    <row r="2221" spans="1:14" x14ac:dyDescent="0.25">
      <c r="A2221" s="4" t="s">
        <v>2</v>
      </c>
      <c r="B2221" s="4" t="s">
        <v>231</v>
      </c>
      <c r="C2221" s="3">
        <v>1.3422999999999999E-4</v>
      </c>
      <c r="D2221" s="3">
        <v>1.3218E-4</v>
      </c>
      <c r="E2221" s="3">
        <v>1.3422E-4</v>
      </c>
      <c r="F2221" s="3">
        <v>1.3218E-4</v>
      </c>
      <c r="G2221">
        <f t="shared" si="404"/>
        <v>7</v>
      </c>
      <c r="H2221" t="str">
        <f>RIGHT(B2221,4)</f>
        <v>TRST</v>
      </c>
      <c r="I2221" t="str">
        <f t="shared" si="412"/>
        <v>BTC</v>
      </c>
      <c r="J2221" t="str">
        <f t="shared" si="405"/>
        <v>TRSTBTC</v>
      </c>
      <c r="K2221" t="str">
        <f t="shared" si="406"/>
        <v>BTCTRST</v>
      </c>
      <c r="L2221">
        <f t="shared" si="407"/>
        <v>1</v>
      </c>
      <c r="M2221">
        <f t="shared" si="408"/>
        <v>1</v>
      </c>
      <c r="N2221" t="b">
        <f t="shared" si="409"/>
        <v>0</v>
      </c>
    </row>
    <row r="2222" spans="1:14" x14ac:dyDescent="0.25">
      <c r="A2222" s="4" t="s">
        <v>2</v>
      </c>
      <c r="B2222" s="4" t="s">
        <v>159</v>
      </c>
      <c r="C2222" s="3">
        <v>1.4359E-4</v>
      </c>
      <c r="D2222" s="3">
        <v>1.4134E-4</v>
      </c>
      <c r="E2222" s="3">
        <v>1.4359E-4</v>
      </c>
      <c r="F2222" s="3">
        <v>1.4134E-4</v>
      </c>
      <c r="G2222">
        <f t="shared" si="404"/>
        <v>5</v>
      </c>
      <c r="H2222" t="str">
        <f>RIGHT(B2222,2)</f>
        <v>TX</v>
      </c>
      <c r="I2222" t="str">
        <f t="shared" si="412"/>
        <v>BTC</v>
      </c>
      <c r="J2222" t="str">
        <f t="shared" si="405"/>
        <v>TXBTC</v>
      </c>
      <c r="K2222" t="str">
        <f t="shared" si="406"/>
        <v>BTCTX</v>
      </c>
      <c r="L2222">
        <f t="shared" si="407"/>
        <v>2</v>
      </c>
      <c r="M2222">
        <f t="shared" si="408"/>
        <v>1</v>
      </c>
      <c r="N2222" t="b">
        <f t="shared" si="409"/>
        <v>0</v>
      </c>
    </row>
    <row r="2223" spans="1:14" x14ac:dyDescent="0.25">
      <c r="A2223" s="4" t="s">
        <v>2</v>
      </c>
      <c r="B2223" s="4" t="s">
        <v>114</v>
      </c>
      <c r="C2223" s="3">
        <v>1.3299979999999999E-2</v>
      </c>
      <c r="D2223" s="3">
        <v>1.29E-2</v>
      </c>
      <c r="E2223" s="3">
        <v>1.3299979999999999E-2</v>
      </c>
      <c r="F2223" s="3">
        <v>1.29E-2</v>
      </c>
      <c r="G2223">
        <f t="shared" si="404"/>
        <v>6</v>
      </c>
      <c r="H2223" t="str">
        <f>RIGHT(B2223,3)</f>
        <v>UNO</v>
      </c>
      <c r="I2223" t="str">
        <f t="shared" si="412"/>
        <v>BTC</v>
      </c>
      <c r="J2223" t="str">
        <f t="shared" si="405"/>
        <v>UNOBTC</v>
      </c>
      <c r="K2223" t="str">
        <f t="shared" si="406"/>
        <v>BTCUNO</v>
      </c>
      <c r="L2223">
        <f t="shared" si="407"/>
        <v>1</v>
      </c>
      <c r="M2223">
        <f t="shared" si="408"/>
        <v>1</v>
      </c>
      <c r="N2223" t="b">
        <f t="shared" si="409"/>
        <v>0</v>
      </c>
    </row>
    <row r="2224" spans="1:14" x14ac:dyDescent="0.25">
      <c r="A2224" s="4" t="s">
        <v>2</v>
      </c>
      <c r="B2224" s="4" t="s">
        <v>113</v>
      </c>
      <c r="C2224" s="3">
        <v>2.7397000000000001E-4</v>
      </c>
      <c r="D2224" s="3">
        <v>2.6844999999999999E-4</v>
      </c>
      <c r="E2224" s="3">
        <v>2.7397000000000001E-4</v>
      </c>
      <c r="F2224" s="3">
        <v>2.6844999999999999E-4</v>
      </c>
      <c r="G2224">
        <f t="shared" si="404"/>
        <v>6</v>
      </c>
      <c r="H2224" t="str">
        <f>RIGHT(B2224,3)</f>
        <v>VIA</v>
      </c>
      <c r="I2224" t="str">
        <f t="shared" si="412"/>
        <v>BTC</v>
      </c>
      <c r="J2224" t="str">
        <f t="shared" si="405"/>
        <v>VIABTC</v>
      </c>
      <c r="K2224" t="str">
        <f t="shared" si="406"/>
        <v>BTCVIA</v>
      </c>
      <c r="L2224">
        <f t="shared" si="407"/>
        <v>1</v>
      </c>
      <c r="M2224">
        <f t="shared" si="408"/>
        <v>1</v>
      </c>
      <c r="N2224" t="b">
        <f t="shared" si="409"/>
        <v>0</v>
      </c>
    </row>
    <row r="2225" spans="1:14" x14ac:dyDescent="0.25">
      <c r="A2225" s="4" t="s">
        <v>2</v>
      </c>
      <c r="B2225" s="4" t="s">
        <v>168</v>
      </c>
      <c r="C2225" s="3">
        <v>2.472E-5</v>
      </c>
      <c r="D2225" s="3">
        <v>2.4300000000000001E-5</v>
      </c>
      <c r="E2225" s="3">
        <v>2.472E-5</v>
      </c>
      <c r="F2225" s="3">
        <v>2.4300000000000001E-5</v>
      </c>
      <c r="G2225">
        <f t="shared" si="404"/>
        <v>6</v>
      </c>
      <c r="H2225" t="str">
        <f>RIGHT(B2225,3)</f>
        <v>VOX</v>
      </c>
      <c r="I2225" t="str">
        <f t="shared" si="412"/>
        <v>BTC</v>
      </c>
      <c r="J2225" t="str">
        <f t="shared" si="405"/>
        <v>VOXBTC</v>
      </c>
      <c r="K2225" t="str">
        <f t="shared" si="406"/>
        <v>BTCVOX</v>
      </c>
      <c r="L2225">
        <f t="shared" si="407"/>
        <v>1</v>
      </c>
      <c r="M2225">
        <f t="shared" si="408"/>
        <v>1</v>
      </c>
      <c r="N2225" t="b">
        <f t="shared" si="409"/>
        <v>0</v>
      </c>
    </row>
    <row r="2226" spans="1:14" x14ac:dyDescent="0.25">
      <c r="A2226" s="4" t="s">
        <v>2</v>
      </c>
      <c r="B2226" s="4" t="s">
        <v>101</v>
      </c>
      <c r="C2226" s="3">
        <v>1.7984000000000001E-4</v>
      </c>
      <c r="D2226" s="3">
        <v>1.7802000000000001E-4</v>
      </c>
      <c r="E2226" s="3">
        <v>1.7984000000000001E-4</v>
      </c>
      <c r="F2226" s="3">
        <v>1.7802000000000001E-4</v>
      </c>
      <c r="G2226">
        <f t="shared" si="404"/>
        <v>6</v>
      </c>
      <c r="H2226" t="str">
        <f>RIGHT(B2226,3)</f>
        <v>VRC</v>
      </c>
      <c r="I2226" t="str">
        <f t="shared" si="412"/>
        <v>BTC</v>
      </c>
      <c r="J2226" t="str">
        <f t="shared" si="405"/>
        <v>VRCBTC</v>
      </c>
      <c r="K2226" t="str">
        <f t="shared" si="406"/>
        <v>BTCVRC</v>
      </c>
      <c r="L2226">
        <f t="shared" si="407"/>
        <v>1</v>
      </c>
      <c r="M2226">
        <f t="shared" si="408"/>
        <v>1</v>
      </c>
      <c r="N2226" t="b">
        <f t="shared" si="409"/>
        <v>0</v>
      </c>
    </row>
    <row r="2227" spans="1:14" x14ac:dyDescent="0.25">
      <c r="A2227" s="4" t="s">
        <v>2</v>
      </c>
      <c r="B2227" s="4" t="s">
        <v>196</v>
      </c>
      <c r="C2227" s="3">
        <v>5.4443999999999998E-4</v>
      </c>
      <c r="D2227" s="3">
        <v>4.9317999999999996E-4</v>
      </c>
      <c r="E2227" s="3">
        <v>5.4443999999999998E-4</v>
      </c>
      <c r="F2227" s="3">
        <v>4.9317999999999996E-4</v>
      </c>
      <c r="G2227">
        <f t="shared" si="404"/>
        <v>6</v>
      </c>
      <c r="H2227" t="str">
        <f>RIGHT(B2227,3)</f>
        <v>VRM</v>
      </c>
      <c r="I2227" t="str">
        <f t="shared" si="412"/>
        <v>BTC</v>
      </c>
      <c r="J2227" t="str">
        <f t="shared" si="405"/>
        <v>VRMBTC</v>
      </c>
      <c r="K2227" t="str">
        <f t="shared" si="406"/>
        <v>BTCVRM</v>
      </c>
      <c r="L2227">
        <f t="shared" si="407"/>
        <v>1</v>
      </c>
      <c r="M2227">
        <f t="shared" si="408"/>
        <v>1</v>
      </c>
      <c r="N2227" t="b">
        <f t="shared" si="409"/>
        <v>0</v>
      </c>
    </row>
    <row r="2228" spans="1:14" x14ac:dyDescent="0.25">
      <c r="A2228" s="4" t="s">
        <v>2</v>
      </c>
      <c r="B2228" s="4" t="s">
        <v>184</v>
      </c>
      <c r="C2228" s="3">
        <v>2.14475E-3</v>
      </c>
      <c r="D2228" s="3">
        <v>2.1307600000000002E-3</v>
      </c>
      <c r="E2228" s="3">
        <v>2.14475E-3</v>
      </c>
      <c r="F2228" s="3">
        <v>2.1307600000000002E-3</v>
      </c>
      <c r="G2228">
        <f t="shared" si="404"/>
        <v>8</v>
      </c>
      <c r="H2228" t="str">
        <f>RIGHT(B2228,5)</f>
        <v>WAVES</v>
      </c>
      <c r="I2228" t="str">
        <f t="shared" si="412"/>
        <v>BTC</v>
      </c>
      <c r="J2228" t="str">
        <f t="shared" si="405"/>
        <v>WAVESBTC</v>
      </c>
      <c r="K2228" t="str">
        <f t="shared" si="406"/>
        <v>BTCWAVES</v>
      </c>
      <c r="L2228">
        <f t="shared" si="407"/>
        <v>3</v>
      </c>
      <c r="M2228">
        <f t="shared" si="408"/>
        <v>1</v>
      </c>
      <c r="N2228" t="b">
        <f t="shared" si="409"/>
        <v>0</v>
      </c>
    </row>
    <row r="2229" spans="1:14" x14ac:dyDescent="0.25">
      <c r="A2229" s="4" t="s">
        <v>2</v>
      </c>
      <c r="B2229" s="4" t="s">
        <v>235</v>
      </c>
      <c r="C2229" s="3">
        <v>2.4316E-4</v>
      </c>
      <c r="D2229" s="3">
        <v>2.4215E-4</v>
      </c>
      <c r="E2229" s="3">
        <v>2.4316E-4</v>
      </c>
      <c r="F2229" s="3">
        <v>2.4215E-4</v>
      </c>
      <c r="G2229">
        <f t="shared" si="404"/>
        <v>8</v>
      </c>
      <c r="H2229" t="str">
        <f>RIGHT(B2229,5)</f>
        <v>WINGS</v>
      </c>
      <c r="I2229" t="str">
        <f t="shared" si="412"/>
        <v>BTC</v>
      </c>
      <c r="J2229" t="str">
        <f t="shared" si="405"/>
        <v>WINGSBTC</v>
      </c>
      <c r="K2229" t="str">
        <f t="shared" si="406"/>
        <v>BTCWINGS</v>
      </c>
      <c r="L2229">
        <f t="shared" si="407"/>
        <v>2</v>
      </c>
      <c r="M2229">
        <f t="shared" si="408"/>
        <v>1</v>
      </c>
      <c r="N2229" t="b">
        <f t="shared" si="409"/>
        <v>0</v>
      </c>
    </row>
    <row r="2230" spans="1:14" x14ac:dyDescent="0.25">
      <c r="A2230" s="4" t="s">
        <v>2</v>
      </c>
      <c r="B2230" s="4" t="s">
        <v>198</v>
      </c>
      <c r="C2230" s="3">
        <v>1.1073000000000001E-4</v>
      </c>
      <c r="D2230" s="3">
        <v>1.0653E-4</v>
      </c>
      <c r="E2230" s="3">
        <v>1.1073000000000001E-4</v>
      </c>
      <c r="F2230" s="3">
        <v>1.0653E-4</v>
      </c>
      <c r="G2230">
        <f t="shared" si="404"/>
        <v>7</v>
      </c>
      <c r="H2230" t="str">
        <f>RIGHT(B2230,4)</f>
        <v>XAUR</v>
      </c>
      <c r="I2230" t="str">
        <f t="shared" si="412"/>
        <v>BTC</v>
      </c>
      <c r="J2230" t="str">
        <f t="shared" si="405"/>
        <v>XAURBTC</v>
      </c>
      <c r="K2230" t="str">
        <f t="shared" si="406"/>
        <v>BTCXAUR</v>
      </c>
      <c r="L2230">
        <f t="shared" si="407"/>
        <v>3</v>
      </c>
      <c r="M2230">
        <f t="shared" si="408"/>
        <v>1</v>
      </c>
      <c r="N2230" t="b">
        <f t="shared" si="409"/>
        <v>0</v>
      </c>
    </row>
    <row r="2231" spans="1:14" x14ac:dyDescent="0.25">
      <c r="A2231" s="4" t="s">
        <v>2</v>
      </c>
      <c r="B2231" s="4" t="s">
        <v>108</v>
      </c>
      <c r="C2231" s="3">
        <v>1.84E-6</v>
      </c>
      <c r="D2231" s="3">
        <v>1.8199999999999999E-6</v>
      </c>
      <c r="E2231" s="3">
        <v>1.84E-6</v>
      </c>
      <c r="F2231" s="3">
        <v>1.8199999999999999E-6</v>
      </c>
      <c r="G2231">
        <f t="shared" si="404"/>
        <v>6</v>
      </c>
      <c r="H2231" t="str">
        <f t="shared" ref="H2231:H2249" si="413">RIGHT(B2231,3)</f>
        <v>XDN</v>
      </c>
      <c r="I2231" t="str">
        <f t="shared" si="412"/>
        <v>BTC</v>
      </c>
      <c r="J2231" t="str">
        <f t="shared" si="405"/>
        <v>XDNBTC</v>
      </c>
      <c r="K2231" t="str">
        <f t="shared" si="406"/>
        <v>BTCXDN</v>
      </c>
      <c r="L2231">
        <f t="shared" si="407"/>
        <v>1</v>
      </c>
      <c r="M2231">
        <f t="shared" si="408"/>
        <v>1</v>
      </c>
      <c r="N2231" t="b">
        <f t="shared" si="409"/>
        <v>0</v>
      </c>
    </row>
    <row r="2232" spans="1:14" x14ac:dyDescent="0.25">
      <c r="A2232" s="4" t="s">
        <v>2</v>
      </c>
      <c r="B2232" s="4" t="s">
        <v>146</v>
      </c>
      <c r="C2232" s="3">
        <v>7.7979999999999995E-5</v>
      </c>
      <c r="D2232" s="3">
        <v>7.7719999999999994E-5</v>
      </c>
      <c r="E2232" s="3">
        <v>7.7979999999999995E-5</v>
      </c>
      <c r="F2232" s="3">
        <v>7.7719999999999994E-5</v>
      </c>
      <c r="G2232">
        <f t="shared" si="404"/>
        <v>6</v>
      </c>
      <c r="H2232" t="str">
        <f t="shared" si="413"/>
        <v>XEM</v>
      </c>
      <c r="I2232" t="str">
        <f t="shared" si="412"/>
        <v>BTC</v>
      </c>
      <c r="J2232" t="str">
        <f t="shared" si="405"/>
        <v>XEMBTC</v>
      </c>
      <c r="K2232" t="str">
        <f t="shared" si="406"/>
        <v>BTCXEM</v>
      </c>
      <c r="L2232">
        <f t="shared" si="407"/>
        <v>1</v>
      </c>
      <c r="M2232">
        <f t="shared" si="408"/>
        <v>1</v>
      </c>
      <c r="N2232" t="b">
        <f t="shared" si="409"/>
        <v>0</v>
      </c>
    </row>
    <row r="2233" spans="1:14" x14ac:dyDescent="0.25">
      <c r="A2233" s="4" t="s">
        <v>2</v>
      </c>
      <c r="B2233" s="4" t="s">
        <v>164</v>
      </c>
      <c r="C2233" s="3">
        <v>1.503E-5</v>
      </c>
      <c r="D2233" s="3">
        <v>1.4949999999999999E-5</v>
      </c>
      <c r="E2233" s="3">
        <v>1.503E-5</v>
      </c>
      <c r="F2233" s="3">
        <v>1.4949999999999999E-5</v>
      </c>
      <c r="G2233">
        <f t="shared" si="404"/>
        <v>6</v>
      </c>
      <c r="H2233" t="str">
        <f t="shared" si="413"/>
        <v>XLM</v>
      </c>
      <c r="I2233" t="str">
        <f t="shared" si="412"/>
        <v>BTC</v>
      </c>
      <c r="J2233" t="str">
        <f t="shared" si="405"/>
        <v>XLMBTC</v>
      </c>
      <c r="K2233" t="str">
        <f t="shared" si="406"/>
        <v>BTCXLM</v>
      </c>
      <c r="L2233">
        <f t="shared" si="407"/>
        <v>1</v>
      </c>
      <c r="M2233">
        <f t="shared" si="408"/>
        <v>1</v>
      </c>
      <c r="N2233" t="b">
        <f t="shared" si="409"/>
        <v>0</v>
      </c>
    </row>
    <row r="2234" spans="1:14" x14ac:dyDescent="0.25">
      <c r="A2234" s="4" t="s">
        <v>2</v>
      </c>
      <c r="B2234" s="4" t="s">
        <v>104</v>
      </c>
      <c r="C2234" s="3">
        <v>1.888066E-2</v>
      </c>
      <c r="D2234" s="3">
        <v>1.8720230000000001E-2</v>
      </c>
      <c r="E2234" s="3">
        <v>1.888066E-2</v>
      </c>
      <c r="F2234" s="3">
        <v>1.8720230000000001E-2</v>
      </c>
      <c r="G2234">
        <f t="shared" si="404"/>
        <v>6</v>
      </c>
      <c r="H2234" t="str">
        <f t="shared" si="413"/>
        <v>XMR</v>
      </c>
      <c r="I2234" t="str">
        <f t="shared" si="412"/>
        <v>BTC</v>
      </c>
      <c r="J2234" t="str">
        <f t="shared" si="405"/>
        <v>XMRBTC</v>
      </c>
      <c r="K2234" t="str">
        <f t="shared" si="406"/>
        <v>BTCXMR</v>
      </c>
      <c r="L2234">
        <f t="shared" si="407"/>
        <v>4</v>
      </c>
      <c r="M2234">
        <f t="shared" si="408"/>
        <v>1</v>
      </c>
      <c r="N2234" t="b">
        <f t="shared" si="409"/>
        <v>0</v>
      </c>
    </row>
    <row r="2235" spans="1:14" x14ac:dyDescent="0.25">
      <c r="A2235" s="4" t="s">
        <v>2</v>
      </c>
      <c r="B2235" s="4" t="s">
        <v>134</v>
      </c>
      <c r="C2235" s="3">
        <v>1.0399999999999999E-4</v>
      </c>
      <c r="D2235" s="3">
        <v>1.0388E-4</v>
      </c>
      <c r="E2235" s="3">
        <v>1.0399999999999999E-4</v>
      </c>
      <c r="F2235" s="3">
        <v>1.0388E-4</v>
      </c>
      <c r="G2235">
        <f t="shared" si="404"/>
        <v>6</v>
      </c>
      <c r="H2235" t="str">
        <f t="shared" si="413"/>
        <v>XRP</v>
      </c>
      <c r="I2235" t="str">
        <f t="shared" si="412"/>
        <v>BTC</v>
      </c>
      <c r="J2235" t="str">
        <f t="shared" si="405"/>
        <v>XRPBTC</v>
      </c>
      <c r="K2235" t="str">
        <f t="shared" si="406"/>
        <v>BTCXRP</v>
      </c>
      <c r="L2235">
        <f t="shared" si="407"/>
        <v>2</v>
      </c>
      <c r="M2235">
        <f t="shared" si="408"/>
        <v>1</v>
      </c>
      <c r="N2235" t="b">
        <f t="shared" si="409"/>
        <v>0</v>
      </c>
    </row>
    <row r="2236" spans="1:14" x14ac:dyDescent="0.25">
      <c r="A2236" s="4" t="s">
        <v>2</v>
      </c>
      <c r="B2236" s="4" t="s">
        <v>174</v>
      </c>
      <c r="C2236" s="3">
        <v>1.37E-6</v>
      </c>
      <c r="D2236" s="3">
        <v>1.3599999999999999E-6</v>
      </c>
      <c r="E2236" s="3">
        <v>1.37E-6</v>
      </c>
      <c r="F2236" s="3">
        <v>1.3599999999999999E-6</v>
      </c>
      <c r="G2236">
        <f t="shared" si="404"/>
        <v>6</v>
      </c>
      <c r="H2236" t="str">
        <f t="shared" si="413"/>
        <v>XVG</v>
      </c>
      <c r="I2236" t="str">
        <f t="shared" si="412"/>
        <v>BTC</v>
      </c>
      <c r="J2236" t="str">
        <f t="shared" si="405"/>
        <v>XVGBTC</v>
      </c>
      <c r="K2236" t="str">
        <f t="shared" si="406"/>
        <v>BTCXVG</v>
      </c>
      <c r="L2236">
        <f t="shared" si="407"/>
        <v>2</v>
      </c>
      <c r="M2236">
        <f t="shared" si="408"/>
        <v>1</v>
      </c>
      <c r="N2236" t="b">
        <f t="shared" si="409"/>
        <v>0</v>
      </c>
    </row>
    <row r="2237" spans="1:14" x14ac:dyDescent="0.25">
      <c r="A2237" s="4" t="s">
        <v>2</v>
      </c>
      <c r="B2237" s="4" t="s">
        <v>206</v>
      </c>
      <c r="C2237" s="3">
        <v>1.14E-3</v>
      </c>
      <c r="D2237" s="3">
        <v>1.1255600000000001E-3</v>
      </c>
      <c r="E2237" s="3">
        <v>1.14E-3</v>
      </c>
      <c r="F2237" s="3">
        <v>1.1255600000000001E-3</v>
      </c>
      <c r="G2237">
        <f t="shared" si="404"/>
        <v>6</v>
      </c>
      <c r="H2237" t="str">
        <f t="shared" si="413"/>
        <v>ZCL</v>
      </c>
      <c r="I2237" t="str">
        <f t="shared" si="412"/>
        <v>BTC</v>
      </c>
      <c r="J2237" t="str">
        <f t="shared" si="405"/>
        <v>ZCLBTC</v>
      </c>
      <c r="K2237" t="str">
        <f t="shared" si="406"/>
        <v>BTCZCL</v>
      </c>
      <c r="L2237">
        <f t="shared" si="407"/>
        <v>1</v>
      </c>
      <c r="M2237">
        <f t="shared" si="408"/>
        <v>1</v>
      </c>
      <c r="N2237" t="b">
        <f t="shared" si="409"/>
        <v>0</v>
      </c>
    </row>
    <row r="2238" spans="1:14" x14ac:dyDescent="0.25">
      <c r="A2238" s="4" t="s">
        <v>2</v>
      </c>
      <c r="B2238" s="4" t="s">
        <v>205</v>
      </c>
      <c r="C2238" s="3">
        <v>0.14899999</v>
      </c>
      <c r="D2238" s="3">
        <v>0.14899998</v>
      </c>
      <c r="E2238" s="3">
        <v>0.148999998629949</v>
      </c>
      <c r="F2238" s="3">
        <v>0.14899774596768001</v>
      </c>
      <c r="G2238">
        <f t="shared" si="404"/>
        <v>6</v>
      </c>
      <c r="H2238" t="str">
        <f t="shared" si="413"/>
        <v>ZEC</v>
      </c>
      <c r="I2238" t="str">
        <f t="shared" si="412"/>
        <v>BTC</v>
      </c>
      <c r="J2238" t="str">
        <f t="shared" si="405"/>
        <v>ZECBTC</v>
      </c>
      <c r="K2238" t="str">
        <f t="shared" si="406"/>
        <v>BTCZEC</v>
      </c>
      <c r="L2238">
        <f t="shared" si="407"/>
        <v>4</v>
      </c>
      <c r="M2238">
        <f t="shared" si="408"/>
        <v>1</v>
      </c>
      <c r="N2238" t="b">
        <f t="shared" si="409"/>
        <v>0</v>
      </c>
    </row>
    <row r="2239" spans="1:14" x14ac:dyDescent="0.25">
      <c r="A2239" s="4" t="s">
        <v>5</v>
      </c>
      <c r="B2239" s="4" t="s">
        <v>1211</v>
      </c>
      <c r="C2239" s="3">
        <v>1.539E-5</v>
      </c>
      <c r="D2239" s="3">
        <v>1.2999999999999999E-5</v>
      </c>
      <c r="E2239" s="3">
        <v>1.539E-5</v>
      </c>
      <c r="F2239" s="3">
        <v>1.2999999999999999E-5</v>
      </c>
      <c r="G2239">
        <f t="shared" si="404"/>
        <v>7</v>
      </c>
      <c r="H2239" t="str">
        <f t="shared" si="413"/>
        <v>BTC</v>
      </c>
      <c r="I2239" t="str">
        <f>LEFT(B2239,4)</f>
        <v>CANN</v>
      </c>
      <c r="J2239" t="str">
        <f t="shared" si="405"/>
        <v>BTCCANN</v>
      </c>
      <c r="K2239" t="str">
        <f t="shared" si="406"/>
        <v>CANNBTC</v>
      </c>
      <c r="L2239">
        <f t="shared" si="407"/>
        <v>1</v>
      </c>
      <c r="M2239">
        <f t="shared" si="408"/>
        <v>1</v>
      </c>
      <c r="N2239" t="b">
        <f t="shared" si="409"/>
        <v>0</v>
      </c>
    </row>
    <row r="2240" spans="1:14" x14ac:dyDescent="0.25">
      <c r="A2240" s="4" t="s">
        <v>5</v>
      </c>
      <c r="B2240" s="4" t="s">
        <v>641</v>
      </c>
      <c r="C2240" s="3">
        <v>2.2000000000000001E-3</v>
      </c>
      <c r="D2240" s="3">
        <v>1.8520699999999999E-3</v>
      </c>
      <c r="E2240" s="3">
        <v>2.2000000000000001E-3</v>
      </c>
      <c r="F2240" s="3">
        <v>1.8520699999999999E-3</v>
      </c>
      <c r="G2240">
        <f t="shared" si="404"/>
        <v>7</v>
      </c>
      <c r="H2240" t="str">
        <f t="shared" si="413"/>
        <v>BTC</v>
      </c>
      <c r="I2240" t="str">
        <f>LEFT(B2240,4)</f>
        <v>CLAM</v>
      </c>
      <c r="J2240" t="str">
        <f t="shared" si="405"/>
        <v>BTCCLAM</v>
      </c>
      <c r="K2240" t="str">
        <f t="shared" si="406"/>
        <v>CLAMBTC</v>
      </c>
      <c r="L2240">
        <f t="shared" si="407"/>
        <v>1</v>
      </c>
      <c r="M2240">
        <f t="shared" si="408"/>
        <v>1</v>
      </c>
      <c r="N2240" t="b">
        <f t="shared" si="409"/>
        <v>0</v>
      </c>
    </row>
    <row r="2241" spans="1:14" x14ac:dyDescent="0.25">
      <c r="A2241" s="4" t="s">
        <v>5</v>
      </c>
      <c r="B2241" s="4" t="s">
        <v>1059</v>
      </c>
      <c r="C2241" s="3">
        <v>1.2659999999999999E-4</v>
      </c>
      <c r="D2241" s="3">
        <v>1.1991E-4</v>
      </c>
      <c r="E2241" s="3">
        <v>1.2659999999999999E-4</v>
      </c>
      <c r="F2241" s="3">
        <v>1.1991E-4</v>
      </c>
      <c r="G2241">
        <f t="shared" ref="G2241:G2302" si="414">LEN(B2241)</f>
        <v>7</v>
      </c>
      <c r="H2241" t="str">
        <f t="shared" si="413"/>
        <v>BTC</v>
      </c>
      <c r="I2241" t="str">
        <f>LEFT(B2241,4)</f>
        <v>CLUB</v>
      </c>
      <c r="J2241" t="str">
        <f t="shared" ref="J2241:J2302" si="415">CONCATENATE(H2241,I2241)</f>
        <v>BTCCLUB</v>
      </c>
      <c r="K2241" t="str">
        <f t="shared" ref="K2241:K2302" si="416">CONCATENATE(I2241,H2241)</f>
        <v>CLUBBTC</v>
      </c>
      <c r="L2241">
        <f t="shared" ref="L2241:L2302" si="417">COUNTIF(B:B,J2241)</f>
        <v>1</v>
      </c>
      <c r="M2241">
        <f t="shared" ref="M2241:M2302" si="418">COUNTIF(B:B,K2241)</f>
        <v>1</v>
      </c>
      <c r="N2241" t="b">
        <f t="shared" ref="N2241:N2302" si="419">L2241=0</f>
        <v>0</v>
      </c>
    </row>
    <row r="2242" spans="1:14" x14ac:dyDescent="0.25">
      <c r="A2242" s="4" t="s">
        <v>5</v>
      </c>
      <c r="B2242" s="4" t="s">
        <v>463</v>
      </c>
      <c r="C2242" s="3">
        <v>2.3858000000000001E-4</v>
      </c>
      <c r="D2242" s="3">
        <v>1.8102999999999999E-4</v>
      </c>
      <c r="E2242" s="3">
        <v>2.3858000000000001E-4</v>
      </c>
      <c r="F2242" s="3">
        <v>1.8102999999999999E-4</v>
      </c>
      <c r="G2242">
        <f t="shared" si="414"/>
        <v>6</v>
      </c>
      <c r="H2242" t="str">
        <f t="shared" si="413"/>
        <v>BTC</v>
      </c>
      <c r="I2242" t="str">
        <f>LEFT(B2242,3)</f>
        <v>CPC</v>
      </c>
      <c r="J2242" t="str">
        <f t="shared" si="415"/>
        <v>BTCCPC</v>
      </c>
      <c r="K2242" t="str">
        <f t="shared" si="416"/>
        <v>CPCBTC</v>
      </c>
      <c r="L2242">
        <f t="shared" si="417"/>
        <v>1</v>
      </c>
      <c r="M2242">
        <f t="shared" si="418"/>
        <v>1</v>
      </c>
      <c r="N2242" t="b">
        <f t="shared" si="419"/>
        <v>0</v>
      </c>
    </row>
    <row r="2243" spans="1:14" x14ac:dyDescent="0.25">
      <c r="A2243" s="4" t="s">
        <v>1239</v>
      </c>
      <c r="B2243" s="4" t="s">
        <v>1248</v>
      </c>
      <c r="C2243" s="3">
        <v>5.8100000000000003E-5</v>
      </c>
      <c r="D2243" s="3">
        <v>5.2049999999999998E-5</v>
      </c>
      <c r="E2243" s="3">
        <v>5.8100000000000003E-5</v>
      </c>
      <c r="F2243" s="3">
        <v>5.2049999999999998E-5</v>
      </c>
      <c r="G2243">
        <f t="shared" si="414"/>
        <v>7</v>
      </c>
      <c r="H2243" t="str">
        <f t="shared" si="413"/>
        <v>BTC</v>
      </c>
      <c r="I2243" t="str">
        <f>LEFT(B2243,4)</f>
        <v>CURE</v>
      </c>
      <c r="J2243" t="str">
        <f t="shared" si="415"/>
        <v>BTCCURE</v>
      </c>
      <c r="K2243" t="str">
        <f t="shared" si="416"/>
        <v>CUREBTC</v>
      </c>
      <c r="L2243">
        <f t="shared" si="417"/>
        <v>1</v>
      </c>
      <c r="M2243">
        <f t="shared" si="418"/>
        <v>1</v>
      </c>
      <c r="N2243" t="b">
        <f t="shared" si="419"/>
        <v>0</v>
      </c>
    </row>
    <row r="2244" spans="1:14" x14ac:dyDescent="0.25">
      <c r="A2244" s="4" t="s">
        <v>5</v>
      </c>
      <c r="B2244" s="4" t="s">
        <v>774</v>
      </c>
      <c r="C2244" s="3">
        <v>1.2193290000000001E-2</v>
      </c>
      <c r="D2244" s="3">
        <v>1.1952590000000001E-2</v>
      </c>
      <c r="E2244" s="3">
        <v>1.2193290000000001E-2</v>
      </c>
      <c r="F2244" s="3">
        <v>1.1845637064096E-2</v>
      </c>
      <c r="G2244">
        <f t="shared" si="414"/>
        <v>6</v>
      </c>
      <c r="H2244" t="str">
        <f t="shared" si="413"/>
        <v>BTC</v>
      </c>
      <c r="I2244" t="str">
        <f t="shared" ref="I2244:I2255" si="420">LEFT(B2244,3)</f>
        <v>DCR</v>
      </c>
      <c r="J2244" t="str">
        <f t="shared" si="415"/>
        <v>BTCDCR</v>
      </c>
      <c r="K2244" t="str">
        <f t="shared" si="416"/>
        <v>DCRBTC</v>
      </c>
      <c r="L2244">
        <f t="shared" si="417"/>
        <v>2</v>
      </c>
      <c r="M2244">
        <f t="shared" si="418"/>
        <v>1</v>
      </c>
      <c r="N2244" t="b">
        <f t="shared" si="419"/>
        <v>0</v>
      </c>
    </row>
    <row r="2245" spans="1:14" x14ac:dyDescent="0.25">
      <c r="A2245" s="4" t="s">
        <v>3</v>
      </c>
      <c r="B2245" s="4" t="s">
        <v>280</v>
      </c>
      <c r="C2245" s="3">
        <v>5.1742929999999999E-2</v>
      </c>
      <c r="D2245" s="3">
        <v>5.1742929999999999E-2</v>
      </c>
      <c r="E2245" s="3">
        <v>5.1742910000000003E-2</v>
      </c>
      <c r="F2245" s="3">
        <v>5.143118E-2</v>
      </c>
      <c r="G2245">
        <f t="shared" si="414"/>
        <v>6</v>
      </c>
      <c r="H2245" t="str">
        <f t="shared" si="413"/>
        <v>ETH</v>
      </c>
      <c r="I2245" t="str">
        <f t="shared" si="420"/>
        <v>ETC</v>
      </c>
      <c r="J2245" t="str">
        <f t="shared" si="415"/>
        <v>ETHETC</v>
      </c>
      <c r="K2245" t="str">
        <f t="shared" si="416"/>
        <v>ETCETH</v>
      </c>
      <c r="L2245">
        <f t="shared" si="417"/>
        <v>1</v>
      </c>
      <c r="M2245">
        <f t="shared" si="418"/>
        <v>1</v>
      </c>
      <c r="N2245" t="b">
        <f t="shared" si="419"/>
        <v>0</v>
      </c>
    </row>
    <row r="2246" spans="1:14" x14ac:dyDescent="0.25">
      <c r="A2246" s="4" t="s">
        <v>2</v>
      </c>
      <c r="B2246" s="4" t="s">
        <v>190</v>
      </c>
      <c r="C2246" s="3">
        <v>5.2299989999999998E-2</v>
      </c>
      <c r="D2246" s="3">
        <v>5.2297280000000002E-2</v>
      </c>
      <c r="E2246" s="3">
        <v>5.2299989999999998E-2</v>
      </c>
      <c r="F2246" s="3">
        <v>5.2297280000000002E-2</v>
      </c>
      <c r="G2246">
        <f t="shared" si="414"/>
        <v>6</v>
      </c>
      <c r="H2246" t="str">
        <f t="shared" si="413"/>
        <v>ETC</v>
      </c>
      <c r="I2246" t="str">
        <f t="shared" si="420"/>
        <v>ETH</v>
      </c>
      <c r="J2246" t="str">
        <f t="shared" si="415"/>
        <v>ETCETH</v>
      </c>
      <c r="K2246" t="str">
        <f t="shared" si="416"/>
        <v>ETHETC</v>
      </c>
      <c r="L2246">
        <f t="shared" si="417"/>
        <v>1</v>
      </c>
      <c r="M2246">
        <f t="shared" si="418"/>
        <v>1</v>
      </c>
      <c r="N2246" t="b">
        <f t="shared" si="419"/>
        <v>0</v>
      </c>
    </row>
    <row r="2247" spans="1:14" x14ac:dyDescent="0.25">
      <c r="A2247" s="4" t="s">
        <v>2</v>
      </c>
      <c r="B2247" s="4" t="s">
        <v>243</v>
      </c>
      <c r="C2247" s="3">
        <v>0.85244191000000002</v>
      </c>
      <c r="D2247" s="3">
        <v>0.69002962000000001</v>
      </c>
      <c r="E2247" s="3">
        <v>0.85244191000000002</v>
      </c>
      <c r="F2247" s="3">
        <v>0.69002962000000001</v>
      </c>
      <c r="G2247">
        <f t="shared" si="414"/>
        <v>6</v>
      </c>
      <c r="H2247" t="str">
        <f t="shared" si="413"/>
        <v>GNO</v>
      </c>
      <c r="I2247" t="str">
        <f t="shared" si="420"/>
        <v>ETH</v>
      </c>
      <c r="J2247" t="str">
        <f t="shared" si="415"/>
        <v>GNOETH</v>
      </c>
      <c r="K2247" t="str">
        <f t="shared" si="416"/>
        <v>ETHGNO</v>
      </c>
      <c r="L2247">
        <f t="shared" si="417"/>
        <v>1</v>
      </c>
      <c r="M2247">
        <f t="shared" si="418"/>
        <v>1</v>
      </c>
      <c r="N2247" t="b">
        <f t="shared" si="419"/>
        <v>0</v>
      </c>
    </row>
    <row r="2248" spans="1:14" x14ac:dyDescent="0.25">
      <c r="A2248" s="4" t="s">
        <v>2</v>
      </c>
      <c r="B2248" s="4" t="s">
        <v>239</v>
      </c>
      <c r="C2248" s="3">
        <v>1.0119899999999999E-3</v>
      </c>
      <c r="D2248" s="3">
        <v>1E-3</v>
      </c>
      <c r="E2248" s="3">
        <v>1.0119899999999999E-3</v>
      </c>
      <c r="F2248" s="3">
        <v>1E-3</v>
      </c>
      <c r="G2248">
        <f t="shared" si="414"/>
        <v>6</v>
      </c>
      <c r="H2248" t="str">
        <f t="shared" si="413"/>
        <v>GUP</v>
      </c>
      <c r="I2248" t="str">
        <f t="shared" si="420"/>
        <v>ETH</v>
      </c>
      <c r="J2248" t="str">
        <f t="shared" si="415"/>
        <v>GUPETH</v>
      </c>
      <c r="K2248" t="str">
        <f t="shared" si="416"/>
        <v>ETHGUP</v>
      </c>
      <c r="L2248">
        <f t="shared" si="417"/>
        <v>1</v>
      </c>
      <c r="M2248">
        <f t="shared" si="418"/>
        <v>1</v>
      </c>
      <c r="N2248" t="b">
        <f t="shared" si="419"/>
        <v>0</v>
      </c>
    </row>
    <row r="2249" spans="1:14" x14ac:dyDescent="0.25">
      <c r="A2249" s="4" t="s">
        <v>2</v>
      </c>
      <c r="B2249" s="4" t="s">
        <v>233</v>
      </c>
      <c r="C2249" s="3">
        <v>8.893732E-2</v>
      </c>
      <c r="D2249" s="3">
        <v>7.9021620000000001E-2</v>
      </c>
      <c r="E2249" s="3">
        <v>8.8937310000000006E-2</v>
      </c>
      <c r="F2249" s="3">
        <v>7.9021629999999995E-2</v>
      </c>
      <c r="G2249">
        <f t="shared" si="414"/>
        <v>6</v>
      </c>
      <c r="H2249" t="str">
        <f t="shared" si="413"/>
        <v>REP</v>
      </c>
      <c r="I2249" t="str">
        <f t="shared" si="420"/>
        <v>ETH</v>
      </c>
      <c r="J2249" t="str">
        <f t="shared" si="415"/>
        <v>REPETH</v>
      </c>
      <c r="K2249" t="str">
        <f t="shared" si="416"/>
        <v>ETHREP</v>
      </c>
      <c r="L2249">
        <f t="shared" si="417"/>
        <v>1</v>
      </c>
      <c r="M2249">
        <f t="shared" si="418"/>
        <v>1</v>
      </c>
      <c r="N2249" t="b">
        <f t="shared" si="419"/>
        <v>0</v>
      </c>
    </row>
    <row r="2250" spans="1:14" x14ac:dyDescent="0.25">
      <c r="A2250" s="4" t="s">
        <v>2</v>
      </c>
      <c r="B2250" s="4" t="s">
        <v>234</v>
      </c>
      <c r="C2250" s="3">
        <v>1.86725E-3</v>
      </c>
      <c r="D2250" s="3">
        <v>1.7662299999999999E-3</v>
      </c>
      <c r="E2250" s="3">
        <v>1.86725E-3</v>
      </c>
      <c r="F2250" s="3">
        <v>1.7662299999999999E-3</v>
      </c>
      <c r="G2250">
        <f t="shared" si="414"/>
        <v>8</v>
      </c>
      <c r="H2250" t="str">
        <f>RIGHT(B2250,5)</f>
        <v>WINGS</v>
      </c>
      <c r="I2250" t="str">
        <f t="shared" si="420"/>
        <v>ETH</v>
      </c>
      <c r="J2250" t="str">
        <f t="shared" si="415"/>
        <v>WINGSETH</v>
      </c>
      <c r="K2250" t="str">
        <f t="shared" si="416"/>
        <v>ETHWINGS</v>
      </c>
      <c r="L2250">
        <f t="shared" si="417"/>
        <v>1</v>
      </c>
      <c r="M2250">
        <f t="shared" si="418"/>
        <v>1</v>
      </c>
      <c r="N2250" t="b">
        <f t="shared" si="419"/>
        <v>0</v>
      </c>
    </row>
    <row r="2251" spans="1:14" x14ac:dyDescent="0.25">
      <c r="A2251" s="4" t="s">
        <v>5</v>
      </c>
      <c r="B2251" s="4" t="s">
        <v>1121</v>
      </c>
      <c r="C2251" s="3">
        <v>1.99E-3</v>
      </c>
      <c r="D2251" s="3">
        <v>1.25074E-3</v>
      </c>
      <c r="E2251" s="3">
        <v>1.99E-3</v>
      </c>
      <c r="F2251" s="3">
        <v>1.2503998022568E-3</v>
      </c>
      <c r="G2251">
        <f t="shared" si="414"/>
        <v>6</v>
      </c>
      <c r="H2251" t="str">
        <f t="shared" ref="H2251:H2282" si="421">RIGHT(B2251,3)</f>
        <v>BTC</v>
      </c>
      <c r="I2251" t="str">
        <f t="shared" si="420"/>
        <v>EXP</v>
      </c>
      <c r="J2251" t="str">
        <f t="shared" si="415"/>
        <v>BTCEXP</v>
      </c>
      <c r="K2251" t="str">
        <f t="shared" si="416"/>
        <v>EXPBTC</v>
      </c>
      <c r="L2251">
        <f t="shared" si="417"/>
        <v>1</v>
      </c>
      <c r="M2251">
        <f t="shared" si="418"/>
        <v>1</v>
      </c>
      <c r="N2251" t="b">
        <f t="shared" si="419"/>
        <v>0</v>
      </c>
    </row>
    <row r="2252" spans="1:14" x14ac:dyDescent="0.25">
      <c r="A2252" s="4" t="s">
        <v>5</v>
      </c>
      <c r="B2252" s="4" t="s">
        <v>594</v>
      </c>
      <c r="C2252" s="3">
        <v>2.2439999999999999E-5</v>
      </c>
      <c r="D2252" s="3">
        <v>2.101E-5</v>
      </c>
      <c r="E2252" s="3">
        <v>2.2439999999999999E-5</v>
      </c>
      <c r="F2252" s="3">
        <v>2.101E-5</v>
      </c>
      <c r="G2252">
        <f t="shared" si="414"/>
        <v>6</v>
      </c>
      <c r="H2252" t="str">
        <f t="shared" si="421"/>
        <v>BTC</v>
      </c>
      <c r="I2252" t="str">
        <f t="shared" si="420"/>
        <v>GCR</v>
      </c>
      <c r="J2252" t="str">
        <f t="shared" si="415"/>
        <v>BTCGCR</v>
      </c>
      <c r="K2252" t="str">
        <f t="shared" si="416"/>
        <v>GCRBTC</v>
      </c>
      <c r="L2252">
        <f t="shared" si="417"/>
        <v>1</v>
      </c>
      <c r="M2252">
        <f t="shared" si="418"/>
        <v>1</v>
      </c>
      <c r="N2252" t="b">
        <f t="shared" si="419"/>
        <v>0</v>
      </c>
    </row>
    <row r="2253" spans="1:14" x14ac:dyDescent="0.25">
      <c r="A2253" s="4" t="s">
        <v>5</v>
      </c>
      <c r="B2253" s="4" t="s">
        <v>513</v>
      </c>
      <c r="C2253" s="3">
        <v>2.2842000000000001E-4</v>
      </c>
      <c r="D2253" s="3">
        <v>1.4240999999999999E-4</v>
      </c>
      <c r="E2253" s="3">
        <v>2.2842000000000001E-4</v>
      </c>
      <c r="F2253" s="3">
        <v>1.4240999999999999E-4</v>
      </c>
      <c r="G2253">
        <f t="shared" si="414"/>
        <v>6</v>
      </c>
      <c r="H2253" t="str">
        <f t="shared" si="421"/>
        <v>BTC</v>
      </c>
      <c r="I2253" t="str">
        <f t="shared" si="420"/>
        <v>GEO</v>
      </c>
      <c r="J2253" t="str">
        <f t="shared" si="415"/>
        <v>BTCGEO</v>
      </c>
      <c r="K2253" t="str">
        <f t="shared" si="416"/>
        <v>GEOBTC</v>
      </c>
      <c r="L2253">
        <f t="shared" si="417"/>
        <v>1</v>
      </c>
      <c r="M2253">
        <f t="shared" si="418"/>
        <v>1</v>
      </c>
      <c r="N2253" t="b">
        <f t="shared" si="419"/>
        <v>0</v>
      </c>
    </row>
    <row r="2254" spans="1:14" x14ac:dyDescent="0.25">
      <c r="A2254" s="4" t="s">
        <v>1403</v>
      </c>
      <c r="B2254" s="4" t="s">
        <v>1452</v>
      </c>
      <c r="C2254" s="3">
        <v>3.6220000000000002E-5</v>
      </c>
      <c r="D2254" s="3">
        <v>3.4690000000000002E-5</v>
      </c>
      <c r="E2254" s="3">
        <v>3.5970000000000003E-5</v>
      </c>
      <c r="F2254" s="3">
        <v>3.1690000000000003E-5</v>
      </c>
      <c r="G2254">
        <f t="shared" si="414"/>
        <v>6</v>
      </c>
      <c r="H2254" t="str">
        <f t="shared" si="421"/>
        <v>BTC</v>
      </c>
      <c r="I2254" t="str">
        <f t="shared" si="420"/>
        <v>GLD</v>
      </c>
      <c r="J2254" t="str">
        <f t="shared" si="415"/>
        <v>BTCGLD</v>
      </c>
      <c r="K2254" t="str">
        <f t="shared" si="416"/>
        <v>GLDBTC</v>
      </c>
      <c r="L2254">
        <f t="shared" si="417"/>
        <v>1</v>
      </c>
      <c r="M2254">
        <f t="shared" si="418"/>
        <v>1</v>
      </c>
      <c r="N2254" t="b">
        <f t="shared" si="419"/>
        <v>0</v>
      </c>
    </row>
    <row r="2255" spans="1:14" x14ac:dyDescent="0.25">
      <c r="A2255" s="4" t="s">
        <v>3</v>
      </c>
      <c r="B2255" s="4" t="s">
        <v>283</v>
      </c>
      <c r="C2255" s="3">
        <v>0.701515</v>
      </c>
      <c r="D2255" s="3">
        <v>0.68888000000000005</v>
      </c>
      <c r="E2255" s="3">
        <v>0.70151300000000005</v>
      </c>
      <c r="F2255" s="3">
        <v>0.68889199999999995</v>
      </c>
      <c r="G2255">
        <f t="shared" si="414"/>
        <v>6</v>
      </c>
      <c r="H2255" t="str">
        <f t="shared" si="421"/>
        <v>ETH</v>
      </c>
      <c r="I2255" t="str">
        <f t="shared" si="420"/>
        <v>GNO</v>
      </c>
      <c r="J2255" t="str">
        <f t="shared" si="415"/>
        <v>ETHGNO</v>
      </c>
      <c r="K2255" t="str">
        <f t="shared" si="416"/>
        <v>GNOETH</v>
      </c>
      <c r="L2255">
        <f t="shared" si="417"/>
        <v>1</v>
      </c>
      <c r="M2255">
        <f t="shared" si="418"/>
        <v>1</v>
      </c>
      <c r="N2255" t="b">
        <f t="shared" si="419"/>
        <v>0</v>
      </c>
    </row>
    <row r="2256" spans="1:14" x14ac:dyDescent="0.25">
      <c r="A2256" s="4" t="s">
        <v>1239</v>
      </c>
      <c r="B2256" s="4" t="s">
        <v>1303</v>
      </c>
      <c r="C2256" s="3">
        <v>5.3709999999999999E-5</v>
      </c>
      <c r="D2256" s="3">
        <v>4.3019999999999998E-5</v>
      </c>
      <c r="E2256" s="3">
        <v>5.3709999999999999E-5</v>
      </c>
      <c r="F2256" s="3">
        <v>4.3019999999999998E-5</v>
      </c>
      <c r="G2256">
        <f t="shared" si="414"/>
        <v>8</v>
      </c>
      <c r="H2256" t="str">
        <f t="shared" si="421"/>
        <v>BTC</v>
      </c>
      <c r="I2256" t="str">
        <f>LEFT(B2256,5)</f>
        <v>GOLOS</v>
      </c>
      <c r="J2256" t="str">
        <f t="shared" si="415"/>
        <v>BTCGOLOS</v>
      </c>
      <c r="K2256" t="str">
        <f t="shared" si="416"/>
        <v>GOLOSBTC</v>
      </c>
      <c r="L2256">
        <f t="shared" si="417"/>
        <v>1</v>
      </c>
      <c r="M2256">
        <f t="shared" si="418"/>
        <v>1</v>
      </c>
      <c r="N2256" t="b">
        <f t="shared" si="419"/>
        <v>0</v>
      </c>
    </row>
    <row r="2257" spans="1:14" x14ac:dyDescent="0.25">
      <c r="A2257" s="4" t="s">
        <v>1403</v>
      </c>
      <c r="B2257" s="4" t="s">
        <v>1455</v>
      </c>
      <c r="C2257" s="3">
        <v>3.0889999999999997E-5</v>
      </c>
      <c r="D2257" s="3">
        <v>3.0889999999999997E-5</v>
      </c>
      <c r="E2257" s="3">
        <v>3.1619999999999999E-5</v>
      </c>
      <c r="F2257" s="3">
        <v>2.8600000000000001E-5</v>
      </c>
      <c r="G2257">
        <f t="shared" si="414"/>
        <v>6</v>
      </c>
      <c r="H2257" t="str">
        <f t="shared" si="421"/>
        <v>BTC</v>
      </c>
      <c r="I2257" t="str">
        <f>LEFT(B2257,3)</f>
        <v>GRC</v>
      </c>
      <c r="J2257" t="str">
        <f t="shared" si="415"/>
        <v>BTCGRC</v>
      </c>
      <c r="K2257" t="str">
        <f t="shared" si="416"/>
        <v>GRCBTC</v>
      </c>
      <c r="L2257">
        <f t="shared" si="417"/>
        <v>2</v>
      </c>
      <c r="M2257">
        <f t="shared" si="418"/>
        <v>1</v>
      </c>
      <c r="N2257" t="b">
        <f t="shared" si="419"/>
        <v>0</v>
      </c>
    </row>
    <row r="2258" spans="1:14" x14ac:dyDescent="0.25">
      <c r="A2258" s="4" t="s">
        <v>1239</v>
      </c>
      <c r="B2258" s="4" t="s">
        <v>1369</v>
      </c>
      <c r="C2258" s="3">
        <v>2.7999000000000001E-3</v>
      </c>
      <c r="D2258" s="3">
        <v>6.5300999999999998E-4</v>
      </c>
      <c r="E2258" s="3">
        <v>2.7999000000000001E-3</v>
      </c>
      <c r="F2258" s="3">
        <v>6.5300999999999998E-4</v>
      </c>
      <c r="G2258">
        <f t="shared" si="414"/>
        <v>6</v>
      </c>
      <c r="H2258" t="str">
        <f t="shared" si="421"/>
        <v>ETH</v>
      </c>
      <c r="I2258" t="str">
        <f>LEFT(B2258,3)</f>
        <v>GUP</v>
      </c>
      <c r="J2258" t="str">
        <f t="shared" si="415"/>
        <v>ETHGUP</v>
      </c>
      <c r="K2258" t="str">
        <f t="shared" si="416"/>
        <v>GUPETH</v>
      </c>
      <c r="L2258">
        <f t="shared" si="417"/>
        <v>1</v>
      </c>
      <c r="M2258">
        <f t="shared" si="418"/>
        <v>1</v>
      </c>
      <c r="N2258" t="b">
        <f t="shared" si="419"/>
        <v>0</v>
      </c>
    </row>
    <row r="2259" spans="1:14" x14ac:dyDescent="0.25">
      <c r="A2259" s="4" t="s">
        <v>1239</v>
      </c>
      <c r="B2259" s="4" t="s">
        <v>1347</v>
      </c>
      <c r="C2259" s="3">
        <v>1.484E-4</v>
      </c>
      <c r="D2259" s="3">
        <v>1.1144E-4</v>
      </c>
      <c r="E2259" s="3">
        <v>1.484E-4</v>
      </c>
      <c r="F2259" s="3">
        <v>1.1144E-4</v>
      </c>
      <c r="G2259">
        <f t="shared" si="414"/>
        <v>8</v>
      </c>
      <c r="H2259" t="str">
        <f t="shared" si="421"/>
        <v>BTC</v>
      </c>
      <c r="I2259" t="str">
        <f>LEFT(B2259,5)</f>
        <v>INCNT</v>
      </c>
      <c r="J2259" t="str">
        <f t="shared" si="415"/>
        <v>BTCINCNT</v>
      </c>
      <c r="K2259" t="str">
        <f t="shared" si="416"/>
        <v>INCNTBTC</v>
      </c>
      <c r="L2259">
        <f t="shared" si="417"/>
        <v>1</v>
      </c>
      <c r="M2259">
        <f t="shared" si="418"/>
        <v>1</v>
      </c>
      <c r="N2259" t="b">
        <f t="shared" si="419"/>
        <v>0</v>
      </c>
    </row>
    <row r="2260" spans="1:14" x14ac:dyDescent="0.25">
      <c r="A2260" s="4" t="s">
        <v>5</v>
      </c>
      <c r="B2260" s="4" t="s">
        <v>440</v>
      </c>
      <c r="C2260" s="3">
        <v>3.1986999999999999E-4</v>
      </c>
      <c r="D2260" s="3">
        <v>2.5587E-4</v>
      </c>
      <c r="E2260" s="3">
        <v>3.1986999999999999E-4</v>
      </c>
      <c r="F2260" s="3">
        <v>2.5587E-4</v>
      </c>
      <c r="G2260">
        <f t="shared" si="414"/>
        <v>7</v>
      </c>
      <c r="H2260" t="str">
        <f t="shared" si="421"/>
        <v>BTC</v>
      </c>
      <c r="I2260" t="str">
        <f>LEFT(B2260,4)</f>
        <v>INFX</v>
      </c>
      <c r="J2260" t="str">
        <f t="shared" si="415"/>
        <v>BTCINFX</v>
      </c>
      <c r="K2260" t="str">
        <f t="shared" si="416"/>
        <v>INFXBTC</v>
      </c>
      <c r="L2260">
        <f t="shared" si="417"/>
        <v>1</v>
      </c>
      <c r="M2260">
        <f t="shared" si="418"/>
        <v>1</v>
      </c>
      <c r="N2260" t="b">
        <f t="shared" si="419"/>
        <v>0</v>
      </c>
    </row>
    <row r="2261" spans="1:14" x14ac:dyDescent="0.25">
      <c r="A2261" s="4" t="s">
        <v>5</v>
      </c>
      <c r="B2261" s="4" t="s">
        <v>669</v>
      </c>
      <c r="C2261" s="3">
        <v>2.2131500000000001E-3</v>
      </c>
      <c r="D2261" s="3">
        <v>1.12272E-3</v>
      </c>
      <c r="E2261" s="3">
        <v>2.2132166410363998E-3</v>
      </c>
      <c r="F2261" s="3">
        <v>1.1224319060915899E-3</v>
      </c>
      <c r="G2261">
        <f t="shared" si="414"/>
        <v>6</v>
      </c>
      <c r="H2261" t="str">
        <f t="shared" si="421"/>
        <v>BTC</v>
      </c>
      <c r="I2261" t="str">
        <f>LEFT(B2261,3)</f>
        <v>IOC</v>
      </c>
      <c r="J2261" t="str">
        <f t="shared" si="415"/>
        <v>BTCIOC</v>
      </c>
      <c r="K2261" t="str">
        <f t="shared" si="416"/>
        <v>IOCBTC</v>
      </c>
      <c r="L2261">
        <f t="shared" si="417"/>
        <v>1</v>
      </c>
      <c r="M2261">
        <f t="shared" si="418"/>
        <v>1</v>
      </c>
      <c r="N2261" t="b">
        <f t="shared" si="419"/>
        <v>0</v>
      </c>
    </row>
    <row r="2262" spans="1:14" x14ac:dyDescent="0.25">
      <c r="A2262" s="4" t="s">
        <v>5</v>
      </c>
      <c r="B2262" s="4" t="s">
        <v>585</v>
      </c>
      <c r="C2262" s="3">
        <v>2.0000000000000001E-4</v>
      </c>
      <c r="D2262" s="3">
        <v>1.3511E-4</v>
      </c>
      <c r="E2262" s="3">
        <v>2.0000000000000001E-4</v>
      </c>
      <c r="F2262" s="3">
        <v>1.3511E-4</v>
      </c>
      <c r="G2262">
        <f t="shared" si="414"/>
        <v>6</v>
      </c>
      <c r="H2262" t="str">
        <f t="shared" si="421"/>
        <v>BTC</v>
      </c>
      <c r="I2262" t="str">
        <f>LEFT(B2262,3)</f>
        <v>ION</v>
      </c>
      <c r="J2262" t="str">
        <f t="shared" si="415"/>
        <v>BTCION</v>
      </c>
      <c r="K2262" t="str">
        <f t="shared" si="416"/>
        <v>IONBTC</v>
      </c>
      <c r="L2262">
        <f t="shared" si="417"/>
        <v>1</v>
      </c>
      <c r="M2262">
        <f t="shared" si="418"/>
        <v>1</v>
      </c>
      <c r="N2262" t="b">
        <f t="shared" si="419"/>
        <v>0</v>
      </c>
    </row>
    <row r="2263" spans="1:14" x14ac:dyDescent="0.25">
      <c r="A2263" s="4" t="s">
        <v>1403</v>
      </c>
      <c r="B2263" s="4" t="s">
        <v>1462</v>
      </c>
      <c r="C2263" s="3">
        <v>3.4111999999999999E-4</v>
      </c>
      <c r="D2263" s="3">
        <v>6.4000000000000005E-4</v>
      </c>
      <c r="E2263" s="3">
        <v>9.998400000000001E-4</v>
      </c>
      <c r="F2263" s="3">
        <v>3.5115E-4</v>
      </c>
      <c r="G2263">
        <f t="shared" si="414"/>
        <v>6</v>
      </c>
      <c r="H2263" t="str">
        <f t="shared" si="421"/>
        <v>BTC</v>
      </c>
      <c r="I2263" t="str">
        <f>LEFT(B2263,3)</f>
        <v>IOP</v>
      </c>
      <c r="J2263" t="str">
        <f t="shared" si="415"/>
        <v>BTCIOP</v>
      </c>
      <c r="K2263" t="str">
        <f t="shared" si="416"/>
        <v>IOPBTC</v>
      </c>
      <c r="L2263">
        <f t="shared" si="417"/>
        <v>1</v>
      </c>
      <c r="M2263">
        <f t="shared" si="418"/>
        <v>1</v>
      </c>
      <c r="N2263" t="b">
        <f t="shared" si="419"/>
        <v>0</v>
      </c>
    </row>
    <row r="2264" spans="1:14" x14ac:dyDescent="0.25">
      <c r="A2264" s="4" t="s">
        <v>5</v>
      </c>
      <c r="B2264" s="4" t="s">
        <v>1181</v>
      </c>
      <c r="C2264" s="3">
        <v>2.2500000000000001E-6</v>
      </c>
      <c r="D2264" s="3">
        <v>1.4500000000000001E-6</v>
      </c>
      <c r="E2264" s="3">
        <v>2.2500000000000001E-6</v>
      </c>
      <c r="F2264" s="3">
        <v>1.4500000000000001E-6</v>
      </c>
      <c r="G2264">
        <f t="shared" si="414"/>
        <v>6</v>
      </c>
      <c r="H2264" t="str">
        <f t="shared" si="421"/>
        <v>BTC</v>
      </c>
      <c r="I2264" t="str">
        <f>LEFT(B2264,3)</f>
        <v>JWL</v>
      </c>
      <c r="J2264" t="str">
        <f t="shared" si="415"/>
        <v>BTCJWL</v>
      </c>
      <c r="K2264" t="str">
        <f t="shared" si="416"/>
        <v>JWLBTC</v>
      </c>
      <c r="L2264">
        <f t="shared" si="417"/>
        <v>1</v>
      </c>
      <c r="M2264">
        <f t="shared" si="418"/>
        <v>1</v>
      </c>
      <c r="N2264" t="b">
        <f t="shared" si="419"/>
        <v>0</v>
      </c>
    </row>
    <row r="2265" spans="1:14" x14ac:dyDescent="0.25">
      <c r="A2265" s="4" t="s">
        <v>3</v>
      </c>
      <c r="B2265" s="4" t="s">
        <v>288</v>
      </c>
      <c r="C2265" s="3">
        <v>3.2975999999999998E-2</v>
      </c>
      <c r="D2265" s="3">
        <v>3.2330999999999999E-2</v>
      </c>
      <c r="E2265" s="3">
        <v>3.2981000000000003E-2</v>
      </c>
      <c r="F2265" s="3">
        <v>3.2332E-2</v>
      </c>
      <c r="G2265">
        <f t="shared" si="414"/>
        <v>6</v>
      </c>
      <c r="H2265" t="str">
        <f t="shared" si="421"/>
        <v>BTC</v>
      </c>
      <c r="I2265" t="str">
        <f>LEFT(B2265,3)</f>
        <v>MLN</v>
      </c>
      <c r="J2265" t="str">
        <f t="shared" si="415"/>
        <v>BTCMLN</v>
      </c>
      <c r="K2265" t="str">
        <f t="shared" si="416"/>
        <v>MLNBTC</v>
      </c>
      <c r="L2265">
        <f t="shared" si="417"/>
        <v>1</v>
      </c>
      <c r="M2265">
        <f t="shared" si="418"/>
        <v>1</v>
      </c>
      <c r="N2265" t="b">
        <f t="shared" si="419"/>
        <v>0</v>
      </c>
    </row>
    <row r="2266" spans="1:14" x14ac:dyDescent="0.25">
      <c r="A2266" s="4" t="s">
        <v>1239</v>
      </c>
      <c r="B2266" s="4" t="s">
        <v>1247</v>
      </c>
      <c r="C2266" s="3">
        <v>1.5195000000000001E-4</v>
      </c>
      <c r="D2266" s="3">
        <v>1.3100000000000001E-4</v>
      </c>
      <c r="E2266" s="3">
        <v>1.5195000000000001E-4</v>
      </c>
      <c r="F2266" s="3">
        <v>1.3100000000000001E-4</v>
      </c>
      <c r="G2266">
        <f t="shared" si="414"/>
        <v>7</v>
      </c>
      <c r="H2266" t="str">
        <f t="shared" si="421"/>
        <v>BTC</v>
      </c>
      <c r="I2266" t="str">
        <f>LEFT(B2266,4)</f>
        <v>MONA</v>
      </c>
      <c r="J2266" t="str">
        <f t="shared" si="415"/>
        <v>BTCMONA</v>
      </c>
      <c r="K2266" t="str">
        <f t="shared" si="416"/>
        <v>MONABTC</v>
      </c>
      <c r="L2266">
        <f t="shared" si="417"/>
        <v>1</v>
      </c>
      <c r="M2266">
        <f t="shared" si="418"/>
        <v>1</v>
      </c>
      <c r="N2266" t="b">
        <f t="shared" si="419"/>
        <v>0</v>
      </c>
    </row>
    <row r="2267" spans="1:14" x14ac:dyDescent="0.25">
      <c r="A2267" s="4" t="s">
        <v>5</v>
      </c>
      <c r="B2267" s="4" t="s">
        <v>946</v>
      </c>
      <c r="C2267" s="3" t="s">
        <v>364</v>
      </c>
      <c r="D2267" s="3">
        <v>1.0001652700000001</v>
      </c>
      <c r="E2267" s="3" t="s">
        <v>361</v>
      </c>
      <c r="F2267" s="3" t="s">
        <v>362</v>
      </c>
      <c r="G2267">
        <f t="shared" si="414"/>
        <v>6</v>
      </c>
      <c r="H2267" t="str">
        <f t="shared" si="421"/>
        <v>BTC</v>
      </c>
      <c r="I2267" t="str">
        <f>LEFT(B2267,3)</f>
        <v>NAV</v>
      </c>
      <c r="J2267" t="str">
        <f t="shared" si="415"/>
        <v>BTCNAV</v>
      </c>
      <c r="K2267" t="str">
        <f t="shared" si="416"/>
        <v>NAVBTC</v>
      </c>
      <c r="L2267">
        <f t="shared" si="417"/>
        <v>1</v>
      </c>
      <c r="M2267">
        <f t="shared" si="418"/>
        <v>1</v>
      </c>
      <c r="N2267" t="b">
        <f t="shared" si="419"/>
        <v>0</v>
      </c>
    </row>
    <row r="2268" spans="1:14" x14ac:dyDescent="0.25">
      <c r="A2268" s="4" t="s">
        <v>5</v>
      </c>
      <c r="B2268" s="4" t="s">
        <v>484</v>
      </c>
      <c r="C2268" s="3">
        <v>6.19E-5</v>
      </c>
      <c r="D2268" s="3">
        <v>5.1430000000000001E-5</v>
      </c>
      <c r="E2268" s="3">
        <v>6.19E-5</v>
      </c>
      <c r="F2268" s="3">
        <v>5.1430000000000001E-5</v>
      </c>
      <c r="G2268">
        <f t="shared" si="414"/>
        <v>6</v>
      </c>
      <c r="H2268" t="str">
        <f t="shared" si="421"/>
        <v>BTC</v>
      </c>
      <c r="I2268" t="str">
        <f>LEFT(B2268,3)</f>
        <v>NLG</v>
      </c>
      <c r="J2268" t="str">
        <f t="shared" si="415"/>
        <v>BTCNLG</v>
      </c>
      <c r="K2268" t="str">
        <f t="shared" si="416"/>
        <v>NLGBTC</v>
      </c>
      <c r="L2268">
        <f t="shared" si="417"/>
        <v>1</v>
      </c>
      <c r="M2268">
        <f t="shared" si="418"/>
        <v>1</v>
      </c>
      <c r="N2268" t="b">
        <f t="shared" si="419"/>
        <v>0</v>
      </c>
    </row>
    <row r="2269" spans="1:14" x14ac:dyDescent="0.25">
      <c r="A2269" s="4" t="s">
        <v>4</v>
      </c>
      <c r="B2269" s="4" t="s">
        <v>300</v>
      </c>
      <c r="C2269" s="3">
        <v>1.45E-4</v>
      </c>
      <c r="D2269" s="3">
        <v>1.05E-4</v>
      </c>
      <c r="E2269" s="3">
        <v>1.45E-4</v>
      </c>
      <c r="F2269" s="3">
        <v>1.05E-4</v>
      </c>
      <c r="G2269">
        <f t="shared" si="414"/>
        <v>6</v>
      </c>
      <c r="H2269" t="str">
        <f t="shared" si="421"/>
        <v>BTC</v>
      </c>
      <c r="I2269" t="str">
        <f>LEFT(B2269,3)</f>
        <v>NXC</v>
      </c>
      <c r="J2269" t="str">
        <f t="shared" si="415"/>
        <v>BTCNXC</v>
      </c>
      <c r="K2269" t="str">
        <f t="shared" si="416"/>
        <v>NXCBTC</v>
      </c>
      <c r="L2269">
        <f t="shared" si="417"/>
        <v>2</v>
      </c>
      <c r="M2269">
        <f t="shared" si="418"/>
        <v>1</v>
      </c>
      <c r="N2269" t="b">
        <f t="shared" si="419"/>
        <v>0</v>
      </c>
    </row>
    <row r="2270" spans="1:14" x14ac:dyDescent="0.25">
      <c r="A2270" s="4" t="s">
        <v>5</v>
      </c>
      <c r="B2270" s="4" t="s">
        <v>835</v>
      </c>
      <c r="C2270" s="3">
        <v>5.3449999999999998E-5</v>
      </c>
      <c r="D2270" s="3">
        <v>3.1000000000000001E-5</v>
      </c>
      <c r="E2270" s="3">
        <v>5.3449999999999998E-5</v>
      </c>
      <c r="F2270" s="3">
        <v>3.1000000000000001E-5</v>
      </c>
      <c r="G2270">
        <f t="shared" si="414"/>
        <v>5</v>
      </c>
      <c r="H2270" t="str">
        <f t="shared" si="421"/>
        <v>BTC</v>
      </c>
      <c r="I2270" t="str">
        <f>LEFT(B2270,2)</f>
        <v>OK</v>
      </c>
      <c r="J2270" t="str">
        <f t="shared" si="415"/>
        <v>BTCOK</v>
      </c>
      <c r="K2270" t="str">
        <f t="shared" si="416"/>
        <v>OKBTC</v>
      </c>
      <c r="L2270">
        <f t="shared" si="417"/>
        <v>1</v>
      </c>
      <c r="M2270">
        <f t="shared" si="418"/>
        <v>1</v>
      </c>
      <c r="N2270" t="b">
        <f t="shared" si="419"/>
        <v>0</v>
      </c>
    </row>
    <row r="2271" spans="1:14" x14ac:dyDescent="0.25">
      <c r="A2271" s="4" t="s">
        <v>1403</v>
      </c>
      <c r="B2271" s="4" t="s">
        <v>1481</v>
      </c>
      <c r="C2271" s="3">
        <v>1.399999E-2</v>
      </c>
      <c r="D2271" s="3">
        <v>1.8700000000000001E-2</v>
      </c>
      <c r="E2271" s="3">
        <v>7.4999894867494393E-2</v>
      </c>
      <c r="F2271" s="3">
        <v>1.4999999999999999E-2</v>
      </c>
      <c r="G2271">
        <f t="shared" si="414"/>
        <v>7</v>
      </c>
      <c r="H2271" t="str">
        <f t="shared" si="421"/>
        <v>BTC</v>
      </c>
      <c r="I2271" t="str">
        <f>LEFT(B2271,4)</f>
        <v>OMNI</v>
      </c>
      <c r="J2271" t="str">
        <f t="shared" si="415"/>
        <v>BTCOMNI</v>
      </c>
      <c r="K2271" t="str">
        <f t="shared" si="416"/>
        <v>OMNIBTC</v>
      </c>
      <c r="L2271">
        <f t="shared" si="417"/>
        <v>1</v>
      </c>
      <c r="M2271">
        <f t="shared" si="418"/>
        <v>1</v>
      </c>
      <c r="N2271" t="b">
        <f t="shared" si="419"/>
        <v>0</v>
      </c>
    </row>
    <row r="2272" spans="1:14" x14ac:dyDescent="0.25">
      <c r="A2272" s="4" t="s">
        <v>5</v>
      </c>
      <c r="B2272" s="4" t="s">
        <v>1100</v>
      </c>
      <c r="C2272" s="3">
        <v>2.2277000000000001E-4</v>
      </c>
      <c r="D2272" s="3">
        <v>1.3276E-4</v>
      </c>
      <c r="E2272" s="3">
        <v>2.2277000000000001E-4</v>
      </c>
      <c r="F2272" s="3">
        <v>1.3276E-4</v>
      </c>
      <c r="G2272">
        <f t="shared" si="414"/>
        <v>6</v>
      </c>
      <c r="H2272" t="str">
        <f t="shared" si="421"/>
        <v>BTC</v>
      </c>
      <c r="I2272" t="str">
        <f>LEFT(B2272,3)</f>
        <v>PKB</v>
      </c>
      <c r="J2272" t="str">
        <f t="shared" si="415"/>
        <v>BTCPKB</v>
      </c>
      <c r="K2272" t="str">
        <f t="shared" si="416"/>
        <v>PKBBTC</v>
      </c>
      <c r="L2272">
        <f t="shared" si="417"/>
        <v>1</v>
      </c>
      <c r="M2272">
        <f t="shared" si="418"/>
        <v>1</v>
      </c>
      <c r="N2272" t="b">
        <f t="shared" si="419"/>
        <v>0</v>
      </c>
    </row>
    <row r="2273" spans="1:14" x14ac:dyDescent="0.25">
      <c r="A2273" s="4" t="s">
        <v>5</v>
      </c>
      <c r="B2273" s="4" t="s">
        <v>896</v>
      </c>
      <c r="C2273" s="3">
        <v>8.6000000000000002E-7</v>
      </c>
      <c r="D2273" s="3">
        <v>8.5000000000000001E-7</v>
      </c>
      <c r="E2273" s="3">
        <v>8.6000000000000002E-7</v>
      </c>
      <c r="F2273" s="3">
        <v>8.5000000000000001E-7</v>
      </c>
      <c r="G2273">
        <f t="shared" si="414"/>
        <v>6</v>
      </c>
      <c r="H2273" t="str">
        <f t="shared" si="421"/>
        <v>BTC</v>
      </c>
      <c r="I2273" t="str">
        <f>LEFT(B2273,3)</f>
        <v>RDD</v>
      </c>
      <c r="J2273" t="str">
        <f t="shared" si="415"/>
        <v>BTCRDD</v>
      </c>
      <c r="K2273" t="str">
        <f t="shared" si="416"/>
        <v>RDDBTC</v>
      </c>
      <c r="L2273">
        <f t="shared" si="417"/>
        <v>1</v>
      </c>
      <c r="M2273">
        <f t="shared" si="418"/>
        <v>1</v>
      </c>
      <c r="N2273" t="b">
        <f t="shared" si="419"/>
        <v>0</v>
      </c>
    </row>
    <row r="2274" spans="1:14" x14ac:dyDescent="0.25">
      <c r="A2274" s="4" t="s">
        <v>3</v>
      </c>
      <c r="B2274" s="4" t="s">
        <v>274</v>
      </c>
      <c r="C2274" s="3">
        <v>8.448E-2</v>
      </c>
      <c r="D2274" s="3">
        <v>8.3820000000000006E-2</v>
      </c>
      <c r="E2274" s="3">
        <v>8.4199999999999997E-2</v>
      </c>
      <c r="F2274" s="3">
        <v>8.3830000000000002E-2</v>
      </c>
      <c r="G2274">
        <f t="shared" si="414"/>
        <v>6</v>
      </c>
      <c r="H2274" t="str">
        <f t="shared" si="421"/>
        <v>ETH</v>
      </c>
      <c r="I2274" t="str">
        <f>LEFT(B2274,3)</f>
        <v>REP</v>
      </c>
      <c r="J2274" t="str">
        <f t="shared" si="415"/>
        <v>ETHREP</v>
      </c>
      <c r="K2274" t="str">
        <f t="shared" si="416"/>
        <v>REPETH</v>
      </c>
      <c r="L2274">
        <f t="shared" si="417"/>
        <v>1</v>
      </c>
      <c r="M2274">
        <f t="shared" si="418"/>
        <v>1</v>
      </c>
      <c r="N2274" t="b">
        <f t="shared" si="419"/>
        <v>0</v>
      </c>
    </row>
    <row r="2275" spans="1:14" x14ac:dyDescent="0.25">
      <c r="A2275" s="4" t="s">
        <v>5</v>
      </c>
      <c r="B2275" s="4" t="s">
        <v>878</v>
      </c>
      <c r="C2275" s="3">
        <v>2.588E-5</v>
      </c>
      <c r="D2275" s="3">
        <v>1.9029999999999999E-5</v>
      </c>
      <c r="E2275" s="3">
        <v>2.588E-5</v>
      </c>
      <c r="F2275" s="3">
        <v>1.9029999999999999E-5</v>
      </c>
      <c r="G2275">
        <f t="shared" si="414"/>
        <v>7</v>
      </c>
      <c r="H2275" t="str">
        <f t="shared" si="421"/>
        <v>BTC</v>
      </c>
      <c r="I2275" t="str">
        <f>LEFT(B2275,4)</f>
        <v>RISE</v>
      </c>
      <c r="J2275" t="str">
        <f t="shared" si="415"/>
        <v>BTCRISE</v>
      </c>
      <c r="K2275" t="str">
        <f t="shared" si="416"/>
        <v>RISEBTC</v>
      </c>
      <c r="L2275">
        <f t="shared" si="417"/>
        <v>1</v>
      </c>
      <c r="M2275">
        <f t="shared" si="418"/>
        <v>1</v>
      </c>
      <c r="N2275" t="b">
        <f t="shared" si="419"/>
        <v>0</v>
      </c>
    </row>
    <row r="2276" spans="1:14" x14ac:dyDescent="0.25">
      <c r="A2276" s="4" t="s">
        <v>4</v>
      </c>
      <c r="B2276" s="4" t="s">
        <v>308</v>
      </c>
      <c r="C2276" s="3">
        <v>2.878E-4</v>
      </c>
      <c r="D2276" s="3">
        <v>2.565E-4</v>
      </c>
      <c r="E2276" s="3">
        <v>2.878E-4</v>
      </c>
      <c r="F2276" s="3">
        <v>2.565E-4</v>
      </c>
      <c r="G2276">
        <f t="shared" si="414"/>
        <v>6</v>
      </c>
      <c r="H2276" t="str">
        <f t="shared" si="421"/>
        <v>BTC</v>
      </c>
      <c r="I2276" t="str">
        <f>LEFT(B2276,3)</f>
        <v>RLC</v>
      </c>
      <c r="J2276" t="str">
        <f t="shared" si="415"/>
        <v>BTCRLC</v>
      </c>
      <c r="K2276" t="str">
        <f t="shared" si="416"/>
        <v>RLCBTC</v>
      </c>
      <c r="L2276">
        <f t="shared" si="417"/>
        <v>1</v>
      </c>
      <c r="M2276">
        <f t="shared" si="418"/>
        <v>1</v>
      </c>
      <c r="N2276" t="b">
        <f t="shared" si="419"/>
        <v>0</v>
      </c>
    </row>
    <row r="2277" spans="1:14" x14ac:dyDescent="0.25">
      <c r="A2277" s="4" t="s">
        <v>1239</v>
      </c>
      <c r="B2277" s="4" t="s">
        <v>1241</v>
      </c>
      <c r="C2277" s="3">
        <v>0.17</v>
      </c>
      <c r="D2277" s="3">
        <v>0.01</v>
      </c>
      <c r="E2277" s="3">
        <v>0.17</v>
      </c>
      <c r="F2277" s="3">
        <v>0.01</v>
      </c>
      <c r="G2277">
        <f t="shared" si="414"/>
        <v>6</v>
      </c>
      <c r="H2277" t="str">
        <f t="shared" si="421"/>
        <v>USD</v>
      </c>
      <c r="I2277" t="str">
        <f>LEFT(B2277,3)</f>
        <v>RUR</v>
      </c>
      <c r="J2277" t="str">
        <f t="shared" si="415"/>
        <v>USDRUR</v>
      </c>
      <c r="K2277" t="str">
        <f t="shared" si="416"/>
        <v>RURUSD</v>
      </c>
      <c r="L2277">
        <f t="shared" si="417"/>
        <v>2</v>
      </c>
      <c r="M2277">
        <f t="shared" si="418"/>
        <v>1</v>
      </c>
      <c r="N2277" t="b">
        <f t="shared" si="419"/>
        <v>0</v>
      </c>
    </row>
    <row r="2278" spans="1:14" x14ac:dyDescent="0.25">
      <c r="A2278" s="4" t="s">
        <v>4</v>
      </c>
      <c r="B2278" s="4" t="s">
        <v>302</v>
      </c>
      <c r="C2278" s="3">
        <v>7.2000000000000005E-4</v>
      </c>
      <c r="D2278" s="3">
        <v>6.3000000000000003E-4</v>
      </c>
      <c r="E2278" s="3">
        <v>7.2000000000000005E-4</v>
      </c>
      <c r="F2278" s="3">
        <v>6.3000000000000003E-4</v>
      </c>
      <c r="G2278">
        <f t="shared" si="414"/>
        <v>6</v>
      </c>
      <c r="H2278" t="str">
        <f t="shared" si="421"/>
        <v>BTC</v>
      </c>
      <c r="I2278" t="str">
        <f>LEFT(B2278,3)</f>
        <v>SBD</v>
      </c>
      <c r="J2278" t="str">
        <f t="shared" si="415"/>
        <v>BTCSBD</v>
      </c>
      <c r="K2278" t="str">
        <f t="shared" si="416"/>
        <v>SBDBTC</v>
      </c>
      <c r="L2278">
        <f t="shared" si="417"/>
        <v>1</v>
      </c>
      <c r="M2278">
        <f t="shared" si="418"/>
        <v>1</v>
      </c>
      <c r="N2278" t="b">
        <f t="shared" si="419"/>
        <v>0</v>
      </c>
    </row>
    <row r="2279" spans="1:14" x14ac:dyDescent="0.25">
      <c r="A2279" s="4" t="s">
        <v>4</v>
      </c>
      <c r="B2279" s="4" t="s">
        <v>321</v>
      </c>
      <c r="C2279" s="3">
        <v>5.5990000000000001E-6</v>
      </c>
      <c r="D2279" s="3">
        <v>5.152E-6</v>
      </c>
      <c r="E2279" s="3">
        <v>5.5990000000000001E-6</v>
      </c>
      <c r="F2279" s="3">
        <v>5.152E-6</v>
      </c>
      <c r="G2279">
        <f t="shared" si="414"/>
        <v>5</v>
      </c>
      <c r="H2279" t="str">
        <f t="shared" si="421"/>
        <v>BTC</v>
      </c>
      <c r="I2279" t="str">
        <f>LEFT(B2279,2)</f>
        <v>SC</v>
      </c>
      <c r="J2279" t="str">
        <f t="shared" si="415"/>
        <v>BTCSC</v>
      </c>
      <c r="K2279" t="str">
        <f t="shared" si="416"/>
        <v>SCBTC</v>
      </c>
      <c r="L2279">
        <f t="shared" si="417"/>
        <v>2</v>
      </c>
      <c r="M2279">
        <f t="shared" si="418"/>
        <v>1</v>
      </c>
      <c r="N2279" t="b">
        <f t="shared" si="419"/>
        <v>0</v>
      </c>
    </row>
    <row r="2280" spans="1:14" x14ac:dyDescent="0.25">
      <c r="A2280" s="4" t="s">
        <v>1239</v>
      </c>
      <c r="B2280" s="4" t="s">
        <v>1257</v>
      </c>
      <c r="C2280" s="3">
        <v>6.7312000000000003E-4</v>
      </c>
      <c r="D2280" s="3">
        <v>5.6999999999999998E-4</v>
      </c>
      <c r="E2280" s="3">
        <v>6.7312000000000003E-4</v>
      </c>
      <c r="F2280" s="3">
        <v>5.6999999999999998E-4</v>
      </c>
      <c r="G2280">
        <f t="shared" si="414"/>
        <v>8</v>
      </c>
      <c r="H2280" t="str">
        <f t="shared" si="421"/>
        <v>BTC</v>
      </c>
      <c r="I2280" t="str">
        <f>LEFT(B2280,5)</f>
        <v>SHIFT</v>
      </c>
      <c r="J2280" t="str">
        <f t="shared" si="415"/>
        <v>BTCSHIFT</v>
      </c>
      <c r="K2280" t="str">
        <f t="shared" si="416"/>
        <v>SHIFTBTC</v>
      </c>
      <c r="L2280">
        <f t="shared" si="417"/>
        <v>1</v>
      </c>
      <c r="M2280">
        <f t="shared" si="418"/>
        <v>1</v>
      </c>
      <c r="N2280" t="b">
        <f t="shared" si="419"/>
        <v>0</v>
      </c>
    </row>
    <row r="2281" spans="1:14" x14ac:dyDescent="0.25">
      <c r="A2281" s="4" t="s">
        <v>1239</v>
      </c>
      <c r="B2281" s="4" t="s">
        <v>1271</v>
      </c>
      <c r="C2281" s="3">
        <v>9.2E-5</v>
      </c>
      <c r="D2281" s="3">
        <v>7.8590000000000005E-5</v>
      </c>
      <c r="E2281" s="3">
        <v>9.2E-5</v>
      </c>
      <c r="F2281" s="3">
        <v>7.8590000000000005E-5</v>
      </c>
      <c r="G2281">
        <f t="shared" si="414"/>
        <v>6</v>
      </c>
      <c r="H2281" t="str">
        <f t="shared" si="421"/>
        <v>BTC</v>
      </c>
      <c r="I2281" t="str">
        <f>LEFT(B2281,3)</f>
        <v>SLR</v>
      </c>
      <c r="J2281" t="str">
        <f t="shared" si="415"/>
        <v>BTCSLR</v>
      </c>
      <c r="K2281" t="str">
        <f t="shared" si="416"/>
        <v>SLRBTC</v>
      </c>
      <c r="L2281">
        <f t="shared" si="417"/>
        <v>1</v>
      </c>
      <c r="M2281">
        <f t="shared" si="418"/>
        <v>1</v>
      </c>
      <c r="N2281" t="b">
        <f t="shared" si="419"/>
        <v>0</v>
      </c>
    </row>
    <row r="2282" spans="1:14" x14ac:dyDescent="0.25">
      <c r="A2282" s="4" t="s">
        <v>5</v>
      </c>
      <c r="B2282" s="4" t="s">
        <v>620</v>
      </c>
      <c r="C2282" s="3">
        <v>3.8701199999999999E-3</v>
      </c>
      <c r="D2282" s="3">
        <v>1.5573099999999999E-3</v>
      </c>
      <c r="E2282" s="3">
        <v>3.870201966736E-3</v>
      </c>
      <c r="F2282" s="3">
        <v>1.55725434778359E-3</v>
      </c>
      <c r="G2282">
        <f t="shared" si="414"/>
        <v>6</v>
      </c>
      <c r="H2282" t="str">
        <f t="shared" si="421"/>
        <v>BTC</v>
      </c>
      <c r="I2282" t="str">
        <f>LEFT(B2282,3)</f>
        <v>SLS</v>
      </c>
      <c r="J2282" t="str">
        <f t="shared" si="415"/>
        <v>BTCSLS</v>
      </c>
      <c r="K2282" t="str">
        <f t="shared" si="416"/>
        <v>SLSBTC</v>
      </c>
      <c r="L2282">
        <f t="shared" si="417"/>
        <v>1</v>
      </c>
      <c r="M2282">
        <f t="shared" si="418"/>
        <v>1</v>
      </c>
      <c r="N2282" t="b">
        <f t="shared" si="419"/>
        <v>0</v>
      </c>
    </row>
    <row r="2283" spans="1:14" x14ac:dyDescent="0.25">
      <c r="A2283" s="4" t="s">
        <v>4</v>
      </c>
      <c r="B2283" s="4" t="s">
        <v>310</v>
      </c>
      <c r="C2283" s="3">
        <v>8.9889999999999995E-5</v>
      </c>
      <c r="D2283" s="3">
        <v>8.0000000000000007E-5</v>
      </c>
      <c r="E2283" s="3">
        <v>8.9889999999999995E-5</v>
      </c>
      <c r="F2283" s="3" t="s">
        <v>311</v>
      </c>
      <c r="G2283">
        <f t="shared" si="414"/>
        <v>8</v>
      </c>
      <c r="H2283" t="str">
        <f t="shared" ref="H2283:H2302" si="422">RIGHT(B2283,3)</f>
        <v>BTC</v>
      </c>
      <c r="I2283" t="str">
        <f>LEFT(B2283,5)</f>
        <v>SNGLS</v>
      </c>
      <c r="J2283" t="str">
        <f t="shared" si="415"/>
        <v>BTCSNGLS</v>
      </c>
      <c r="K2283" t="str">
        <f t="shared" si="416"/>
        <v>SNGLSBTC</v>
      </c>
      <c r="L2283">
        <f t="shared" si="417"/>
        <v>1</v>
      </c>
      <c r="M2283">
        <f t="shared" si="418"/>
        <v>1</v>
      </c>
      <c r="N2283" t="b">
        <f t="shared" si="419"/>
        <v>0</v>
      </c>
    </row>
    <row r="2284" spans="1:14" x14ac:dyDescent="0.25">
      <c r="A2284" s="4" t="s">
        <v>5</v>
      </c>
      <c r="B2284" s="4" t="s">
        <v>917</v>
      </c>
      <c r="C2284" s="3">
        <v>4.7610000000000003E-4</v>
      </c>
      <c r="D2284" s="3">
        <v>2.3666E-4</v>
      </c>
      <c r="E2284" s="3">
        <v>4.7610000000000003E-4</v>
      </c>
      <c r="F2284" s="3">
        <v>2.3666E-4</v>
      </c>
      <c r="G2284">
        <f t="shared" si="414"/>
        <v>7</v>
      </c>
      <c r="H2284" t="str">
        <f t="shared" si="422"/>
        <v>BTC</v>
      </c>
      <c r="I2284" t="str">
        <f>LEFT(B2284,4)</f>
        <v>SNRG</v>
      </c>
      <c r="J2284" t="str">
        <f t="shared" si="415"/>
        <v>BTCSNRG</v>
      </c>
      <c r="K2284" t="str">
        <f t="shared" si="416"/>
        <v>SNRGBTC</v>
      </c>
      <c r="L2284">
        <f t="shared" si="417"/>
        <v>1</v>
      </c>
      <c r="M2284">
        <f t="shared" si="418"/>
        <v>1</v>
      </c>
      <c r="N2284" t="b">
        <f t="shared" si="419"/>
        <v>0</v>
      </c>
    </row>
    <row r="2285" spans="1:14" x14ac:dyDescent="0.25">
      <c r="A2285" s="4" t="s">
        <v>5</v>
      </c>
      <c r="B2285" s="4" t="s">
        <v>823</v>
      </c>
      <c r="C2285" s="3">
        <v>2.632E-4</v>
      </c>
      <c r="D2285" s="3">
        <v>1.6037000000000001E-4</v>
      </c>
      <c r="E2285" s="3">
        <v>2.632E-4</v>
      </c>
      <c r="F2285" s="3">
        <v>1.6037000000000001E-4</v>
      </c>
      <c r="G2285">
        <f t="shared" si="414"/>
        <v>6</v>
      </c>
      <c r="H2285" t="str">
        <f t="shared" si="422"/>
        <v>BTC</v>
      </c>
      <c r="I2285" t="str">
        <f>LEFT(B2285,3)</f>
        <v>SPR</v>
      </c>
      <c r="J2285" t="str">
        <f t="shared" si="415"/>
        <v>BTCSPR</v>
      </c>
      <c r="K2285" t="str">
        <f t="shared" si="416"/>
        <v>SPRBTC</v>
      </c>
      <c r="L2285">
        <f t="shared" si="417"/>
        <v>1</v>
      </c>
      <c r="M2285">
        <f t="shared" si="418"/>
        <v>1</v>
      </c>
      <c r="N2285" t="b">
        <f t="shared" si="419"/>
        <v>0</v>
      </c>
    </row>
    <row r="2286" spans="1:14" x14ac:dyDescent="0.25">
      <c r="A2286" s="4" t="s">
        <v>5</v>
      </c>
      <c r="B2286" s="4" t="s">
        <v>1017</v>
      </c>
      <c r="C2286" s="3">
        <v>1.7750000000000001E-5</v>
      </c>
      <c r="D2286" s="3">
        <v>1.305E-5</v>
      </c>
      <c r="E2286" s="3">
        <v>1.7750000000000001E-5</v>
      </c>
      <c r="F2286" s="3">
        <v>1.305E-5</v>
      </c>
      <c r="G2286">
        <f t="shared" si="414"/>
        <v>8</v>
      </c>
      <c r="H2286" t="str">
        <f t="shared" si="422"/>
        <v>BTC</v>
      </c>
      <c r="I2286" t="str">
        <f>LEFT(B2286,5)</f>
        <v>START</v>
      </c>
      <c r="J2286" t="str">
        <f t="shared" si="415"/>
        <v>BTCSTART</v>
      </c>
      <c r="K2286" t="str">
        <f t="shared" si="416"/>
        <v>STARTBTC</v>
      </c>
      <c r="L2286">
        <f t="shared" si="417"/>
        <v>1</v>
      </c>
      <c r="M2286">
        <f t="shared" si="418"/>
        <v>1</v>
      </c>
      <c r="N2286" t="b">
        <f t="shared" si="419"/>
        <v>0</v>
      </c>
    </row>
    <row r="2287" spans="1:14" x14ac:dyDescent="0.25">
      <c r="A2287" s="4" t="s">
        <v>1239</v>
      </c>
      <c r="B2287" s="4" t="s">
        <v>1384</v>
      </c>
      <c r="C2287" s="3">
        <v>3.3999999999999998E-3</v>
      </c>
      <c r="D2287" s="3">
        <v>3.0035499999999998E-3</v>
      </c>
      <c r="E2287" s="3">
        <v>3.3999999999999998E-3</v>
      </c>
      <c r="F2287" s="3">
        <v>3.0035499999999998E-3</v>
      </c>
      <c r="G2287">
        <f t="shared" si="414"/>
        <v>8</v>
      </c>
      <c r="H2287" t="str">
        <f t="shared" si="422"/>
        <v>BTC</v>
      </c>
      <c r="I2287" t="str">
        <f>LEFT(B2287,5)</f>
        <v>STRAT</v>
      </c>
      <c r="J2287" t="str">
        <f t="shared" si="415"/>
        <v>BTCSTRAT</v>
      </c>
      <c r="K2287" t="str">
        <f t="shared" si="416"/>
        <v>STRATBTC</v>
      </c>
      <c r="L2287">
        <f t="shared" si="417"/>
        <v>1</v>
      </c>
      <c r="M2287">
        <f t="shared" si="418"/>
        <v>1</v>
      </c>
      <c r="N2287" t="b">
        <f t="shared" si="419"/>
        <v>0</v>
      </c>
    </row>
    <row r="2288" spans="1:14" x14ac:dyDescent="0.25">
      <c r="A2288" s="4" t="s">
        <v>4</v>
      </c>
      <c r="B2288" s="4" t="s">
        <v>319</v>
      </c>
      <c r="C2288" s="3">
        <v>2.2999800000000001E-3</v>
      </c>
      <c r="D2288" s="3">
        <v>1.60002E-3</v>
      </c>
      <c r="E2288" s="3">
        <v>2.2999800000000001E-3</v>
      </c>
      <c r="F2288" s="3">
        <v>1.60002E-3</v>
      </c>
      <c r="G2288">
        <f t="shared" si="414"/>
        <v>6</v>
      </c>
      <c r="H2288" t="str">
        <f t="shared" si="422"/>
        <v>BTC</v>
      </c>
      <c r="I2288" t="str">
        <f>LEFT(B2288,3)</f>
        <v>SWT</v>
      </c>
      <c r="J2288" t="str">
        <f t="shared" si="415"/>
        <v>BTCSWT</v>
      </c>
      <c r="K2288" t="str">
        <f t="shared" si="416"/>
        <v>SWTBTC</v>
      </c>
      <c r="L2288">
        <f t="shared" si="417"/>
        <v>1</v>
      </c>
      <c r="M2288">
        <f t="shared" si="418"/>
        <v>1</v>
      </c>
      <c r="N2288" t="b">
        <f t="shared" si="419"/>
        <v>0</v>
      </c>
    </row>
    <row r="2289" spans="1:14" x14ac:dyDescent="0.25">
      <c r="A2289" s="4" t="s">
        <v>5</v>
      </c>
      <c r="B2289" s="4" t="s">
        <v>1134</v>
      </c>
      <c r="C2289" s="3">
        <v>9.7899999999999994E-5</v>
      </c>
      <c r="D2289" s="3">
        <v>9.7499999999999998E-5</v>
      </c>
      <c r="E2289" s="3">
        <v>9.7899999999999994E-5</v>
      </c>
      <c r="F2289" s="3">
        <v>9.7499999999999998E-5</v>
      </c>
      <c r="G2289">
        <f t="shared" si="414"/>
        <v>7</v>
      </c>
      <c r="H2289" t="str">
        <f t="shared" si="422"/>
        <v>BTC</v>
      </c>
      <c r="I2289" t="str">
        <f>LEFT(B2289,4)</f>
        <v>SYNX</v>
      </c>
      <c r="J2289" t="str">
        <f t="shared" si="415"/>
        <v>BTCSYNX</v>
      </c>
      <c r="K2289" t="str">
        <f t="shared" si="416"/>
        <v>SYNXBTC</v>
      </c>
      <c r="L2289">
        <f t="shared" si="417"/>
        <v>1</v>
      </c>
      <c r="M2289">
        <f t="shared" si="418"/>
        <v>1</v>
      </c>
      <c r="N2289" t="b">
        <f t="shared" si="419"/>
        <v>0</v>
      </c>
    </row>
    <row r="2290" spans="1:14" x14ac:dyDescent="0.25">
      <c r="A2290" s="4" t="s">
        <v>4</v>
      </c>
      <c r="B2290" s="4" t="s">
        <v>313</v>
      </c>
      <c r="C2290" s="3">
        <v>1.3999999999999999E-4</v>
      </c>
      <c r="D2290" s="3">
        <v>1.12E-4</v>
      </c>
      <c r="E2290" s="3">
        <v>1.3999999999999999E-4</v>
      </c>
      <c r="F2290" s="3">
        <v>1.12E-4</v>
      </c>
      <c r="G2290">
        <f t="shared" si="414"/>
        <v>7</v>
      </c>
      <c r="H2290" t="str">
        <f t="shared" si="422"/>
        <v>BTC</v>
      </c>
      <c r="I2290" t="str">
        <f>LEFT(B2290,4)</f>
        <v>TRST</v>
      </c>
      <c r="J2290" t="str">
        <f t="shared" si="415"/>
        <v>BTCTRST</v>
      </c>
      <c r="K2290" t="str">
        <f t="shared" si="416"/>
        <v>TRSTBTC</v>
      </c>
      <c r="L2290">
        <f t="shared" si="417"/>
        <v>1</v>
      </c>
      <c r="M2290">
        <f t="shared" si="418"/>
        <v>1</v>
      </c>
      <c r="N2290" t="b">
        <f t="shared" si="419"/>
        <v>0</v>
      </c>
    </row>
    <row r="2291" spans="1:14" x14ac:dyDescent="0.25">
      <c r="A2291" s="4" t="s">
        <v>1403</v>
      </c>
      <c r="B2291" s="4" t="s">
        <v>1507</v>
      </c>
      <c r="C2291" s="3">
        <v>1.2700009999999999E-2</v>
      </c>
      <c r="D2291" s="3">
        <v>1.3299999999999999E-2</v>
      </c>
      <c r="E2291" s="3">
        <v>1.3299999999999999E-2</v>
      </c>
      <c r="F2291" s="3">
        <v>1.290001E-2</v>
      </c>
      <c r="G2291">
        <f t="shared" si="414"/>
        <v>6</v>
      </c>
      <c r="H2291" t="str">
        <f t="shared" si="422"/>
        <v>BTC</v>
      </c>
      <c r="I2291" t="str">
        <f t="shared" ref="I2291:I2297" si="423">LEFT(B2291,3)</f>
        <v>UNO</v>
      </c>
      <c r="J2291" t="str">
        <f t="shared" si="415"/>
        <v>BTCUNO</v>
      </c>
      <c r="K2291" t="str">
        <f t="shared" si="416"/>
        <v>UNOBTC</v>
      </c>
      <c r="L2291">
        <f t="shared" si="417"/>
        <v>1</v>
      </c>
      <c r="M2291">
        <f t="shared" si="418"/>
        <v>1</v>
      </c>
      <c r="N2291" t="b">
        <f t="shared" si="419"/>
        <v>0</v>
      </c>
    </row>
    <row r="2292" spans="1:14" x14ac:dyDescent="0.25">
      <c r="A2292" s="4" t="s">
        <v>1403</v>
      </c>
      <c r="B2292" s="4" t="s">
        <v>1404</v>
      </c>
      <c r="C2292" s="3">
        <v>4.0453E-4</v>
      </c>
      <c r="D2292" s="3">
        <v>4.0453E-4</v>
      </c>
      <c r="E2292" s="3">
        <v>4.1135E-4</v>
      </c>
      <c r="F2292" s="3">
        <v>4.0486E-4</v>
      </c>
      <c r="G2292">
        <f t="shared" si="414"/>
        <v>6</v>
      </c>
      <c r="H2292" t="str">
        <f t="shared" si="422"/>
        <v>BTC</v>
      </c>
      <c r="I2292" t="str">
        <f t="shared" si="423"/>
        <v>USD</v>
      </c>
      <c r="J2292" t="str">
        <f t="shared" si="415"/>
        <v>BTCUSD</v>
      </c>
      <c r="K2292" t="str">
        <f t="shared" si="416"/>
        <v>USDBTC</v>
      </c>
      <c r="L2292">
        <f t="shared" si="417"/>
        <v>8</v>
      </c>
      <c r="M2292">
        <f t="shared" si="418"/>
        <v>1</v>
      </c>
      <c r="N2292" t="b">
        <f t="shared" si="419"/>
        <v>0</v>
      </c>
    </row>
    <row r="2293" spans="1:14" x14ac:dyDescent="0.25">
      <c r="A2293" s="4" t="s">
        <v>5</v>
      </c>
      <c r="B2293" s="4" t="s">
        <v>553</v>
      </c>
      <c r="C2293" s="3">
        <v>3.1495999999999998E-4</v>
      </c>
      <c r="D2293" s="3">
        <v>2.5065999999999999E-4</v>
      </c>
      <c r="E2293" s="3">
        <v>3.1495999999999998E-4</v>
      </c>
      <c r="F2293" s="3">
        <v>2.5065999999999999E-4</v>
      </c>
      <c r="G2293">
        <f t="shared" si="414"/>
        <v>6</v>
      </c>
      <c r="H2293" t="str">
        <f t="shared" si="422"/>
        <v>BTC</v>
      </c>
      <c r="I2293" t="str">
        <f t="shared" si="423"/>
        <v>VIA</v>
      </c>
      <c r="J2293" t="str">
        <f t="shared" si="415"/>
        <v>BTCVIA</v>
      </c>
      <c r="K2293" t="str">
        <f t="shared" si="416"/>
        <v>VIABTC</v>
      </c>
      <c r="L2293">
        <f t="shared" si="417"/>
        <v>1</v>
      </c>
      <c r="M2293">
        <f t="shared" si="418"/>
        <v>1</v>
      </c>
      <c r="N2293" t="b">
        <f t="shared" si="419"/>
        <v>0</v>
      </c>
    </row>
    <row r="2294" spans="1:14" x14ac:dyDescent="0.25">
      <c r="A2294" s="4" t="s">
        <v>1239</v>
      </c>
      <c r="B2294" s="4" t="s">
        <v>1253</v>
      </c>
      <c r="C2294" s="3">
        <v>2.5420000000000001E-5</v>
      </c>
      <c r="D2294" s="3">
        <v>2.014E-5</v>
      </c>
      <c r="E2294" s="3">
        <v>2.5420000000000001E-5</v>
      </c>
      <c r="F2294" s="3">
        <v>2.014E-5</v>
      </c>
      <c r="G2294">
        <f t="shared" si="414"/>
        <v>6</v>
      </c>
      <c r="H2294" t="str">
        <f t="shared" si="422"/>
        <v>BTC</v>
      </c>
      <c r="I2294" t="str">
        <f t="shared" si="423"/>
        <v>VOX</v>
      </c>
      <c r="J2294" t="str">
        <f t="shared" si="415"/>
        <v>BTCVOX</v>
      </c>
      <c r="K2294" t="str">
        <f t="shared" si="416"/>
        <v>VOXBTC</v>
      </c>
      <c r="L2294">
        <f t="shared" si="417"/>
        <v>1</v>
      </c>
      <c r="M2294">
        <f t="shared" si="418"/>
        <v>1</v>
      </c>
      <c r="N2294" t="b">
        <f t="shared" si="419"/>
        <v>0</v>
      </c>
    </row>
    <row r="2295" spans="1:14" x14ac:dyDescent="0.25">
      <c r="A2295" s="4" t="s">
        <v>1239</v>
      </c>
      <c r="B2295" s="4" t="s">
        <v>1273</v>
      </c>
      <c r="C2295" s="3">
        <v>1.7997999999999999E-4</v>
      </c>
      <c r="D2295" s="3">
        <v>1.3302999999999999E-4</v>
      </c>
      <c r="E2295" s="3">
        <v>1.7997999999999999E-4</v>
      </c>
      <c r="F2295" s="3">
        <v>1.3302E-4</v>
      </c>
      <c r="G2295">
        <f t="shared" si="414"/>
        <v>6</v>
      </c>
      <c r="H2295" t="str">
        <f t="shared" si="422"/>
        <v>BTC</v>
      </c>
      <c r="I2295" t="str">
        <f t="shared" si="423"/>
        <v>VRC</v>
      </c>
      <c r="J2295" t="str">
        <f t="shared" si="415"/>
        <v>BTCVRC</v>
      </c>
      <c r="K2295" t="str">
        <f t="shared" si="416"/>
        <v>VRCBTC</v>
      </c>
      <c r="L2295">
        <f t="shared" si="417"/>
        <v>1</v>
      </c>
      <c r="M2295">
        <f t="shared" si="418"/>
        <v>1</v>
      </c>
      <c r="N2295" t="b">
        <f t="shared" si="419"/>
        <v>0</v>
      </c>
    </row>
    <row r="2296" spans="1:14" x14ac:dyDescent="0.25">
      <c r="A2296" s="4" t="s">
        <v>1239</v>
      </c>
      <c r="B2296" s="4" t="s">
        <v>1280</v>
      </c>
      <c r="C2296" s="3">
        <v>5.3229999999999998E-4</v>
      </c>
      <c r="D2296" s="3">
        <v>4.2790999999999999E-4</v>
      </c>
      <c r="E2296" s="3">
        <v>5.3229999999999998E-4</v>
      </c>
      <c r="F2296" s="3">
        <v>4.2790999999999999E-4</v>
      </c>
      <c r="G2296">
        <f t="shared" si="414"/>
        <v>6</v>
      </c>
      <c r="H2296" t="str">
        <f t="shared" si="422"/>
        <v>BTC</v>
      </c>
      <c r="I2296" t="str">
        <f t="shared" si="423"/>
        <v>VRM</v>
      </c>
      <c r="J2296" t="str">
        <f t="shared" si="415"/>
        <v>BTCVRM</v>
      </c>
      <c r="K2296" t="str">
        <f t="shared" si="416"/>
        <v>VRMBTC</v>
      </c>
      <c r="L2296">
        <f t="shared" si="417"/>
        <v>1</v>
      </c>
      <c r="M2296">
        <f t="shared" si="418"/>
        <v>1</v>
      </c>
      <c r="N2296" t="b">
        <f t="shared" si="419"/>
        <v>0</v>
      </c>
    </row>
    <row r="2297" spans="1:14" x14ac:dyDescent="0.25">
      <c r="A2297" s="4" t="s">
        <v>5</v>
      </c>
      <c r="B2297" s="4" t="s">
        <v>810</v>
      </c>
      <c r="C2297" s="3">
        <v>3.8999999999999999E-4</v>
      </c>
      <c r="D2297" s="3">
        <v>2.7512000000000001E-4</v>
      </c>
      <c r="E2297" s="3">
        <v>3.8999999999999999E-4</v>
      </c>
      <c r="F2297" s="3">
        <v>2.7512000000000001E-4</v>
      </c>
      <c r="G2297">
        <f t="shared" si="414"/>
        <v>6</v>
      </c>
      <c r="H2297" t="str">
        <f t="shared" si="422"/>
        <v>BTC</v>
      </c>
      <c r="I2297" t="str">
        <f t="shared" si="423"/>
        <v>VTC</v>
      </c>
      <c r="J2297" t="str">
        <f t="shared" si="415"/>
        <v>BTCVTC</v>
      </c>
      <c r="K2297" t="str">
        <f t="shared" si="416"/>
        <v>VTCBTC</v>
      </c>
      <c r="L2297">
        <f t="shared" si="417"/>
        <v>2</v>
      </c>
      <c r="M2297">
        <f t="shared" si="418"/>
        <v>1</v>
      </c>
      <c r="N2297" t="b">
        <f t="shared" si="419"/>
        <v>0</v>
      </c>
    </row>
    <row r="2298" spans="1:14" x14ac:dyDescent="0.25">
      <c r="A2298" s="4" t="s">
        <v>1239</v>
      </c>
      <c r="B2298" s="4" t="s">
        <v>1372</v>
      </c>
      <c r="C2298" s="3">
        <v>2.9279000000000002E-3</v>
      </c>
      <c r="D2298" s="3">
        <v>1.763E-3</v>
      </c>
      <c r="E2298" s="3">
        <v>2.9279000000000002E-3</v>
      </c>
      <c r="F2298" s="3">
        <v>1.763E-3</v>
      </c>
      <c r="G2298">
        <f t="shared" si="414"/>
        <v>8</v>
      </c>
      <c r="H2298" t="str">
        <f t="shared" si="422"/>
        <v>ETH</v>
      </c>
      <c r="I2298" t="str">
        <f>LEFT(B2298,5)</f>
        <v>WINGS</v>
      </c>
      <c r="J2298" t="str">
        <f t="shared" si="415"/>
        <v>ETHWINGS</v>
      </c>
      <c r="K2298" t="str">
        <f t="shared" si="416"/>
        <v>WINGSETH</v>
      </c>
      <c r="L2298">
        <f t="shared" si="417"/>
        <v>1</v>
      </c>
      <c r="M2298">
        <f t="shared" si="418"/>
        <v>1</v>
      </c>
      <c r="N2298" t="b">
        <f t="shared" si="419"/>
        <v>0</v>
      </c>
    </row>
    <row r="2299" spans="1:14" x14ac:dyDescent="0.25">
      <c r="A2299" s="4" t="s">
        <v>4</v>
      </c>
      <c r="B2299" s="4" t="s">
        <v>342</v>
      </c>
      <c r="C2299" s="3">
        <v>1.8300000000000001E-6</v>
      </c>
      <c r="D2299" s="3">
        <v>1.8259E-6</v>
      </c>
      <c r="E2299" s="3">
        <v>1.8300000000000001E-6</v>
      </c>
      <c r="F2299" s="3">
        <v>1.8259E-6</v>
      </c>
      <c r="G2299">
        <f t="shared" si="414"/>
        <v>6</v>
      </c>
      <c r="H2299" t="str">
        <f t="shared" si="422"/>
        <v>BTC</v>
      </c>
      <c r="I2299" t="str">
        <f>LEFT(B2299,3)</f>
        <v>XDN</v>
      </c>
      <c r="J2299" t="str">
        <f t="shared" si="415"/>
        <v>BTCXDN</v>
      </c>
      <c r="K2299" t="str">
        <f t="shared" si="416"/>
        <v>XDNBTC</v>
      </c>
      <c r="L2299">
        <f t="shared" si="417"/>
        <v>1</v>
      </c>
      <c r="M2299">
        <f t="shared" si="418"/>
        <v>1</v>
      </c>
      <c r="N2299" t="b">
        <f t="shared" si="419"/>
        <v>0</v>
      </c>
    </row>
    <row r="2300" spans="1:14" x14ac:dyDescent="0.25">
      <c r="A2300" s="4" t="s">
        <v>4</v>
      </c>
      <c r="B2300" s="4" t="s">
        <v>338</v>
      </c>
      <c r="C2300" s="3">
        <v>7.7559999999999996E-5</v>
      </c>
      <c r="D2300" s="3">
        <v>7.6970000000000003E-5</v>
      </c>
      <c r="E2300" s="3">
        <v>7.7479999999999997E-5</v>
      </c>
      <c r="F2300" s="3">
        <v>7.6970000000000003E-5</v>
      </c>
      <c r="G2300">
        <f t="shared" si="414"/>
        <v>6</v>
      </c>
      <c r="H2300" t="str">
        <f t="shared" si="422"/>
        <v>BTC</v>
      </c>
      <c r="I2300" t="str">
        <f>LEFT(B2300,3)</f>
        <v>XEM</v>
      </c>
      <c r="J2300" t="str">
        <f t="shared" si="415"/>
        <v>BTCXEM</v>
      </c>
      <c r="K2300" t="str">
        <f t="shared" si="416"/>
        <v>XEMBTC</v>
      </c>
      <c r="L2300">
        <f t="shared" si="417"/>
        <v>1</v>
      </c>
      <c r="M2300">
        <f t="shared" si="418"/>
        <v>1</v>
      </c>
      <c r="N2300" t="b">
        <f t="shared" si="419"/>
        <v>0</v>
      </c>
    </row>
    <row r="2301" spans="1:14" x14ac:dyDescent="0.25">
      <c r="A2301" s="4" t="s">
        <v>3</v>
      </c>
      <c r="B2301" s="4" t="s">
        <v>286</v>
      </c>
      <c r="C2301" s="3">
        <v>1.4960000000000001E-5</v>
      </c>
      <c r="D2301" s="3">
        <v>1.4919999999999999E-5</v>
      </c>
      <c r="E2301" s="3">
        <v>1.4949999999999999E-5</v>
      </c>
      <c r="F2301" s="3">
        <v>1.4929999999999999E-5</v>
      </c>
      <c r="G2301">
        <f t="shared" si="414"/>
        <v>6</v>
      </c>
      <c r="H2301" t="str">
        <f t="shared" si="422"/>
        <v>BTC</v>
      </c>
      <c r="I2301" t="str">
        <f>LEFT(B2301,3)</f>
        <v>XLM</v>
      </c>
      <c r="J2301" t="str">
        <f t="shared" si="415"/>
        <v>BTCXLM</v>
      </c>
      <c r="K2301" t="str">
        <f t="shared" si="416"/>
        <v>XLMBTC</v>
      </c>
      <c r="L2301">
        <f t="shared" si="417"/>
        <v>1</v>
      </c>
      <c r="M2301">
        <f t="shared" si="418"/>
        <v>1</v>
      </c>
      <c r="N2301" t="b">
        <f t="shared" si="419"/>
        <v>0</v>
      </c>
    </row>
    <row r="2302" spans="1:14" x14ac:dyDescent="0.25">
      <c r="A2302" s="4" t="s">
        <v>1403</v>
      </c>
      <c r="B2302" s="4" t="s">
        <v>1530</v>
      </c>
      <c r="C2302" s="3">
        <v>9.7006999999999996E-4</v>
      </c>
      <c r="D2302" s="3">
        <v>1E-3</v>
      </c>
      <c r="E2302" s="3">
        <v>1.0150933948000001E-3</v>
      </c>
      <c r="F2302" s="3">
        <v>9.7006999999999996E-4</v>
      </c>
      <c r="G2302">
        <f t="shared" si="414"/>
        <v>6</v>
      </c>
      <c r="H2302" t="str">
        <f t="shared" si="422"/>
        <v>BTC</v>
      </c>
      <c r="I2302" t="str">
        <f>LEFT(B2302,3)</f>
        <v>ZCL</v>
      </c>
      <c r="J2302" t="str">
        <f t="shared" si="415"/>
        <v>BTCZCL</v>
      </c>
      <c r="K2302" t="str">
        <f t="shared" si="416"/>
        <v>ZCLBTC</v>
      </c>
      <c r="L2302">
        <f t="shared" si="417"/>
        <v>1</v>
      </c>
      <c r="M2302">
        <f t="shared" si="418"/>
        <v>1</v>
      </c>
      <c r="N2302" t="b">
        <f t="shared" si="419"/>
        <v>0</v>
      </c>
    </row>
  </sheetData>
  <autoFilter ref="A1:A2302">
    <filterColumn colId="0">
      <colorFilter dxfId="1"/>
    </filterColumn>
  </autoFilter>
  <sortState ref="A1:N2302">
    <sortCondition descending="1" ref="N1:N2302"/>
  </sortState>
  <conditionalFormatting sqref="N1:N1048576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00"/>
  <sheetViews>
    <sheetView topLeftCell="A28" zoomScale="80" zoomScaleNormal="80" workbookViewId="0">
      <selection activeCell="G1" sqref="G1"/>
    </sheetView>
  </sheetViews>
  <sheetFormatPr defaultRowHeight="15" x14ac:dyDescent="0.25"/>
  <sheetData>
    <row r="1" spans="1:7" x14ac:dyDescent="0.25">
      <c r="A1" t="s">
        <v>2098</v>
      </c>
      <c r="B1">
        <f>COUNTIF(Лист2!H:H,A1)+COUNTIF(Лист2!I:I,A1)</f>
        <v>1492</v>
      </c>
      <c r="C1">
        <v>1492</v>
      </c>
      <c r="G1" t="s">
        <v>2237</v>
      </c>
    </row>
    <row r="2" spans="1:7" x14ac:dyDescent="0.25">
      <c r="A2" t="s">
        <v>2100</v>
      </c>
      <c r="B2">
        <f>COUNTIF(Лист2!H:H,A2)+COUNTIF(Лист2!I:I,A2)</f>
        <v>296</v>
      </c>
      <c r="C2">
        <v>296</v>
      </c>
      <c r="G2" t="s">
        <v>2241</v>
      </c>
    </row>
    <row r="3" spans="1:7" x14ac:dyDescent="0.25">
      <c r="A3" t="s">
        <v>2101</v>
      </c>
      <c r="B3">
        <f>COUNTIF(Лист2!H:H,A3)+COUNTIF(Лист2!I:I,A3)</f>
        <v>220</v>
      </c>
      <c r="C3">
        <v>220</v>
      </c>
      <c r="G3" t="s">
        <v>2247</v>
      </c>
    </row>
    <row r="4" spans="1:7" x14ac:dyDescent="0.25">
      <c r="A4" t="s">
        <v>2103</v>
      </c>
      <c r="B4">
        <f>COUNTIF(Лист2!H:H,A4)+COUNTIF(Лист2!I:I,A4)</f>
        <v>206</v>
      </c>
      <c r="C4">
        <v>197</v>
      </c>
      <c r="G4" t="s">
        <v>2251</v>
      </c>
    </row>
    <row r="5" spans="1:7" x14ac:dyDescent="0.25">
      <c r="A5" t="s">
        <v>2099</v>
      </c>
      <c r="B5">
        <f>COUNTIF(Лист2!H:H,A5)+COUNTIF(Лист2!I:I,A5)</f>
        <v>89</v>
      </c>
      <c r="C5">
        <v>89</v>
      </c>
      <c r="G5" t="s">
        <v>2130</v>
      </c>
    </row>
    <row r="6" spans="1:7" x14ac:dyDescent="0.25">
      <c r="A6" t="s">
        <v>2105</v>
      </c>
      <c r="B6">
        <f>COUNTIF(Лист2!H:H,A6)+COUNTIF(Лист2!I:I,A6)</f>
        <v>28</v>
      </c>
      <c r="C6">
        <v>28</v>
      </c>
      <c r="G6" t="s">
        <v>2131</v>
      </c>
    </row>
    <row r="7" spans="1:7" x14ac:dyDescent="0.25">
      <c r="A7" t="s">
        <v>2111</v>
      </c>
      <c r="B7">
        <f>COUNTIF(Лист2!H:H,A7)+COUNTIF(Лист2!I:I,A7)</f>
        <v>28</v>
      </c>
      <c r="C7">
        <v>28</v>
      </c>
      <c r="G7" t="s">
        <v>2132</v>
      </c>
    </row>
    <row r="8" spans="1:7" x14ac:dyDescent="0.25">
      <c r="A8" t="s">
        <v>2102</v>
      </c>
      <c r="B8">
        <f>COUNTIF(Лист2!H:H,A8)+COUNTIF(Лист2!I:I,A8)</f>
        <v>23</v>
      </c>
      <c r="C8">
        <v>23</v>
      </c>
      <c r="G8" t="s">
        <v>2261</v>
      </c>
    </row>
    <row r="9" spans="1:7" x14ac:dyDescent="0.25">
      <c r="A9" t="s">
        <v>2108</v>
      </c>
      <c r="B9">
        <f>COUNTIF(Лист2!H:H,A9)+COUNTIF(Лист2!I:I,A9)</f>
        <v>17</v>
      </c>
      <c r="C9">
        <v>17</v>
      </c>
      <c r="G9" t="s">
        <v>2133</v>
      </c>
    </row>
    <row r="10" spans="1:7" x14ac:dyDescent="0.25">
      <c r="A10" t="s">
        <v>2104</v>
      </c>
      <c r="B10">
        <f>COUNTIF(Лист2!H:H,A10)+COUNTIF(Лист2!I:I,A10)</f>
        <v>16</v>
      </c>
      <c r="C10">
        <v>16</v>
      </c>
      <c r="G10" t="s">
        <v>2143</v>
      </c>
    </row>
    <row r="11" spans="1:7" x14ac:dyDescent="0.25">
      <c r="A11" t="s">
        <v>2121</v>
      </c>
      <c r="B11">
        <f>COUNTIF(Лист2!H:H,A11)+COUNTIF(Лист2!I:I,A11)</f>
        <v>14</v>
      </c>
      <c r="C11">
        <v>14</v>
      </c>
      <c r="G11" t="s">
        <v>2134</v>
      </c>
    </row>
    <row r="12" spans="1:7" x14ac:dyDescent="0.25">
      <c r="A12" t="s">
        <v>2127</v>
      </c>
      <c r="B12">
        <f>COUNTIF(Лист2!H:H,A12)+COUNTIF(Лист2!I:I,A12)</f>
        <v>12</v>
      </c>
      <c r="C12">
        <v>12</v>
      </c>
      <c r="G12" t="s">
        <v>2280</v>
      </c>
    </row>
    <row r="13" spans="1:7" x14ac:dyDescent="0.25">
      <c r="A13" t="s">
        <v>2109</v>
      </c>
      <c r="B13">
        <f>COUNTIF(Лист2!H:H,A13)+COUNTIF(Лист2!I:I,A13)</f>
        <v>11</v>
      </c>
      <c r="C13">
        <v>11</v>
      </c>
      <c r="G13" t="s">
        <v>2295</v>
      </c>
    </row>
    <row r="14" spans="1:7" x14ac:dyDescent="0.25">
      <c r="A14" t="s">
        <v>2120</v>
      </c>
      <c r="B14">
        <f>COUNTIF(Лист2!H:H,A14)+COUNTIF(Лист2!I:I,A14)</f>
        <v>10</v>
      </c>
      <c r="C14">
        <v>10</v>
      </c>
      <c r="G14" t="s">
        <v>2135</v>
      </c>
    </row>
    <row r="15" spans="1:7" x14ac:dyDescent="0.25">
      <c r="A15" t="s">
        <v>2124</v>
      </c>
      <c r="B15">
        <f>COUNTIF(Лист2!H:H,A15)+COUNTIF(Лист2!I:I,A15)</f>
        <v>10</v>
      </c>
      <c r="C15">
        <v>10</v>
      </c>
      <c r="G15" t="s">
        <v>2307</v>
      </c>
    </row>
    <row r="16" spans="1:7" x14ac:dyDescent="0.25">
      <c r="A16" t="s">
        <v>2114</v>
      </c>
      <c r="B16">
        <f>COUNTIF(Лист2!H:H,A16)+COUNTIF(Лист2!I:I,A16)</f>
        <v>9</v>
      </c>
      <c r="C16">
        <v>9</v>
      </c>
      <c r="G16" t="s">
        <v>2136</v>
      </c>
    </row>
    <row r="17" spans="1:7" x14ac:dyDescent="0.25">
      <c r="A17" t="s">
        <v>2116</v>
      </c>
      <c r="B17">
        <f>COUNTIF(Лист2!H:H,A17)+COUNTIF(Лист2!I:I,A17)</f>
        <v>9</v>
      </c>
      <c r="C17">
        <v>9</v>
      </c>
      <c r="G17" t="s">
        <v>2309</v>
      </c>
    </row>
    <row r="18" spans="1:7" x14ac:dyDescent="0.25">
      <c r="A18" t="s">
        <v>2190</v>
      </c>
      <c r="B18">
        <f>COUNTIF(Лист2!H:H,A18)+COUNTIF(Лист2!I:I,A18)</f>
        <v>9</v>
      </c>
      <c r="C18">
        <v>9</v>
      </c>
      <c r="G18" t="s">
        <v>2144</v>
      </c>
    </row>
    <row r="19" spans="1:7" x14ac:dyDescent="0.25">
      <c r="A19" t="s">
        <v>2197</v>
      </c>
      <c r="B19">
        <f>COUNTIF(Лист2!H:H,A19)+COUNTIF(Лист2!I:I,A19)</f>
        <v>9</v>
      </c>
      <c r="C19">
        <v>9</v>
      </c>
      <c r="G19" t="s">
        <v>2137</v>
      </c>
    </row>
    <row r="20" spans="1:7" x14ac:dyDescent="0.25">
      <c r="A20" t="s">
        <v>2202</v>
      </c>
      <c r="B20">
        <f>COUNTIF(Лист2!H:H,A20)+COUNTIF(Лист2!I:I,A20)</f>
        <v>9</v>
      </c>
      <c r="C20">
        <v>9</v>
      </c>
      <c r="G20" t="s">
        <v>2138</v>
      </c>
    </row>
    <row r="21" spans="1:7" x14ac:dyDescent="0.25">
      <c r="A21" t="s">
        <v>2125</v>
      </c>
      <c r="B21">
        <f>COUNTIF(Лист2!H:H,A21)+COUNTIF(Лист2!I:I,A21)</f>
        <v>9</v>
      </c>
      <c r="C21">
        <v>9</v>
      </c>
      <c r="G21" t="s">
        <v>2139</v>
      </c>
    </row>
    <row r="22" spans="1:7" x14ac:dyDescent="0.25">
      <c r="A22" t="s">
        <v>2134</v>
      </c>
      <c r="B22">
        <f>COUNTIF(Лист2!H:H,A22)+COUNTIF(Лист2!I:I,A22)</f>
        <v>8</v>
      </c>
      <c r="C22">
        <v>8</v>
      </c>
      <c r="G22" t="s">
        <v>2322</v>
      </c>
    </row>
    <row r="23" spans="1:7" x14ac:dyDescent="0.25">
      <c r="A23" t="s">
        <v>2148</v>
      </c>
      <c r="B23">
        <f>COUNTIF(Лист2!H:H,A23)+COUNTIF(Лист2!I:I,A23)</f>
        <v>8</v>
      </c>
      <c r="C23">
        <v>8</v>
      </c>
      <c r="G23" t="s">
        <v>2330</v>
      </c>
    </row>
    <row r="24" spans="1:7" x14ac:dyDescent="0.25">
      <c r="A24" t="s">
        <v>2107</v>
      </c>
      <c r="B24">
        <f>COUNTIF(Лист2!H:H,A24)+COUNTIF(Лист2!I:I,A24)</f>
        <v>8</v>
      </c>
      <c r="C24">
        <v>8</v>
      </c>
      <c r="G24" t="s">
        <v>2140</v>
      </c>
    </row>
    <row r="25" spans="1:7" x14ac:dyDescent="0.25">
      <c r="A25" t="s">
        <v>2222</v>
      </c>
      <c r="B25">
        <f>COUNTIF(Лист2!H:H,A25)+COUNTIF(Лист2!I:I,A25)</f>
        <v>8</v>
      </c>
      <c r="C25">
        <v>8</v>
      </c>
      <c r="G25" t="s">
        <v>2141</v>
      </c>
    </row>
    <row r="26" spans="1:7" x14ac:dyDescent="0.25">
      <c r="A26" t="s">
        <v>2229</v>
      </c>
      <c r="B26">
        <f>COUNTIF(Лист2!H:H,A26)+COUNTIF(Лист2!I:I,A26)</f>
        <v>8</v>
      </c>
      <c r="C26">
        <v>8</v>
      </c>
      <c r="G26" t="s">
        <v>2353</v>
      </c>
    </row>
    <row r="27" spans="1:7" x14ac:dyDescent="0.25">
      <c r="A27" t="s">
        <v>2113</v>
      </c>
      <c r="B27">
        <f>COUNTIF(Лист2!H:H,A27)+COUNTIF(Лист2!I:I,A27)</f>
        <v>7</v>
      </c>
      <c r="C27">
        <v>7</v>
      </c>
      <c r="G27" t="s">
        <v>2142</v>
      </c>
    </row>
    <row r="28" spans="1:7" x14ac:dyDescent="0.25">
      <c r="A28" t="s">
        <v>2645</v>
      </c>
      <c r="B28">
        <f>COUNTIF(Лист2!H:H,A28)+COUNTIF(Лист2!I:I,A28)</f>
        <v>7</v>
      </c>
      <c r="C28">
        <v>7</v>
      </c>
      <c r="G28" t="s">
        <v>2098</v>
      </c>
    </row>
    <row r="29" spans="1:7" x14ac:dyDescent="0.25">
      <c r="A29" t="s">
        <v>2201</v>
      </c>
      <c r="B29">
        <f>COUNTIF(Лист2!H:H,A29)+COUNTIF(Лист2!I:I,A29)</f>
        <v>7</v>
      </c>
      <c r="C29">
        <v>7</v>
      </c>
      <c r="G29" t="s">
        <v>2110</v>
      </c>
    </row>
    <row r="30" spans="1:7" x14ac:dyDescent="0.25">
      <c r="A30" t="s">
        <v>2126</v>
      </c>
      <c r="B30">
        <f>COUNTIF(Лист2!H:H,A30)+COUNTIF(Лист2!I:I,A30)</f>
        <v>7</v>
      </c>
      <c r="C30">
        <v>7</v>
      </c>
      <c r="G30" t="s">
        <v>2162</v>
      </c>
    </row>
    <row r="31" spans="1:7" x14ac:dyDescent="0.25">
      <c r="A31" t="s">
        <v>2129</v>
      </c>
      <c r="B31">
        <f>COUNTIF(Лист2!H:H,A31)+COUNTIF(Лист2!I:I,A31)</f>
        <v>7</v>
      </c>
      <c r="C31">
        <v>7</v>
      </c>
      <c r="G31" t="s">
        <v>2163</v>
      </c>
    </row>
    <row r="32" spans="1:7" x14ac:dyDescent="0.25">
      <c r="A32" t="s">
        <v>2233</v>
      </c>
      <c r="B32">
        <f>COUNTIF(Лист2!H:H,A32)+COUNTIF(Лист2!I:I,A32)</f>
        <v>7</v>
      </c>
      <c r="C32">
        <v>7</v>
      </c>
      <c r="G32" t="s">
        <v>2371</v>
      </c>
    </row>
    <row r="33" spans="1:7" x14ac:dyDescent="0.25">
      <c r="A33" t="s">
        <v>2586</v>
      </c>
      <c r="B33">
        <f>COUNTIF(Лист2!H:H,A33)+COUNTIF(Лист2!I:I,A33)</f>
        <v>7</v>
      </c>
      <c r="C33">
        <v>7</v>
      </c>
      <c r="G33" t="s">
        <v>2164</v>
      </c>
    </row>
    <row r="34" spans="1:7" x14ac:dyDescent="0.25">
      <c r="A34" t="s">
        <v>2139</v>
      </c>
      <c r="B34">
        <f>COUNTIF(Лист2!H:H,A34)+COUNTIF(Лист2!I:I,A34)</f>
        <v>6</v>
      </c>
      <c r="C34">
        <v>6</v>
      </c>
      <c r="G34" t="s">
        <v>2165</v>
      </c>
    </row>
    <row r="35" spans="1:7" x14ac:dyDescent="0.25">
      <c r="A35" t="s">
        <v>2163</v>
      </c>
      <c r="B35">
        <f>COUNTIF(Лист2!H:H,A35)+COUNTIF(Лист2!I:I,A35)</f>
        <v>6</v>
      </c>
      <c r="C35">
        <v>6</v>
      </c>
      <c r="G35" t="s">
        <v>2372</v>
      </c>
    </row>
    <row r="36" spans="1:7" x14ac:dyDescent="0.25">
      <c r="A36" t="s">
        <v>2164</v>
      </c>
      <c r="B36">
        <f>COUNTIF(Лист2!H:H,A36)+COUNTIF(Лист2!I:I,A36)</f>
        <v>6</v>
      </c>
      <c r="C36">
        <v>6</v>
      </c>
      <c r="G36" t="s">
        <v>2166</v>
      </c>
    </row>
    <row r="37" spans="1:7" x14ac:dyDescent="0.25">
      <c r="A37" t="s">
        <v>2169</v>
      </c>
      <c r="B37">
        <f>COUNTIF(Лист2!H:H,A37)+COUNTIF(Лист2!I:I,A37)</f>
        <v>6</v>
      </c>
      <c r="C37">
        <v>6</v>
      </c>
      <c r="G37" t="s">
        <v>2373</v>
      </c>
    </row>
    <row r="38" spans="1:7" x14ac:dyDescent="0.25">
      <c r="A38" t="s">
        <v>2174</v>
      </c>
      <c r="B38">
        <f>COUNTIF(Лист2!H:H,A38)+COUNTIF(Лист2!I:I,A38)</f>
        <v>6</v>
      </c>
      <c r="C38">
        <v>6</v>
      </c>
      <c r="G38" t="s">
        <v>2167</v>
      </c>
    </row>
    <row r="39" spans="1:7" x14ac:dyDescent="0.25">
      <c r="A39" t="s">
        <v>2177</v>
      </c>
      <c r="B39">
        <f>COUNTIF(Лист2!H:H,A39)+COUNTIF(Лист2!I:I,A39)</f>
        <v>6</v>
      </c>
      <c r="C39">
        <v>6</v>
      </c>
      <c r="G39" t="s">
        <v>2375</v>
      </c>
    </row>
    <row r="40" spans="1:7" x14ac:dyDescent="0.25">
      <c r="A40" t="s">
        <v>2178</v>
      </c>
      <c r="B40">
        <f>COUNTIF(Лист2!H:H,A40)+COUNTIF(Лист2!I:I,A40)</f>
        <v>7</v>
      </c>
      <c r="C40">
        <v>6</v>
      </c>
      <c r="G40" t="s">
        <v>2168</v>
      </c>
    </row>
    <row r="41" spans="1:7" x14ac:dyDescent="0.25">
      <c r="A41" t="s">
        <v>2150</v>
      </c>
      <c r="B41">
        <f>COUNTIF(Лист2!H:H,A41)+COUNTIF(Лист2!I:I,A41)</f>
        <v>6</v>
      </c>
      <c r="C41">
        <v>6</v>
      </c>
      <c r="G41" t="s">
        <v>2169</v>
      </c>
    </row>
    <row r="42" spans="1:7" x14ac:dyDescent="0.25">
      <c r="A42" t="s">
        <v>2106</v>
      </c>
      <c r="B42">
        <f>COUNTIF(Лист2!H:H,A42)+COUNTIF(Лист2!I:I,A42)</f>
        <v>6</v>
      </c>
      <c r="C42">
        <v>6</v>
      </c>
      <c r="G42" t="s">
        <v>2377</v>
      </c>
    </row>
    <row r="43" spans="1:7" x14ac:dyDescent="0.25">
      <c r="A43" t="s">
        <v>2117</v>
      </c>
      <c r="B43">
        <f>COUNTIF(Лист2!H:H,A43)+COUNTIF(Лист2!I:I,A43)</f>
        <v>6</v>
      </c>
      <c r="C43">
        <v>6</v>
      </c>
      <c r="G43" t="s">
        <v>2102</v>
      </c>
    </row>
    <row r="44" spans="1:7" x14ac:dyDescent="0.25">
      <c r="A44" t="s">
        <v>2118</v>
      </c>
      <c r="B44">
        <f>COUNTIF(Лист2!H:H,A44)+COUNTIF(Лист2!I:I,A44)</f>
        <v>6</v>
      </c>
      <c r="C44">
        <v>6</v>
      </c>
      <c r="G44" t="s">
        <v>2145</v>
      </c>
    </row>
    <row r="45" spans="1:7" x14ac:dyDescent="0.25">
      <c r="A45" t="s">
        <v>2198</v>
      </c>
      <c r="B45">
        <f>COUNTIF(Лист2!H:H,A45)+COUNTIF(Лист2!I:I,A45)</f>
        <v>6</v>
      </c>
      <c r="C45">
        <v>6</v>
      </c>
      <c r="G45" t="s">
        <v>2170</v>
      </c>
    </row>
    <row r="46" spans="1:7" x14ac:dyDescent="0.25">
      <c r="A46" t="s">
        <v>2123</v>
      </c>
      <c r="B46">
        <f>COUNTIF(Лист2!H:H,A46)+COUNTIF(Лист2!I:I,A46)</f>
        <v>6</v>
      </c>
      <c r="C46">
        <v>6</v>
      </c>
      <c r="G46" t="s">
        <v>2171</v>
      </c>
    </row>
    <row r="47" spans="1:7" x14ac:dyDescent="0.25">
      <c r="A47" t="s">
        <v>2157</v>
      </c>
      <c r="B47">
        <f>COUNTIF(Лист2!H:H,A47)+COUNTIF(Лист2!I:I,A47)</f>
        <v>6</v>
      </c>
      <c r="C47">
        <v>6</v>
      </c>
      <c r="G47" t="s">
        <v>2172</v>
      </c>
    </row>
    <row r="48" spans="1:7" x14ac:dyDescent="0.25">
      <c r="A48" t="s">
        <v>2224</v>
      </c>
      <c r="B48">
        <f>COUNTIF(Лист2!H:H,A48)+COUNTIF(Лист2!I:I,A48)</f>
        <v>6</v>
      </c>
      <c r="C48">
        <v>6</v>
      </c>
      <c r="G48" t="s">
        <v>2173</v>
      </c>
    </row>
    <row r="49" spans="1:7" x14ac:dyDescent="0.25">
      <c r="A49" t="s">
        <v>2232</v>
      </c>
      <c r="B49">
        <f>COUNTIF(Лист2!H:H,A49)+COUNTIF(Лист2!I:I,A49)</f>
        <v>6</v>
      </c>
      <c r="C49">
        <v>6</v>
      </c>
      <c r="G49" t="s">
        <v>2103</v>
      </c>
    </row>
    <row r="50" spans="1:7" x14ac:dyDescent="0.25">
      <c r="A50" t="s">
        <v>2130</v>
      </c>
      <c r="B50">
        <f>COUNTIF(Лист2!H:H,A50)+COUNTIF(Лист2!I:I,A50)</f>
        <v>5</v>
      </c>
      <c r="C50">
        <v>5</v>
      </c>
      <c r="G50" t="s">
        <v>2174</v>
      </c>
    </row>
    <row r="51" spans="1:7" x14ac:dyDescent="0.25">
      <c r="A51" t="s">
        <v>2131</v>
      </c>
      <c r="B51">
        <f>COUNTIF(Лист2!H:H,A51)+COUNTIF(Лист2!I:I,A51)</f>
        <v>5</v>
      </c>
      <c r="C51">
        <v>5</v>
      </c>
      <c r="G51" t="s">
        <v>2175</v>
      </c>
    </row>
    <row r="52" spans="1:7" x14ac:dyDescent="0.25">
      <c r="A52" t="s">
        <v>2133</v>
      </c>
      <c r="B52">
        <f>COUNTIF(Лист2!H:H,A52)+COUNTIF(Лист2!I:I,A52)</f>
        <v>5</v>
      </c>
      <c r="C52">
        <v>5</v>
      </c>
      <c r="G52" t="s">
        <v>2113</v>
      </c>
    </row>
    <row r="53" spans="1:7" x14ac:dyDescent="0.25">
      <c r="A53" t="s">
        <v>2135</v>
      </c>
      <c r="B53">
        <f>COUNTIF(Лист2!H:H,A53)+COUNTIF(Лист2!I:I,A53)</f>
        <v>5</v>
      </c>
      <c r="C53">
        <v>5</v>
      </c>
      <c r="G53" t="s">
        <v>2176</v>
      </c>
    </row>
    <row r="54" spans="1:7" x14ac:dyDescent="0.25">
      <c r="A54" t="s">
        <v>2307</v>
      </c>
      <c r="B54">
        <f>COUNTIF(Лист2!H:H,A54)+COUNTIF(Лист2!I:I,A54)</f>
        <v>5</v>
      </c>
      <c r="C54">
        <v>5</v>
      </c>
      <c r="G54" t="s">
        <v>2177</v>
      </c>
    </row>
    <row r="55" spans="1:7" x14ac:dyDescent="0.25">
      <c r="A55" t="s">
        <v>2137</v>
      </c>
      <c r="B55">
        <f>COUNTIF(Лист2!H:H,A55)+COUNTIF(Лист2!I:I,A55)</f>
        <v>5</v>
      </c>
      <c r="C55">
        <v>5</v>
      </c>
      <c r="G55" t="s">
        <v>2178</v>
      </c>
    </row>
    <row r="56" spans="1:7" x14ac:dyDescent="0.25">
      <c r="A56" t="s">
        <v>2138</v>
      </c>
      <c r="B56">
        <f>COUNTIF(Лист2!H:H,A56)+COUNTIF(Лист2!I:I,A56)</f>
        <v>5</v>
      </c>
      <c r="C56">
        <v>5</v>
      </c>
      <c r="G56" t="s">
        <v>2179</v>
      </c>
    </row>
    <row r="57" spans="1:7" x14ac:dyDescent="0.25">
      <c r="A57" t="s">
        <v>2166</v>
      </c>
      <c r="B57">
        <f>COUNTIF(Лист2!H:H,A57)+COUNTIF(Лист2!I:I,A57)</f>
        <v>5</v>
      </c>
      <c r="C57">
        <v>5</v>
      </c>
      <c r="G57" t="s">
        <v>2114</v>
      </c>
    </row>
    <row r="58" spans="1:7" x14ac:dyDescent="0.25">
      <c r="A58" t="s">
        <v>2167</v>
      </c>
      <c r="B58">
        <f>COUNTIF(Лист2!H:H,A58)+COUNTIF(Лист2!I:I,A58)</f>
        <v>5</v>
      </c>
      <c r="C58">
        <v>5</v>
      </c>
      <c r="G58" t="s">
        <v>2146</v>
      </c>
    </row>
    <row r="59" spans="1:7" x14ac:dyDescent="0.25">
      <c r="A59" t="s">
        <v>2173</v>
      </c>
      <c r="B59">
        <f>COUNTIF(Лист2!H:H,A59)+COUNTIF(Лист2!I:I,A59)</f>
        <v>5</v>
      </c>
      <c r="C59">
        <v>5</v>
      </c>
      <c r="G59" t="s">
        <v>2180</v>
      </c>
    </row>
    <row r="60" spans="1:7" x14ac:dyDescent="0.25">
      <c r="A60" t="s">
        <v>2175</v>
      </c>
      <c r="B60">
        <f>COUNTIF(Лист2!H:H,A60)+COUNTIF(Лист2!I:I,A60)</f>
        <v>5</v>
      </c>
      <c r="C60">
        <v>5</v>
      </c>
      <c r="G60" t="s">
        <v>2104</v>
      </c>
    </row>
    <row r="61" spans="1:7" x14ac:dyDescent="0.25">
      <c r="A61" t="s">
        <v>2176</v>
      </c>
      <c r="B61">
        <f>COUNTIF(Лист2!H:H,A61)+COUNTIF(Лист2!I:I,A61)</f>
        <v>5</v>
      </c>
      <c r="C61">
        <v>5</v>
      </c>
      <c r="G61" t="s">
        <v>2099</v>
      </c>
    </row>
    <row r="62" spans="1:7" x14ac:dyDescent="0.25">
      <c r="A62" t="s">
        <v>2179</v>
      </c>
      <c r="B62">
        <f>COUNTIF(Лист2!H:H,A62)+COUNTIF(Лист2!I:I,A62)</f>
        <v>5</v>
      </c>
      <c r="C62">
        <v>5</v>
      </c>
      <c r="G62" t="s">
        <v>2105</v>
      </c>
    </row>
    <row r="63" spans="1:7" x14ac:dyDescent="0.25">
      <c r="A63" t="s">
        <v>2181</v>
      </c>
      <c r="B63">
        <f>COUNTIF(Лист2!H:H,A63)+COUNTIF(Лист2!I:I,A63)</f>
        <v>5</v>
      </c>
      <c r="C63">
        <v>5</v>
      </c>
      <c r="G63" t="s">
        <v>2389</v>
      </c>
    </row>
    <row r="64" spans="1:7" x14ac:dyDescent="0.25">
      <c r="A64" t="s">
        <v>2115</v>
      </c>
      <c r="B64">
        <f>COUNTIF(Лист2!H:H,A64)+COUNTIF(Лист2!I:I,A64)</f>
        <v>6</v>
      </c>
      <c r="C64">
        <v>5</v>
      </c>
      <c r="G64" t="s">
        <v>2147</v>
      </c>
    </row>
    <row r="65" spans="1:7" x14ac:dyDescent="0.25">
      <c r="A65" t="s">
        <v>2400</v>
      </c>
      <c r="B65">
        <f>COUNTIF(Лист2!H:H,A65)+COUNTIF(Лист2!I:I,A65)</f>
        <v>5</v>
      </c>
      <c r="C65">
        <v>5</v>
      </c>
      <c r="G65" t="s">
        <v>2181</v>
      </c>
    </row>
    <row r="66" spans="1:7" x14ac:dyDescent="0.25">
      <c r="A66" t="s">
        <v>2185</v>
      </c>
      <c r="B66">
        <f>COUNTIF(Лист2!H:H,A66)+COUNTIF(Лист2!I:I,A66)</f>
        <v>5</v>
      </c>
      <c r="C66">
        <v>5</v>
      </c>
      <c r="G66" t="s">
        <v>2182</v>
      </c>
    </row>
    <row r="67" spans="1:7" x14ac:dyDescent="0.25">
      <c r="A67" t="s">
        <v>2186</v>
      </c>
      <c r="B67">
        <f>COUNTIF(Лист2!H:H,A67)+COUNTIF(Лист2!I:I,A67)</f>
        <v>5</v>
      </c>
      <c r="C67">
        <v>5</v>
      </c>
      <c r="G67" t="s">
        <v>2183</v>
      </c>
    </row>
    <row r="68" spans="1:7" x14ac:dyDescent="0.25">
      <c r="A68" t="s">
        <v>2187</v>
      </c>
      <c r="B68">
        <f>COUNTIF(Лист2!H:H,A68)+COUNTIF(Лист2!I:I,A68)</f>
        <v>5</v>
      </c>
      <c r="C68">
        <v>5</v>
      </c>
      <c r="G68" t="s">
        <v>2115</v>
      </c>
    </row>
    <row r="69" spans="1:7" x14ac:dyDescent="0.25">
      <c r="A69" t="s">
        <v>2413</v>
      </c>
      <c r="B69">
        <f>COUNTIF(Лист2!H:H,A69)+COUNTIF(Лист2!I:I,A69)</f>
        <v>5</v>
      </c>
      <c r="C69">
        <v>5</v>
      </c>
      <c r="G69" t="s">
        <v>2398</v>
      </c>
    </row>
    <row r="70" spans="1:7" x14ac:dyDescent="0.25">
      <c r="A70" t="s">
        <v>2188</v>
      </c>
      <c r="B70">
        <f>COUNTIF(Лист2!H:H,A70)+COUNTIF(Лист2!I:I,A70)</f>
        <v>5</v>
      </c>
      <c r="C70">
        <v>5</v>
      </c>
      <c r="G70" t="s">
        <v>2399</v>
      </c>
    </row>
    <row r="71" spans="1:7" x14ac:dyDescent="0.25">
      <c r="A71" t="s">
        <v>2191</v>
      </c>
      <c r="B71">
        <f>COUNTIF(Лист2!H:H,A71)+COUNTIF(Лист2!I:I,A71)</f>
        <v>5</v>
      </c>
      <c r="C71">
        <v>5</v>
      </c>
      <c r="G71" t="s">
        <v>2184</v>
      </c>
    </row>
    <row r="72" spans="1:7" x14ac:dyDescent="0.25">
      <c r="A72" t="s">
        <v>2192</v>
      </c>
      <c r="B72">
        <f>COUNTIF(Лист2!H:H,A72)+COUNTIF(Лист2!I:I,A72)</f>
        <v>5</v>
      </c>
      <c r="C72">
        <v>5</v>
      </c>
      <c r="G72" t="s">
        <v>2400</v>
      </c>
    </row>
    <row r="73" spans="1:7" x14ac:dyDescent="0.25">
      <c r="A73" t="s">
        <v>2193</v>
      </c>
      <c r="B73">
        <f>COUNTIF(Лист2!H:H,A73)+COUNTIF(Лист2!I:I,A73)</f>
        <v>5</v>
      </c>
      <c r="C73">
        <v>5</v>
      </c>
      <c r="G73" t="s">
        <v>2148</v>
      </c>
    </row>
    <row r="74" spans="1:7" x14ac:dyDescent="0.25">
      <c r="A74" t="s">
        <v>2152</v>
      </c>
      <c r="B74">
        <f>COUNTIF(Лист2!H:H,A74)+COUNTIF(Лист2!I:I,A74)</f>
        <v>5</v>
      </c>
      <c r="C74">
        <v>5</v>
      </c>
      <c r="G74" t="s">
        <v>2149</v>
      </c>
    </row>
    <row r="75" spans="1:7" x14ac:dyDescent="0.25">
      <c r="A75" t="s">
        <v>2199</v>
      </c>
      <c r="B75">
        <f>COUNTIF(Лист2!H:H,A75)+COUNTIF(Лист2!I:I,A75)</f>
        <v>5</v>
      </c>
      <c r="C75">
        <v>5</v>
      </c>
      <c r="G75" t="s">
        <v>2401</v>
      </c>
    </row>
    <row r="76" spans="1:7" x14ac:dyDescent="0.25">
      <c r="A76" t="s">
        <v>2940</v>
      </c>
      <c r="B76">
        <f>COUNTIF(Лист2!H:H,A76)+COUNTIF(Лист2!I:I,A76)</f>
        <v>5</v>
      </c>
      <c r="C76">
        <v>5</v>
      </c>
      <c r="G76" t="s">
        <v>2150</v>
      </c>
    </row>
    <row r="77" spans="1:7" x14ac:dyDescent="0.25">
      <c r="A77" t="s">
        <v>2433</v>
      </c>
      <c r="B77">
        <f>COUNTIF(Лист2!H:H,A77)+COUNTIF(Лист2!I:I,A77)</f>
        <v>5</v>
      </c>
      <c r="C77">
        <v>5</v>
      </c>
      <c r="G77" t="s">
        <v>2185</v>
      </c>
    </row>
    <row r="78" spans="1:7" x14ac:dyDescent="0.25">
      <c r="A78" t="s">
        <v>2122</v>
      </c>
      <c r="B78">
        <f>COUNTIF(Лист2!H:H,A78)+COUNTIF(Лист2!I:I,A78)</f>
        <v>5</v>
      </c>
      <c r="C78">
        <v>5</v>
      </c>
      <c r="G78" t="s">
        <v>2186</v>
      </c>
    </row>
    <row r="79" spans="1:7" x14ac:dyDescent="0.25">
      <c r="A79" t="s">
        <v>2204</v>
      </c>
      <c r="B79">
        <f>COUNTIF(Лист2!H:H,A79)+COUNTIF(Лист2!I:I,A79)</f>
        <v>5</v>
      </c>
      <c r="C79">
        <v>5</v>
      </c>
      <c r="G79" t="s">
        <v>2187</v>
      </c>
    </row>
    <row r="80" spans="1:7" x14ac:dyDescent="0.25">
      <c r="A80" t="s">
        <v>2205</v>
      </c>
      <c r="B80">
        <f>COUNTIF(Лист2!H:H,A80)+COUNTIF(Лист2!I:I,A80)</f>
        <v>5</v>
      </c>
      <c r="C80">
        <v>5</v>
      </c>
      <c r="G80" t="s">
        <v>2106</v>
      </c>
    </row>
    <row r="81" spans="1:7" x14ac:dyDescent="0.25">
      <c r="A81" t="s">
        <v>2206</v>
      </c>
      <c r="B81">
        <f>COUNTIF(Лист2!H:H,A81)+COUNTIF(Лист2!I:I,A81)</f>
        <v>5</v>
      </c>
      <c r="C81">
        <v>5</v>
      </c>
      <c r="G81" t="s">
        <v>2409</v>
      </c>
    </row>
    <row r="82" spans="1:7" x14ac:dyDescent="0.25">
      <c r="A82" t="s">
        <v>2208</v>
      </c>
      <c r="B82">
        <f>COUNTIF(Лист2!H:H,A82)+COUNTIF(Лист2!I:I,A82)</f>
        <v>5</v>
      </c>
      <c r="C82">
        <v>5</v>
      </c>
      <c r="G82" t="s">
        <v>2410</v>
      </c>
    </row>
    <row r="83" spans="1:7" x14ac:dyDescent="0.25">
      <c r="A83" t="s">
        <v>2209</v>
      </c>
      <c r="B83">
        <f>COUNTIF(Лист2!H:H,A83)+COUNTIF(Лист2!I:I,A83)</f>
        <v>5</v>
      </c>
      <c r="C83">
        <v>5</v>
      </c>
      <c r="G83" t="s">
        <v>2411</v>
      </c>
    </row>
    <row r="84" spans="1:7" x14ac:dyDescent="0.25">
      <c r="A84" t="s">
        <v>2210</v>
      </c>
      <c r="B84">
        <f>COUNTIF(Лист2!H:H,A84)+COUNTIF(Лист2!I:I,A84)</f>
        <v>5</v>
      </c>
      <c r="C84">
        <v>5</v>
      </c>
      <c r="G84" t="s">
        <v>2412</v>
      </c>
    </row>
    <row r="85" spans="1:7" x14ac:dyDescent="0.25">
      <c r="A85" t="s">
        <v>2211</v>
      </c>
      <c r="B85">
        <f>COUNTIF(Лист2!H:H,A85)+COUNTIF(Лист2!I:I,A85)</f>
        <v>5</v>
      </c>
      <c r="C85">
        <v>5</v>
      </c>
      <c r="G85" t="s">
        <v>2413</v>
      </c>
    </row>
    <row r="86" spans="1:7" x14ac:dyDescent="0.25">
      <c r="A86" t="s">
        <v>2212</v>
      </c>
      <c r="B86">
        <f>COUNTIF(Лист2!H:H,A86)+COUNTIF(Лист2!I:I,A86)</f>
        <v>5</v>
      </c>
      <c r="C86">
        <v>5</v>
      </c>
      <c r="G86" t="s">
        <v>2188</v>
      </c>
    </row>
    <row r="87" spans="1:7" x14ac:dyDescent="0.25">
      <c r="A87" t="s">
        <v>2217</v>
      </c>
      <c r="B87">
        <f>COUNTIF(Лист2!H:H,A87)+COUNTIF(Лист2!I:I,A87)</f>
        <v>5</v>
      </c>
      <c r="C87">
        <v>5</v>
      </c>
      <c r="G87" t="s">
        <v>2116</v>
      </c>
    </row>
    <row r="88" spans="1:7" x14ac:dyDescent="0.25">
      <c r="A88" t="s">
        <v>2218</v>
      </c>
      <c r="B88">
        <f>COUNTIF(Лист2!H:H,A88)+COUNTIF(Лист2!I:I,A88)</f>
        <v>5</v>
      </c>
      <c r="C88">
        <v>5</v>
      </c>
      <c r="G88" t="s">
        <v>2415</v>
      </c>
    </row>
    <row r="89" spans="1:7" x14ac:dyDescent="0.25">
      <c r="A89" t="s">
        <v>2220</v>
      </c>
      <c r="B89">
        <f>COUNTIF(Лист2!H:H,A89)+COUNTIF(Лист2!I:I,A89)</f>
        <v>5</v>
      </c>
      <c r="C89">
        <v>5</v>
      </c>
      <c r="G89" t="s">
        <v>2189</v>
      </c>
    </row>
    <row r="90" spans="1:7" x14ac:dyDescent="0.25">
      <c r="A90" t="s">
        <v>2221</v>
      </c>
      <c r="B90">
        <f>COUNTIF(Лист2!H:H,A90)+COUNTIF(Лист2!I:I,A90)</f>
        <v>5</v>
      </c>
      <c r="C90">
        <v>5</v>
      </c>
      <c r="G90" t="s">
        <v>2151</v>
      </c>
    </row>
    <row r="91" spans="1:7" x14ac:dyDescent="0.25">
      <c r="A91" t="s">
        <v>2476</v>
      </c>
      <c r="B91">
        <f>COUNTIF(Лист2!H:H,A91)+COUNTIF(Лист2!I:I,A91)</f>
        <v>5</v>
      </c>
      <c r="C91">
        <v>5</v>
      </c>
      <c r="G91" t="s">
        <v>2190</v>
      </c>
    </row>
    <row r="92" spans="1:7" x14ac:dyDescent="0.25">
      <c r="A92" t="s">
        <v>2223</v>
      </c>
      <c r="B92">
        <f>COUNTIF(Лист2!H:H,A92)+COUNTIF(Лист2!I:I,A92)</f>
        <v>5</v>
      </c>
      <c r="C92">
        <v>5</v>
      </c>
      <c r="G92" t="s">
        <v>2191</v>
      </c>
    </row>
    <row r="93" spans="1:7" x14ac:dyDescent="0.25">
      <c r="A93" t="s">
        <v>2225</v>
      </c>
      <c r="B93">
        <f>COUNTIF(Лист2!H:H,A93)+COUNTIF(Лист2!I:I,A93)</f>
        <v>5</v>
      </c>
      <c r="C93">
        <v>5</v>
      </c>
      <c r="G93" t="s">
        <v>2117</v>
      </c>
    </row>
    <row r="94" spans="1:7" x14ac:dyDescent="0.25">
      <c r="A94" t="s">
        <v>2226</v>
      </c>
      <c r="B94">
        <f>COUNTIF(Лист2!H:H,A94)+COUNTIF(Лист2!I:I,A94)</f>
        <v>5</v>
      </c>
      <c r="C94">
        <v>5</v>
      </c>
      <c r="G94" t="s">
        <v>2101</v>
      </c>
    </row>
    <row r="95" spans="1:7" x14ac:dyDescent="0.25">
      <c r="A95" t="s">
        <v>2227</v>
      </c>
      <c r="B95">
        <f>COUNTIF(Лист2!H:H,A95)+COUNTIF(Лист2!I:I,A95)</f>
        <v>5</v>
      </c>
      <c r="C95">
        <v>5</v>
      </c>
      <c r="G95" t="s">
        <v>2192</v>
      </c>
    </row>
    <row r="96" spans="1:7" x14ac:dyDescent="0.25">
      <c r="A96" t="s">
        <v>2230</v>
      </c>
      <c r="B96">
        <f>COUNTIF(Лист2!H:H,A96)+COUNTIF(Лист2!I:I,A96)</f>
        <v>5</v>
      </c>
      <c r="C96">
        <v>5</v>
      </c>
      <c r="G96" t="s">
        <v>2193</v>
      </c>
    </row>
    <row r="97" spans="1:7" x14ac:dyDescent="0.25">
      <c r="A97" t="s">
        <v>2231</v>
      </c>
      <c r="B97">
        <f>COUNTIF(Лист2!H:H,A97)+COUNTIF(Лист2!I:I,A97)</f>
        <v>5</v>
      </c>
      <c r="C97">
        <v>5</v>
      </c>
      <c r="G97" t="s">
        <v>2195</v>
      </c>
    </row>
    <row r="98" spans="1:7" x14ac:dyDescent="0.25">
      <c r="A98" t="s">
        <v>2492</v>
      </c>
      <c r="B98">
        <f>COUNTIF(Лист2!H:H,A98)+COUNTIF(Лист2!I:I,A98)</f>
        <v>5</v>
      </c>
      <c r="C98">
        <v>5</v>
      </c>
      <c r="G98" t="s">
        <v>2194</v>
      </c>
    </row>
    <row r="99" spans="1:7" x14ac:dyDescent="0.25">
      <c r="A99" t="s">
        <v>2234</v>
      </c>
      <c r="B99">
        <f>COUNTIF(Лист2!H:H,A99)+COUNTIF(Лист2!I:I,A99)</f>
        <v>5</v>
      </c>
      <c r="C99">
        <v>5</v>
      </c>
      <c r="G99" t="s">
        <v>2152</v>
      </c>
    </row>
    <row r="100" spans="1:7" x14ac:dyDescent="0.25">
      <c r="A100" t="s">
        <v>2245</v>
      </c>
      <c r="B100">
        <f>COUNTIF(Лист2!H:H,A100)+COUNTIF(Лист2!I:I,A100)</f>
        <v>4</v>
      </c>
      <c r="C100">
        <v>4</v>
      </c>
      <c r="G100" t="s">
        <v>2422</v>
      </c>
    </row>
    <row r="101" spans="1:7" x14ac:dyDescent="0.25">
      <c r="A101" t="s">
        <v>2248</v>
      </c>
      <c r="B101">
        <f>COUNTIF(Лист2!H:H,A101)+COUNTIF(Лист2!I:I,A101)</f>
        <v>4</v>
      </c>
      <c r="C101">
        <v>4</v>
      </c>
      <c r="G101" t="s">
        <v>2118</v>
      </c>
    </row>
    <row r="102" spans="1:7" x14ac:dyDescent="0.25">
      <c r="A102" t="s">
        <v>2249</v>
      </c>
      <c r="B102">
        <f>COUNTIF(Лист2!H:H,A102)+COUNTIF(Лист2!I:I,A102)</f>
        <v>4</v>
      </c>
      <c r="C102">
        <v>4</v>
      </c>
      <c r="G102" t="s">
        <v>2196</v>
      </c>
    </row>
    <row r="103" spans="1:7" x14ac:dyDescent="0.25">
      <c r="A103" t="s">
        <v>2268</v>
      </c>
      <c r="B103">
        <f>COUNTIF(Лист2!H:H,A103)+COUNTIF(Лист2!I:I,A103)</f>
        <v>4</v>
      </c>
      <c r="C103">
        <v>4</v>
      </c>
      <c r="G103" t="s">
        <v>2423</v>
      </c>
    </row>
    <row r="104" spans="1:7" x14ac:dyDescent="0.25">
      <c r="A104" t="s">
        <v>2275</v>
      </c>
      <c r="B104">
        <f>COUNTIF(Лист2!H:H,A104)+COUNTIF(Лист2!I:I,A104)</f>
        <v>4</v>
      </c>
      <c r="C104">
        <v>4</v>
      </c>
      <c r="G104" t="s">
        <v>2197</v>
      </c>
    </row>
    <row r="105" spans="1:7" x14ac:dyDescent="0.25">
      <c r="A105" t="s">
        <v>2297</v>
      </c>
      <c r="B105">
        <f>COUNTIF(Лист2!H:H,A105)+COUNTIF(Лист2!I:I,A105)</f>
        <v>4</v>
      </c>
      <c r="C105">
        <v>4</v>
      </c>
      <c r="G105" t="s">
        <v>2198</v>
      </c>
    </row>
    <row r="106" spans="1:7" x14ac:dyDescent="0.25">
      <c r="A106" t="s">
        <v>2312</v>
      </c>
      <c r="B106">
        <f>COUNTIF(Лист2!H:H,A106)+COUNTIF(Лист2!I:I,A106)</f>
        <v>4</v>
      </c>
      <c r="C106">
        <v>4</v>
      </c>
      <c r="G106" t="s">
        <v>2153</v>
      </c>
    </row>
    <row r="107" spans="1:7" x14ac:dyDescent="0.25">
      <c r="A107" t="s">
        <v>2317</v>
      </c>
      <c r="B107">
        <f>COUNTIF(Лист2!H:H,A107)+COUNTIF(Лист2!I:I,A107)</f>
        <v>4</v>
      </c>
      <c r="C107">
        <v>4</v>
      </c>
      <c r="G107" t="s">
        <v>2426</v>
      </c>
    </row>
    <row r="108" spans="1:7" x14ac:dyDescent="0.25">
      <c r="A108" t="s">
        <v>2328</v>
      </c>
      <c r="B108">
        <f>COUNTIF(Лист2!H:H,A108)+COUNTIF(Лист2!I:I,A108)</f>
        <v>4</v>
      </c>
      <c r="C108">
        <v>4</v>
      </c>
      <c r="G108" t="s">
        <v>2429</v>
      </c>
    </row>
    <row r="109" spans="1:7" x14ac:dyDescent="0.25">
      <c r="A109" t="s">
        <v>2343</v>
      </c>
      <c r="B109">
        <f>COUNTIF(Лист2!H:H,A109)+COUNTIF(Лист2!I:I,A109)</f>
        <v>4</v>
      </c>
      <c r="C109">
        <v>4</v>
      </c>
      <c r="G109" t="s">
        <v>2119</v>
      </c>
    </row>
    <row r="110" spans="1:7" x14ac:dyDescent="0.25">
      <c r="A110" t="s">
        <v>2349</v>
      </c>
      <c r="B110">
        <f>COUNTIF(Лист2!H:H,A110)+COUNTIF(Лист2!I:I,A110)</f>
        <v>4</v>
      </c>
      <c r="C110">
        <v>4</v>
      </c>
      <c r="G110" t="s">
        <v>2199</v>
      </c>
    </row>
    <row r="111" spans="1:7" x14ac:dyDescent="0.25">
      <c r="A111" t="s">
        <v>2495</v>
      </c>
      <c r="B111">
        <f>COUNTIF(Лист2!H:H,A111)+COUNTIF(Лист2!I:I,A111)</f>
        <v>4</v>
      </c>
      <c r="C111">
        <v>4</v>
      </c>
      <c r="G111" t="s">
        <v>2107</v>
      </c>
    </row>
    <row r="112" spans="1:7" x14ac:dyDescent="0.25">
      <c r="A112" t="s">
        <v>2497</v>
      </c>
      <c r="B112">
        <f>COUNTIF(Лист2!H:H,A112)+COUNTIF(Лист2!I:I,A112)</f>
        <v>4</v>
      </c>
      <c r="C112">
        <v>4</v>
      </c>
      <c r="G112" t="s">
        <v>2154</v>
      </c>
    </row>
    <row r="113" spans="1:7" x14ac:dyDescent="0.25">
      <c r="A113" t="s">
        <v>2162</v>
      </c>
      <c r="B113">
        <f>COUNTIF(Лист2!H:H,A113)+COUNTIF(Лист2!I:I,A113)</f>
        <v>4</v>
      </c>
      <c r="C113">
        <v>4</v>
      </c>
      <c r="G113" t="s">
        <v>2120</v>
      </c>
    </row>
    <row r="114" spans="1:7" x14ac:dyDescent="0.25">
      <c r="A114" t="s">
        <v>2500</v>
      </c>
      <c r="B114">
        <f>COUNTIF(Лист2!H:H,A114)+COUNTIF(Лист2!I:I,A114)</f>
        <v>4</v>
      </c>
      <c r="C114">
        <v>4</v>
      </c>
      <c r="G114" t="s">
        <v>2200</v>
      </c>
    </row>
    <row r="115" spans="1:7" x14ac:dyDescent="0.25">
      <c r="A115" t="s">
        <v>2504</v>
      </c>
      <c r="B115">
        <f>COUNTIF(Лист2!H:H,A115)+COUNTIF(Лист2!I:I,A115)</f>
        <v>4</v>
      </c>
      <c r="C115">
        <v>4</v>
      </c>
      <c r="G115" t="s">
        <v>2432</v>
      </c>
    </row>
    <row r="116" spans="1:7" x14ac:dyDescent="0.25">
      <c r="A116" t="s">
        <v>2512</v>
      </c>
      <c r="B116">
        <f>COUNTIF(Лист2!H:H,A116)+COUNTIF(Лист2!I:I,A116)</f>
        <v>4</v>
      </c>
      <c r="C116">
        <v>4</v>
      </c>
      <c r="G116" t="s">
        <v>2433</v>
      </c>
    </row>
    <row r="117" spans="1:7" x14ac:dyDescent="0.25">
      <c r="A117" t="s">
        <v>2524</v>
      </c>
      <c r="B117">
        <f>COUNTIF(Лист2!H:H,A117)+COUNTIF(Лист2!I:I,A117)</f>
        <v>4</v>
      </c>
      <c r="C117">
        <v>4</v>
      </c>
      <c r="G117" t="s">
        <v>2201</v>
      </c>
    </row>
    <row r="118" spans="1:7" x14ac:dyDescent="0.25">
      <c r="A118" t="s">
        <v>2165</v>
      </c>
      <c r="B118">
        <f>COUNTIF(Лист2!H:H,A118)+COUNTIF(Лист2!I:I,A118)</f>
        <v>4</v>
      </c>
      <c r="C118">
        <v>4</v>
      </c>
      <c r="G118" t="s">
        <v>2155</v>
      </c>
    </row>
    <row r="119" spans="1:7" x14ac:dyDescent="0.25">
      <c r="A119" t="s">
        <v>2559</v>
      </c>
      <c r="B119">
        <f>COUNTIF(Лист2!H:H,A119)+COUNTIF(Лист2!I:I,A119)</f>
        <v>4</v>
      </c>
      <c r="C119">
        <v>4</v>
      </c>
      <c r="G119" t="s">
        <v>2202</v>
      </c>
    </row>
    <row r="120" spans="1:7" x14ac:dyDescent="0.25">
      <c r="A120" t="s">
        <v>2560</v>
      </c>
      <c r="B120">
        <f>COUNTIF(Лист2!H:H,A120)+COUNTIF(Лист2!I:I,A120)</f>
        <v>4</v>
      </c>
      <c r="C120">
        <v>4</v>
      </c>
      <c r="G120" t="s">
        <v>2436</v>
      </c>
    </row>
    <row r="121" spans="1:7" x14ac:dyDescent="0.25">
      <c r="A121" t="s">
        <v>2564</v>
      </c>
      <c r="B121">
        <f>COUNTIF(Лист2!H:H,A121)+COUNTIF(Лист2!I:I,A121)</f>
        <v>4</v>
      </c>
      <c r="C121">
        <v>4</v>
      </c>
      <c r="G121" t="s">
        <v>2203</v>
      </c>
    </row>
    <row r="122" spans="1:7" x14ac:dyDescent="0.25">
      <c r="A122" t="s">
        <v>2574</v>
      </c>
      <c r="B122">
        <f>COUNTIF(Лист2!H:H,A122)+COUNTIF(Лист2!I:I,A122)</f>
        <v>4</v>
      </c>
      <c r="C122">
        <v>4</v>
      </c>
      <c r="G122" t="s">
        <v>2121</v>
      </c>
    </row>
    <row r="123" spans="1:7" x14ac:dyDescent="0.25">
      <c r="A123" t="s">
        <v>2598</v>
      </c>
      <c r="B123">
        <f>COUNTIF(Лист2!H:H,A123)+COUNTIF(Лист2!I:I,A123)</f>
        <v>4</v>
      </c>
      <c r="C123">
        <v>4</v>
      </c>
      <c r="G123" t="s">
        <v>2122</v>
      </c>
    </row>
    <row r="124" spans="1:7" x14ac:dyDescent="0.25">
      <c r="A124" t="s">
        <v>2604</v>
      </c>
      <c r="B124">
        <f>COUNTIF(Лист2!H:H,A124)+COUNTIF(Лист2!I:I,A124)</f>
        <v>4</v>
      </c>
      <c r="C124">
        <v>4</v>
      </c>
      <c r="G124" t="s">
        <v>2204</v>
      </c>
    </row>
    <row r="125" spans="1:7" x14ac:dyDescent="0.25">
      <c r="A125" t="s">
        <v>2606</v>
      </c>
      <c r="B125">
        <f>COUNTIF(Лист2!H:H,A125)+COUNTIF(Лист2!I:I,A125)</f>
        <v>4</v>
      </c>
      <c r="C125">
        <v>4</v>
      </c>
      <c r="G125" t="s">
        <v>2205</v>
      </c>
    </row>
    <row r="126" spans="1:7" x14ac:dyDescent="0.25">
      <c r="A126" t="s">
        <v>2172</v>
      </c>
      <c r="B126">
        <f>COUNTIF(Лист2!H:H,A126)+COUNTIF(Лист2!I:I,A126)</f>
        <v>4</v>
      </c>
      <c r="C126">
        <v>4</v>
      </c>
      <c r="G126" t="s">
        <v>2206</v>
      </c>
    </row>
    <row r="127" spans="1:7" x14ac:dyDescent="0.25">
      <c r="A127" t="s">
        <v>2620</v>
      </c>
      <c r="B127">
        <f>COUNTIF(Лист2!H:H,A127)+COUNTIF(Лист2!I:I,A127)</f>
        <v>4</v>
      </c>
      <c r="C127">
        <v>4</v>
      </c>
      <c r="G127" t="s">
        <v>2156</v>
      </c>
    </row>
    <row r="128" spans="1:7" x14ac:dyDescent="0.25">
      <c r="A128" t="s">
        <v>2625</v>
      </c>
      <c r="B128">
        <f>COUNTIF(Лист2!H:H,A128)+COUNTIF(Лист2!I:I,A128)</f>
        <v>4</v>
      </c>
      <c r="C128">
        <v>4</v>
      </c>
      <c r="G128" t="s">
        <v>2123</v>
      </c>
    </row>
    <row r="129" spans="1:7" x14ac:dyDescent="0.25">
      <c r="A129" t="s">
        <v>2636</v>
      </c>
      <c r="B129">
        <f>COUNTIF(Лист2!H:H,A129)+COUNTIF(Лист2!I:I,A129)</f>
        <v>4</v>
      </c>
      <c r="C129">
        <v>4</v>
      </c>
      <c r="G129" t="s">
        <v>2444</v>
      </c>
    </row>
    <row r="130" spans="1:7" x14ac:dyDescent="0.25">
      <c r="A130" t="s">
        <v>2643</v>
      </c>
      <c r="B130">
        <f>COUNTIF(Лист2!H:H,A130)+COUNTIF(Лист2!I:I,A130)</f>
        <v>4</v>
      </c>
      <c r="C130">
        <v>4</v>
      </c>
      <c r="G130" t="s">
        <v>2207</v>
      </c>
    </row>
    <row r="131" spans="1:7" x14ac:dyDescent="0.25">
      <c r="A131" t="s">
        <v>2664</v>
      </c>
      <c r="B131">
        <f>COUNTIF(Лист2!H:H,A131)+COUNTIF(Лист2!I:I,A131)</f>
        <v>4</v>
      </c>
      <c r="C131">
        <v>4</v>
      </c>
      <c r="G131" t="s">
        <v>2124</v>
      </c>
    </row>
    <row r="132" spans="1:7" x14ac:dyDescent="0.25">
      <c r="A132" t="s">
        <v>2670</v>
      </c>
      <c r="B132">
        <f>COUNTIF(Лист2!H:H,A132)+COUNTIF(Лист2!I:I,A132)</f>
        <v>4</v>
      </c>
      <c r="C132">
        <v>4</v>
      </c>
      <c r="G132" t="s">
        <v>2208</v>
      </c>
    </row>
    <row r="133" spans="1:7" x14ac:dyDescent="0.25">
      <c r="A133" t="s">
        <v>2683</v>
      </c>
      <c r="B133">
        <f>COUNTIF(Лист2!H:H,A133)+COUNTIF(Лист2!I:I,A133)</f>
        <v>4</v>
      </c>
      <c r="C133">
        <v>4</v>
      </c>
      <c r="G133" t="s">
        <v>2445</v>
      </c>
    </row>
    <row r="134" spans="1:7" x14ac:dyDescent="0.25">
      <c r="A134" t="s">
        <v>2685</v>
      </c>
      <c r="B134">
        <f>COUNTIF(Лист2!H:H,A134)+COUNTIF(Лист2!I:I,A134)</f>
        <v>4</v>
      </c>
      <c r="C134">
        <v>4</v>
      </c>
      <c r="G134" t="s">
        <v>2446</v>
      </c>
    </row>
    <row r="135" spans="1:7" x14ac:dyDescent="0.25">
      <c r="A135" t="s">
        <v>2690</v>
      </c>
      <c r="B135">
        <f>COUNTIF(Лист2!H:H,A135)+COUNTIF(Лист2!I:I,A135)</f>
        <v>4</v>
      </c>
      <c r="C135">
        <v>4</v>
      </c>
      <c r="G135" t="s">
        <v>2209</v>
      </c>
    </row>
    <row r="136" spans="1:7" x14ac:dyDescent="0.25">
      <c r="A136" t="s">
        <v>2692</v>
      </c>
      <c r="B136">
        <f>COUNTIF(Лист2!H:H,A136)+COUNTIF(Лист2!I:I,A136)</f>
        <v>4</v>
      </c>
      <c r="C136">
        <v>4</v>
      </c>
      <c r="G136" t="s">
        <v>2157</v>
      </c>
    </row>
    <row r="137" spans="1:7" x14ac:dyDescent="0.25">
      <c r="A137" t="s">
        <v>2709</v>
      </c>
      <c r="B137">
        <f>COUNTIF(Лист2!H:H,A137)+COUNTIF(Лист2!I:I,A137)</f>
        <v>4</v>
      </c>
      <c r="C137">
        <v>4</v>
      </c>
      <c r="G137" t="s">
        <v>2111</v>
      </c>
    </row>
    <row r="138" spans="1:7" x14ac:dyDescent="0.25">
      <c r="A138" t="s">
        <v>2712</v>
      </c>
      <c r="B138">
        <f>COUNTIF(Лист2!H:H,A138)+COUNTIF(Лист2!I:I,A138)</f>
        <v>4</v>
      </c>
      <c r="C138">
        <v>4</v>
      </c>
      <c r="G138" t="s">
        <v>2448</v>
      </c>
    </row>
    <row r="139" spans="1:7" x14ac:dyDescent="0.25">
      <c r="A139" t="s">
        <v>2713</v>
      </c>
      <c r="B139">
        <f>COUNTIF(Лист2!H:H,A139)+COUNTIF(Лист2!I:I,A139)</f>
        <v>4</v>
      </c>
      <c r="C139">
        <v>4</v>
      </c>
      <c r="G139" t="s">
        <v>2158</v>
      </c>
    </row>
    <row r="140" spans="1:7" x14ac:dyDescent="0.25">
      <c r="A140" t="s">
        <v>2714</v>
      </c>
      <c r="B140">
        <f>COUNTIF(Лист2!H:H,A140)+COUNTIF(Лист2!I:I,A140)</f>
        <v>4</v>
      </c>
      <c r="C140">
        <v>4</v>
      </c>
      <c r="G140" t="s">
        <v>2453</v>
      </c>
    </row>
    <row r="141" spans="1:7" x14ac:dyDescent="0.25">
      <c r="A141" t="s">
        <v>2715</v>
      </c>
      <c r="B141">
        <f>COUNTIF(Лист2!H:H,A141)+COUNTIF(Лист2!I:I,A141)</f>
        <v>4</v>
      </c>
      <c r="C141">
        <v>4</v>
      </c>
      <c r="G141" t="s">
        <v>2125</v>
      </c>
    </row>
    <row r="142" spans="1:7" x14ac:dyDescent="0.25">
      <c r="A142" t="s">
        <v>2718</v>
      </c>
      <c r="B142">
        <f>COUNTIF(Лист2!H:H,A142)+COUNTIF(Лист2!I:I,A142)</f>
        <v>4</v>
      </c>
      <c r="C142">
        <v>4</v>
      </c>
      <c r="G142" t="s">
        <v>2455</v>
      </c>
    </row>
    <row r="143" spans="1:7" x14ac:dyDescent="0.25">
      <c r="A143" t="s">
        <v>2719</v>
      </c>
      <c r="B143">
        <f>COUNTIF(Лист2!H:H,A143)+COUNTIF(Лист2!I:I,A143)</f>
        <v>4</v>
      </c>
      <c r="C143">
        <v>4</v>
      </c>
      <c r="G143" t="s">
        <v>2456</v>
      </c>
    </row>
    <row r="144" spans="1:7" x14ac:dyDescent="0.25">
      <c r="A144" t="s">
        <v>2722</v>
      </c>
      <c r="B144">
        <f>COUNTIF(Лист2!H:H,A144)+COUNTIF(Лист2!I:I,A144)</f>
        <v>4</v>
      </c>
      <c r="C144">
        <v>4</v>
      </c>
      <c r="G144" t="s">
        <v>2458</v>
      </c>
    </row>
    <row r="145" spans="1:7" x14ac:dyDescent="0.25">
      <c r="A145" t="s">
        <v>2734</v>
      </c>
      <c r="B145">
        <f>COUNTIF(Лист2!H:H,A145)+COUNTIF(Лист2!I:I,A145)</f>
        <v>4</v>
      </c>
      <c r="C145">
        <v>4</v>
      </c>
      <c r="G145" t="s">
        <v>2459</v>
      </c>
    </row>
    <row r="146" spans="1:7" x14ac:dyDescent="0.25">
      <c r="A146" t="s">
        <v>2738</v>
      </c>
      <c r="B146">
        <f>COUNTIF(Лист2!H:H,A146)+COUNTIF(Лист2!I:I,A146)</f>
        <v>4</v>
      </c>
      <c r="C146">
        <v>4</v>
      </c>
      <c r="G146" t="s">
        <v>2210</v>
      </c>
    </row>
    <row r="147" spans="1:7" x14ac:dyDescent="0.25">
      <c r="A147" t="s">
        <v>2759</v>
      </c>
      <c r="B147">
        <f>COUNTIF(Лист2!H:H,A147)+COUNTIF(Лист2!I:I,A147)</f>
        <v>4</v>
      </c>
      <c r="C147">
        <v>4</v>
      </c>
      <c r="G147" t="s">
        <v>2211</v>
      </c>
    </row>
    <row r="148" spans="1:7" x14ac:dyDescent="0.25">
      <c r="A148" t="s">
        <v>2766</v>
      </c>
      <c r="B148">
        <f>COUNTIF(Лист2!H:H,A148)+COUNTIF(Лист2!I:I,A148)</f>
        <v>4</v>
      </c>
      <c r="C148">
        <v>4</v>
      </c>
      <c r="G148" t="s">
        <v>2461</v>
      </c>
    </row>
    <row r="149" spans="1:7" x14ac:dyDescent="0.25">
      <c r="A149" t="s">
        <v>2770</v>
      </c>
      <c r="B149">
        <f>COUNTIF(Лист2!H:H,A149)+COUNTIF(Лист2!I:I,A149)</f>
        <v>4</v>
      </c>
      <c r="C149">
        <v>4</v>
      </c>
      <c r="G149" t="s">
        <v>2462</v>
      </c>
    </row>
    <row r="150" spans="1:7" x14ac:dyDescent="0.25">
      <c r="A150" t="s">
        <v>2779</v>
      </c>
      <c r="B150">
        <f>COUNTIF(Лист2!H:H,A150)+COUNTIF(Лист2!I:I,A150)</f>
        <v>4</v>
      </c>
      <c r="C150">
        <v>4</v>
      </c>
      <c r="G150" t="s">
        <v>2212</v>
      </c>
    </row>
    <row r="151" spans="1:7" x14ac:dyDescent="0.25">
      <c r="A151" t="s">
        <v>2783</v>
      </c>
      <c r="B151">
        <f>COUNTIF(Лист2!H:H,A151)+COUNTIF(Лист2!I:I,A151)</f>
        <v>4</v>
      </c>
      <c r="C151">
        <v>4</v>
      </c>
      <c r="G151" t="s">
        <v>2463</v>
      </c>
    </row>
    <row r="152" spans="1:7" x14ac:dyDescent="0.25">
      <c r="A152" t="s">
        <v>2790</v>
      </c>
      <c r="B152">
        <f>COUNTIF(Лист2!H:H,A152)+COUNTIF(Лист2!I:I,A152)</f>
        <v>4</v>
      </c>
      <c r="C152">
        <v>4</v>
      </c>
      <c r="G152" t="s">
        <v>2466</v>
      </c>
    </row>
    <row r="153" spans="1:7" x14ac:dyDescent="0.25">
      <c r="A153" t="s">
        <v>2807</v>
      </c>
      <c r="B153">
        <f>COUNTIF(Лист2!H:H,A153)+COUNTIF(Лист2!I:I,A153)</f>
        <v>4</v>
      </c>
      <c r="C153">
        <v>4</v>
      </c>
      <c r="G153" t="s">
        <v>2213</v>
      </c>
    </row>
    <row r="154" spans="1:7" x14ac:dyDescent="0.25">
      <c r="A154" t="s">
        <v>2808</v>
      </c>
      <c r="B154">
        <f>COUNTIF(Лист2!H:H,A154)+COUNTIF(Лист2!I:I,A154)</f>
        <v>4</v>
      </c>
      <c r="C154">
        <v>4</v>
      </c>
      <c r="G154" t="s">
        <v>2467</v>
      </c>
    </row>
    <row r="155" spans="1:7" x14ac:dyDescent="0.25">
      <c r="A155" t="s">
        <v>2189</v>
      </c>
      <c r="B155">
        <f>COUNTIF(Лист2!H:H,A155)+COUNTIF(Лист2!I:I,A155)</f>
        <v>5</v>
      </c>
      <c r="C155">
        <v>4</v>
      </c>
      <c r="G155" t="s">
        <v>2159</v>
      </c>
    </row>
    <row r="156" spans="1:7" x14ac:dyDescent="0.25">
      <c r="A156" t="s">
        <v>2819</v>
      </c>
      <c r="B156">
        <f>COUNTIF(Лист2!H:H,A156)+COUNTIF(Лист2!I:I,A156)</f>
        <v>4</v>
      </c>
      <c r="C156">
        <v>4</v>
      </c>
      <c r="G156" t="s">
        <v>2214</v>
      </c>
    </row>
    <row r="157" spans="1:7" x14ac:dyDescent="0.25">
      <c r="A157" t="s">
        <v>2821</v>
      </c>
      <c r="B157">
        <f>COUNTIF(Лист2!H:H,A157)+COUNTIF(Лист2!I:I,A157)</f>
        <v>4</v>
      </c>
      <c r="C157">
        <v>4</v>
      </c>
      <c r="G157" t="s">
        <v>2215</v>
      </c>
    </row>
    <row r="158" spans="1:7" x14ac:dyDescent="0.25">
      <c r="A158" t="s">
        <v>2825</v>
      </c>
      <c r="B158">
        <f>COUNTIF(Лист2!H:H,A158)+COUNTIF(Лист2!I:I,A158)</f>
        <v>4</v>
      </c>
      <c r="C158">
        <v>4</v>
      </c>
      <c r="G158" t="s">
        <v>2216</v>
      </c>
    </row>
    <row r="159" spans="1:7" x14ac:dyDescent="0.25">
      <c r="A159" t="s">
        <v>2835</v>
      </c>
      <c r="B159">
        <f>COUNTIF(Лист2!H:H,A159)+COUNTIF(Лист2!I:I,A159)</f>
        <v>4</v>
      </c>
      <c r="C159">
        <v>4</v>
      </c>
      <c r="G159" t="s">
        <v>2217</v>
      </c>
    </row>
    <row r="160" spans="1:7" x14ac:dyDescent="0.25">
      <c r="A160" t="s">
        <v>2848</v>
      </c>
      <c r="B160">
        <f>COUNTIF(Лист2!H:H,A160)+COUNTIF(Лист2!I:I,A160)</f>
        <v>4</v>
      </c>
      <c r="C160">
        <v>4</v>
      </c>
      <c r="G160" t="s">
        <v>2471</v>
      </c>
    </row>
    <row r="161" spans="1:7" x14ac:dyDescent="0.25">
      <c r="A161" t="s">
        <v>2195</v>
      </c>
      <c r="B161">
        <f>COUNTIF(Лист2!H:H,A161)+COUNTIF(Лист2!I:I,A161)</f>
        <v>4</v>
      </c>
      <c r="C161">
        <v>4</v>
      </c>
      <c r="G161" t="s">
        <v>2126</v>
      </c>
    </row>
    <row r="162" spans="1:7" x14ac:dyDescent="0.25">
      <c r="A162" t="s">
        <v>2858</v>
      </c>
      <c r="B162">
        <f>COUNTIF(Лист2!H:H,A162)+COUNTIF(Лист2!I:I,A162)</f>
        <v>4</v>
      </c>
      <c r="C162">
        <v>4</v>
      </c>
      <c r="G162" t="s">
        <v>2218</v>
      </c>
    </row>
    <row r="163" spans="1:7" x14ac:dyDescent="0.25">
      <c r="A163" t="s">
        <v>2861</v>
      </c>
      <c r="B163">
        <f>COUNTIF(Лист2!H:H,A163)+COUNTIF(Лист2!I:I,A163)</f>
        <v>4</v>
      </c>
      <c r="C163">
        <v>4</v>
      </c>
      <c r="G163" t="s">
        <v>2219</v>
      </c>
    </row>
    <row r="164" spans="1:7" x14ac:dyDescent="0.25">
      <c r="A164" t="s">
        <v>2870</v>
      </c>
      <c r="B164">
        <f>COUNTIF(Лист2!H:H,A164)+COUNTIF(Лист2!I:I,A164)</f>
        <v>4</v>
      </c>
      <c r="C164">
        <v>4</v>
      </c>
      <c r="G164" t="s">
        <v>2220</v>
      </c>
    </row>
    <row r="165" spans="1:7" x14ac:dyDescent="0.25">
      <c r="A165" t="s">
        <v>2871</v>
      </c>
      <c r="B165">
        <f>COUNTIF(Лист2!H:H,A165)+COUNTIF(Лист2!I:I,A165)</f>
        <v>4</v>
      </c>
      <c r="C165">
        <v>4</v>
      </c>
      <c r="G165" t="s">
        <v>2221</v>
      </c>
    </row>
    <row r="166" spans="1:7" x14ac:dyDescent="0.25">
      <c r="A166" t="s">
        <v>2873</v>
      </c>
      <c r="B166">
        <f>COUNTIF(Лист2!H:H,A166)+COUNTIF(Лист2!I:I,A166)</f>
        <v>4</v>
      </c>
      <c r="C166">
        <v>4</v>
      </c>
      <c r="G166" t="s">
        <v>2476</v>
      </c>
    </row>
    <row r="167" spans="1:7" x14ac:dyDescent="0.25">
      <c r="A167" t="s">
        <v>2884</v>
      </c>
      <c r="B167">
        <f>COUNTIF(Лист2!H:H,A167)+COUNTIF(Лист2!I:I,A167)</f>
        <v>4</v>
      </c>
      <c r="C167">
        <v>4</v>
      </c>
      <c r="G167" t="s">
        <v>2222</v>
      </c>
    </row>
    <row r="168" spans="1:7" x14ac:dyDescent="0.25">
      <c r="A168" t="s">
        <v>2894</v>
      </c>
      <c r="B168">
        <f>COUNTIF(Лист2!H:H,A168)+COUNTIF(Лист2!I:I,A168)</f>
        <v>4</v>
      </c>
      <c r="C168">
        <v>4</v>
      </c>
      <c r="G168" t="s">
        <v>2100</v>
      </c>
    </row>
    <row r="169" spans="1:7" x14ac:dyDescent="0.25">
      <c r="A169" t="s">
        <v>2918</v>
      </c>
      <c r="B169">
        <f>COUNTIF(Лист2!H:H,A169)+COUNTIF(Лист2!I:I,A169)</f>
        <v>4</v>
      </c>
      <c r="C169">
        <v>4</v>
      </c>
      <c r="G169" t="s">
        <v>2127</v>
      </c>
    </row>
    <row r="170" spans="1:7" x14ac:dyDescent="0.25">
      <c r="A170" t="s">
        <v>2119</v>
      </c>
      <c r="B170">
        <f>COUNTIF(Лист2!H:H,A170)+COUNTIF(Лист2!I:I,A170)</f>
        <v>4</v>
      </c>
      <c r="C170">
        <v>4</v>
      </c>
      <c r="G170" t="s">
        <v>2223</v>
      </c>
    </row>
    <row r="171" spans="1:7" x14ac:dyDescent="0.25">
      <c r="A171" t="s">
        <v>2933</v>
      </c>
      <c r="B171">
        <f>COUNTIF(Лист2!H:H,A171)+COUNTIF(Лист2!I:I,A171)</f>
        <v>4</v>
      </c>
      <c r="C171">
        <v>4</v>
      </c>
      <c r="G171" t="s">
        <v>2477</v>
      </c>
    </row>
    <row r="172" spans="1:7" x14ac:dyDescent="0.25">
      <c r="A172" t="s">
        <v>2200</v>
      </c>
      <c r="B172">
        <f>COUNTIF(Лист2!H:H,A172)+COUNTIF(Лист2!I:I,A172)</f>
        <v>5</v>
      </c>
      <c r="C172">
        <v>4</v>
      </c>
      <c r="G172" t="s">
        <v>2478</v>
      </c>
    </row>
    <row r="173" spans="1:7" x14ac:dyDescent="0.25">
      <c r="A173" t="s">
        <v>2953</v>
      </c>
      <c r="B173">
        <f>COUNTIF(Лист2!H:H,A173)+COUNTIF(Лист2!I:I,A173)</f>
        <v>4</v>
      </c>
      <c r="C173">
        <v>4</v>
      </c>
      <c r="G173" t="s">
        <v>2479</v>
      </c>
    </row>
    <row r="174" spans="1:7" x14ac:dyDescent="0.25">
      <c r="A174" t="s">
        <v>2956</v>
      </c>
      <c r="B174">
        <f>COUNTIF(Лист2!H:H,A174)+COUNTIF(Лист2!I:I,A174)</f>
        <v>4</v>
      </c>
      <c r="C174">
        <v>4</v>
      </c>
      <c r="G174" t="s">
        <v>2480</v>
      </c>
    </row>
    <row r="175" spans="1:7" x14ac:dyDescent="0.25">
      <c r="A175" t="s">
        <v>2968</v>
      </c>
      <c r="B175">
        <f>COUNTIF(Лист2!H:H,A175)+COUNTIF(Лист2!I:I,A175)</f>
        <v>4</v>
      </c>
      <c r="C175">
        <v>4</v>
      </c>
      <c r="G175" t="s">
        <v>2224</v>
      </c>
    </row>
    <row r="176" spans="1:7" x14ac:dyDescent="0.25">
      <c r="A176" t="s">
        <v>2969</v>
      </c>
      <c r="B176">
        <f>COUNTIF(Лист2!H:H,A176)+COUNTIF(Лист2!I:I,A176)</f>
        <v>4</v>
      </c>
      <c r="C176">
        <v>4</v>
      </c>
      <c r="G176" t="s">
        <v>2160</v>
      </c>
    </row>
    <row r="177" spans="1:7" x14ac:dyDescent="0.25">
      <c r="A177" t="s">
        <v>2974</v>
      </c>
      <c r="B177">
        <f>COUNTIF(Лист2!H:H,A177)+COUNTIF(Лист2!I:I,A177)</f>
        <v>4</v>
      </c>
      <c r="C177">
        <v>4</v>
      </c>
      <c r="G177" t="s">
        <v>2128</v>
      </c>
    </row>
    <row r="178" spans="1:7" x14ac:dyDescent="0.25">
      <c r="A178" t="s">
        <v>2978</v>
      </c>
      <c r="B178">
        <f>COUNTIF(Лист2!H:H,A178)+COUNTIF(Лист2!I:I,A178)</f>
        <v>4</v>
      </c>
      <c r="C178">
        <v>4</v>
      </c>
      <c r="G178" t="s">
        <v>2225</v>
      </c>
    </row>
    <row r="179" spans="1:7" x14ac:dyDescent="0.25">
      <c r="A179" t="s">
        <v>2992</v>
      </c>
      <c r="B179">
        <f>COUNTIF(Лист2!H:H,A179)+COUNTIF(Лист2!I:I,A179)</f>
        <v>4</v>
      </c>
      <c r="C179">
        <v>4</v>
      </c>
      <c r="G179" t="s">
        <v>2129</v>
      </c>
    </row>
    <row r="180" spans="1:7" x14ac:dyDescent="0.25">
      <c r="A180" t="s">
        <v>2994</v>
      </c>
      <c r="B180">
        <f>COUNTIF(Лист2!H:H,A180)+COUNTIF(Лист2!I:I,A180)</f>
        <v>4</v>
      </c>
      <c r="C180">
        <v>4</v>
      </c>
      <c r="G180" t="s">
        <v>2226</v>
      </c>
    </row>
    <row r="181" spans="1:7" x14ac:dyDescent="0.25">
      <c r="A181" t="s">
        <v>3014</v>
      </c>
      <c r="B181">
        <f>COUNTIF(Лист2!H:H,A181)+COUNTIF(Лист2!I:I,A181)</f>
        <v>4</v>
      </c>
      <c r="C181">
        <v>4</v>
      </c>
      <c r="G181" t="s">
        <v>2484</v>
      </c>
    </row>
    <row r="182" spans="1:7" x14ac:dyDescent="0.25">
      <c r="A182" t="s">
        <v>3023</v>
      </c>
      <c r="B182">
        <f>COUNTIF(Лист2!H:H,A182)+COUNTIF(Лист2!I:I,A182)</f>
        <v>4</v>
      </c>
      <c r="C182">
        <v>4</v>
      </c>
      <c r="G182" t="s">
        <v>2485</v>
      </c>
    </row>
    <row r="183" spans="1:7" x14ac:dyDescent="0.25">
      <c r="A183" t="s">
        <v>3024</v>
      </c>
      <c r="B183">
        <f>COUNTIF(Лист2!H:H,A183)+COUNTIF(Лист2!I:I,A183)</f>
        <v>4</v>
      </c>
      <c r="C183">
        <v>4</v>
      </c>
      <c r="G183" t="s">
        <v>2227</v>
      </c>
    </row>
    <row r="184" spans="1:7" x14ac:dyDescent="0.25">
      <c r="A184" t="s">
        <v>3029</v>
      </c>
      <c r="B184">
        <f>COUNTIF(Лист2!H:H,A184)+COUNTIF(Лист2!I:I,A184)</f>
        <v>4</v>
      </c>
      <c r="C184">
        <v>4</v>
      </c>
      <c r="G184" t="s">
        <v>2486</v>
      </c>
    </row>
    <row r="185" spans="1:7" x14ac:dyDescent="0.25">
      <c r="A185" t="s">
        <v>3038</v>
      </c>
      <c r="B185">
        <f>COUNTIF(Лист2!H:H,A185)+COUNTIF(Лист2!I:I,A185)</f>
        <v>4</v>
      </c>
      <c r="C185">
        <v>4</v>
      </c>
      <c r="G185" t="s">
        <v>2108</v>
      </c>
    </row>
    <row r="186" spans="1:7" x14ac:dyDescent="0.25">
      <c r="A186" t="s">
        <v>3056</v>
      </c>
      <c r="B186">
        <f>COUNTIF(Лист2!H:H,A186)+COUNTIF(Лист2!I:I,A186)</f>
        <v>4</v>
      </c>
      <c r="C186">
        <v>4</v>
      </c>
      <c r="G186" t="s">
        <v>2228</v>
      </c>
    </row>
    <row r="187" spans="1:7" x14ac:dyDescent="0.25">
      <c r="A187" t="s">
        <v>3089</v>
      </c>
      <c r="B187">
        <f>COUNTIF(Лист2!H:H,A187)+COUNTIF(Лист2!I:I,A187)</f>
        <v>4</v>
      </c>
      <c r="C187">
        <v>4</v>
      </c>
      <c r="G187" t="s">
        <v>2229</v>
      </c>
    </row>
    <row r="188" spans="1:7" x14ac:dyDescent="0.25">
      <c r="A188" t="s">
        <v>3099</v>
      </c>
      <c r="B188">
        <f>COUNTIF(Лист2!H:H,A188)+COUNTIF(Лист2!I:I,A188)</f>
        <v>4</v>
      </c>
      <c r="C188">
        <v>4</v>
      </c>
      <c r="G188" t="s">
        <v>2230</v>
      </c>
    </row>
    <row r="189" spans="1:7" x14ac:dyDescent="0.25">
      <c r="A189" t="s">
        <v>2463</v>
      </c>
      <c r="B189">
        <f>COUNTIF(Лист2!H:H,A189)+COUNTIF(Лист2!I:I,A189)</f>
        <v>4</v>
      </c>
      <c r="C189">
        <v>4</v>
      </c>
      <c r="G189" t="s">
        <v>2231</v>
      </c>
    </row>
    <row r="190" spans="1:7" x14ac:dyDescent="0.25">
      <c r="A190" t="s">
        <v>3106</v>
      </c>
      <c r="B190">
        <f>COUNTIF(Лист2!H:H,A190)+COUNTIF(Лист2!I:I,A190)</f>
        <v>4</v>
      </c>
      <c r="C190">
        <v>4</v>
      </c>
      <c r="G190" t="s">
        <v>2161</v>
      </c>
    </row>
    <row r="191" spans="1:7" x14ac:dyDescent="0.25">
      <c r="A191" t="s">
        <v>3107</v>
      </c>
      <c r="B191">
        <f>COUNTIF(Лист2!H:H,A191)+COUNTIF(Лист2!I:I,A191)</f>
        <v>4</v>
      </c>
      <c r="C191">
        <v>4</v>
      </c>
      <c r="G191" t="s">
        <v>2232</v>
      </c>
    </row>
    <row r="192" spans="1:7" x14ac:dyDescent="0.25">
      <c r="A192" t="s">
        <v>2159</v>
      </c>
      <c r="B192">
        <f>COUNTIF(Лист2!H:H,A192)+COUNTIF(Лист2!I:I,A192)</f>
        <v>4</v>
      </c>
      <c r="C192">
        <v>4</v>
      </c>
      <c r="G192" t="s">
        <v>2233</v>
      </c>
    </row>
    <row r="193" spans="1:7" x14ac:dyDescent="0.25">
      <c r="A193" t="s">
        <v>3121</v>
      </c>
      <c r="B193">
        <f>COUNTIF(Лист2!H:H,A193)+COUNTIF(Лист2!I:I,A193)</f>
        <v>4</v>
      </c>
      <c r="C193">
        <v>4</v>
      </c>
      <c r="G193" t="s">
        <v>2492</v>
      </c>
    </row>
    <row r="194" spans="1:7" x14ac:dyDescent="0.25">
      <c r="A194" t="s">
        <v>3123</v>
      </c>
      <c r="B194">
        <f>COUNTIF(Лист2!H:H,A194)+COUNTIF(Лист2!I:I,A194)</f>
        <v>4</v>
      </c>
      <c r="C194">
        <v>4</v>
      </c>
      <c r="G194" t="s">
        <v>2109</v>
      </c>
    </row>
    <row r="195" spans="1:7" x14ac:dyDescent="0.25">
      <c r="A195" t="s">
        <v>3133</v>
      </c>
      <c r="B195">
        <f>COUNTIF(Лист2!H:H,A195)+COUNTIF(Лист2!I:I,A195)</f>
        <v>4</v>
      </c>
      <c r="C195">
        <v>4</v>
      </c>
      <c r="G195" t="s">
        <v>2234</v>
      </c>
    </row>
    <row r="196" spans="1:7" x14ac:dyDescent="0.25">
      <c r="A196" t="s">
        <v>3134</v>
      </c>
      <c r="B196">
        <f>COUNTIF(Лист2!H:H,A196)+COUNTIF(Лист2!I:I,A196)</f>
        <v>4</v>
      </c>
      <c r="C196">
        <v>4</v>
      </c>
    </row>
    <row r="197" spans="1:7" x14ac:dyDescent="0.25">
      <c r="A197" t="s">
        <v>3136</v>
      </c>
      <c r="B197">
        <f>COUNTIF(Лист2!H:H,A197)+COUNTIF(Лист2!I:I,A197)</f>
        <v>4</v>
      </c>
      <c r="C197">
        <v>4</v>
      </c>
    </row>
    <row r="198" spans="1:7" x14ac:dyDescent="0.25">
      <c r="A198" t="s">
        <v>2216</v>
      </c>
      <c r="B198">
        <f>COUNTIF(Лист2!H:H,A198)+COUNTIF(Лист2!I:I,A198)</f>
        <v>4</v>
      </c>
      <c r="C198">
        <v>4</v>
      </c>
    </row>
    <row r="199" spans="1:7" x14ac:dyDescent="0.25">
      <c r="A199" t="s">
        <v>3148</v>
      </c>
      <c r="B199">
        <f>COUNTIF(Лист2!H:H,A199)+COUNTIF(Лист2!I:I,A199)</f>
        <v>4</v>
      </c>
      <c r="C199">
        <v>4</v>
      </c>
    </row>
    <row r="200" spans="1:7" x14ac:dyDescent="0.25">
      <c r="A200" t="s">
        <v>3155</v>
      </c>
      <c r="B200">
        <f>COUNTIF(Лист2!H:H,A200)+COUNTIF(Лист2!I:I,A200)</f>
        <v>4</v>
      </c>
      <c r="C200">
        <v>4</v>
      </c>
    </row>
    <row r="201" spans="1:7" x14ac:dyDescent="0.25">
      <c r="A201" t="s">
        <v>3158</v>
      </c>
      <c r="B201">
        <f>COUNTIF(Лист2!H:H,A201)+COUNTIF(Лист2!I:I,A201)</f>
        <v>4</v>
      </c>
      <c r="C201">
        <v>4</v>
      </c>
    </row>
    <row r="202" spans="1:7" x14ac:dyDescent="0.25">
      <c r="A202" t="s">
        <v>3175</v>
      </c>
      <c r="B202">
        <f>COUNTIF(Лист2!H:H,A202)+COUNTIF(Лист2!I:I,A202)</f>
        <v>4</v>
      </c>
      <c r="C202">
        <v>4</v>
      </c>
    </row>
    <row r="203" spans="1:7" x14ac:dyDescent="0.25">
      <c r="A203" t="s">
        <v>3197</v>
      </c>
      <c r="B203">
        <f>COUNTIF(Лист2!H:H,A203)+COUNTIF(Лист2!I:I,A203)</f>
        <v>4</v>
      </c>
      <c r="C203">
        <v>4</v>
      </c>
    </row>
    <row r="204" spans="1:7" x14ac:dyDescent="0.25">
      <c r="A204" t="s">
        <v>2128</v>
      </c>
      <c r="B204">
        <f>COUNTIF(Лист2!H:H,A204)+COUNTIF(Лист2!I:I,A204)</f>
        <v>4</v>
      </c>
      <c r="C204">
        <v>4</v>
      </c>
    </row>
    <row r="205" spans="1:7" x14ac:dyDescent="0.25">
      <c r="A205" t="s">
        <v>3208</v>
      </c>
      <c r="B205">
        <f>COUNTIF(Лист2!H:H,A205)+COUNTIF(Лист2!I:I,A205)</f>
        <v>4</v>
      </c>
      <c r="C205">
        <v>4</v>
      </c>
    </row>
    <row r="206" spans="1:7" x14ac:dyDescent="0.25">
      <c r="A206" t="s">
        <v>3210</v>
      </c>
      <c r="B206">
        <f>COUNTIF(Лист2!H:H,A206)+COUNTIF(Лист2!I:I,A206)</f>
        <v>4</v>
      </c>
      <c r="C206">
        <v>4</v>
      </c>
    </row>
    <row r="207" spans="1:7" x14ac:dyDescent="0.25">
      <c r="A207" t="s">
        <v>3215</v>
      </c>
      <c r="B207">
        <f>COUNTIF(Лист2!H:H,A207)+COUNTIF(Лист2!I:I,A207)</f>
        <v>4</v>
      </c>
      <c r="C207">
        <v>4</v>
      </c>
    </row>
    <row r="208" spans="1:7" x14ac:dyDescent="0.25">
      <c r="A208" t="s">
        <v>3218</v>
      </c>
      <c r="B208">
        <f>COUNTIF(Лист2!H:H,A208)+COUNTIF(Лист2!I:I,A208)</f>
        <v>4</v>
      </c>
      <c r="C208">
        <v>4</v>
      </c>
    </row>
    <row r="209" spans="1:3" x14ac:dyDescent="0.25">
      <c r="A209" t="s">
        <v>3223</v>
      </c>
      <c r="B209">
        <f>COUNTIF(Лист2!H:H,A209)+COUNTIF(Лист2!I:I,A209)</f>
        <v>4</v>
      </c>
      <c r="C209">
        <v>4</v>
      </c>
    </row>
    <row r="210" spans="1:3" x14ac:dyDescent="0.25">
      <c r="A210" t="s">
        <v>3224</v>
      </c>
      <c r="B210">
        <f>COUNTIF(Лист2!H:H,A210)+COUNTIF(Лист2!I:I,A210)</f>
        <v>4</v>
      </c>
      <c r="C210">
        <v>4</v>
      </c>
    </row>
    <row r="211" spans="1:3" x14ac:dyDescent="0.25">
      <c r="A211" t="s">
        <v>3237</v>
      </c>
      <c r="B211">
        <f>COUNTIF(Лист2!H:H,A211)+COUNTIF(Лист2!I:I,A211)</f>
        <v>4</v>
      </c>
      <c r="C211">
        <v>4</v>
      </c>
    </row>
    <row r="212" spans="1:3" x14ac:dyDescent="0.25">
      <c r="A212" t="s">
        <v>3239</v>
      </c>
      <c r="B212">
        <f>COUNTIF(Лист2!H:H,A212)+COUNTIF(Лист2!I:I,A212)</f>
        <v>4</v>
      </c>
      <c r="C212">
        <v>4</v>
      </c>
    </row>
    <row r="213" spans="1:3" x14ac:dyDescent="0.25">
      <c r="A213" t="s">
        <v>3240</v>
      </c>
      <c r="B213">
        <f>COUNTIF(Лист2!H:H,A213)+COUNTIF(Лист2!I:I,A213)</f>
        <v>4</v>
      </c>
      <c r="C213">
        <v>4</v>
      </c>
    </row>
    <row r="214" spans="1:3" x14ac:dyDescent="0.25">
      <c r="A214" t="s">
        <v>2486</v>
      </c>
      <c r="B214">
        <f>COUNTIF(Лист2!H:H,A214)+COUNTIF(Лист2!I:I,A214)</f>
        <v>4</v>
      </c>
      <c r="C214">
        <v>4</v>
      </c>
    </row>
    <row r="215" spans="1:3" x14ac:dyDescent="0.25">
      <c r="A215" t="s">
        <v>3247</v>
      </c>
      <c r="B215">
        <f>COUNTIF(Лист2!H:H,A215)+COUNTIF(Лист2!I:I,A215)</f>
        <v>4</v>
      </c>
      <c r="C215">
        <v>4</v>
      </c>
    </row>
    <row r="216" spans="1:3" x14ac:dyDescent="0.25">
      <c r="A216" t="s">
        <v>3251</v>
      </c>
      <c r="B216">
        <f>COUNTIF(Лист2!H:H,A216)+COUNTIF(Лист2!I:I,A216)</f>
        <v>4</v>
      </c>
      <c r="C216">
        <v>4</v>
      </c>
    </row>
    <row r="217" spans="1:3" x14ac:dyDescent="0.25">
      <c r="A217" t="s">
        <v>3252</v>
      </c>
      <c r="B217">
        <f>COUNTIF(Лист2!H:H,A217)+COUNTIF(Лист2!I:I,A217)</f>
        <v>4</v>
      </c>
      <c r="C217">
        <v>4</v>
      </c>
    </row>
    <row r="218" spans="1:3" x14ac:dyDescent="0.25">
      <c r="A218" t="s">
        <v>3253</v>
      </c>
      <c r="B218">
        <f>COUNTIF(Лист2!H:H,A218)+COUNTIF(Лист2!I:I,A218)</f>
        <v>4</v>
      </c>
      <c r="C218">
        <v>4</v>
      </c>
    </row>
    <row r="219" spans="1:3" x14ac:dyDescent="0.25">
      <c r="A219" t="s">
        <v>3268</v>
      </c>
      <c r="B219">
        <f>COUNTIF(Лист2!H:H,A219)+COUNTIF(Лист2!I:I,A219)</f>
        <v>4</v>
      </c>
      <c r="C219">
        <v>4</v>
      </c>
    </row>
    <row r="220" spans="1:3" x14ac:dyDescent="0.25">
      <c r="A220" t="s">
        <v>3273</v>
      </c>
      <c r="B220">
        <f>COUNTIF(Лист2!H:H,A220)+COUNTIF(Лист2!I:I,A220)</f>
        <v>4</v>
      </c>
      <c r="C220">
        <v>4</v>
      </c>
    </row>
    <row r="221" spans="1:3" x14ac:dyDescent="0.25">
      <c r="A221" t="s">
        <v>3279</v>
      </c>
      <c r="B221">
        <f>COUNTIF(Лист2!H:H,A221)+COUNTIF(Лист2!I:I,A221)</f>
        <v>4</v>
      </c>
      <c r="C221">
        <v>4</v>
      </c>
    </row>
    <row r="222" spans="1:3" x14ac:dyDescent="0.25">
      <c r="A222" t="s">
        <v>3281</v>
      </c>
      <c r="B222">
        <f>COUNTIF(Лист2!H:H,A222)+COUNTIF(Лист2!I:I,A222)</f>
        <v>4</v>
      </c>
      <c r="C222">
        <v>4</v>
      </c>
    </row>
    <row r="223" spans="1:3" x14ac:dyDescent="0.25">
      <c r="A223" t="s">
        <v>3282</v>
      </c>
      <c r="B223">
        <f>COUNTIF(Лист2!H:H,A223)+COUNTIF(Лист2!I:I,A223)</f>
        <v>4</v>
      </c>
      <c r="C223">
        <v>4</v>
      </c>
    </row>
    <row r="224" spans="1:3" x14ac:dyDescent="0.25">
      <c r="A224" t="s">
        <v>3283</v>
      </c>
      <c r="B224">
        <f>COUNTIF(Лист2!H:H,A224)+COUNTIF(Лист2!I:I,A224)</f>
        <v>4</v>
      </c>
      <c r="C224">
        <v>4</v>
      </c>
    </row>
    <row r="225" spans="1:3" x14ac:dyDescent="0.25">
      <c r="A225" t="s">
        <v>3292</v>
      </c>
      <c r="B225">
        <f>COUNTIF(Лист2!H:H,A225)+COUNTIF(Лист2!I:I,A225)</f>
        <v>4</v>
      </c>
      <c r="C225">
        <v>4</v>
      </c>
    </row>
    <row r="226" spans="1:3" x14ac:dyDescent="0.25">
      <c r="A226" t="s">
        <v>2237</v>
      </c>
      <c r="B226">
        <f>COUNTIF(Лист2!H:H,A226)+COUNTIF(Лист2!I:I,A226)</f>
        <v>3</v>
      </c>
      <c r="C226">
        <v>3</v>
      </c>
    </row>
    <row r="227" spans="1:3" x14ac:dyDescent="0.25">
      <c r="A227" t="s">
        <v>2132</v>
      </c>
      <c r="B227">
        <f>COUNTIF(Лист2!H:H,A227)+COUNTIF(Лист2!I:I,A227)</f>
        <v>3</v>
      </c>
      <c r="C227">
        <v>3</v>
      </c>
    </row>
    <row r="228" spans="1:3" x14ac:dyDescent="0.25">
      <c r="A228" t="s">
        <v>2143</v>
      </c>
      <c r="B228">
        <f>COUNTIF(Лист2!H:H,A228)+COUNTIF(Лист2!I:I,A228)</f>
        <v>3</v>
      </c>
      <c r="C228">
        <v>3</v>
      </c>
    </row>
    <row r="229" spans="1:3" x14ac:dyDescent="0.25">
      <c r="A229" t="s">
        <v>2136</v>
      </c>
      <c r="B229">
        <f>COUNTIF(Лист2!H:H,A229)+COUNTIF(Лист2!I:I,A229)</f>
        <v>3</v>
      </c>
      <c r="C229">
        <v>3</v>
      </c>
    </row>
    <row r="230" spans="1:3" x14ac:dyDescent="0.25">
      <c r="A230" t="s">
        <v>2309</v>
      </c>
      <c r="B230">
        <f>COUNTIF(Лист2!H:H,A230)+COUNTIF(Лист2!I:I,A230)</f>
        <v>3</v>
      </c>
      <c r="C230">
        <v>3</v>
      </c>
    </row>
    <row r="231" spans="1:3" x14ac:dyDescent="0.25">
      <c r="A231" t="s">
        <v>2330</v>
      </c>
      <c r="B231">
        <f>COUNTIF(Лист2!H:H,A231)+COUNTIF(Лист2!I:I,A231)</f>
        <v>3</v>
      </c>
      <c r="C231">
        <v>3</v>
      </c>
    </row>
    <row r="232" spans="1:3" x14ac:dyDescent="0.25">
      <c r="A232" t="s">
        <v>2140</v>
      </c>
      <c r="B232">
        <f>COUNTIF(Лист2!H:H,A232)+COUNTIF(Лист2!I:I,A232)</f>
        <v>3</v>
      </c>
      <c r="C232">
        <v>3</v>
      </c>
    </row>
    <row r="233" spans="1:3" x14ac:dyDescent="0.25">
      <c r="A233" t="s">
        <v>2142</v>
      </c>
      <c r="B233">
        <f>COUNTIF(Лист2!H:H,A233)+COUNTIF(Лист2!I:I,A233)</f>
        <v>3</v>
      </c>
      <c r="C233">
        <v>3</v>
      </c>
    </row>
    <row r="234" spans="1:3" x14ac:dyDescent="0.25">
      <c r="A234" t="s">
        <v>2370</v>
      </c>
      <c r="B234">
        <f>COUNTIF(Лист2!H:H,A234)+COUNTIF(Лист2!I:I,A234)</f>
        <v>3</v>
      </c>
      <c r="C234">
        <v>3</v>
      </c>
    </row>
    <row r="235" spans="1:3" x14ac:dyDescent="0.25">
      <c r="A235" t="s">
        <v>2558</v>
      </c>
      <c r="B235">
        <f>COUNTIF(Лист2!H:H,A235)+COUNTIF(Лист2!I:I,A235)</f>
        <v>3</v>
      </c>
      <c r="C235">
        <v>3</v>
      </c>
    </row>
    <row r="236" spans="1:3" x14ac:dyDescent="0.25">
      <c r="A236" t="s">
        <v>2585</v>
      </c>
      <c r="B236">
        <f>COUNTIF(Лист2!H:H,A236)+COUNTIF(Лист2!I:I,A236)</f>
        <v>3</v>
      </c>
      <c r="C236">
        <v>3</v>
      </c>
    </row>
    <row r="237" spans="1:3" x14ac:dyDescent="0.25">
      <c r="A237" t="s">
        <v>2145</v>
      </c>
      <c r="B237">
        <f>COUNTIF(Лист2!H:H,A237)+COUNTIF(Лист2!I:I,A237)</f>
        <v>3</v>
      </c>
      <c r="C237">
        <v>3</v>
      </c>
    </row>
    <row r="238" spans="1:3" x14ac:dyDescent="0.25">
      <c r="A238" t="s">
        <v>2171</v>
      </c>
      <c r="B238">
        <f>COUNTIF(Лист2!H:H,A238)+COUNTIF(Лист2!I:I,A238)</f>
        <v>3</v>
      </c>
      <c r="C238">
        <v>3</v>
      </c>
    </row>
    <row r="239" spans="1:3" x14ac:dyDescent="0.25">
      <c r="A239" t="s">
        <v>2611</v>
      </c>
      <c r="B239">
        <f>COUNTIF(Лист2!H:H,A239)+COUNTIF(Лист2!I:I,A239)</f>
        <v>3</v>
      </c>
      <c r="C239">
        <v>3</v>
      </c>
    </row>
    <row r="240" spans="1:3" x14ac:dyDescent="0.25">
      <c r="A240" t="s">
        <v>2638</v>
      </c>
      <c r="B240">
        <f>COUNTIF(Лист2!H:H,A240)+COUNTIF(Лист2!I:I,A240)</f>
        <v>4</v>
      </c>
      <c r="C240">
        <v>3</v>
      </c>
    </row>
    <row r="241" spans="1:3" x14ac:dyDescent="0.25">
      <c r="A241" t="s">
        <v>2646</v>
      </c>
      <c r="B241">
        <f>COUNTIF(Лист2!H:H,A241)+COUNTIF(Лист2!I:I,A241)</f>
        <v>3</v>
      </c>
      <c r="C241">
        <v>3</v>
      </c>
    </row>
    <row r="242" spans="1:3" x14ac:dyDescent="0.25">
      <c r="A242" t="s">
        <v>2696</v>
      </c>
      <c r="B242">
        <f>COUNTIF(Лист2!H:H,A242)+COUNTIF(Лист2!I:I,A242)</f>
        <v>3</v>
      </c>
      <c r="C242">
        <v>3</v>
      </c>
    </row>
    <row r="243" spans="1:3" x14ac:dyDescent="0.25">
      <c r="A243" t="s">
        <v>2699</v>
      </c>
      <c r="B243">
        <f>COUNTIF(Лист2!H:H,A243)+COUNTIF(Лист2!I:I,A243)</f>
        <v>3</v>
      </c>
      <c r="C243">
        <v>3</v>
      </c>
    </row>
    <row r="244" spans="1:3" x14ac:dyDescent="0.25">
      <c r="A244" t="s">
        <v>2707</v>
      </c>
      <c r="B244">
        <f>COUNTIF(Лист2!H:H,A244)+COUNTIF(Лист2!I:I,A244)</f>
        <v>3</v>
      </c>
      <c r="C244">
        <v>3</v>
      </c>
    </row>
    <row r="245" spans="1:3" x14ac:dyDescent="0.25">
      <c r="A245" t="s">
        <v>2183</v>
      </c>
      <c r="B245">
        <f>COUNTIF(Лист2!H:H,A245)+COUNTIF(Лист2!I:I,A245)</f>
        <v>3</v>
      </c>
      <c r="C245">
        <v>3</v>
      </c>
    </row>
    <row r="246" spans="1:3" x14ac:dyDescent="0.25">
      <c r="A246" t="s">
        <v>2149</v>
      </c>
      <c r="B246">
        <f>COUNTIF(Лист2!H:H,A246)+COUNTIF(Лист2!I:I,A246)</f>
        <v>3</v>
      </c>
      <c r="C246">
        <v>3</v>
      </c>
    </row>
    <row r="247" spans="1:3" x14ac:dyDescent="0.25">
      <c r="A247" t="s">
        <v>2798</v>
      </c>
      <c r="B247">
        <f>COUNTIF(Лист2!H:H,A247)+COUNTIF(Лист2!I:I,A247)</f>
        <v>3</v>
      </c>
      <c r="C247">
        <v>3</v>
      </c>
    </row>
    <row r="248" spans="1:3" x14ac:dyDescent="0.25">
      <c r="A248" t="s">
        <v>2414</v>
      </c>
      <c r="B248">
        <f>COUNTIF(Лист2!H:H,A248)+COUNTIF(Лист2!I:I,A248)</f>
        <v>3</v>
      </c>
      <c r="C248">
        <v>3</v>
      </c>
    </row>
    <row r="249" spans="1:3" x14ac:dyDescent="0.25">
      <c r="A249" t="s">
        <v>2823</v>
      </c>
      <c r="B249">
        <f>COUNTIF(Лист2!H:H,A249)+COUNTIF(Лист2!I:I,A249)</f>
        <v>3</v>
      </c>
      <c r="C249">
        <v>3</v>
      </c>
    </row>
    <row r="250" spans="1:3" x14ac:dyDescent="0.25">
      <c r="A250" t="s">
        <v>2880</v>
      </c>
      <c r="B250">
        <f>COUNTIF(Лист2!H:H,A250)+COUNTIF(Лист2!I:I,A250)</f>
        <v>4</v>
      </c>
      <c r="C250">
        <v>3</v>
      </c>
    </row>
    <row r="251" spans="1:3" x14ac:dyDescent="0.25">
      <c r="A251" t="s">
        <v>2422</v>
      </c>
      <c r="B251">
        <f>COUNTIF(Лист2!H:H,A251)+COUNTIF(Лист2!I:I,A251)</f>
        <v>3</v>
      </c>
      <c r="C251">
        <v>3</v>
      </c>
    </row>
    <row r="252" spans="1:3" x14ac:dyDescent="0.25">
      <c r="A252" t="s">
        <v>2154</v>
      </c>
      <c r="B252">
        <f>COUNTIF(Лист2!H:H,A252)+COUNTIF(Лист2!I:I,A252)</f>
        <v>3</v>
      </c>
      <c r="C252">
        <v>3</v>
      </c>
    </row>
    <row r="253" spans="1:3" x14ac:dyDescent="0.25">
      <c r="A253" t="s">
        <v>2203</v>
      </c>
      <c r="B253">
        <f>COUNTIF(Лист2!H:H,A253)+COUNTIF(Лист2!I:I,A253)</f>
        <v>3</v>
      </c>
      <c r="C253">
        <v>3</v>
      </c>
    </row>
    <row r="254" spans="1:3" x14ac:dyDescent="0.25">
      <c r="A254" t="s">
        <v>3005</v>
      </c>
      <c r="B254">
        <f>COUNTIF(Лист2!H:H,A254)+COUNTIF(Лист2!I:I,A254)</f>
        <v>3</v>
      </c>
      <c r="C254">
        <v>3</v>
      </c>
    </row>
    <row r="255" spans="1:3" x14ac:dyDescent="0.25">
      <c r="A255" t="s">
        <v>3011</v>
      </c>
      <c r="B255">
        <f>COUNTIF(Лист2!H:H,A255)+COUNTIF(Лист2!I:I,A255)</f>
        <v>3</v>
      </c>
      <c r="C255">
        <v>3</v>
      </c>
    </row>
    <row r="256" spans="1:3" x14ac:dyDescent="0.25">
      <c r="A256" t="s">
        <v>2446</v>
      </c>
      <c r="B256">
        <f>COUNTIF(Лист2!H:H,A256)+COUNTIF(Лист2!I:I,A256)</f>
        <v>3</v>
      </c>
      <c r="C256">
        <v>3</v>
      </c>
    </row>
    <row r="257" spans="1:3" x14ac:dyDescent="0.25">
      <c r="A257" t="s">
        <v>2158</v>
      </c>
      <c r="B257">
        <f>COUNTIF(Лист2!H:H,A257)+COUNTIF(Лист2!I:I,A257)</f>
        <v>3</v>
      </c>
      <c r="C257">
        <v>3</v>
      </c>
    </row>
    <row r="258" spans="1:3" x14ac:dyDescent="0.25">
      <c r="A258" t="s">
        <v>2458</v>
      </c>
      <c r="B258">
        <f>COUNTIF(Лист2!H:H,A258)+COUNTIF(Лист2!I:I,A258)</f>
        <v>3</v>
      </c>
      <c r="C258">
        <v>3</v>
      </c>
    </row>
    <row r="259" spans="1:3" x14ac:dyDescent="0.25">
      <c r="A259" t="s">
        <v>2214</v>
      </c>
      <c r="B259">
        <f>COUNTIF(Лист2!H:H,A259)+COUNTIF(Лист2!I:I,A259)</f>
        <v>3</v>
      </c>
      <c r="C259">
        <v>3</v>
      </c>
    </row>
    <row r="260" spans="1:3" x14ac:dyDescent="0.25">
      <c r="A260" t="s">
        <v>3138</v>
      </c>
      <c r="B260">
        <f>COUNTIF(Лист2!H:H,A260)+COUNTIF(Лист2!I:I,A260)</f>
        <v>3</v>
      </c>
      <c r="C260">
        <v>3</v>
      </c>
    </row>
    <row r="261" spans="1:3" x14ac:dyDescent="0.25">
      <c r="A261" t="s">
        <v>2215</v>
      </c>
      <c r="B261">
        <f>COUNTIF(Лист2!H:H,A261)+COUNTIF(Лист2!I:I,A261)</f>
        <v>3</v>
      </c>
      <c r="C261">
        <v>3</v>
      </c>
    </row>
    <row r="262" spans="1:3" x14ac:dyDescent="0.25">
      <c r="A262" t="s">
        <v>2471</v>
      </c>
      <c r="B262">
        <f>COUNTIF(Лист2!H:H,A262)+COUNTIF(Лист2!I:I,A262)</f>
        <v>3</v>
      </c>
      <c r="C262">
        <v>3</v>
      </c>
    </row>
    <row r="263" spans="1:3" x14ac:dyDescent="0.25">
      <c r="A263" t="s">
        <v>2219</v>
      </c>
      <c r="B263">
        <f>COUNTIF(Лист2!H:H,A263)+COUNTIF(Лист2!I:I,A263)</f>
        <v>3</v>
      </c>
      <c r="C263">
        <v>3</v>
      </c>
    </row>
    <row r="264" spans="1:3" x14ac:dyDescent="0.25">
      <c r="A264" t="s">
        <v>2479</v>
      </c>
      <c r="B264">
        <f>COUNTIF(Лист2!H:H,A264)+COUNTIF(Лист2!I:I,A264)</f>
        <v>3</v>
      </c>
      <c r="C264">
        <v>3</v>
      </c>
    </row>
    <row r="265" spans="1:3" x14ac:dyDescent="0.25">
      <c r="A265" t="s">
        <v>2480</v>
      </c>
      <c r="B265">
        <f>COUNTIF(Лист2!H:H,A265)+COUNTIF(Лист2!I:I,A265)</f>
        <v>3</v>
      </c>
      <c r="C265">
        <v>3</v>
      </c>
    </row>
    <row r="266" spans="1:3" x14ac:dyDescent="0.25">
      <c r="A266" t="s">
        <v>2160</v>
      </c>
      <c r="B266">
        <f>COUNTIF(Лист2!H:H,A266)+COUNTIF(Лист2!I:I,A266)</f>
        <v>3</v>
      </c>
      <c r="C266">
        <v>3</v>
      </c>
    </row>
    <row r="267" spans="1:3" x14ac:dyDescent="0.25">
      <c r="A267" t="s">
        <v>3202</v>
      </c>
      <c r="B267">
        <f>COUNTIF(Лист2!H:H,A267)+COUNTIF(Лист2!I:I,A267)</f>
        <v>4</v>
      </c>
      <c r="C267">
        <v>3</v>
      </c>
    </row>
    <row r="268" spans="1:3" x14ac:dyDescent="0.25">
      <c r="A268" t="s">
        <v>3221</v>
      </c>
      <c r="B268">
        <f>COUNTIF(Лист2!H:H,A268)+COUNTIF(Лист2!I:I,A268)</f>
        <v>4</v>
      </c>
      <c r="C268">
        <v>3</v>
      </c>
    </row>
    <row r="269" spans="1:3" x14ac:dyDescent="0.25">
      <c r="A269" t="s">
        <v>2484</v>
      </c>
      <c r="B269">
        <f>COUNTIF(Лист2!H:H,A269)+COUNTIF(Лист2!I:I,A269)</f>
        <v>3</v>
      </c>
      <c r="C269">
        <v>3</v>
      </c>
    </row>
    <row r="270" spans="1:3" x14ac:dyDescent="0.25">
      <c r="A270" t="s">
        <v>2485</v>
      </c>
      <c r="B270">
        <f>COUNTIF(Лист2!H:H,A270)+COUNTIF(Лист2!I:I,A270)</f>
        <v>3</v>
      </c>
      <c r="C270">
        <v>3</v>
      </c>
    </row>
    <row r="271" spans="1:3" x14ac:dyDescent="0.25">
      <c r="A271" t="s">
        <v>2241</v>
      </c>
      <c r="B271">
        <f>COUNTIF(Лист2!H:H,A271)+COUNTIF(Лист2!I:I,A271)</f>
        <v>2</v>
      </c>
      <c r="C271">
        <v>2</v>
      </c>
    </row>
    <row r="272" spans="1:3" x14ac:dyDescent="0.25">
      <c r="A272" t="s">
        <v>2247</v>
      </c>
      <c r="B272">
        <f>COUNTIF(Лист2!H:H,A272)+COUNTIF(Лист2!I:I,A272)</f>
        <v>2</v>
      </c>
      <c r="C272">
        <v>2</v>
      </c>
    </row>
    <row r="273" spans="1:3" x14ac:dyDescent="0.25">
      <c r="A273" t="s">
        <v>2251</v>
      </c>
      <c r="B273">
        <f>COUNTIF(Лист2!H:H,A273)+COUNTIF(Лист2!I:I,A273)</f>
        <v>2</v>
      </c>
      <c r="C273">
        <v>2</v>
      </c>
    </row>
    <row r="274" spans="1:3" x14ac:dyDescent="0.25">
      <c r="A274" t="s">
        <v>2261</v>
      </c>
      <c r="B274">
        <f>COUNTIF(Лист2!H:H,A274)+COUNTIF(Лист2!I:I,A274)</f>
        <v>2</v>
      </c>
      <c r="C274">
        <v>2</v>
      </c>
    </row>
    <row r="275" spans="1:3" x14ac:dyDescent="0.25">
      <c r="A275" t="s">
        <v>2361</v>
      </c>
      <c r="B275">
        <f>COUNTIF(Лист2!H:H,A275)+COUNTIF(Лист2!I:I,A275)</f>
        <v>2</v>
      </c>
      <c r="C275">
        <v>2</v>
      </c>
    </row>
    <row r="276" spans="1:3" x14ac:dyDescent="0.25">
      <c r="A276" t="s">
        <v>2280</v>
      </c>
      <c r="B276">
        <f>COUNTIF(Лист2!H:H,A276)+COUNTIF(Лист2!I:I,A276)</f>
        <v>2</v>
      </c>
      <c r="C276">
        <v>2</v>
      </c>
    </row>
    <row r="277" spans="1:3" x14ac:dyDescent="0.25">
      <c r="A277" t="s">
        <v>2295</v>
      </c>
      <c r="B277">
        <f>COUNTIF(Лист2!H:H,A277)+COUNTIF(Лист2!I:I,A277)</f>
        <v>2</v>
      </c>
      <c r="C277">
        <v>2</v>
      </c>
    </row>
    <row r="278" spans="1:3" x14ac:dyDescent="0.25">
      <c r="A278" t="s">
        <v>2364</v>
      </c>
      <c r="B278">
        <f>COUNTIF(Лист2!H:H,A278)+COUNTIF(Лист2!I:I,A278)</f>
        <v>2</v>
      </c>
      <c r="C278">
        <v>2</v>
      </c>
    </row>
    <row r="279" spans="1:3" x14ac:dyDescent="0.25">
      <c r="A279" t="s">
        <v>2310</v>
      </c>
      <c r="B279">
        <f>COUNTIF(Лист2!H:H,A279)+COUNTIF(Лист2!I:I,A279)</f>
        <v>2</v>
      </c>
      <c r="C279">
        <v>2</v>
      </c>
    </row>
    <row r="280" spans="1:3" x14ac:dyDescent="0.25">
      <c r="A280" t="s">
        <v>2144</v>
      </c>
      <c r="B280">
        <f>COUNTIF(Лист2!H:H,A280)+COUNTIF(Лист2!I:I,A280)</f>
        <v>2</v>
      </c>
      <c r="C280">
        <v>2</v>
      </c>
    </row>
    <row r="281" spans="1:3" x14ac:dyDescent="0.25">
      <c r="A281" t="s">
        <v>2322</v>
      </c>
      <c r="B281">
        <f>COUNTIF(Лист2!H:H,A281)+COUNTIF(Лист2!I:I,A281)</f>
        <v>2</v>
      </c>
      <c r="C281">
        <v>2</v>
      </c>
    </row>
    <row r="282" spans="1:3" x14ac:dyDescent="0.25">
      <c r="A282" t="s">
        <v>2141</v>
      </c>
      <c r="B282">
        <f>COUNTIF(Лист2!H:H,A282)+COUNTIF(Лист2!I:I,A282)</f>
        <v>2</v>
      </c>
      <c r="C282">
        <v>2</v>
      </c>
    </row>
    <row r="283" spans="1:3" x14ac:dyDescent="0.25">
      <c r="A283" t="s">
        <v>2353</v>
      </c>
      <c r="B283">
        <f>COUNTIF(Лист2!H:H,A283)+COUNTIF(Лист2!I:I,A283)</f>
        <v>2</v>
      </c>
      <c r="C283">
        <v>2</v>
      </c>
    </row>
    <row r="284" spans="1:3" x14ac:dyDescent="0.25">
      <c r="A284" t="s">
        <v>2110</v>
      </c>
      <c r="B284">
        <f>COUNTIF(Лист2!H:H,A284)+COUNTIF(Лист2!I:I,A284)</f>
        <v>2</v>
      </c>
      <c r="C284">
        <v>2</v>
      </c>
    </row>
    <row r="285" spans="1:3" x14ac:dyDescent="0.25">
      <c r="A285" t="s">
        <v>2371</v>
      </c>
      <c r="B285">
        <f>COUNTIF(Лист2!H:H,A285)+COUNTIF(Лист2!I:I,A285)</f>
        <v>2</v>
      </c>
      <c r="C285">
        <v>2</v>
      </c>
    </row>
    <row r="286" spans="1:3" x14ac:dyDescent="0.25">
      <c r="A286" t="s">
        <v>2372</v>
      </c>
      <c r="B286">
        <f>COUNTIF(Лист2!H:H,A286)+COUNTIF(Лист2!I:I,A286)</f>
        <v>2</v>
      </c>
      <c r="C286">
        <v>2</v>
      </c>
    </row>
    <row r="287" spans="1:3" x14ac:dyDescent="0.25">
      <c r="A287" t="s">
        <v>2373</v>
      </c>
      <c r="B287">
        <f>COUNTIF(Лист2!H:H,A287)+COUNTIF(Лист2!I:I,A287)</f>
        <v>2</v>
      </c>
      <c r="C287">
        <v>2</v>
      </c>
    </row>
    <row r="288" spans="1:3" x14ac:dyDescent="0.25">
      <c r="A288" t="s">
        <v>2375</v>
      </c>
      <c r="B288">
        <f>COUNTIF(Лист2!H:H,A288)+COUNTIF(Лист2!I:I,A288)</f>
        <v>2</v>
      </c>
      <c r="C288">
        <v>2</v>
      </c>
    </row>
    <row r="289" spans="1:3" x14ac:dyDescent="0.25">
      <c r="A289" t="s">
        <v>2376</v>
      </c>
      <c r="B289">
        <f>COUNTIF(Лист2!H:H,A289)+COUNTIF(Лист2!I:I,A289)</f>
        <v>2</v>
      </c>
      <c r="C289">
        <v>2</v>
      </c>
    </row>
    <row r="290" spans="1:3" x14ac:dyDescent="0.25">
      <c r="A290" t="s">
        <v>2168</v>
      </c>
      <c r="B290">
        <f>COUNTIF(Лист2!H:H,A290)+COUNTIF(Лист2!I:I,A290)</f>
        <v>2</v>
      </c>
      <c r="C290">
        <v>2</v>
      </c>
    </row>
    <row r="291" spans="1:3" x14ac:dyDescent="0.25">
      <c r="A291" t="s">
        <v>2377</v>
      </c>
      <c r="B291">
        <f>COUNTIF(Лист2!H:H,A291)+COUNTIF(Лист2!I:I,A291)</f>
        <v>2</v>
      </c>
      <c r="C291">
        <v>2</v>
      </c>
    </row>
    <row r="292" spans="1:3" x14ac:dyDescent="0.25">
      <c r="A292" t="s">
        <v>2170</v>
      </c>
      <c r="B292">
        <f>COUNTIF(Лист2!H:H,A292)+COUNTIF(Лист2!I:I,A292)</f>
        <v>2</v>
      </c>
      <c r="C292">
        <v>2</v>
      </c>
    </row>
    <row r="293" spans="1:3" x14ac:dyDescent="0.25">
      <c r="A293" t="s">
        <v>2617</v>
      </c>
      <c r="B293">
        <f>COUNTIF(Лист2!H:H,A293)+COUNTIF(Лист2!I:I,A293)</f>
        <v>2</v>
      </c>
      <c r="C293">
        <v>2</v>
      </c>
    </row>
    <row r="294" spans="1:3" x14ac:dyDescent="0.25">
      <c r="A294" t="s">
        <v>2146</v>
      </c>
      <c r="B294">
        <f>COUNTIF(Лист2!H:H,A294)+COUNTIF(Лист2!I:I,A294)</f>
        <v>2</v>
      </c>
      <c r="C294">
        <v>2</v>
      </c>
    </row>
    <row r="295" spans="1:3" x14ac:dyDescent="0.25">
      <c r="A295" t="s">
        <v>2180</v>
      </c>
      <c r="B295">
        <f>COUNTIF(Лист2!H:H,A295)+COUNTIF(Лист2!I:I,A295)</f>
        <v>2</v>
      </c>
      <c r="C295">
        <v>2</v>
      </c>
    </row>
    <row r="296" spans="1:3" x14ac:dyDescent="0.25">
      <c r="A296" t="s">
        <v>2389</v>
      </c>
      <c r="B296">
        <f>COUNTIF(Лист2!H:H,A296)+COUNTIF(Лист2!I:I,A296)</f>
        <v>2</v>
      </c>
      <c r="C296">
        <v>2</v>
      </c>
    </row>
    <row r="297" spans="1:3" x14ac:dyDescent="0.25">
      <c r="A297" t="s">
        <v>2147</v>
      </c>
      <c r="B297">
        <f>COUNTIF(Лист2!H:H,A297)+COUNTIF(Лист2!I:I,A297)</f>
        <v>2</v>
      </c>
      <c r="C297">
        <v>2</v>
      </c>
    </row>
    <row r="298" spans="1:3" x14ac:dyDescent="0.25">
      <c r="A298" t="s">
        <v>2182</v>
      </c>
      <c r="B298">
        <f>COUNTIF(Лист2!H:H,A298)+COUNTIF(Лист2!I:I,A298)</f>
        <v>2</v>
      </c>
      <c r="C298">
        <v>2</v>
      </c>
    </row>
    <row r="299" spans="1:3" x14ac:dyDescent="0.25">
      <c r="A299" t="s">
        <v>2706</v>
      </c>
      <c r="B299">
        <f>COUNTIF(Лист2!H:H,A299)+COUNTIF(Лист2!I:I,A299)</f>
        <v>2</v>
      </c>
      <c r="C299">
        <v>2</v>
      </c>
    </row>
    <row r="300" spans="1:3" x14ac:dyDescent="0.25">
      <c r="A300" t="s">
        <v>2396</v>
      </c>
      <c r="B300">
        <f>COUNTIF(Лист2!H:H,A300)+COUNTIF(Лист2!I:I,A300)</f>
        <v>2</v>
      </c>
      <c r="C300">
        <v>2</v>
      </c>
    </row>
    <row r="301" spans="1:3" x14ac:dyDescent="0.25">
      <c r="A301" t="s">
        <v>2398</v>
      </c>
      <c r="B301">
        <f>COUNTIF(Лист2!H:H,A301)+COUNTIF(Лист2!I:I,A301)</f>
        <v>2</v>
      </c>
      <c r="C301">
        <v>2</v>
      </c>
    </row>
    <row r="302" spans="1:3" x14ac:dyDescent="0.25">
      <c r="A302" t="s">
        <v>2399</v>
      </c>
      <c r="B302">
        <f>COUNTIF(Лист2!H:H,A302)+COUNTIF(Лист2!I:I,A302)</f>
        <v>2</v>
      </c>
      <c r="C302">
        <v>2</v>
      </c>
    </row>
    <row r="303" spans="1:3" x14ac:dyDescent="0.25">
      <c r="A303" t="s">
        <v>2184</v>
      </c>
      <c r="B303">
        <f>COUNTIF(Лист2!H:H,A303)+COUNTIF(Лист2!I:I,A303)</f>
        <v>2</v>
      </c>
      <c r="C303">
        <v>2</v>
      </c>
    </row>
    <row r="304" spans="1:3" x14ac:dyDescent="0.25">
      <c r="A304" t="s">
        <v>2401</v>
      </c>
      <c r="B304">
        <f>COUNTIF(Лист2!H:H,A304)+COUNTIF(Лист2!I:I,A304)</f>
        <v>2</v>
      </c>
      <c r="C304">
        <v>2</v>
      </c>
    </row>
    <row r="305" spans="1:3" x14ac:dyDescent="0.25">
      <c r="A305" t="s">
        <v>2408</v>
      </c>
      <c r="B305">
        <f>COUNTIF(Лист2!H:H,A305)+COUNTIF(Лист2!I:I,A305)</f>
        <v>2</v>
      </c>
      <c r="C305">
        <v>2</v>
      </c>
    </row>
    <row r="306" spans="1:3" x14ac:dyDescent="0.25">
      <c r="A306" t="s">
        <v>2409</v>
      </c>
      <c r="B306">
        <f>COUNTIF(Лист2!H:H,A306)+COUNTIF(Лист2!I:I,A306)</f>
        <v>2</v>
      </c>
      <c r="C306">
        <v>2</v>
      </c>
    </row>
    <row r="307" spans="1:3" x14ac:dyDescent="0.25">
      <c r="A307" t="s">
        <v>2410</v>
      </c>
      <c r="B307">
        <f>COUNTIF(Лист2!H:H,A307)+COUNTIF(Лист2!I:I,A307)</f>
        <v>2</v>
      </c>
      <c r="C307">
        <v>2</v>
      </c>
    </row>
    <row r="308" spans="1:3" x14ac:dyDescent="0.25">
      <c r="A308" t="s">
        <v>2411</v>
      </c>
      <c r="B308">
        <f>COUNTIF(Лист2!H:H,A308)+COUNTIF(Лист2!I:I,A308)</f>
        <v>2</v>
      </c>
      <c r="C308">
        <v>2</v>
      </c>
    </row>
    <row r="309" spans="1:3" x14ac:dyDescent="0.25">
      <c r="A309" t="s">
        <v>2412</v>
      </c>
      <c r="B309">
        <f>COUNTIF(Лист2!H:H,A309)+COUNTIF(Лист2!I:I,A309)</f>
        <v>2</v>
      </c>
      <c r="C309">
        <v>2</v>
      </c>
    </row>
    <row r="310" spans="1:3" x14ac:dyDescent="0.25">
      <c r="A310" t="s">
        <v>2800</v>
      </c>
      <c r="B310">
        <f>COUNTIF(Лист2!H:H,A310)+COUNTIF(Лист2!I:I,A310)</f>
        <v>2</v>
      </c>
      <c r="C310">
        <v>2</v>
      </c>
    </row>
    <row r="311" spans="1:3" x14ac:dyDescent="0.25">
      <c r="A311" t="s">
        <v>2415</v>
      </c>
      <c r="B311">
        <f>COUNTIF(Лист2!H:H,A311)+COUNTIF(Лист2!I:I,A311)</f>
        <v>2</v>
      </c>
      <c r="C311">
        <v>2</v>
      </c>
    </row>
    <row r="312" spans="1:3" x14ac:dyDescent="0.25">
      <c r="A312" t="s">
        <v>2151</v>
      </c>
      <c r="B312">
        <f>COUNTIF(Лист2!H:H,A312)+COUNTIF(Лист2!I:I,A312)</f>
        <v>2</v>
      </c>
      <c r="C312">
        <v>2</v>
      </c>
    </row>
    <row r="313" spans="1:3" x14ac:dyDescent="0.25">
      <c r="A313" t="s">
        <v>2194</v>
      </c>
      <c r="B313">
        <f>COUNTIF(Лист2!H:H,A313)+COUNTIF(Лист2!I:I,A313)</f>
        <v>2</v>
      </c>
      <c r="C313">
        <v>2</v>
      </c>
    </row>
    <row r="314" spans="1:3" x14ac:dyDescent="0.25">
      <c r="A314" t="s">
        <v>2421</v>
      </c>
      <c r="B314">
        <f>COUNTIF(Лист2!H:H,A314)+COUNTIF(Лист2!I:I,A314)</f>
        <v>2</v>
      </c>
      <c r="C314">
        <v>2</v>
      </c>
    </row>
    <row r="315" spans="1:3" x14ac:dyDescent="0.25">
      <c r="A315" t="s">
        <v>2890</v>
      </c>
      <c r="B315">
        <f>COUNTIF(Лист2!H:H,A315)+COUNTIF(Лист2!I:I,A315)</f>
        <v>2</v>
      </c>
      <c r="C315">
        <v>2</v>
      </c>
    </row>
    <row r="316" spans="1:3" x14ac:dyDescent="0.25">
      <c r="A316" t="s">
        <v>2196</v>
      </c>
      <c r="B316">
        <f>COUNTIF(Лист2!H:H,A316)+COUNTIF(Лист2!I:I,A316)</f>
        <v>2</v>
      </c>
      <c r="C316">
        <v>2</v>
      </c>
    </row>
    <row r="317" spans="1:3" x14ac:dyDescent="0.25">
      <c r="A317" t="s">
        <v>2423</v>
      </c>
      <c r="B317">
        <f>COUNTIF(Лист2!H:H,A317)+COUNTIF(Лист2!I:I,A317)</f>
        <v>2</v>
      </c>
      <c r="C317">
        <v>2</v>
      </c>
    </row>
    <row r="318" spans="1:3" x14ac:dyDescent="0.25">
      <c r="A318" t="s">
        <v>2153</v>
      </c>
      <c r="B318">
        <f>COUNTIF(Лист2!H:H,A318)+COUNTIF(Лист2!I:I,A318)</f>
        <v>2</v>
      </c>
      <c r="C318">
        <v>2</v>
      </c>
    </row>
    <row r="319" spans="1:3" x14ac:dyDescent="0.25">
      <c r="A319" t="s">
        <v>2426</v>
      </c>
      <c r="B319">
        <f>COUNTIF(Лист2!H:H,A319)+COUNTIF(Лист2!I:I,A319)</f>
        <v>2</v>
      </c>
      <c r="C319">
        <v>2</v>
      </c>
    </row>
    <row r="320" spans="1:3" x14ac:dyDescent="0.25">
      <c r="A320" t="s">
        <v>2429</v>
      </c>
      <c r="B320">
        <f>COUNTIF(Лист2!H:H,A320)+COUNTIF(Лист2!I:I,A320)</f>
        <v>2</v>
      </c>
      <c r="C320">
        <v>2</v>
      </c>
    </row>
    <row r="321" spans="1:3" x14ac:dyDescent="0.25">
      <c r="A321" t="s">
        <v>2432</v>
      </c>
      <c r="B321">
        <f>COUNTIF(Лист2!H:H,A321)+COUNTIF(Лист2!I:I,A321)</f>
        <v>2</v>
      </c>
      <c r="C321">
        <v>2</v>
      </c>
    </row>
    <row r="322" spans="1:3" x14ac:dyDescent="0.25">
      <c r="A322" t="s">
        <v>2155</v>
      </c>
      <c r="B322">
        <f>COUNTIF(Лист2!H:H,A322)+COUNTIF(Лист2!I:I,A322)</f>
        <v>2</v>
      </c>
      <c r="C322">
        <v>2</v>
      </c>
    </row>
    <row r="323" spans="1:3" x14ac:dyDescent="0.25">
      <c r="A323" t="s">
        <v>2436</v>
      </c>
      <c r="B323">
        <f>COUNTIF(Лист2!H:H,A323)+COUNTIF(Лист2!I:I,A323)</f>
        <v>2</v>
      </c>
      <c r="C323">
        <v>2</v>
      </c>
    </row>
    <row r="324" spans="1:3" x14ac:dyDescent="0.25">
      <c r="A324" t="s">
        <v>2439</v>
      </c>
      <c r="B324">
        <f>COUNTIF(Лист2!H:H,A324)+COUNTIF(Лист2!I:I,A324)</f>
        <v>2</v>
      </c>
      <c r="C324">
        <v>2</v>
      </c>
    </row>
    <row r="325" spans="1:3" x14ac:dyDescent="0.25">
      <c r="A325" t="s">
        <v>2156</v>
      </c>
      <c r="B325">
        <f>COUNTIF(Лист2!H:H,A325)+COUNTIF(Лист2!I:I,A325)</f>
        <v>2</v>
      </c>
      <c r="C325">
        <v>2</v>
      </c>
    </row>
    <row r="326" spans="1:3" x14ac:dyDescent="0.25">
      <c r="A326" t="s">
        <v>2444</v>
      </c>
      <c r="B326">
        <f>COUNTIF(Лист2!H:H,A326)+COUNTIF(Лист2!I:I,A326)</f>
        <v>2</v>
      </c>
      <c r="C326">
        <v>2</v>
      </c>
    </row>
    <row r="327" spans="1:3" x14ac:dyDescent="0.25">
      <c r="A327" t="s">
        <v>2207</v>
      </c>
      <c r="B327">
        <f>COUNTIF(Лист2!H:H,A327)+COUNTIF(Лист2!I:I,A327)</f>
        <v>2</v>
      </c>
      <c r="C327">
        <v>2</v>
      </c>
    </row>
    <row r="328" spans="1:3" x14ac:dyDescent="0.25">
      <c r="A328" t="s">
        <v>2445</v>
      </c>
      <c r="B328">
        <f>COUNTIF(Лист2!H:H,A328)+COUNTIF(Лист2!I:I,A328)</f>
        <v>2</v>
      </c>
      <c r="C328">
        <v>2</v>
      </c>
    </row>
    <row r="329" spans="1:3" x14ac:dyDescent="0.25">
      <c r="A329" t="s">
        <v>3035</v>
      </c>
      <c r="B329">
        <f>COUNTIF(Лист2!H:H,A329)+COUNTIF(Лист2!I:I,A329)</f>
        <v>2</v>
      </c>
      <c r="C329">
        <v>2</v>
      </c>
    </row>
    <row r="330" spans="1:3" x14ac:dyDescent="0.25">
      <c r="A330" t="s">
        <v>2448</v>
      </c>
      <c r="B330">
        <f>COUNTIF(Лист2!H:H,A330)+COUNTIF(Лист2!I:I,A330)</f>
        <v>2</v>
      </c>
      <c r="C330">
        <v>2</v>
      </c>
    </row>
    <row r="331" spans="1:3" x14ac:dyDescent="0.25">
      <c r="A331" t="s">
        <v>2453</v>
      </c>
      <c r="B331">
        <f>COUNTIF(Лист2!H:H,A331)+COUNTIF(Лист2!I:I,A331)</f>
        <v>2</v>
      </c>
      <c r="C331">
        <v>2</v>
      </c>
    </row>
    <row r="332" spans="1:3" x14ac:dyDescent="0.25">
      <c r="A332" t="s">
        <v>2455</v>
      </c>
      <c r="B332">
        <f>COUNTIF(Лист2!H:H,A332)+COUNTIF(Лист2!I:I,A332)</f>
        <v>2</v>
      </c>
      <c r="C332">
        <v>2</v>
      </c>
    </row>
    <row r="333" spans="1:3" x14ac:dyDescent="0.25">
      <c r="A333" t="s">
        <v>2456</v>
      </c>
      <c r="B333">
        <f>COUNTIF(Лист2!H:H,A333)+COUNTIF(Лист2!I:I,A333)</f>
        <v>2</v>
      </c>
      <c r="C333">
        <v>2</v>
      </c>
    </row>
    <row r="334" spans="1:3" x14ac:dyDescent="0.25">
      <c r="A334" t="s">
        <v>2459</v>
      </c>
      <c r="B334">
        <f>COUNTIF(Лист2!H:H,A334)+COUNTIF(Лист2!I:I,A334)</f>
        <v>2</v>
      </c>
      <c r="C334">
        <v>2</v>
      </c>
    </row>
    <row r="335" spans="1:3" x14ac:dyDescent="0.25">
      <c r="A335" t="s">
        <v>2461</v>
      </c>
      <c r="B335">
        <f>COUNTIF(Лист2!H:H,A335)+COUNTIF(Лист2!I:I,A335)</f>
        <v>2</v>
      </c>
      <c r="C335">
        <v>2</v>
      </c>
    </row>
    <row r="336" spans="1:3" x14ac:dyDescent="0.25">
      <c r="A336" t="s">
        <v>2462</v>
      </c>
      <c r="B336">
        <f>COUNTIF(Лист2!H:H,A336)+COUNTIF(Лист2!I:I,A336)</f>
        <v>2</v>
      </c>
      <c r="C336">
        <v>2</v>
      </c>
    </row>
    <row r="337" spans="1:3" x14ac:dyDescent="0.25">
      <c r="A337" t="s">
        <v>2466</v>
      </c>
      <c r="B337">
        <f>COUNTIF(Лист2!H:H,A337)+COUNTIF(Лист2!I:I,A337)</f>
        <v>2</v>
      </c>
      <c r="C337">
        <v>2</v>
      </c>
    </row>
    <row r="338" spans="1:3" x14ac:dyDescent="0.25">
      <c r="A338" t="s">
        <v>2213</v>
      </c>
      <c r="B338">
        <f>COUNTIF(Лист2!H:H,A338)+COUNTIF(Лист2!I:I,A338)</f>
        <v>2</v>
      </c>
      <c r="C338">
        <v>2</v>
      </c>
    </row>
    <row r="339" spans="1:3" x14ac:dyDescent="0.25">
      <c r="A339" t="s">
        <v>2467</v>
      </c>
      <c r="B339">
        <f>COUNTIF(Лист2!H:H,A339)+COUNTIF(Лист2!I:I,A339)</f>
        <v>2</v>
      </c>
      <c r="C339">
        <v>2</v>
      </c>
    </row>
    <row r="340" spans="1:3" x14ac:dyDescent="0.25">
      <c r="A340" t="s">
        <v>3171</v>
      </c>
      <c r="B340">
        <f>COUNTIF(Лист2!H:H,A340)+COUNTIF(Лист2!I:I,A340)</f>
        <v>2</v>
      </c>
      <c r="C340">
        <v>2</v>
      </c>
    </row>
    <row r="341" spans="1:3" x14ac:dyDescent="0.25">
      <c r="A341" t="s">
        <v>2477</v>
      </c>
      <c r="B341">
        <f>COUNTIF(Лист2!H:H,A341)+COUNTIF(Лист2!I:I,A341)</f>
        <v>2</v>
      </c>
      <c r="C341">
        <v>2</v>
      </c>
    </row>
    <row r="342" spans="1:3" x14ac:dyDescent="0.25">
      <c r="A342" t="s">
        <v>2478</v>
      </c>
      <c r="B342">
        <f>COUNTIF(Лист2!H:H,A342)+COUNTIF(Лист2!I:I,A342)</f>
        <v>2</v>
      </c>
      <c r="C342">
        <v>2</v>
      </c>
    </row>
    <row r="343" spans="1:3" x14ac:dyDescent="0.25">
      <c r="A343" t="s">
        <v>2228</v>
      </c>
      <c r="B343">
        <f>COUNTIF(Лист2!H:H,A343)+COUNTIF(Лист2!I:I,A343)</f>
        <v>2</v>
      </c>
      <c r="C343">
        <v>2</v>
      </c>
    </row>
    <row r="344" spans="1:3" x14ac:dyDescent="0.25">
      <c r="A344" t="s">
        <v>2161</v>
      </c>
      <c r="B344">
        <f>COUNTIF(Лист2!H:H,A344)+COUNTIF(Лист2!I:I,A344)</f>
        <v>2</v>
      </c>
      <c r="C344">
        <v>2</v>
      </c>
    </row>
    <row r="345" spans="1:3" x14ac:dyDescent="0.25">
      <c r="A345" t="s">
        <v>2235</v>
      </c>
      <c r="B345">
        <f>COUNTIF(Лист2!H:H,A345)+COUNTIF(Лист2!I:I,A345)</f>
        <v>1</v>
      </c>
      <c r="C345">
        <v>1</v>
      </c>
    </row>
    <row r="346" spans="1:3" x14ac:dyDescent="0.25">
      <c r="A346" t="s">
        <v>2236</v>
      </c>
      <c r="B346">
        <f>COUNTIF(Лист2!H:H,A346)+COUNTIF(Лист2!I:I,A346)</f>
        <v>1</v>
      </c>
      <c r="C346">
        <v>1</v>
      </c>
    </row>
    <row r="347" spans="1:3" x14ac:dyDescent="0.25">
      <c r="A347" t="s">
        <v>2238</v>
      </c>
      <c r="B347">
        <f>COUNTIF(Лист2!H:H,A347)+COUNTIF(Лист2!I:I,A347)</f>
        <v>1</v>
      </c>
      <c r="C347">
        <v>1</v>
      </c>
    </row>
    <row r="348" spans="1:3" x14ac:dyDescent="0.25">
      <c r="A348" t="s">
        <v>2239</v>
      </c>
      <c r="B348">
        <f>COUNTIF(Лист2!H:H,A348)+COUNTIF(Лист2!I:I,A348)</f>
        <v>1</v>
      </c>
      <c r="C348">
        <v>1</v>
      </c>
    </row>
    <row r="349" spans="1:3" x14ac:dyDescent="0.25">
      <c r="A349" t="s">
        <v>2240</v>
      </c>
      <c r="B349">
        <f>COUNTIF(Лист2!H:H,A349)+COUNTIF(Лист2!I:I,A349)</f>
        <v>1</v>
      </c>
      <c r="C349">
        <v>1</v>
      </c>
    </row>
    <row r="350" spans="1:3" x14ac:dyDescent="0.25">
      <c r="A350" t="s">
        <v>2242</v>
      </c>
      <c r="B350">
        <f>COUNTIF(Лист2!H:H,A350)+COUNTIF(Лист2!I:I,A350)</f>
        <v>1</v>
      </c>
      <c r="C350">
        <v>1</v>
      </c>
    </row>
    <row r="351" spans="1:3" x14ac:dyDescent="0.25">
      <c r="A351" t="s">
        <v>2243</v>
      </c>
      <c r="B351">
        <f>COUNTIF(Лист2!H:H,A351)+COUNTIF(Лист2!I:I,A351)</f>
        <v>1</v>
      </c>
      <c r="C351">
        <v>1</v>
      </c>
    </row>
    <row r="352" spans="1:3" x14ac:dyDescent="0.25">
      <c r="A352" t="s">
        <v>2244</v>
      </c>
      <c r="B352">
        <f>COUNTIF(Лист2!H:H,A352)+COUNTIF(Лист2!I:I,A352)</f>
        <v>1</v>
      </c>
      <c r="C352">
        <v>1</v>
      </c>
    </row>
    <row r="353" spans="1:3" x14ac:dyDescent="0.25">
      <c r="A353" t="s">
        <v>2246</v>
      </c>
      <c r="B353">
        <f>COUNTIF(Лист2!H:H,A353)+COUNTIF(Лист2!I:I,A353)</f>
        <v>1</v>
      </c>
      <c r="C353">
        <v>1</v>
      </c>
    </row>
    <row r="354" spans="1:3" x14ac:dyDescent="0.25">
      <c r="A354" t="s">
        <v>2250</v>
      </c>
      <c r="B354">
        <f>COUNTIF(Лист2!H:H,A354)+COUNTIF(Лист2!I:I,A354)</f>
        <v>1</v>
      </c>
      <c r="C354">
        <v>1</v>
      </c>
    </row>
    <row r="355" spans="1:3" x14ac:dyDescent="0.25">
      <c r="A355" t="s">
        <v>2252</v>
      </c>
      <c r="B355">
        <f>COUNTIF(Лист2!H:H,A355)+COUNTIF(Лист2!I:I,A355)</f>
        <v>1</v>
      </c>
      <c r="C355">
        <v>1</v>
      </c>
    </row>
    <row r="356" spans="1:3" x14ac:dyDescent="0.25">
      <c r="A356" t="s">
        <v>2253</v>
      </c>
      <c r="B356">
        <f>COUNTIF(Лист2!H:H,A356)+COUNTIF(Лист2!I:I,A356)</f>
        <v>1</v>
      </c>
      <c r="C356">
        <v>1</v>
      </c>
    </row>
    <row r="357" spans="1:3" x14ac:dyDescent="0.25">
      <c r="A357" t="s">
        <v>2254</v>
      </c>
      <c r="B357">
        <f>COUNTIF(Лист2!H:H,A357)+COUNTIF(Лист2!I:I,A357)</f>
        <v>1</v>
      </c>
      <c r="C357">
        <v>1</v>
      </c>
    </row>
    <row r="358" spans="1:3" x14ac:dyDescent="0.25">
      <c r="A358" t="s">
        <v>2255</v>
      </c>
      <c r="B358">
        <f>COUNTIF(Лист2!H:H,A358)+COUNTIF(Лист2!I:I,A358)</f>
        <v>1</v>
      </c>
      <c r="C358">
        <v>1</v>
      </c>
    </row>
    <row r="359" spans="1:3" x14ac:dyDescent="0.25">
      <c r="A359" t="s">
        <v>2256</v>
      </c>
      <c r="B359">
        <f>COUNTIF(Лист2!H:H,A359)+COUNTIF(Лист2!I:I,A359)</f>
        <v>1</v>
      </c>
      <c r="C359">
        <v>1</v>
      </c>
    </row>
    <row r="360" spans="1:3" x14ac:dyDescent="0.25">
      <c r="A360" t="s">
        <v>2257</v>
      </c>
      <c r="B360">
        <f>COUNTIF(Лист2!H:H,A360)+COUNTIF(Лист2!I:I,A360)</f>
        <v>1</v>
      </c>
      <c r="C360">
        <v>1</v>
      </c>
    </row>
    <row r="361" spans="1:3" x14ac:dyDescent="0.25">
      <c r="A361" t="s">
        <v>2258</v>
      </c>
      <c r="B361">
        <f>COUNTIF(Лист2!H:H,A361)+COUNTIF(Лист2!I:I,A361)</f>
        <v>1</v>
      </c>
      <c r="C361">
        <v>1</v>
      </c>
    </row>
    <row r="362" spans="1:3" x14ac:dyDescent="0.25">
      <c r="A362" t="s">
        <v>2259</v>
      </c>
      <c r="B362">
        <f>COUNTIF(Лист2!H:H,A362)+COUNTIF(Лист2!I:I,A362)</f>
        <v>1</v>
      </c>
      <c r="C362">
        <v>1</v>
      </c>
    </row>
    <row r="363" spans="1:3" x14ac:dyDescent="0.25">
      <c r="A363" t="s">
        <v>2260</v>
      </c>
      <c r="B363">
        <f>COUNTIF(Лист2!H:H,A363)+COUNTIF(Лист2!I:I,A363)</f>
        <v>1</v>
      </c>
      <c r="C363">
        <v>1</v>
      </c>
    </row>
    <row r="364" spans="1:3" x14ac:dyDescent="0.25">
      <c r="A364" t="s">
        <v>2359</v>
      </c>
      <c r="B364">
        <f>COUNTIF(Лист2!H:H,A364)+COUNTIF(Лист2!I:I,A364)</f>
        <v>1</v>
      </c>
      <c r="C364">
        <v>1</v>
      </c>
    </row>
    <row r="365" spans="1:3" x14ac:dyDescent="0.25">
      <c r="A365" t="s">
        <v>2262</v>
      </c>
      <c r="B365">
        <f>COUNTIF(Лист2!H:H,A365)+COUNTIF(Лист2!I:I,A365)</f>
        <v>1</v>
      </c>
      <c r="C365">
        <v>1</v>
      </c>
    </row>
    <row r="366" spans="1:3" x14ac:dyDescent="0.25">
      <c r="A366" t="s">
        <v>2263</v>
      </c>
      <c r="B366">
        <f>COUNTIF(Лист2!H:H,A366)+COUNTIF(Лист2!I:I,A366)</f>
        <v>1</v>
      </c>
      <c r="C366">
        <v>1</v>
      </c>
    </row>
    <row r="367" spans="1:3" x14ac:dyDescent="0.25">
      <c r="A367" t="s">
        <v>2264</v>
      </c>
      <c r="B367">
        <f>COUNTIF(Лист2!H:H,A367)+COUNTIF(Лист2!I:I,A367)</f>
        <v>1</v>
      </c>
      <c r="C367">
        <v>1</v>
      </c>
    </row>
    <row r="368" spans="1:3" x14ac:dyDescent="0.25">
      <c r="A368" t="s">
        <v>2265</v>
      </c>
      <c r="B368">
        <f>COUNTIF(Лист2!H:H,A368)+COUNTIF(Лист2!I:I,A368)</f>
        <v>1</v>
      </c>
      <c r="C368">
        <v>1</v>
      </c>
    </row>
    <row r="369" spans="1:3" x14ac:dyDescent="0.25">
      <c r="A369" t="s">
        <v>2266</v>
      </c>
      <c r="B369">
        <f>COUNTIF(Лист2!H:H,A369)+COUNTIF(Лист2!I:I,A369)</f>
        <v>1</v>
      </c>
      <c r="C369">
        <v>1</v>
      </c>
    </row>
    <row r="370" spans="1:3" x14ac:dyDescent="0.25">
      <c r="A370" t="s">
        <v>2267</v>
      </c>
      <c r="B370">
        <f>COUNTIF(Лист2!H:H,A370)+COUNTIF(Лист2!I:I,A370)</f>
        <v>1</v>
      </c>
      <c r="C370">
        <v>1</v>
      </c>
    </row>
    <row r="371" spans="1:3" x14ac:dyDescent="0.25">
      <c r="A371" t="s">
        <v>2269</v>
      </c>
      <c r="B371">
        <f>COUNTIF(Лист2!H:H,A371)+COUNTIF(Лист2!I:I,A371)</f>
        <v>1</v>
      </c>
      <c r="C371">
        <v>1</v>
      </c>
    </row>
    <row r="372" spans="1:3" x14ac:dyDescent="0.25">
      <c r="A372" t="s">
        <v>2271</v>
      </c>
      <c r="B372">
        <f>COUNTIF(Лист2!H:H,A372)+COUNTIF(Лист2!I:I,A372)</f>
        <v>1</v>
      </c>
      <c r="C372">
        <v>1</v>
      </c>
    </row>
    <row r="373" spans="1:3" x14ac:dyDescent="0.25">
      <c r="A373" t="s">
        <v>2270</v>
      </c>
      <c r="B373">
        <f>COUNTIF(Лист2!H:H,A373)+COUNTIF(Лист2!I:I,A373)</f>
        <v>1</v>
      </c>
      <c r="C373">
        <v>1</v>
      </c>
    </row>
    <row r="374" spans="1:3" x14ac:dyDescent="0.25">
      <c r="A374" t="s">
        <v>2272</v>
      </c>
      <c r="B374">
        <f>COUNTIF(Лист2!H:H,A374)+COUNTIF(Лист2!I:I,A374)</f>
        <v>1</v>
      </c>
      <c r="C374">
        <v>1</v>
      </c>
    </row>
    <row r="375" spans="1:3" x14ac:dyDescent="0.25">
      <c r="A375" t="s">
        <v>2273</v>
      </c>
      <c r="B375">
        <f>COUNTIF(Лист2!H:H,A375)+COUNTIF(Лист2!I:I,A375)</f>
        <v>1</v>
      </c>
      <c r="C375">
        <v>1</v>
      </c>
    </row>
    <row r="376" spans="1:3" x14ac:dyDescent="0.25">
      <c r="A376" t="s">
        <v>2360</v>
      </c>
      <c r="B376">
        <f>COUNTIF(Лист2!H:H,A376)+COUNTIF(Лист2!I:I,A376)</f>
        <v>1</v>
      </c>
      <c r="C376">
        <v>1</v>
      </c>
    </row>
    <row r="377" spans="1:3" x14ac:dyDescent="0.25">
      <c r="A377" t="s">
        <v>2274</v>
      </c>
      <c r="B377">
        <f>COUNTIF(Лист2!H:H,A377)+COUNTIF(Лист2!I:I,A377)</f>
        <v>1</v>
      </c>
      <c r="C377">
        <v>1</v>
      </c>
    </row>
    <row r="378" spans="1:3" x14ac:dyDescent="0.25">
      <c r="A378" t="s">
        <v>2276</v>
      </c>
      <c r="B378">
        <f>COUNTIF(Лист2!H:H,A378)+COUNTIF(Лист2!I:I,A378)</f>
        <v>1</v>
      </c>
      <c r="C378">
        <v>1</v>
      </c>
    </row>
    <row r="379" spans="1:3" x14ac:dyDescent="0.25">
      <c r="A379" t="s">
        <v>2362</v>
      </c>
      <c r="B379">
        <f>COUNTIF(Лист2!H:H,A379)+COUNTIF(Лист2!I:I,A379)</f>
        <v>1</v>
      </c>
      <c r="C379">
        <v>1</v>
      </c>
    </row>
    <row r="380" spans="1:3" x14ac:dyDescent="0.25">
      <c r="A380" t="s">
        <v>2277</v>
      </c>
      <c r="B380">
        <f>COUNTIF(Лист2!H:H,A380)+COUNTIF(Лист2!I:I,A380)</f>
        <v>1</v>
      </c>
      <c r="C380">
        <v>1</v>
      </c>
    </row>
    <row r="381" spans="1:3" x14ac:dyDescent="0.25">
      <c r="A381" t="s">
        <v>2278</v>
      </c>
      <c r="B381">
        <f>COUNTIF(Лист2!H:H,A381)+COUNTIF(Лист2!I:I,A381)</f>
        <v>1</v>
      </c>
      <c r="C381">
        <v>1</v>
      </c>
    </row>
    <row r="382" spans="1:3" x14ac:dyDescent="0.25">
      <c r="A382" t="s">
        <v>2279</v>
      </c>
      <c r="B382">
        <f>COUNTIF(Лист2!H:H,A382)+COUNTIF(Лист2!I:I,A382)</f>
        <v>1</v>
      </c>
      <c r="C382">
        <v>1</v>
      </c>
    </row>
    <row r="383" spans="1:3" x14ac:dyDescent="0.25">
      <c r="A383" t="s">
        <v>2281</v>
      </c>
      <c r="B383">
        <f>COUNTIF(Лист2!H:H,A383)+COUNTIF(Лист2!I:I,A383)</f>
        <v>1</v>
      </c>
      <c r="C383">
        <v>1</v>
      </c>
    </row>
    <row r="384" spans="1:3" x14ac:dyDescent="0.25">
      <c r="A384" t="s">
        <v>2282</v>
      </c>
      <c r="B384">
        <f>COUNTIF(Лист2!H:H,A384)+COUNTIF(Лист2!I:I,A384)</f>
        <v>1</v>
      </c>
      <c r="C384">
        <v>1</v>
      </c>
    </row>
    <row r="385" spans="1:3" x14ac:dyDescent="0.25">
      <c r="A385" t="s">
        <v>2283</v>
      </c>
      <c r="B385">
        <f>COUNTIF(Лист2!H:H,A385)+COUNTIF(Лист2!I:I,A385)</f>
        <v>1</v>
      </c>
      <c r="C385">
        <v>1</v>
      </c>
    </row>
    <row r="386" spans="1:3" x14ac:dyDescent="0.25">
      <c r="A386" t="s">
        <v>2363</v>
      </c>
      <c r="B386">
        <f>COUNTIF(Лист2!H:H,A386)+COUNTIF(Лист2!I:I,A386)</f>
        <v>1</v>
      </c>
      <c r="C386">
        <v>1</v>
      </c>
    </row>
    <row r="387" spans="1:3" x14ac:dyDescent="0.25">
      <c r="A387" t="s">
        <v>2284</v>
      </c>
      <c r="B387">
        <f>COUNTIF(Лист2!H:H,A387)+COUNTIF(Лист2!I:I,A387)</f>
        <v>1</v>
      </c>
      <c r="C387">
        <v>1</v>
      </c>
    </row>
    <row r="388" spans="1:3" x14ac:dyDescent="0.25">
      <c r="A388" t="s">
        <v>2285</v>
      </c>
      <c r="B388">
        <f>COUNTIF(Лист2!H:H,A388)+COUNTIF(Лист2!I:I,A388)</f>
        <v>1</v>
      </c>
      <c r="C388">
        <v>1</v>
      </c>
    </row>
    <row r="389" spans="1:3" x14ac:dyDescent="0.25">
      <c r="A389" t="s">
        <v>2286</v>
      </c>
      <c r="B389">
        <f>COUNTIF(Лист2!H:H,A389)+COUNTIF(Лист2!I:I,A389)</f>
        <v>1</v>
      </c>
      <c r="C389">
        <v>1</v>
      </c>
    </row>
    <row r="390" spans="1:3" x14ac:dyDescent="0.25">
      <c r="A390" t="s">
        <v>2287</v>
      </c>
      <c r="B390">
        <f>COUNTIF(Лист2!H:H,A390)+COUNTIF(Лист2!I:I,A390)</f>
        <v>1</v>
      </c>
      <c r="C390">
        <v>1</v>
      </c>
    </row>
    <row r="391" spans="1:3" x14ac:dyDescent="0.25">
      <c r="A391" t="s">
        <v>2288</v>
      </c>
      <c r="B391">
        <f>COUNTIF(Лист2!H:H,A391)+COUNTIF(Лист2!I:I,A391)</f>
        <v>1</v>
      </c>
      <c r="C391">
        <v>1</v>
      </c>
    </row>
    <row r="392" spans="1:3" x14ac:dyDescent="0.25">
      <c r="A392" t="s">
        <v>2289</v>
      </c>
      <c r="B392">
        <f>COUNTIF(Лист2!H:H,A392)+COUNTIF(Лист2!I:I,A392)</f>
        <v>1</v>
      </c>
      <c r="C392">
        <v>1</v>
      </c>
    </row>
    <row r="393" spans="1:3" x14ac:dyDescent="0.25">
      <c r="A393" t="s">
        <v>2290</v>
      </c>
      <c r="B393">
        <f>COUNTIF(Лист2!H:H,A393)+COUNTIF(Лист2!I:I,A393)</f>
        <v>1</v>
      </c>
      <c r="C393">
        <v>1</v>
      </c>
    </row>
    <row r="394" spans="1:3" x14ac:dyDescent="0.25">
      <c r="A394" t="s">
        <v>2291</v>
      </c>
      <c r="B394">
        <f>COUNTIF(Лист2!H:H,A394)+COUNTIF(Лист2!I:I,A394)</f>
        <v>1</v>
      </c>
      <c r="C394">
        <v>1</v>
      </c>
    </row>
    <row r="395" spans="1:3" x14ac:dyDescent="0.25">
      <c r="A395" t="s">
        <v>2292</v>
      </c>
      <c r="B395">
        <f>COUNTIF(Лист2!H:H,A395)+COUNTIF(Лист2!I:I,A395)</f>
        <v>1</v>
      </c>
      <c r="C395">
        <v>1</v>
      </c>
    </row>
    <row r="396" spans="1:3" x14ac:dyDescent="0.25">
      <c r="A396" t="s">
        <v>2293</v>
      </c>
      <c r="B396">
        <f>COUNTIF(Лист2!H:H,A396)+COUNTIF(Лист2!I:I,A396)</f>
        <v>1</v>
      </c>
      <c r="C396">
        <v>1</v>
      </c>
    </row>
    <row r="397" spans="1:3" x14ac:dyDescent="0.25">
      <c r="A397" t="s">
        <v>2294</v>
      </c>
      <c r="B397">
        <f>COUNTIF(Лист2!H:H,A397)+COUNTIF(Лист2!I:I,A397)</f>
        <v>1</v>
      </c>
      <c r="C397">
        <v>1</v>
      </c>
    </row>
    <row r="398" spans="1:3" x14ac:dyDescent="0.25">
      <c r="A398" t="s">
        <v>2296</v>
      </c>
      <c r="B398">
        <f>COUNTIF(Лист2!H:H,A398)+COUNTIF(Лист2!I:I,A398)</f>
        <v>1</v>
      </c>
      <c r="C398">
        <v>1</v>
      </c>
    </row>
    <row r="399" spans="1:3" x14ac:dyDescent="0.25">
      <c r="A399" t="s">
        <v>2298</v>
      </c>
      <c r="B399">
        <f>COUNTIF(Лист2!H:H,A399)+COUNTIF(Лист2!I:I,A399)</f>
        <v>1</v>
      </c>
      <c r="C399">
        <v>1</v>
      </c>
    </row>
    <row r="400" spans="1:3" x14ac:dyDescent="0.25">
      <c r="A400" t="s">
        <v>2299</v>
      </c>
      <c r="B400">
        <f>COUNTIF(Лист2!H:H,A400)+COUNTIF(Лист2!I:I,A400)</f>
        <v>1</v>
      </c>
      <c r="C400">
        <v>1</v>
      </c>
    </row>
    <row r="401" spans="1:3" x14ac:dyDescent="0.25">
      <c r="A401" t="s">
        <v>2300</v>
      </c>
      <c r="B401">
        <f>COUNTIF(Лист2!H:H,A401)+COUNTIF(Лист2!I:I,A401)</f>
        <v>1</v>
      </c>
      <c r="C401">
        <v>1</v>
      </c>
    </row>
    <row r="402" spans="1:3" x14ac:dyDescent="0.25">
      <c r="A402" t="s">
        <v>2302</v>
      </c>
      <c r="B402">
        <f>COUNTIF(Лист2!H:H,A402)+COUNTIF(Лист2!I:I,A402)</f>
        <v>1</v>
      </c>
      <c r="C402">
        <v>1</v>
      </c>
    </row>
    <row r="403" spans="1:3" x14ac:dyDescent="0.25">
      <c r="A403" t="s">
        <v>2301</v>
      </c>
      <c r="B403">
        <f>COUNTIF(Лист2!H:H,A403)+COUNTIF(Лист2!I:I,A403)</f>
        <v>1</v>
      </c>
      <c r="C403">
        <v>1</v>
      </c>
    </row>
    <row r="404" spans="1:3" x14ac:dyDescent="0.25">
      <c r="A404" t="s">
        <v>2303</v>
      </c>
      <c r="B404">
        <f>COUNTIF(Лист2!H:H,A404)+COUNTIF(Лист2!I:I,A404)</f>
        <v>1</v>
      </c>
      <c r="C404">
        <v>1</v>
      </c>
    </row>
    <row r="405" spans="1:3" x14ac:dyDescent="0.25">
      <c r="A405" t="s">
        <v>2304</v>
      </c>
      <c r="B405">
        <f>COUNTIF(Лист2!H:H,A405)+COUNTIF(Лист2!I:I,A405)</f>
        <v>1</v>
      </c>
      <c r="C405">
        <v>1</v>
      </c>
    </row>
    <row r="406" spans="1:3" x14ac:dyDescent="0.25">
      <c r="A406" t="s">
        <v>2305</v>
      </c>
      <c r="B406">
        <f>COUNTIF(Лист2!H:H,A406)+COUNTIF(Лист2!I:I,A406)</f>
        <v>1</v>
      </c>
      <c r="C406">
        <v>1</v>
      </c>
    </row>
    <row r="407" spans="1:3" x14ac:dyDescent="0.25">
      <c r="A407" t="s">
        <v>2306</v>
      </c>
      <c r="B407">
        <f>COUNTIF(Лист2!H:H,A407)+COUNTIF(Лист2!I:I,A407)</f>
        <v>1</v>
      </c>
      <c r="C407">
        <v>1</v>
      </c>
    </row>
    <row r="408" spans="1:3" x14ac:dyDescent="0.25">
      <c r="A408" t="s">
        <v>2308</v>
      </c>
      <c r="B408">
        <f>COUNTIF(Лист2!H:H,A408)+COUNTIF(Лист2!I:I,A408)</f>
        <v>1</v>
      </c>
      <c r="C408">
        <v>1</v>
      </c>
    </row>
    <row r="409" spans="1:3" x14ac:dyDescent="0.25">
      <c r="A409" t="s">
        <v>2311</v>
      </c>
      <c r="B409">
        <f>COUNTIF(Лист2!H:H,A409)+COUNTIF(Лист2!I:I,A409)</f>
        <v>1</v>
      </c>
      <c r="C409">
        <v>1</v>
      </c>
    </row>
    <row r="410" spans="1:3" x14ac:dyDescent="0.25">
      <c r="A410" t="s">
        <v>2313</v>
      </c>
      <c r="B410">
        <f>COUNTIF(Лист2!H:H,A410)+COUNTIF(Лист2!I:I,A410)</f>
        <v>1</v>
      </c>
      <c r="C410">
        <v>1</v>
      </c>
    </row>
    <row r="411" spans="1:3" x14ac:dyDescent="0.25">
      <c r="A411" t="s">
        <v>2314</v>
      </c>
      <c r="B411">
        <f>COUNTIF(Лист2!H:H,A411)+COUNTIF(Лист2!I:I,A411)</f>
        <v>1</v>
      </c>
      <c r="C411">
        <v>1</v>
      </c>
    </row>
    <row r="412" spans="1:3" x14ac:dyDescent="0.25">
      <c r="A412" t="s">
        <v>2315</v>
      </c>
      <c r="B412">
        <f>COUNTIF(Лист2!H:H,A412)+COUNTIF(Лист2!I:I,A412)</f>
        <v>1</v>
      </c>
      <c r="C412">
        <v>1</v>
      </c>
    </row>
    <row r="413" spans="1:3" x14ac:dyDescent="0.25">
      <c r="A413" t="s">
        <v>2316</v>
      </c>
      <c r="B413">
        <f>COUNTIF(Лист2!H:H,A413)+COUNTIF(Лист2!I:I,A413)</f>
        <v>1</v>
      </c>
      <c r="C413">
        <v>1</v>
      </c>
    </row>
    <row r="414" spans="1:3" x14ac:dyDescent="0.25">
      <c r="A414" t="s">
        <v>2318</v>
      </c>
      <c r="B414">
        <f>COUNTIF(Лист2!H:H,A414)+COUNTIF(Лист2!I:I,A414)</f>
        <v>1</v>
      </c>
      <c r="C414">
        <v>1</v>
      </c>
    </row>
    <row r="415" spans="1:3" x14ac:dyDescent="0.25">
      <c r="A415" t="s">
        <v>2319</v>
      </c>
      <c r="B415">
        <f>COUNTIF(Лист2!H:H,A415)+COUNTIF(Лист2!I:I,A415)</f>
        <v>1</v>
      </c>
      <c r="C415">
        <v>1</v>
      </c>
    </row>
    <row r="416" spans="1:3" x14ac:dyDescent="0.25">
      <c r="A416" t="s">
        <v>2320</v>
      </c>
      <c r="B416">
        <f>COUNTIF(Лист2!H:H,A416)+COUNTIF(Лист2!I:I,A416)</f>
        <v>1</v>
      </c>
      <c r="C416">
        <v>1</v>
      </c>
    </row>
    <row r="417" spans="1:3" x14ac:dyDescent="0.25">
      <c r="A417" t="s">
        <v>2321</v>
      </c>
      <c r="B417">
        <f>COUNTIF(Лист2!H:H,A417)+COUNTIF(Лист2!I:I,A417)</f>
        <v>1</v>
      </c>
      <c r="C417">
        <v>1</v>
      </c>
    </row>
    <row r="418" spans="1:3" x14ac:dyDescent="0.25">
      <c r="A418" t="s">
        <v>2323</v>
      </c>
      <c r="B418">
        <f>COUNTIF(Лист2!H:H,A418)+COUNTIF(Лист2!I:I,A418)</f>
        <v>1</v>
      </c>
      <c r="C418">
        <v>1</v>
      </c>
    </row>
    <row r="419" spans="1:3" x14ac:dyDescent="0.25">
      <c r="A419" t="s">
        <v>2324</v>
      </c>
      <c r="B419">
        <f>COUNTIF(Лист2!H:H,A419)+COUNTIF(Лист2!I:I,A419)</f>
        <v>1</v>
      </c>
      <c r="C419">
        <v>1</v>
      </c>
    </row>
    <row r="420" spans="1:3" x14ac:dyDescent="0.25">
      <c r="A420" t="s">
        <v>2325</v>
      </c>
      <c r="B420">
        <f>COUNTIF(Лист2!H:H,A420)+COUNTIF(Лист2!I:I,A420)</f>
        <v>1</v>
      </c>
      <c r="C420">
        <v>1</v>
      </c>
    </row>
    <row r="421" spans="1:3" x14ac:dyDescent="0.25">
      <c r="A421" t="s">
        <v>2326</v>
      </c>
      <c r="B421">
        <f>COUNTIF(Лист2!H:H,A421)+COUNTIF(Лист2!I:I,A421)</f>
        <v>1</v>
      </c>
      <c r="C421">
        <v>1</v>
      </c>
    </row>
    <row r="422" spans="1:3" x14ac:dyDescent="0.25">
      <c r="A422" t="s">
        <v>2327</v>
      </c>
      <c r="B422">
        <f>COUNTIF(Лист2!H:H,A422)+COUNTIF(Лист2!I:I,A422)</f>
        <v>1</v>
      </c>
      <c r="C422">
        <v>1</v>
      </c>
    </row>
    <row r="423" spans="1:3" x14ac:dyDescent="0.25">
      <c r="A423" t="s">
        <v>2329</v>
      </c>
      <c r="B423">
        <f>COUNTIF(Лист2!H:H,A423)+COUNTIF(Лист2!I:I,A423)</f>
        <v>1</v>
      </c>
      <c r="C423">
        <v>1</v>
      </c>
    </row>
    <row r="424" spans="1:3" x14ac:dyDescent="0.25">
      <c r="A424" t="s">
        <v>2365</v>
      </c>
      <c r="B424">
        <f>COUNTIF(Лист2!H:H,A424)+COUNTIF(Лист2!I:I,A424)</f>
        <v>1</v>
      </c>
      <c r="C424">
        <v>1</v>
      </c>
    </row>
    <row r="425" spans="1:3" x14ac:dyDescent="0.25">
      <c r="A425" t="s">
        <v>2366</v>
      </c>
      <c r="B425">
        <f>COUNTIF(Лист2!H:H,A425)+COUNTIF(Лист2!I:I,A425)</f>
        <v>1</v>
      </c>
      <c r="C425">
        <v>1</v>
      </c>
    </row>
    <row r="426" spans="1:3" x14ac:dyDescent="0.25">
      <c r="A426" t="s">
        <v>2331</v>
      </c>
      <c r="B426">
        <f>COUNTIF(Лист2!H:H,A426)+COUNTIF(Лист2!I:I,A426)</f>
        <v>1</v>
      </c>
      <c r="C426">
        <v>1</v>
      </c>
    </row>
    <row r="427" spans="1:3" x14ac:dyDescent="0.25">
      <c r="A427" t="s">
        <v>2332</v>
      </c>
      <c r="B427">
        <f>COUNTIF(Лист2!H:H,A427)+COUNTIF(Лист2!I:I,A427)</f>
        <v>1</v>
      </c>
      <c r="C427">
        <v>1</v>
      </c>
    </row>
    <row r="428" spans="1:3" x14ac:dyDescent="0.25">
      <c r="A428" t="s">
        <v>2333</v>
      </c>
      <c r="B428">
        <f>COUNTIF(Лист2!H:H,A428)+COUNTIF(Лист2!I:I,A428)</f>
        <v>1</v>
      </c>
      <c r="C428">
        <v>1</v>
      </c>
    </row>
    <row r="429" spans="1:3" x14ac:dyDescent="0.25">
      <c r="A429" t="s">
        <v>2334</v>
      </c>
      <c r="B429">
        <f>COUNTIF(Лист2!H:H,A429)+COUNTIF(Лист2!I:I,A429)</f>
        <v>1</v>
      </c>
      <c r="C429">
        <v>1</v>
      </c>
    </row>
    <row r="430" spans="1:3" x14ac:dyDescent="0.25">
      <c r="A430" t="s">
        <v>2335</v>
      </c>
      <c r="B430">
        <f>COUNTIF(Лист2!H:H,A430)+COUNTIF(Лист2!I:I,A430)</f>
        <v>1</v>
      </c>
      <c r="C430">
        <v>1</v>
      </c>
    </row>
    <row r="431" spans="1:3" x14ac:dyDescent="0.25">
      <c r="A431" t="s">
        <v>2336</v>
      </c>
      <c r="B431">
        <f>COUNTIF(Лист2!H:H,A431)+COUNTIF(Лист2!I:I,A431)</f>
        <v>1</v>
      </c>
      <c r="C431">
        <v>1</v>
      </c>
    </row>
    <row r="432" spans="1:3" x14ac:dyDescent="0.25">
      <c r="A432" t="s">
        <v>2337</v>
      </c>
      <c r="B432">
        <f>COUNTIF(Лист2!H:H,A432)+COUNTIF(Лист2!I:I,A432)</f>
        <v>1</v>
      </c>
      <c r="C432">
        <v>1</v>
      </c>
    </row>
    <row r="433" spans="1:3" x14ac:dyDescent="0.25">
      <c r="A433" t="s">
        <v>2338</v>
      </c>
      <c r="B433">
        <f>COUNTIF(Лист2!H:H,A433)+COUNTIF(Лист2!I:I,A433)</f>
        <v>1</v>
      </c>
      <c r="C433">
        <v>1</v>
      </c>
    </row>
    <row r="434" spans="1:3" x14ac:dyDescent="0.25">
      <c r="A434" t="s">
        <v>2339</v>
      </c>
      <c r="B434">
        <f>COUNTIF(Лист2!H:H,A434)+COUNTIF(Лист2!I:I,A434)</f>
        <v>1</v>
      </c>
      <c r="C434">
        <v>1</v>
      </c>
    </row>
    <row r="435" spans="1:3" x14ac:dyDescent="0.25">
      <c r="A435" t="s">
        <v>2340</v>
      </c>
      <c r="B435">
        <f>COUNTIF(Лист2!H:H,A435)+COUNTIF(Лист2!I:I,A435)</f>
        <v>1</v>
      </c>
      <c r="C435">
        <v>1</v>
      </c>
    </row>
    <row r="436" spans="1:3" x14ac:dyDescent="0.25">
      <c r="A436" t="s">
        <v>2341</v>
      </c>
      <c r="B436">
        <f>COUNTIF(Лист2!H:H,A436)+COUNTIF(Лист2!I:I,A436)</f>
        <v>1</v>
      </c>
      <c r="C436">
        <v>1</v>
      </c>
    </row>
    <row r="437" spans="1:3" x14ac:dyDescent="0.25">
      <c r="A437" t="s">
        <v>2342</v>
      </c>
      <c r="B437">
        <f>COUNTIF(Лист2!H:H,A437)+COUNTIF(Лист2!I:I,A437)</f>
        <v>1</v>
      </c>
      <c r="C437">
        <v>1</v>
      </c>
    </row>
    <row r="438" spans="1:3" x14ac:dyDescent="0.25">
      <c r="A438" t="s">
        <v>2344</v>
      </c>
      <c r="B438">
        <f>COUNTIF(Лист2!H:H,A438)+COUNTIF(Лист2!I:I,A438)</f>
        <v>1</v>
      </c>
      <c r="C438">
        <v>1</v>
      </c>
    </row>
    <row r="439" spans="1:3" x14ac:dyDescent="0.25">
      <c r="A439" t="s">
        <v>2345</v>
      </c>
      <c r="B439">
        <f>COUNTIF(Лист2!H:H,A439)+COUNTIF(Лист2!I:I,A439)</f>
        <v>1</v>
      </c>
      <c r="C439">
        <v>1</v>
      </c>
    </row>
    <row r="440" spans="1:3" x14ac:dyDescent="0.25">
      <c r="A440" t="s">
        <v>2346</v>
      </c>
      <c r="B440">
        <f>COUNTIF(Лист2!H:H,A440)+COUNTIF(Лист2!I:I,A440)</f>
        <v>1</v>
      </c>
      <c r="C440">
        <v>1</v>
      </c>
    </row>
    <row r="441" spans="1:3" x14ac:dyDescent="0.25">
      <c r="A441" t="s">
        <v>2347</v>
      </c>
      <c r="B441">
        <f>COUNTIF(Лист2!H:H,A441)+COUNTIF(Лист2!I:I,A441)</f>
        <v>1</v>
      </c>
      <c r="C441">
        <v>1</v>
      </c>
    </row>
    <row r="442" spans="1:3" x14ac:dyDescent="0.25">
      <c r="A442" t="s">
        <v>2348</v>
      </c>
      <c r="B442">
        <f>COUNTIF(Лист2!H:H,A442)+COUNTIF(Лист2!I:I,A442)</f>
        <v>1</v>
      </c>
      <c r="C442">
        <v>1</v>
      </c>
    </row>
    <row r="443" spans="1:3" x14ac:dyDescent="0.25">
      <c r="A443" t="s">
        <v>2367</v>
      </c>
      <c r="B443">
        <f>COUNTIF(Лист2!H:H,A443)+COUNTIF(Лист2!I:I,A443)</f>
        <v>1</v>
      </c>
      <c r="C443">
        <v>1</v>
      </c>
    </row>
    <row r="444" spans="1:3" x14ac:dyDescent="0.25">
      <c r="A444" t="s">
        <v>2350</v>
      </c>
      <c r="B444">
        <f>COUNTIF(Лист2!H:H,A444)+COUNTIF(Лист2!I:I,A444)</f>
        <v>1</v>
      </c>
      <c r="C444">
        <v>1</v>
      </c>
    </row>
    <row r="445" spans="1:3" x14ac:dyDescent="0.25">
      <c r="A445" t="s">
        <v>2368</v>
      </c>
      <c r="B445">
        <f>COUNTIF(Лист2!H:H,A445)+COUNTIF(Лист2!I:I,A445)</f>
        <v>1</v>
      </c>
      <c r="C445">
        <v>1</v>
      </c>
    </row>
    <row r="446" spans="1:3" x14ac:dyDescent="0.25">
      <c r="A446" t="s">
        <v>2351</v>
      </c>
      <c r="B446">
        <f>COUNTIF(Лист2!H:H,A446)+COUNTIF(Лист2!I:I,A446)</f>
        <v>1</v>
      </c>
      <c r="C446">
        <v>1</v>
      </c>
    </row>
    <row r="447" spans="1:3" x14ac:dyDescent="0.25">
      <c r="A447" t="s">
        <v>2352</v>
      </c>
      <c r="B447">
        <f>COUNTIF(Лист2!H:H,A447)+COUNTIF(Лист2!I:I,A447)</f>
        <v>1</v>
      </c>
      <c r="C447">
        <v>1</v>
      </c>
    </row>
    <row r="448" spans="1:3" x14ac:dyDescent="0.25">
      <c r="A448" t="s">
        <v>2354</v>
      </c>
      <c r="B448">
        <f>COUNTIF(Лист2!H:H,A448)+COUNTIF(Лист2!I:I,A448)</f>
        <v>1</v>
      </c>
      <c r="C448">
        <v>1</v>
      </c>
    </row>
    <row r="449" spans="1:3" x14ac:dyDescent="0.25">
      <c r="A449" t="s">
        <v>2356</v>
      </c>
      <c r="B449">
        <f>COUNTIF(Лист2!H:H,A449)+COUNTIF(Лист2!I:I,A449)</f>
        <v>1</v>
      </c>
      <c r="C449">
        <v>1</v>
      </c>
    </row>
    <row r="450" spans="1:3" x14ac:dyDescent="0.25">
      <c r="A450" t="s">
        <v>2355</v>
      </c>
      <c r="B450">
        <f>COUNTIF(Лист2!H:H,A450)+COUNTIF(Лист2!I:I,A450)</f>
        <v>1</v>
      </c>
      <c r="C450">
        <v>1</v>
      </c>
    </row>
    <row r="451" spans="1:3" x14ac:dyDescent="0.25">
      <c r="A451" t="s">
        <v>2357</v>
      </c>
      <c r="B451">
        <f>COUNTIF(Лист2!H:H,A451)+COUNTIF(Лист2!I:I,A451)</f>
        <v>1</v>
      </c>
      <c r="C451">
        <v>1</v>
      </c>
    </row>
    <row r="452" spans="1:3" x14ac:dyDescent="0.25">
      <c r="A452" t="s">
        <v>2358</v>
      </c>
      <c r="B452">
        <f>COUNTIF(Лист2!H:H,A452)+COUNTIF(Лист2!I:I,A452)</f>
        <v>1</v>
      </c>
      <c r="C452">
        <v>1</v>
      </c>
    </row>
    <row r="453" spans="1:3" x14ac:dyDescent="0.25">
      <c r="A453" t="s">
        <v>2404</v>
      </c>
      <c r="B453">
        <f>COUNTIF(Лист2!H:H,A453)+COUNTIF(Лист2!I:I,A453)</f>
        <v>1</v>
      </c>
      <c r="C453">
        <v>1</v>
      </c>
    </row>
    <row r="454" spans="1:3" x14ac:dyDescent="0.25">
      <c r="A454" t="s">
        <v>2494</v>
      </c>
      <c r="B454">
        <f>COUNTIF(Лист2!H:H,A454)+COUNTIF(Лист2!I:I,A454)</f>
        <v>1</v>
      </c>
      <c r="C454">
        <v>1</v>
      </c>
    </row>
    <row r="455" spans="1:3" x14ac:dyDescent="0.25">
      <c r="A455" t="s">
        <v>2496</v>
      </c>
      <c r="B455">
        <f>COUNTIF(Лист2!H:H,A455)+COUNTIF(Лист2!I:I,A455)</f>
        <v>1</v>
      </c>
      <c r="C455">
        <v>1</v>
      </c>
    </row>
    <row r="456" spans="1:3" x14ac:dyDescent="0.25">
      <c r="A456" t="s">
        <v>2498</v>
      </c>
      <c r="B456">
        <f>COUNTIF(Лист2!H:H,A456)+COUNTIF(Лист2!I:I,A456)</f>
        <v>1</v>
      </c>
      <c r="C456">
        <v>1</v>
      </c>
    </row>
    <row r="457" spans="1:3" x14ac:dyDescent="0.25">
      <c r="A457" t="s">
        <v>2499</v>
      </c>
      <c r="B457">
        <f>COUNTIF(Лист2!H:H,A457)+COUNTIF(Лист2!I:I,A457)</f>
        <v>1</v>
      </c>
      <c r="C457">
        <v>1</v>
      </c>
    </row>
    <row r="458" spans="1:3" x14ac:dyDescent="0.25">
      <c r="A458" t="s">
        <v>2501</v>
      </c>
      <c r="B458">
        <f>COUNTIF(Лист2!H:H,A458)+COUNTIF(Лист2!I:I,A458)</f>
        <v>1</v>
      </c>
      <c r="C458">
        <v>1</v>
      </c>
    </row>
    <row r="459" spans="1:3" x14ac:dyDescent="0.25">
      <c r="A459" t="s">
        <v>2502</v>
      </c>
      <c r="B459">
        <f>COUNTIF(Лист2!H:H,A459)+COUNTIF(Лист2!I:I,A459)</f>
        <v>1</v>
      </c>
      <c r="C459">
        <v>1</v>
      </c>
    </row>
    <row r="460" spans="1:3" x14ac:dyDescent="0.25">
      <c r="A460" t="s">
        <v>2503</v>
      </c>
      <c r="B460">
        <f>COUNTIF(Лист2!H:H,A460)+COUNTIF(Лист2!I:I,A460)</f>
        <v>1</v>
      </c>
      <c r="C460">
        <v>1</v>
      </c>
    </row>
    <row r="461" spans="1:3" x14ac:dyDescent="0.25">
      <c r="A461" t="s">
        <v>2505</v>
      </c>
      <c r="B461">
        <f>COUNTIF(Лист2!H:H,A461)+COUNTIF(Лист2!I:I,A461)</f>
        <v>1</v>
      </c>
      <c r="C461">
        <v>1</v>
      </c>
    </row>
    <row r="462" spans="1:3" x14ac:dyDescent="0.25">
      <c r="A462" t="s">
        <v>2506</v>
      </c>
      <c r="B462">
        <f>COUNTIF(Лист2!H:H,A462)+COUNTIF(Лист2!I:I,A462)</f>
        <v>1</v>
      </c>
      <c r="C462">
        <v>1</v>
      </c>
    </row>
    <row r="463" spans="1:3" x14ac:dyDescent="0.25">
      <c r="A463" t="s">
        <v>2507</v>
      </c>
      <c r="B463">
        <f>COUNTIF(Лист2!H:H,A463)+COUNTIF(Лист2!I:I,A463)</f>
        <v>1</v>
      </c>
      <c r="C463">
        <v>1</v>
      </c>
    </row>
    <row r="464" spans="1:3" x14ac:dyDescent="0.25">
      <c r="A464" t="s">
        <v>2369</v>
      </c>
      <c r="B464">
        <f>COUNTIF(Лист2!H:H,A464)+COUNTIF(Лист2!I:I,A464)</f>
        <v>1</v>
      </c>
      <c r="C464">
        <v>1</v>
      </c>
    </row>
    <row r="465" spans="1:3" x14ac:dyDescent="0.25">
      <c r="A465" t="s">
        <v>2508</v>
      </c>
      <c r="B465">
        <f>COUNTIF(Лист2!H:H,A465)+COUNTIF(Лист2!I:I,A465)</f>
        <v>1</v>
      </c>
      <c r="C465">
        <v>1</v>
      </c>
    </row>
    <row r="466" spans="1:3" x14ac:dyDescent="0.25">
      <c r="A466" t="s">
        <v>2509</v>
      </c>
      <c r="B466">
        <f>COUNTIF(Лист2!H:H,A466)+COUNTIF(Лист2!I:I,A466)</f>
        <v>1</v>
      </c>
      <c r="C466">
        <v>1</v>
      </c>
    </row>
    <row r="467" spans="1:3" x14ac:dyDescent="0.25">
      <c r="A467" t="s">
        <v>2510</v>
      </c>
      <c r="B467">
        <f>COUNTIF(Лист2!H:H,A467)+COUNTIF(Лист2!I:I,A467)</f>
        <v>1</v>
      </c>
      <c r="C467">
        <v>1</v>
      </c>
    </row>
    <row r="468" spans="1:3" x14ac:dyDescent="0.25">
      <c r="A468" t="s">
        <v>2511</v>
      </c>
      <c r="B468">
        <f>COUNTIF(Лист2!H:H,A468)+COUNTIF(Лист2!I:I,A468)</f>
        <v>1</v>
      </c>
      <c r="C468">
        <v>1</v>
      </c>
    </row>
    <row r="469" spans="1:3" x14ac:dyDescent="0.25">
      <c r="A469" t="s">
        <v>2513</v>
      </c>
      <c r="B469">
        <f>COUNTIF(Лист2!H:H,A469)+COUNTIF(Лист2!I:I,A469)</f>
        <v>1</v>
      </c>
      <c r="C469">
        <v>1</v>
      </c>
    </row>
    <row r="470" spans="1:3" x14ac:dyDescent="0.25">
      <c r="A470" t="s">
        <v>2514</v>
      </c>
      <c r="B470">
        <f>COUNTIF(Лист2!H:H,A470)+COUNTIF(Лист2!I:I,A470)</f>
        <v>1</v>
      </c>
      <c r="C470">
        <v>1</v>
      </c>
    </row>
    <row r="471" spans="1:3" x14ac:dyDescent="0.25">
      <c r="A471" t="s">
        <v>2515</v>
      </c>
      <c r="B471">
        <f>COUNTIF(Лист2!H:H,A471)+COUNTIF(Лист2!I:I,A471)</f>
        <v>1</v>
      </c>
      <c r="C471">
        <v>1</v>
      </c>
    </row>
    <row r="472" spans="1:3" x14ac:dyDescent="0.25">
      <c r="A472" t="s">
        <v>2516</v>
      </c>
      <c r="B472">
        <f>COUNTIF(Лист2!H:H,A472)+COUNTIF(Лист2!I:I,A472)</f>
        <v>1</v>
      </c>
      <c r="C472">
        <v>1</v>
      </c>
    </row>
    <row r="473" spans="1:3" x14ac:dyDescent="0.25">
      <c r="A473" t="s">
        <v>2517</v>
      </c>
      <c r="B473">
        <f>COUNTIF(Лист2!H:H,A473)+COUNTIF(Лист2!I:I,A473)</f>
        <v>1</v>
      </c>
      <c r="C473">
        <v>1</v>
      </c>
    </row>
    <row r="474" spans="1:3" x14ac:dyDescent="0.25">
      <c r="A474" t="s">
        <v>2518</v>
      </c>
      <c r="B474">
        <f>COUNTIF(Лист2!H:H,A474)+COUNTIF(Лист2!I:I,A474)</f>
        <v>1</v>
      </c>
      <c r="C474">
        <v>1</v>
      </c>
    </row>
    <row r="475" spans="1:3" x14ac:dyDescent="0.25">
      <c r="A475" t="s">
        <v>2520</v>
      </c>
      <c r="B475">
        <f>COUNTIF(Лист2!H:H,A475)+COUNTIF(Лист2!I:I,A475)</f>
        <v>1</v>
      </c>
      <c r="C475">
        <v>1</v>
      </c>
    </row>
    <row r="476" spans="1:3" x14ac:dyDescent="0.25">
      <c r="A476" t="s">
        <v>2519</v>
      </c>
      <c r="B476">
        <f>COUNTIF(Лист2!H:H,A476)+COUNTIF(Лист2!I:I,A476)</f>
        <v>1</v>
      </c>
      <c r="C476">
        <v>1</v>
      </c>
    </row>
    <row r="477" spans="1:3" x14ac:dyDescent="0.25">
      <c r="A477" t="s">
        <v>2521</v>
      </c>
      <c r="B477">
        <f>COUNTIF(Лист2!H:H,A477)+COUNTIF(Лист2!I:I,A477)</f>
        <v>1</v>
      </c>
      <c r="C477">
        <v>1</v>
      </c>
    </row>
    <row r="478" spans="1:3" x14ac:dyDescent="0.25">
      <c r="A478" t="s">
        <v>2522</v>
      </c>
      <c r="B478">
        <f>COUNTIF(Лист2!H:H,A478)+COUNTIF(Лист2!I:I,A478)</f>
        <v>1</v>
      </c>
      <c r="C478">
        <v>1</v>
      </c>
    </row>
    <row r="479" spans="1:3" x14ac:dyDescent="0.25">
      <c r="A479" t="s">
        <v>2523</v>
      </c>
      <c r="B479">
        <f>COUNTIF(Лист2!H:H,A479)+COUNTIF(Лист2!I:I,A479)</f>
        <v>1</v>
      </c>
      <c r="C479">
        <v>1</v>
      </c>
    </row>
    <row r="480" spans="1:3" x14ac:dyDescent="0.25">
      <c r="A480" t="s">
        <v>2525</v>
      </c>
      <c r="B480">
        <f>COUNTIF(Лист2!H:H,A480)+COUNTIF(Лист2!I:I,A480)</f>
        <v>1</v>
      </c>
      <c r="C480">
        <v>1</v>
      </c>
    </row>
    <row r="481" spans="1:3" x14ac:dyDescent="0.25">
      <c r="A481" t="s">
        <v>2526</v>
      </c>
      <c r="B481">
        <f>COUNTIF(Лист2!H:H,A481)+COUNTIF(Лист2!I:I,A481)</f>
        <v>1</v>
      </c>
      <c r="C481">
        <v>1</v>
      </c>
    </row>
    <row r="482" spans="1:3" x14ac:dyDescent="0.25">
      <c r="A482" t="s">
        <v>2527</v>
      </c>
      <c r="B482">
        <f>COUNTIF(Лист2!H:H,A482)+COUNTIF(Лист2!I:I,A482)</f>
        <v>1</v>
      </c>
      <c r="C482">
        <v>1</v>
      </c>
    </row>
    <row r="483" spans="1:3" x14ac:dyDescent="0.25">
      <c r="A483" t="s">
        <v>2528</v>
      </c>
      <c r="B483">
        <f>COUNTIF(Лист2!H:H,A483)+COUNTIF(Лист2!I:I,A483)</f>
        <v>1</v>
      </c>
      <c r="C483">
        <v>1</v>
      </c>
    </row>
    <row r="484" spans="1:3" x14ac:dyDescent="0.25">
      <c r="A484" t="s">
        <v>2529</v>
      </c>
      <c r="B484">
        <f>COUNTIF(Лист2!H:H,A484)+COUNTIF(Лист2!I:I,A484)</f>
        <v>1</v>
      </c>
      <c r="C484">
        <v>1</v>
      </c>
    </row>
    <row r="485" spans="1:3" x14ac:dyDescent="0.25">
      <c r="A485" t="s">
        <v>2530</v>
      </c>
      <c r="B485">
        <f>COUNTIF(Лист2!H:H,A485)+COUNTIF(Лист2!I:I,A485)</f>
        <v>1</v>
      </c>
      <c r="C485">
        <v>1</v>
      </c>
    </row>
    <row r="486" spans="1:3" x14ac:dyDescent="0.25">
      <c r="A486" t="s">
        <v>2531</v>
      </c>
      <c r="B486">
        <f>COUNTIF(Лист2!H:H,A486)+COUNTIF(Лист2!I:I,A486)</f>
        <v>1</v>
      </c>
      <c r="C486">
        <v>1</v>
      </c>
    </row>
    <row r="487" spans="1:3" x14ac:dyDescent="0.25">
      <c r="A487" t="s">
        <v>2532</v>
      </c>
      <c r="B487">
        <f>COUNTIF(Лист2!H:H,A487)+COUNTIF(Лист2!I:I,A487)</f>
        <v>1</v>
      </c>
      <c r="C487">
        <v>1</v>
      </c>
    </row>
    <row r="488" spans="1:3" x14ac:dyDescent="0.25">
      <c r="A488" t="s">
        <v>2533</v>
      </c>
      <c r="B488">
        <f>COUNTIF(Лист2!H:H,A488)+COUNTIF(Лист2!I:I,A488)</f>
        <v>1</v>
      </c>
      <c r="C488">
        <v>1</v>
      </c>
    </row>
    <row r="489" spans="1:3" x14ac:dyDescent="0.25">
      <c r="A489" t="s">
        <v>2534</v>
      </c>
      <c r="B489">
        <f>COUNTIF(Лист2!H:H,A489)+COUNTIF(Лист2!I:I,A489)</f>
        <v>1</v>
      </c>
      <c r="C489">
        <v>1</v>
      </c>
    </row>
    <row r="490" spans="1:3" x14ac:dyDescent="0.25">
      <c r="A490" t="s">
        <v>2535</v>
      </c>
      <c r="B490">
        <f>COUNTIF(Лист2!H:H,A490)+COUNTIF(Лист2!I:I,A490)</f>
        <v>1</v>
      </c>
      <c r="C490">
        <v>1</v>
      </c>
    </row>
    <row r="491" spans="1:3" x14ac:dyDescent="0.25">
      <c r="A491" t="s">
        <v>2536</v>
      </c>
      <c r="B491">
        <f>COUNTIF(Лист2!H:H,A491)+COUNTIF(Лист2!I:I,A491)</f>
        <v>1</v>
      </c>
      <c r="C491">
        <v>1</v>
      </c>
    </row>
    <row r="492" spans="1:3" x14ac:dyDescent="0.25">
      <c r="A492" t="s">
        <v>2537</v>
      </c>
      <c r="B492">
        <f>COUNTIF(Лист2!H:H,A492)+COUNTIF(Лист2!I:I,A492)</f>
        <v>1</v>
      </c>
      <c r="C492">
        <v>1</v>
      </c>
    </row>
    <row r="493" spans="1:3" x14ac:dyDescent="0.25">
      <c r="A493" t="s">
        <v>2538</v>
      </c>
      <c r="B493">
        <f>COUNTIF(Лист2!H:H,A493)+COUNTIF(Лист2!I:I,A493)</f>
        <v>1</v>
      </c>
      <c r="C493">
        <v>1</v>
      </c>
    </row>
    <row r="494" spans="1:3" x14ac:dyDescent="0.25">
      <c r="A494" t="s">
        <v>2539</v>
      </c>
      <c r="B494">
        <f>COUNTIF(Лист2!H:H,A494)+COUNTIF(Лист2!I:I,A494)</f>
        <v>1</v>
      </c>
      <c r="C494">
        <v>1</v>
      </c>
    </row>
    <row r="495" spans="1:3" x14ac:dyDescent="0.25">
      <c r="A495" t="s">
        <v>2540</v>
      </c>
      <c r="B495">
        <f>COUNTIF(Лист2!H:H,A495)+COUNTIF(Лист2!I:I,A495)</f>
        <v>1</v>
      </c>
      <c r="C495">
        <v>1</v>
      </c>
    </row>
    <row r="496" spans="1:3" x14ac:dyDescent="0.25">
      <c r="A496" t="s">
        <v>2541</v>
      </c>
      <c r="B496">
        <f>COUNTIF(Лист2!H:H,A496)+COUNTIF(Лист2!I:I,A496)</f>
        <v>1</v>
      </c>
      <c r="C496">
        <v>1</v>
      </c>
    </row>
    <row r="497" spans="1:3" x14ac:dyDescent="0.25">
      <c r="A497" t="s">
        <v>2542</v>
      </c>
      <c r="B497">
        <f>COUNTIF(Лист2!H:H,A497)+COUNTIF(Лист2!I:I,A497)</f>
        <v>1</v>
      </c>
      <c r="C497">
        <v>1</v>
      </c>
    </row>
    <row r="498" spans="1:3" x14ac:dyDescent="0.25">
      <c r="A498" t="s">
        <v>2543</v>
      </c>
      <c r="B498">
        <f>COUNTIF(Лист2!H:H,A498)+COUNTIF(Лист2!I:I,A498)</f>
        <v>1</v>
      </c>
      <c r="C498">
        <v>1</v>
      </c>
    </row>
    <row r="499" spans="1:3" x14ac:dyDescent="0.25">
      <c r="A499" t="s">
        <v>2544</v>
      </c>
      <c r="B499">
        <f>COUNTIF(Лист2!H:H,A499)+COUNTIF(Лист2!I:I,A499)</f>
        <v>1</v>
      </c>
      <c r="C499">
        <v>1</v>
      </c>
    </row>
    <row r="500" spans="1:3" x14ac:dyDescent="0.25">
      <c r="A500" t="s">
        <v>2545</v>
      </c>
      <c r="B500">
        <f>COUNTIF(Лист2!H:H,A500)+COUNTIF(Лист2!I:I,A500)</f>
        <v>1</v>
      </c>
      <c r="C500">
        <v>1</v>
      </c>
    </row>
    <row r="501" spans="1:3" x14ac:dyDescent="0.25">
      <c r="A501" t="s">
        <v>2546</v>
      </c>
      <c r="B501">
        <f>COUNTIF(Лист2!H:H,A501)+COUNTIF(Лист2!I:I,A501)</f>
        <v>1</v>
      </c>
      <c r="C501">
        <v>1</v>
      </c>
    </row>
    <row r="502" spans="1:3" x14ac:dyDescent="0.25">
      <c r="A502" t="s">
        <v>2547</v>
      </c>
      <c r="B502">
        <f>COUNTIF(Лист2!H:H,A502)+COUNTIF(Лист2!I:I,A502)</f>
        <v>1</v>
      </c>
      <c r="C502">
        <v>1</v>
      </c>
    </row>
    <row r="503" spans="1:3" x14ac:dyDescent="0.25">
      <c r="A503" t="s">
        <v>2548</v>
      </c>
      <c r="B503">
        <f>COUNTIF(Лист2!H:H,A503)+COUNTIF(Лист2!I:I,A503)</f>
        <v>1</v>
      </c>
      <c r="C503">
        <v>1</v>
      </c>
    </row>
    <row r="504" spans="1:3" x14ac:dyDescent="0.25">
      <c r="A504" t="s">
        <v>2549</v>
      </c>
      <c r="B504">
        <f>COUNTIF(Лист2!H:H,A504)+COUNTIF(Лист2!I:I,A504)</f>
        <v>1</v>
      </c>
      <c r="C504">
        <v>1</v>
      </c>
    </row>
    <row r="505" spans="1:3" x14ac:dyDescent="0.25">
      <c r="A505" t="s">
        <v>2550</v>
      </c>
      <c r="B505">
        <f>COUNTIF(Лист2!H:H,A505)+COUNTIF(Лист2!I:I,A505)</f>
        <v>1</v>
      </c>
      <c r="C505">
        <v>1</v>
      </c>
    </row>
    <row r="506" spans="1:3" x14ac:dyDescent="0.25">
      <c r="A506" t="s">
        <v>2551</v>
      </c>
      <c r="B506">
        <f>COUNTIF(Лист2!H:H,A506)+COUNTIF(Лист2!I:I,A506)</f>
        <v>1</v>
      </c>
      <c r="C506">
        <v>1</v>
      </c>
    </row>
    <row r="507" spans="1:3" x14ac:dyDescent="0.25">
      <c r="A507" t="s">
        <v>2552</v>
      </c>
      <c r="B507">
        <f>COUNTIF(Лист2!H:H,A507)+COUNTIF(Лист2!I:I,A507)</f>
        <v>1</v>
      </c>
      <c r="C507">
        <v>1</v>
      </c>
    </row>
    <row r="508" spans="1:3" x14ac:dyDescent="0.25">
      <c r="A508" t="s">
        <v>2374</v>
      </c>
      <c r="B508">
        <f>COUNTIF(Лист2!H:H,A508)+COUNTIF(Лист2!I:I,A508)</f>
        <v>1</v>
      </c>
      <c r="C508">
        <v>1</v>
      </c>
    </row>
    <row r="509" spans="1:3" x14ac:dyDescent="0.25">
      <c r="A509" t="s">
        <v>2553</v>
      </c>
      <c r="B509">
        <f>COUNTIF(Лист2!H:H,A509)+COUNTIF(Лист2!I:I,A509)</f>
        <v>1</v>
      </c>
      <c r="C509">
        <v>1</v>
      </c>
    </row>
    <row r="510" spans="1:3" x14ac:dyDescent="0.25">
      <c r="A510" t="s">
        <v>2554</v>
      </c>
      <c r="B510">
        <f>COUNTIF(Лист2!H:H,A510)+COUNTIF(Лист2!I:I,A510)</f>
        <v>1</v>
      </c>
      <c r="C510">
        <v>1</v>
      </c>
    </row>
    <row r="511" spans="1:3" x14ac:dyDescent="0.25">
      <c r="A511" t="s">
        <v>2555</v>
      </c>
      <c r="B511">
        <f>COUNTIF(Лист2!H:H,A511)+COUNTIF(Лист2!I:I,A511)</f>
        <v>1</v>
      </c>
      <c r="C511">
        <v>1</v>
      </c>
    </row>
    <row r="512" spans="1:3" x14ac:dyDescent="0.25">
      <c r="A512" t="s">
        <v>2556</v>
      </c>
      <c r="B512">
        <f>COUNTIF(Лист2!H:H,A512)+COUNTIF(Лист2!I:I,A512)</f>
        <v>1</v>
      </c>
      <c r="C512">
        <v>1</v>
      </c>
    </row>
    <row r="513" spans="1:3" x14ac:dyDescent="0.25">
      <c r="A513" t="s">
        <v>2557</v>
      </c>
      <c r="B513">
        <f>COUNTIF(Лист2!H:H,A513)+COUNTIF(Лист2!I:I,A513)</f>
        <v>1</v>
      </c>
      <c r="C513">
        <v>1</v>
      </c>
    </row>
    <row r="514" spans="1:3" x14ac:dyDescent="0.25">
      <c r="A514" t="s">
        <v>2561</v>
      </c>
      <c r="B514">
        <f>COUNTIF(Лист2!H:H,A514)+COUNTIF(Лист2!I:I,A514)</f>
        <v>1</v>
      </c>
      <c r="C514">
        <v>1</v>
      </c>
    </row>
    <row r="515" spans="1:3" x14ac:dyDescent="0.25">
      <c r="A515" t="s">
        <v>2562</v>
      </c>
      <c r="B515">
        <f>COUNTIF(Лист2!H:H,A515)+COUNTIF(Лист2!I:I,A515)</f>
        <v>1</v>
      </c>
      <c r="C515">
        <v>1</v>
      </c>
    </row>
    <row r="516" spans="1:3" x14ac:dyDescent="0.25">
      <c r="A516" t="s">
        <v>2563</v>
      </c>
      <c r="B516">
        <f>COUNTIF(Лист2!H:H,A516)+COUNTIF(Лист2!I:I,A516)</f>
        <v>1</v>
      </c>
      <c r="C516">
        <v>1</v>
      </c>
    </row>
    <row r="517" spans="1:3" x14ac:dyDescent="0.25">
      <c r="A517" t="s">
        <v>2565</v>
      </c>
      <c r="B517">
        <f>COUNTIF(Лист2!H:H,A517)+COUNTIF(Лист2!I:I,A517)</f>
        <v>1</v>
      </c>
      <c r="C517">
        <v>1</v>
      </c>
    </row>
    <row r="518" spans="1:3" x14ac:dyDescent="0.25">
      <c r="A518" t="s">
        <v>2566</v>
      </c>
      <c r="B518">
        <f>COUNTIF(Лист2!H:H,A518)+COUNTIF(Лист2!I:I,A518)</f>
        <v>1</v>
      </c>
      <c r="C518">
        <v>1</v>
      </c>
    </row>
    <row r="519" spans="1:3" x14ac:dyDescent="0.25">
      <c r="A519" t="s">
        <v>2567</v>
      </c>
      <c r="B519">
        <f>COUNTIF(Лист2!H:H,A519)+COUNTIF(Лист2!I:I,A519)</f>
        <v>1</v>
      </c>
      <c r="C519">
        <v>1</v>
      </c>
    </row>
    <row r="520" spans="1:3" x14ac:dyDescent="0.25">
      <c r="A520" t="s">
        <v>2568</v>
      </c>
      <c r="B520">
        <f>COUNTIF(Лист2!H:H,A520)+COUNTIF(Лист2!I:I,A520)</f>
        <v>1</v>
      </c>
      <c r="C520">
        <v>1</v>
      </c>
    </row>
    <row r="521" spans="1:3" x14ac:dyDescent="0.25">
      <c r="A521" t="s">
        <v>2569</v>
      </c>
      <c r="B521">
        <f>COUNTIF(Лист2!H:H,A521)+COUNTIF(Лист2!I:I,A521)</f>
        <v>1</v>
      </c>
      <c r="C521">
        <v>1</v>
      </c>
    </row>
    <row r="522" spans="1:3" x14ac:dyDescent="0.25">
      <c r="A522" t="s">
        <v>2570</v>
      </c>
      <c r="B522">
        <f>COUNTIF(Лист2!H:H,A522)+COUNTIF(Лист2!I:I,A522)</f>
        <v>1</v>
      </c>
      <c r="C522">
        <v>1</v>
      </c>
    </row>
    <row r="523" spans="1:3" x14ac:dyDescent="0.25">
      <c r="A523" t="s">
        <v>2571</v>
      </c>
      <c r="B523">
        <f>COUNTIF(Лист2!H:H,A523)+COUNTIF(Лист2!I:I,A523)</f>
        <v>1</v>
      </c>
      <c r="C523">
        <v>1</v>
      </c>
    </row>
    <row r="524" spans="1:3" x14ac:dyDescent="0.25">
      <c r="A524" t="s">
        <v>2572</v>
      </c>
      <c r="B524">
        <f>COUNTIF(Лист2!H:H,A524)+COUNTIF(Лист2!I:I,A524)</f>
        <v>1</v>
      </c>
      <c r="C524">
        <v>1</v>
      </c>
    </row>
    <row r="525" spans="1:3" x14ac:dyDescent="0.25">
      <c r="A525" t="s">
        <v>2573</v>
      </c>
      <c r="B525">
        <f>COUNTIF(Лист2!H:H,A525)+COUNTIF(Лист2!I:I,A525)</f>
        <v>1</v>
      </c>
      <c r="C525">
        <v>1</v>
      </c>
    </row>
    <row r="526" spans="1:3" x14ac:dyDescent="0.25">
      <c r="A526" t="s">
        <v>2575</v>
      </c>
      <c r="B526">
        <f>COUNTIF(Лист2!H:H,A526)+COUNTIF(Лист2!I:I,A526)</f>
        <v>1</v>
      </c>
      <c r="C526">
        <v>1</v>
      </c>
    </row>
    <row r="527" spans="1:3" x14ac:dyDescent="0.25">
      <c r="A527" t="s">
        <v>2576</v>
      </c>
      <c r="B527">
        <f>COUNTIF(Лист2!H:H,A527)+COUNTIF(Лист2!I:I,A527)</f>
        <v>1</v>
      </c>
      <c r="C527">
        <v>1</v>
      </c>
    </row>
    <row r="528" spans="1:3" x14ac:dyDescent="0.25">
      <c r="A528" t="s">
        <v>2577</v>
      </c>
      <c r="B528">
        <f>COUNTIF(Лист2!H:H,A528)+COUNTIF(Лист2!I:I,A528)</f>
        <v>1</v>
      </c>
      <c r="C528">
        <v>1</v>
      </c>
    </row>
    <row r="529" spans="1:3" x14ac:dyDescent="0.25">
      <c r="A529" t="s">
        <v>2578</v>
      </c>
      <c r="B529">
        <f>COUNTIF(Лист2!H:H,A529)+COUNTIF(Лист2!I:I,A529)</f>
        <v>1</v>
      </c>
      <c r="C529">
        <v>1</v>
      </c>
    </row>
    <row r="530" spans="1:3" x14ac:dyDescent="0.25">
      <c r="A530" t="s">
        <v>2579</v>
      </c>
      <c r="B530">
        <f>COUNTIF(Лист2!H:H,A530)+COUNTIF(Лист2!I:I,A530)</f>
        <v>1</v>
      </c>
      <c r="C530">
        <v>1</v>
      </c>
    </row>
    <row r="531" spans="1:3" x14ac:dyDescent="0.25">
      <c r="A531" t="s">
        <v>2580</v>
      </c>
      <c r="B531">
        <f>COUNTIF(Лист2!H:H,A531)+COUNTIF(Лист2!I:I,A531)</f>
        <v>1</v>
      </c>
      <c r="C531">
        <v>1</v>
      </c>
    </row>
    <row r="532" spans="1:3" x14ac:dyDescent="0.25">
      <c r="A532" t="s">
        <v>2581</v>
      </c>
      <c r="B532">
        <f>COUNTIF(Лист2!H:H,A532)+COUNTIF(Лист2!I:I,A532)</f>
        <v>1</v>
      </c>
      <c r="C532">
        <v>1</v>
      </c>
    </row>
    <row r="533" spans="1:3" x14ac:dyDescent="0.25">
      <c r="A533" t="s">
        <v>2582</v>
      </c>
      <c r="B533">
        <f>COUNTIF(Лист2!H:H,A533)+COUNTIF(Лист2!I:I,A533)</f>
        <v>1</v>
      </c>
      <c r="C533">
        <v>1</v>
      </c>
    </row>
    <row r="534" spans="1:3" x14ac:dyDescent="0.25">
      <c r="A534" t="s">
        <v>2583</v>
      </c>
      <c r="B534">
        <f>COUNTIF(Лист2!H:H,A534)+COUNTIF(Лист2!I:I,A534)</f>
        <v>1</v>
      </c>
      <c r="C534">
        <v>1</v>
      </c>
    </row>
    <row r="535" spans="1:3" x14ac:dyDescent="0.25">
      <c r="A535" t="s">
        <v>2584</v>
      </c>
      <c r="B535">
        <f>COUNTIF(Лист2!H:H,A535)+COUNTIF(Лист2!I:I,A535)</f>
        <v>1</v>
      </c>
      <c r="C535">
        <v>1</v>
      </c>
    </row>
    <row r="536" spans="1:3" x14ac:dyDescent="0.25">
      <c r="A536" t="s">
        <v>2378</v>
      </c>
      <c r="B536">
        <f>COUNTIF(Лист2!H:H,A536)+COUNTIF(Лист2!I:I,A536)</f>
        <v>1</v>
      </c>
      <c r="C536">
        <v>1</v>
      </c>
    </row>
    <row r="537" spans="1:3" x14ac:dyDescent="0.25">
      <c r="A537" t="s">
        <v>2587</v>
      </c>
      <c r="B537">
        <f>COUNTIF(Лист2!H:H,A537)+COUNTIF(Лист2!I:I,A537)</f>
        <v>1</v>
      </c>
      <c r="C537">
        <v>1</v>
      </c>
    </row>
    <row r="538" spans="1:3" x14ac:dyDescent="0.25">
      <c r="A538" t="s">
        <v>2588</v>
      </c>
      <c r="B538">
        <f>COUNTIF(Лист2!H:H,A538)+COUNTIF(Лист2!I:I,A538)</f>
        <v>1</v>
      </c>
      <c r="C538">
        <v>1</v>
      </c>
    </row>
    <row r="539" spans="1:3" x14ac:dyDescent="0.25">
      <c r="A539" t="s">
        <v>2589</v>
      </c>
      <c r="B539">
        <f>COUNTIF(Лист2!H:H,A539)+COUNTIF(Лист2!I:I,A539)</f>
        <v>1</v>
      </c>
      <c r="C539">
        <v>1</v>
      </c>
    </row>
    <row r="540" spans="1:3" x14ac:dyDescent="0.25">
      <c r="A540" t="s">
        <v>2590</v>
      </c>
      <c r="B540">
        <f>COUNTIF(Лист2!H:H,A540)+COUNTIF(Лист2!I:I,A540)</f>
        <v>1</v>
      </c>
      <c r="C540">
        <v>1</v>
      </c>
    </row>
    <row r="541" spans="1:3" x14ac:dyDescent="0.25">
      <c r="A541" t="s">
        <v>2591</v>
      </c>
      <c r="B541">
        <f>COUNTIF(Лист2!H:H,A541)+COUNTIF(Лист2!I:I,A541)</f>
        <v>1</v>
      </c>
      <c r="C541">
        <v>1</v>
      </c>
    </row>
    <row r="542" spans="1:3" x14ac:dyDescent="0.25">
      <c r="A542" t="s">
        <v>2592</v>
      </c>
      <c r="B542">
        <f>COUNTIF(Лист2!H:H,A542)+COUNTIF(Лист2!I:I,A542)</f>
        <v>1</v>
      </c>
      <c r="C542">
        <v>1</v>
      </c>
    </row>
    <row r="543" spans="1:3" x14ac:dyDescent="0.25">
      <c r="A543" t="s">
        <v>2112</v>
      </c>
      <c r="B543">
        <f>COUNTIF(Лист2!H:H,A543)+COUNTIF(Лист2!I:I,A543)</f>
        <v>1</v>
      </c>
      <c r="C543">
        <v>1</v>
      </c>
    </row>
    <row r="544" spans="1:3" x14ac:dyDescent="0.25">
      <c r="A544" t="s">
        <v>2593</v>
      </c>
      <c r="B544">
        <f>COUNTIF(Лист2!H:H,A544)+COUNTIF(Лист2!I:I,A544)</f>
        <v>1</v>
      </c>
      <c r="C544">
        <v>1</v>
      </c>
    </row>
    <row r="545" spans="1:3" x14ac:dyDescent="0.25">
      <c r="A545" t="s">
        <v>2594</v>
      </c>
      <c r="B545">
        <f>COUNTIF(Лист2!H:H,A545)+COUNTIF(Лист2!I:I,A545)</f>
        <v>1</v>
      </c>
      <c r="C545">
        <v>1</v>
      </c>
    </row>
    <row r="546" spans="1:3" x14ac:dyDescent="0.25">
      <c r="A546" t="s">
        <v>2595</v>
      </c>
      <c r="B546">
        <f>COUNTIF(Лист2!H:H,A546)+COUNTIF(Лист2!I:I,A546)</f>
        <v>1</v>
      </c>
      <c r="C546">
        <v>1</v>
      </c>
    </row>
    <row r="547" spans="1:3" x14ac:dyDescent="0.25">
      <c r="A547" t="s">
        <v>2596</v>
      </c>
      <c r="B547">
        <f>COUNTIF(Лист2!H:H,A547)+COUNTIF(Лист2!I:I,A547)</f>
        <v>1</v>
      </c>
      <c r="C547">
        <v>1</v>
      </c>
    </row>
    <row r="548" spans="1:3" x14ac:dyDescent="0.25">
      <c r="A548" t="s">
        <v>2597</v>
      </c>
      <c r="B548">
        <f>COUNTIF(Лист2!H:H,A548)+COUNTIF(Лист2!I:I,A548)</f>
        <v>1</v>
      </c>
      <c r="C548">
        <v>1</v>
      </c>
    </row>
    <row r="549" spans="1:3" x14ac:dyDescent="0.25">
      <c r="A549" t="s">
        <v>2599</v>
      </c>
      <c r="B549">
        <f>COUNTIF(Лист2!H:H,A549)+COUNTIF(Лист2!I:I,A549)</f>
        <v>1</v>
      </c>
      <c r="C549">
        <v>1</v>
      </c>
    </row>
    <row r="550" spans="1:3" x14ac:dyDescent="0.25">
      <c r="A550" t="s">
        <v>2600</v>
      </c>
      <c r="B550">
        <f>COUNTIF(Лист2!H:H,A550)+COUNTIF(Лист2!I:I,A550)</f>
        <v>1</v>
      </c>
      <c r="C550">
        <v>1</v>
      </c>
    </row>
    <row r="551" spans="1:3" x14ac:dyDescent="0.25">
      <c r="A551" t="s">
        <v>2601</v>
      </c>
      <c r="B551">
        <f>COUNTIF(Лист2!H:H,A551)+COUNTIF(Лист2!I:I,A551)</f>
        <v>1</v>
      </c>
      <c r="C551">
        <v>1</v>
      </c>
    </row>
    <row r="552" spans="1:3" x14ac:dyDescent="0.25">
      <c r="A552" t="s">
        <v>2602</v>
      </c>
      <c r="B552">
        <f>COUNTIF(Лист2!H:H,A552)+COUNTIF(Лист2!I:I,A552)</f>
        <v>1</v>
      </c>
      <c r="C552">
        <v>1</v>
      </c>
    </row>
    <row r="553" spans="1:3" x14ac:dyDescent="0.25">
      <c r="A553" t="s">
        <v>2603</v>
      </c>
      <c r="B553">
        <f>COUNTIF(Лист2!H:H,A553)+COUNTIF(Лист2!I:I,A553)</f>
        <v>1</v>
      </c>
      <c r="C553">
        <v>1</v>
      </c>
    </row>
    <row r="554" spans="1:3" x14ac:dyDescent="0.25">
      <c r="A554" t="s">
        <v>2605</v>
      </c>
      <c r="B554">
        <f>COUNTIF(Лист2!H:H,A554)+COUNTIF(Лист2!I:I,A554)</f>
        <v>1</v>
      </c>
      <c r="C554">
        <v>1</v>
      </c>
    </row>
    <row r="555" spans="1:3" x14ac:dyDescent="0.25">
      <c r="A555" t="s">
        <v>2607</v>
      </c>
      <c r="B555">
        <f>COUNTIF(Лист2!H:H,A555)+COUNTIF(Лист2!I:I,A555)</f>
        <v>1</v>
      </c>
      <c r="C555">
        <v>1</v>
      </c>
    </row>
    <row r="556" spans="1:3" x14ac:dyDescent="0.25">
      <c r="A556" t="s">
        <v>2608</v>
      </c>
      <c r="B556">
        <f>COUNTIF(Лист2!H:H,A556)+COUNTIF(Лист2!I:I,A556)</f>
        <v>1</v>
      </c>
      <c r="C556">
        <v>1</v>
      </c>
    </row>
    <row r="557" spans="1:3" x14ac:dyDescent="0.25">
      <c r="A557" t="s">
        <v>2609</v>
      </c>
      <c r="B557">
        <f>COUNTIF(Лист2!H:H,A557)+COUNTIF(Лист2!I:I,A557)</f>
        <v>1</v>
      </c>
      <c r="C557">
        <v>1</v>
      </c>
    </row>
    <row r="558" spans="1:3" x14ac:dyDescent="0.25">
      <c r="A558" t="s">
        <v>2610</v>
      </c>
      <c r="B558">
        <f>COUNTIF(Лист2!H:H,A558)+COUNTIF(Лист2!I:I,A558)</f>
        <v>1</v>
      </c>
      <c r="C558">
        <v>1</v>
      </c>
    </row>
    <row r="559" spans="1:3" x14ac:dyDescent="0.25">
      <c r="A559" t="s">
        <v>2612</v>
      </c>
      <c r="B559">
        <f>COUNTIF(Лист2!H:H,A559)+COUNTIF(Лист2!I:I,A559)</f>
        <v>1</v>
      </c>
      <c r="C559">
        <v>1</v>
      </c>
    </row>
    <row r="560" spans="1:3" x14ac:dyDescent="0.25">
      <c r="A560" t="s">
        <v>2613</v>
      </c>
      <c r="B560">
        <f>COUNTIF(Лист2!H:H,A560)+COUNTIF(Лист2!I:I,A560)</f>
        <v>1</v>
      </c>
      <c r="C560">
        <v>1</v>
      </c>
    </row>
    <row r="561" spans="1:3" x14ac:dyDescent="0.25">
      <c r="A561" t="s">
        <v>2614</v>
      </c>
      <c r="B561">
        <f>COUNTIF(Лист2!H:H,A561)+COUNTIF(Лист2!I:I,A561)</f>
        <v>1</v>
      </c>
      <c r="C561">
        <v>1</v>
      </c>
    </row>
    <row r="562" spans="1:3" x14ac:dyDescent="0.25">
      <c r="A562" t="s">
        <v>2615</v>
      </c>
      <c r="B562">
        <f>COUNTIF(Лист2!H:H,A562)+COUNTIF(Лист2!I:I,A562)</f>
        <v>1</v>
      </c>
      <c r="C562">
        <v>1</v>
      </c>
    </row>
    <row r="563" spans="1:3" x14ac:dyDescent="0.25">
      <c r="A563" t="s">
        <v>2616</v>
      </c>
      <c r="B563">
        <f>COUNTIF(Лист2!H:H,A563)+COUNTIF(Лист2!I:I,A563)</f>
        <v>1</v>
      </c>
      <c r="C563">
        <v>1</v>
      </c>
    </row>
    <row r="564" spans="1:3" x14ac:dyDescent="0.25">
      <c r="A564" t="s">
        <v>2379</v>
      </c>
      <c r="B564">
        <f>COUNTIF(Лист2!H:H,A564)+COUNTIF(Лист2!I:I,A564)</f>
        <v>1</v>
      </c>
      <c r="C564">
        <v>1</v>
      </c>
    </row>
    <row r="565" spans="1:3" x14ac:dyDescent="0.25">
      <c r="A565" t="s">
        <v>2618</v>
      </c>
      <c r="B565">
        <f>COUNTIF(Лист2!H:H,A565)+COUNTIF(Лист2!I:I,A565)</f>
        <v>1</v>
      </c>
      <c r="C565">
        <v>1</v>
      </c>
    </row>
    <row r="566" spans="1:3" x14ac:dyDescent="0.25">
      <c r="A566" t="s">
        <v>2619</v>
      </c>
      <c r="B566">
        <f>COUNTIF(Лист2!H:H,A566)+COUNTIF(Лист2!I:I,A566)</f>
        <v>1</v>
      </c>
      <c r="C566">
        <v>1</v>
      </c>
    </row>
    <row r="567" spans="1:3" x14ac:dyDescent="0.25">
      <c r="A567" t="s">
        <v>2380</v>
      </c>
      <c r="B567">
        <f>COUNTIF(Лист2!H:H,A567)+COUNTIF(Лист2!I:I,A567)</f>
        <v>1</v>
      </c>
      <c r="C567">
        <v>1</v>
      </c>
    </row>
    <row r="568" spans="1:3" x14ac:dyDescent="0.25">
      <c r="A568" t="s">
        <v>2621</v>
      </c>
      <c r="B568">
        <f>COUNTIF(Лист2!H:H,A568)+COUNTIF(Лист2!I:I,A568)</f>
        <v>1</v>
      </c>
      <c r="C568">
        <v>1</v>
      </c>
    </row>
    <row r="569" spans="1:3" x14ac:dyDescent="0.25">
      <c r="A569" t="s">
        <v>2622</v>
      </c>
      <c r="B569">
        <f>COUNTIF(Лист2!H:H,A569)+COUNTIF(Лист2!I:I,A569)</f>
        <v>1</v>
      </c>
      <c r="C569">
        <v>1</v>
      </c>
    </row>
    <row r="570" spans="1:3" x14ac:dyDescent="0.25">
      <c r="A570" t="s">
        <v>2623</v>
      </c>
      <c r="B570">
        <f>COUNTIF(Лист2!H:H,A570)+COUNTIF(Лист2!I:I,A570)</f>
        <v>1</v>
      </c>
      <c r="C570">
        <v>1</v>
      </c>
    </row>
    <row r="571" spans="1:3" x14ac:dyDescent="0.25">
      <c r="A571" t="s">
        <v>2624</v>
      </c>
      <c r="B571">
        <f>COUNTIF(Лист2!H:H,A571)+COUNTIF(Лист2!I:I,A571)</f>
        <v>1</v>
      </c>
      <c r="C571">
        <v>1</v>
      </c>
    </row>
    <row r="572" spans="1:3" x14ac:dyDescent="0.25">
      <c r="A572" t="s">
        <v>2626</v>
      </c>
      <c r="B572">
        <f>COUNTIF(Лист2!H:H,A572)+COUNTIF(Лист2!I:I,A572)</f>
        <v>1</v>
      </c>
      <c r="C572">
        <v>1</v>
      </c>
    </row>
    <row r="573" spans="1:3" x14ac:dyDescent="0.25">
      <c r="A573" t="s">
        <v>2627</v>
      </c>
      <c r="B573">
        <f>COUNTIF(Лист2!H:H,A573)+COUNTIF(Лист2!I:I,A573)</f>
        <v>1</v>
      </c>
      <c r="C573">
        <v>1</v>
      </c>
    </row>
    <row r="574" spans="1:3" x14ac:dyDescent="0.25">
      <c r="A574" t="s">
        <v>2381</v>
      </c>
      <c r="B574">
        <f>COUNTIF(Лист2!H:H,A574)+COUNTIF(Лист2!I:I,A574)</f>
        <v>1</v>
      </c>
      <c r="C574">
        <v>1</v>
      </c>
    </row>
    <row r="575" spans="1:3" x14ac:dyDescent="0.25">
      <c r="A575" t="s">
        <v>2628</v>
      </c>
      <c r="B575">
        <f>COUNTIF(Лист2!H:H,A575)+COUNTIF(Лист2!I:I,A575)</f>
        <v>1</v>
      </c>
      <c r="C575">
        <v>1</v>
      </c>
    </row>
    <row r="576" spans="1:3" x14ac:dyDescent="0.25">
      <c r="A576" t="s">
        <v>2629</v>
      </c>
      <c r="B576">
        <f>COUNTIF(Лист2!H:H,A576)+COUNTIF(Лист2!I:I,A576)</f>
        <v>1</v>
      </c>
      <c r="C576">
        <v>1</v>
      </c>
    </row>
    <row r="577" spans="1:3" x14ac:dyDescent="0.25">
      <c r="A577" t="s">
        <v>2630</v>
      </c>
      <c r="B577">
        <f>COUNTIF(Лист2!H:H,A577)+COUNTIF(Лист2!I:I,A577)</f>
        <v>1</v>
      </c>
      <c r="C577">
        <v>1</v>
      </c>
    </row>
    <row r="578" spans="1:3" x14ac:dyDescent="0.25">
      <c r="A578" t="s">
        <v>2631</v>
      </c>
      <c r="B578">
        <f>COUNTIF(Лист2!H:H,A578)+COUNTIF(Лист2!I:I,A578)</f>
        <v>1</v>
      </c>
      <c r="C578">
        <v>1</v>
      </c>
    </row>
    <row r="579" spans="1:3" x14ac:dyDescent="0.25">
      <c r="A579" t="s">
        <v>2632</v>
      </c>
      <c r="B579">
        <f>COUNTIF(Лист2!H:H,A579)+COUNTIF(Лист2!I:I,A579)</f>
        <v>1</v>
      </c>
      <c r="C579">
        <v>1</v>
      </c>
    </row>
    <row r="580" spans="1:3" x14ac:dyDescent="0.25">
      <c r="A580" t="s">
        <v>2633</v>
      </c>
      <c r="B580">
        <f>COUNTIF(Лист2!H:H,A580)+COUNTIF(Лист2!I:I,A580)</f>
        <v>1</v>
      </c>
      <c r="C580">
        <v>1</v>
      </c>
    </row>
    <row r="581" spans="1:3" x14ac:dyDescent="0.25">
      <c r="A581" t="s">
        <v>2382</v>
      </c>
      <c r="B581">
        <f>COUNTIF(Лист2!H:H,A581)+COUNTIF(Лист2!I:I,A581)</f>
        <v>1</v>
      </c>
      <c r="C581">
        <v>1</v>
      </c>
    </row>
    <row r="582" spans="1:3" x14ac:dyDescent="0.25">
      <c r="A582" t="s">
        <v>2634</v>
      </c>
      <c r="B582">
        <f>COUNTIF(Лист2!H:H,A582)+COUNTIF(Лист2!I:I,A582)</f>
        <v>1</v>
      </c>
      <c r="C582">
        <v>1</v>
      </c>
    </row>
    <row r="583" spans="1:3" x14ac:dyDescent="0.25">
      <c r="A583" t="s">
        <v>2635</v>
      </c>
      <c r="B583">
        <f>COUNTIF(Лист2!H:H,A583)+COUNTIF(Лист2!I:I,A583)</f>
        <v>1</v>
      </c>
      <c r="C583">
        <v>1</v>
      </c>
    </row>
    <row r="584" spans="1:3" x14ac:dyDescent="0.25">
      <c r="A584" t="s">
        <v>2637</v>
      </c>
      <c r="B584">
        <f>COUNTIF(Лист2!H:H,A584)+COUNTIF(Лист2!I:I,A584)</f>
        <v>1</v>
      </c>
      <c r="C584">
        <v>1</v>
      </c>
    </row>
    <row r="585" spans="1:3" x14ac:dyDescent="0.25">
      <c r="A585" t="s">
        <v>2383</v>
      </c>
      <c r="B585">
        <f>COUNTIF(Лист2!H:H,A585)+COUNTIF(Лист2!I:I,A585)</f>
        <v>1</v>
      </c>
      <c r="C585">
        <v>1</v>
      </c>
    </row>
    <row r="586" spans="1:3" x14ac:dyDescent="0.25">
      <c r="A586" t="s">
        <v>2639</v>
      </c>
      <c r="B586">
        <f>COUNTIF(Лист2!H:H,A586)+COUNTIF(Лист2!I:I,A586)</f>
        <v>1</v>
      </c>
      <c r="C586">
        <v>1</v>
      </c>
    </row>
    <row r="587" spans="1:3" x14ac:dyDescent="0.25">
      <c r="A587" t="s">
        <v>2640</v>
      </c>
      <c r="B587">
        <f>COUNTIF(Лист2!H:H,A587)+COUNTIF(Лист2!I:I,A587)</f>
        <v>0</v>
      </c>
      <c r="C587">
        <v>1</v>
      </c>
    </row>
    <row r="588" spans="1:3" x14ac:dyDescent="0.25">
      <c r="A588" t="s">
        <v>2641</v>
      </c>
      <c r="B588">
        <f>COUNTIF(Лист2!H:H,A588)+COUNTIF(Лист2!I:I,A588)</f>
        <v>1</v>
      </c>
      <c r="C588">
        <v>1</v>
      </c>
    </row>
    <row r="589" spans="1:3" x14ac:dyDescent="0.25">
      <c r="A589" t="s">
        <v>2642</v>
      </c>
      <c r="B589">
        <f>COUNTIF(Лист2!H:H,A589)+COUNTIF(Лист2!I:I,A589)</f>
        <v>1</v>
      </c>
      <c r="C589">
        <v>1</v>
      </c>
    </row>
    <row r="590" spans="1:3" x14ac:dyDescent="0.25">
      <c r="A590" t="s">
        <v>2644</v>
      </c>
      <c r="B590">
        <f>COUNTIF(Лист2!H:H,A590)+COUNTIF(Лист2!I:I,A590)</f>
        <v>1</v>
      </c>
      <c r="C590">
        <v>1</v>
      </c>
    </row>
    <row r="591" spans="1:3" x14ac:dyDescent="0.25">
      <c r="A591" t="s">
        <v>2384</v>
      </c>
      <c r="B591">
        <f>COUNTIF(Лист2!H:H,A591)+COUNTIF(Лист2!I:I,A591)</f>
        <v>1</v>
      </c>
      <c r="C591">
        <v>1</v>
      </c>
    </row>
    <row r="592" spans="1:3" x14ac:dyDescent="0.25">
      <c r="A592" t="s">
        <v>2647</v>
      </c>
      <c r="B592">
        <f>COUNTIF(Лист2!H:H,A592)+COUNTIF(Лист2!I:I,A592)</f>
        <v>1</v>
      </c>
      <c r="C592">
        <v>1</v>
      </c>
    </row>
    <row r="593" spans="1:3" x14ac:dyDescent="0.25">
      <c r="A593" t="s">
        <v>2385</v>
      </c>
      <c r="B593">
        <f>COUNTIF(Лист2!H:H,A593)+COUNTIF(Лист2!I:I,A593)</f>
        <v>1</v>
      </c>
      <c r="C593">
        <v>1</v>
      </c>
    </row>
    <row r="594" spans="1:3" x14ac:dyDescent="0.25">
      <c r="A594" t="s">
        <v>2648</v>
      </c>
      <c r="B594">
        <f>COUNTIF(Лист2!H:H,A594)+COUNTIF(Лист2!I:I,A594)</f>
        <v>1</v>
      </c>
      <c r="C594">
        <v>1</v>
      </c>
    </row>
    <row r="595" spans="1:3" x14ac:dyDescent="0.25">
      <c r="A595" t="s">
        <v>2649</v>
      </c>
      <c r="B595">
        <f>COUNTIF(Лист2!H:H,A595)+COUNTIF(Лист2!I:I,A595)</f>
        <v>1</v>
      </c>
      <c r="C595">
        <v>1</v>
      </c>
    </row>
    <row r="596" spans="1:3" x14ac:dyDescent="0.25">
      <c r="A596" t="s">
        <v>2650</v>
      </c>
      <c r="B596">
        <f>COUNTIF(Лист2!H:H,A596)+COUNTIF(Лист2!I:I,A596)</f>
        <v>1</v>
      </c>
      <c r="C596">
        <v>1</v>
      </c>
    </row>
    <row r="597" spans="1:3" x14ac:dyDescent="0.25">
      <c r="A597" t="s">
        <v>2651</v>
      </c>
      <c r="B597">
        <f>COUNTIF(Лист2!H:H,A597)+COUNTIF(Лист2!I:I,A597)</f>
        <v>1</v>
      </c>
      <c r="C597">
        <v>1</v>
      </c>
    </row>
    <row r="598" spans="1:3" x14ac:dyDescent="0.25">
      <c r="A598" t="s">
        <v>2652</v>
      </c>
      <c r="B598">
        <f>COUNTIF(Лист2!H:H,A598)+COUNTIF(Лист2!I:I,A598)</f>
        <v>0</v>
      </c>
      <c r="C598">
        <v>1</v>
      </c>
    </row>
    <row r="599" spans="1:3" x14ac:dyDescent="0.25">
      <c r="A599" t="s">
        <v>2653</v>
      </c>
      <c r="B599">
        <f>COUNTIF(Лист2!H:H,A599)+COUNTIF(Лист2!I:I,A599)</f>
        <v>1</v>
      </c>
      <c r="C599">
        <v>1</v>
      </c>
    </row>
    <row r="600" spans="1:3" x14ac:dyDescent="0.25">
      <c r="A600" t="s">
        <v>2654</v>
      </c>
      <c r="B600">
        <f>COUNTIF(Лист2!H:H,A600)+COUNTIF(Лист2!I:I,A600)</f>
        <v>1</v>
      </c>
      <c r="C600">
        <v>1</v>
      </c>
    </row>
    <row r="601" spans="1:3" x14ac:dyDescent="0.25">
      <c r="A601" t="s">
        <v>2655</v>
      </c>
      <c r="B601">
        <f>COUNTIF(Лист2!H:H,A601)+COUNTIF(Лист2!I:I,A601)</f>
        <v>1</v>
      </c>
      <c r="C601">
        <v>1</v>
      </c>
    </row>
    <row r="602" spans="1:3" x14ac:dyDescent="0.25">
      <c r="A602" t="s">
        <v>2656</v>
      </c>
      <c r="B602">
        <f>COUNTIF(Лист2!H:H,A602)+COUNTIF(Лист2!I:I,A602)</f>
        <v>1</v>
      </c>
      <c r="C602">
        <v>1</v>
      </c>
    </row>
    <row r="603" spans="1:3" x14ac:dyDescent="0.25">
      <c r="A603" t="s">
        <v>2386</v>
      </c>
      <c r="B603">
        <f>COUNTIF(Лист2!H:H,A603)+COUNTIF(Лист2!I:I,A603)</f>
        <v>1</v>
      </c>
      <c r="C603">
        <v>1</v>
      </c>
    </row>
    <row r="604" spans="1:3" x14ac:dyDescent="0.25">
      <c r="A604" t="s">
        <v>2657</v>
      </c>
      <c r="B604">
        <f>COUNTIF(Лист2!H:H,A604)+COUNTIF(Лист2!I:I,A604)</f>
        <v>1</v>
      </c>
      <c r="C604">
        <v>1</v>
      </c>
    </row>
    <row r="605" spans="1:3" x14ac:dyDescent="0.25">
      <c r="A605" t="s">
        <v>2658</v>
      </c>
      <c r="B605">
        <f>COUNTIF(Лист2!H:H,A605)+COUNTIF(Лист2!I:I,A605)</f>
        <v>1</v>
      </c>
      <c r="C605">
        <v>1</v>
      </c>
    </row>
    <row r="606" spans="1:3" x14ac:dyDescent="0.25">
      <c r="A606" t="s">
        <v>2659</v>
      </c>
      <c r="B606">
        <f>COUNTIF(Лист2!H:H,A606)+COUNTIF(Лист2!I:I,A606)</f>
        <v>1</v>
      </c>
      <c r="C606">
        <v>1</v>
      </c>
    </row>
    <row r="607" spans="1:3" x14ac:dyDescent="0.25">
      <c r="A607" t="s">
        <v>2660</v>
      </c>
      <c r="B607">
        <f>COUNTIF(Лист2!H:H,A607)+COUNTIF(Лист2!I:I,A607)</f>
        <v>1</v>
      </c>
      <c r="C607">
        <v>1</v>
      </c>
    </row>
    <row r="608" spans="1:3" x14ac:dyDescent="0.25">
      <c r="A608" t="s">
        <v>2661</v>
      </c>
      <c r="B608">
        <f>COUNTIF(Лист2!H:H,A608)+COUNTIF(Лист2!I:I,A608)</f>
        <v>1</v>
      </c>
      <c r="C608">
        <v>1</v>
      </c>
    </row>
    <row r="609" spans="1:3" x14ac:dyDescent="0.25">
      <c r="A609" t="s">
        <v>2662</v>
      </c>
      <c r="B609">
        <f>COUNTIF(Лист2!H:H,A609)+COUNTIF(Лист2!I:I,A609)</f>
        <v>1</v>
      </c>
      <c r="C609">
        <v>1</v>
      </c>
    </row>
    <row r="610" spans="1:3" x14ac:dyDescent="0.25">
      <c r="A610" t="s">
        <v>2387</v>
      </c>
      <c r="B610">
        <f>COUNTIF(Лист2!H:H,A610)+COUNTIF(Лист2!I:I,A610)</f>
        <v>1</v>
      </c>
      <c r="C610">
        <v>1</v>
      </c>
    </row>
    <row r="611" spans="1:3" x14ac:dyDescent="0.25">
      <c r="A611" t="s">
        <v>2663</v>
      </c>
      <c r="B611">
        <f>COUNTIF(Лист2!H:H,A611)+COUNTIF(Лист2!I:I,A611)</f>
        <v>1</v>
      </c>
      <c r="C611">
        <v>1</v>
      </c>
    </row>
    <row r="612" spans="1:3" x14ac:dyDescent="0.25">
      <c r="A612" t="s">
        <v>2665</v>
      </c>
      <c r="B612">
        <f>COUNTIF(Лист2!H:H,A612)+COUNTIF(Лист2!I:I,A612)</f>
        <v>1</v>
      </c>
      <c r="C612">
        <v>1</v>
      </c>
    </row>
    <row r="613" spans="1:3" x14ac:dyDescent="0.25">
      <c r="A613" t="s">
        <v>2666</v>
      </c>
      <c r="B613">
        <f>COUNTIF(Лист2!H:H,A613)+COUNTIF(Лист2!I:I,A613)</f>
        <v>1</v>
      </c>
      <c r="C613">
        <v>1</v>
      </c>
    </row>
    <row r="614" spans="1:3" x14ac:dyDescent="0.25">
      <c r="A614" t="s">
        <v>2667</v>
      </c>
      <c r="B614">
        <f>COUNTIF(Лист2!H:H,A614)+COUNTIF(Лист2!I:I,A614)</f>
        <v>1</v>
      </c>
      <c r="C614">
        <v>1</v>
      </c>
    </row>
    <row r="615" spans="1:3" x14ac:dyDescent="0.25">
      <c r="A615" t="s">
        <v>2668</v>
      </c>
      <c r="B615">
        <f>COUNTIF(Лист2!H:H,A615)+COUNTIF(Лист2!I:I,A615)</f>
        <v>1</v>
      </c>
      <c r="C615">
        <v>1</v>
      </c>
    </row>
    <row r="616" spans="1:3" x14ac:dyDescent="0.25">
      <c r="A616" t="s">
        <v>2669</v>
      </c>
      <c r="B616">
        <f>COUNTIF(Лист2!H:H,A616)+COUNTIF(Лист2!I:I,A616)</f>
        <v>1</v>
      </c>
      <c r="C616">
        <v>1</v>
      </c>
    </row>
    <row r="617" spans="1:3" x14ac:dyDescent="0.25">
      <c r="A617" t="s">
        <v>2671</v>
      </c>
      <c r="B617">
        <f>COUNTIF(Лист2!H:H,A617)+COUNTIF(Лист2!I:I,A617)</f>
        <v>1</v>
      </c>
      <c r="C617">
        <v>1</v>
      </c>
    </row>
    <row r="618" spans="1:3" x14ac:dyDescent="0.25">
      <c r="A618" t="s">
        <v>2672</v>
      </c>
      <c r="B618">
        <f>COUNTIF(Лист2!H:H,A618)+COUNTIF(Лист2!I:I,A618)</f>
        <v>1</v>
      </c>
      <c r="C618">
        <v>1</v>
      </c>
    </row>
    <row r="619" spans="1:3" x14ac:dyDescent="0.25">
      <c r="A619" t="s">
        <v>2673</v>
      </c>
      <c r="B619">
        <f>COUNTIF(Лист2!H:H,A619)+COUNTIF(Лист2!I:I,A619)</f>
        <v>1</v>
      </c>
      <c r="C619">
        <v>1</v>
      </c>
    </row>
    <row r="620" spans="1:3" x14ac:dyDescent="0.25">
      <c r="A620" t="s">
        <v>2674</v>
      </c>
      <c r="B620">
        <f>COUNTIF(Лист2!H:H,A620)+COUNTIF(Лист2!I:I,A620)</f>
        <v>1</v>
      </c>
      <c r="C620">
        <v>1</v>
      </c>
    </row>
    <row r="621" spans="1:3" x14ac:dyDescent="0.25">
      <c r="A621" t="s">
        <v>2675</v>
      </c>
      <c r="B621">
        <f>COUNTIF(Лист2!H:H,A621)+COUNTIF(Лист2!I:I,A621)</f>
        <v>1</v>
      </c>
      <c r="C621">
        <v>1</v>
      </c>
    </row>
    <row r="622" spans="1:3" x14ac:dyDescent="0.25">
      <c r="A622" t="s">
        <v>2676</v>
      </c>
      <c r="B622">
        <f>COUNTIF(Лист2!H:H,A622)+COUNTIF(Лист2!I:I,A622)</f>
        <v>1</v>
      </c>
      <c r="C622">
        <v>1</v>
      </c>
    </row>
    <row r="623" spans="1:3" x14ac:dyDescent="0.25">
      <c r="A623" t="s">
        <v>2388</v>
      </c>
      <c r="B623">
        <f>COUNTIF(Лист2!H:H,A623)+COUNTIF(Лист2!I:I,A623)</f>
        <v>1</v>
      </c>
      <c r="C623">
        <v>1</v>
      </c>
    </row>
    <row r="624" spans="1:3" x14ac:dyDescent="0.25">
      <c r="A624" t="s">
        <v>2677</v>
      </c>
      <c r="B624">
        <f>COUNTIF(Лист2!H:H,A624)+COUNTIF(Лист2!I:I,A624)</f>
        <v>1</v>
      </c>
      <c r="C624">
        <v>1</v>
      </c>
    </row>
    <row r="625" spans="1:3" x14ac:dyDescent="0.25">
      <c r="A625" t="s">
        <v>2678</v>
      </c>
      <c r="B625">
        <f>COUNTIF(Лист2!H:H,A625)+COUNTIF(Лист2!I:I,A625)</f>
        <v>1</v>
      </c>
      <c r="C625">
        <v>1</v>
      </c>
    </row>
    <row r="626" spans="1:3" x14ac:dyDescent="0.25">
      <c r="A626" t="s">
        <v>2679</v>
      </c>
      <c r="B626">
        <f>COUNTIF(Лист2!H:H,A626)+COUNTIF(Лист2!I:I,A626)</f>
        <v>1</v>
      </c>
      <c r="C626">
        <v>1</v>
      </c>
    </row>
    <row r="627" spans="1:3" x14ac:dyDescent="0.25">
      <c r="A627" t="s">
        <v>2680</v>
      </c>
      <c r="B627">
        <f>COUNTIF(Лист2!H:H,A627)+COUNTIF(Лист2!I:I,A627)</f>
        <v>1</v>
      </c>
      <c r="C627">
        <v>1</v>
      </c>
    </row>
    <row r="628" spans="1:3" x14ac:dyDescent="0.25">
      <c r="A628" t="s">
        <v>2390</v>
      </c>
      <c r="B628">
        <f>COUNTIF(Лист2!H:H,A628)+COUNTIF(Лист2!I:I,A628)</f>
        <v>1</v>
      </c>
      <c r="C628">
        <v>1</v>
      </c>
    </row>
    <row r="629" spans="1:3" x14ac:dyDescent="0.25">
      <c r="A629" t="s">
        <v>2681</v>
      </c>
      <c r="B629">
        <f>COUNTIF(Лист2!H:H,A629)+COUNTIF(Лист2!I:I,A629)</f>
        <v>1</v>
      </c>
      <c r="C629">
        <v>1</v>
      </c>
    </row>
    <row r="630" spans="1:3" x14ac:dyDescent="0.25">
      <c r="A630" t="s">
        <v>2682</v>
      </c>
      <c r="B630">
        <f>COUNTIF(Лист2!H:H,A630)+COUNTIF(Лист2!I:I,A630)</f>
        <v>1</v>
      </c>
      <c r="C630">
        <v>1</v>
      </c>
    </row>
    <row r="631" spans="1:3" x14ac:dyDescent="0.25">
      <c r="A631" t="s">
        <v>2684</v>
      </c>
      <c r="B631">
        <f>COUNTIF(Лист2!H:H,A631)+COUNTIF(Лист2!I:I,A631)</f>
        <v>1</v>
      </c>
      <c r="C631">
        <v>1</v>
      </c>
    </row>
    <row r="632" spans="1:3" x14ac:dyDescent="0.25">
      <c r="A632" t="s">
        <v>2686</v>
      </c>
      <c r="B632">
        <f>COUNTIF(Лист2!H:H,A632)+COUNTIF(Лист2!I:I,A632)</f>
        <v>1</v>
      </c>
      <c r="C632">
        <v>1</v>
      </c>
    </row>
    <row r="633" spans="1:3" x14ac:dyDescent="0.25">
      <c r="A633" t="s">
        <v>2687</v>
      </c>
      <c r="B633">
        <f>COUNTIF(Лист2!H:H,A633)+COUNTIF(Лист2!I:I,A633)</f>
        <v>1</v>
      </c>
      <c r="C633">
        <v>1</v>
      </c>
    </row>
    <row r="634" spans="1:3" x14ac:dyDescent="0.25">
      <c r="A634" t="s">
        <v>2688</v>
      </c>
      <c r="B634">
        <f>COUNTIF(Лист2!H:H,A634)+COUNTIF(Лист2!I:I,A634)</f>
        <v>1</v>
      </c>
      <c r="C634">
        <v>1</v>
      </c>
    </row>
    <row r="635" spans="1:3" x14ac:dyDescent="0.25">
      <c r="A635" t="s">
        <v>2689</v>
      </c>
      <c r="B635">
        <f>COUNTIF(Лист2!H:H,A635)+COUNTIF(Лист2!I:I,A635)</f>
        <v>1</v>
      </c>
      <c r="C635">
        <v>1</v>
      </c>
    </row>
    <row r="636" spans="1:3" x14ac:dyDescent="0.25">
      <c r="A636" t="s">
        <v>2691</v>
      </c>
      <c r="B636">
        <f>COUNTIF(Лист2!H:H,A636)+COUNTIF(Лист2!I:I,A636)</f>
        <v>1</v>
      </c>
      <c r="C636">
        <v>1</v>
      </c>
    </row>
    <row r="637" spans="1:3" x14ac:dyDescent="0.25">
      <c r="A637" t="s">
        <v>2391</v>
      </c>
      <c r="B637">
        <f>COUNTIF(Лист2!H:H,A637)+COUNTIF(Лист2!I:I,A637)</f>
        <v>1</v>
      </c>
      <c r="C637">
        <v>1</v>
      </c>
    </row>
    <row r="638" spans="1:3" x14ac:dyDescent="0.25">
      <c r="A638" t="s">
        <v>2392</v>
      </c>
      <c r="B638">
        <f>COUNTIF(Лист2!H:H,A638)+COUNTIF(Лист2!I:I,A638)</f>
        <v>1</v>
      </c>
      <c r="C638">
        <v>1</v>
      </c>
    </row>
    <row r="639" spans="1:3" x14ac:dyDescent="0.25">
      <c r="A639" t="s">
        <v>2693</v>
      </c>
      <c r="B639">
        <f>COUNTIF(Лист2!H:H,A639)+COUNTIF(Лист2!I:I,A639)</f>
        <v>1</v>
      </c>
      <c r="C639">
        <v>1</v>
      </c>
    </row>
    <row r="640" spans="1:3" x14ac:dyDescent="0.25">
      <c r="A640" t="s">
        <v>2694</v>
      </c>
      <c r="B640">
        <f>COUNTIF(Лист2!H:H,A640)+COUNTIF(Лист2!I:I,A640)</f>
        <v>1</v>
      </c>
      <c r="C640">
        <v>1</v>
      </c>
    </row>
    <row r="641" spans="1:3" x14ac:dyDescent="0.25">
      <c r="A641" t="s">
        <v>2695</v>
      </c>
      <c r="B641">
        <f>COUNTIF(Лист2!H:H,A641)+COUNTIF(Лист2!I:I,A641)</f>
        <v>1</v>
      </c>
      <c r="C641">
        <v>1</v>
      </c>
    </row>
    <row r="642" spans="1:3" x14ac:dyDescent="0.25">
      <c r="A642" t="s">
        <v>2697</v>
      </c>
      <c r="B642">
        <f>COUNTIF(Лист2!H:H,A642)+COUNTIF(Лист2!I:I,A642)</f>
        <v>1</v>
      </c>
      <c r="C642">
        <v>1</v>
      </c>
    </row>
    <row r="643" spans="1:3" x14ac:dyDescent="0.25">
      <c r="A643" t="s">
        <v>2698</v>
      </c>
      <c r="B643">
        <f>COUNTIF(Лист2!H:H,A643)+COUNTIF(Лист2!I:I,A643)</f>
        <v>1</v>
      </c>
      <c r="C643">
        <v>1</v>
      </c>
    </row>
    <row r="644" spans="1:3" x14ac:dyDescent="0.25">
      <c r="A644" t="s">
        <v>2700</v>
      </c>
      <c r="B644">
        <f>COUNTIF(Лист2!H:H,A644)+COUNTIF(Лист2!I:I,A644)</f>
        <v>1</v>
      </c>
      <c r="C644">
        <v>1</v>
      </c>
    </row>
    <row r="645" spans="1:3" x14ac:dyDescent="0.25">
      <c r="A645" t="s">
        <v>2701</v>
      </c>
      <c r="B645">
        <f>COUNTIF(Лист2!H:H,A645)+COUNTIF(Лист2!I:I,A645)</f>
        <v>1</v>
      </c>
      <c r="C645">
        <v>1</v>
      </c>
    </row>
    <row r="646" spans="1:3" x14ac:dyDescent="0.25">
      <c r="A646" t="s">
        <v>2702</v>
      </c>
      <c r="B646">
        <f>COUNTIF(Лист2!H:H,A646)+COUNTIF(Лист2!I:I,A646)</f>
        <v>1</v>
      </c>
      <c r="C646">
        <v>1</v>
      </c>
    </row>
    <row r="647" spans="1:3" x14ac:dyDescent="0.25">
      <c r="A647" t="s">
        <v>2703</v>
      </c>
      <c r="B647">
        <f>COUNTIF(Лист2!H:H,A647)+COUNTIF(Лист2!I:I,A647)</f>
        <v>1</v>
      </c>
      <c r="C647">
        <v>1</v>
      </c>
    </row>
    <row r="648" spans="1:3" x14ac:dyDescent="0.25">
      <c r="A648" t="s">
        <v>2704</v>
      </c>
      <c r="B648">
        <f>COUNTIF(Лист2!H:H,A648)+COUNTIF(Лист2!I:I,A648)</f>
        <v>1</v>
      </c>
      <c r="C648">
        <v>1</v>
      </c>
    </row>
    <row r="649" spans="1:3" x14ac:dyDescent="0.25">
      <c r="A649" t="s">
        <v>2705</v>
      </c>
      <c r="B649">
        <f>COUNTIF(Лист2!H:H,A649)+COUNTIF(Лист2!I:I,A649)</f>
        <v>1</v>
      </c>
      <c r="C649">
        <v>1</v>
      </c>
    </row>
    <row r="650" spans="1:3" x14ac:dyDescent="0.25">
      <c r="A650" t="s">
        <v>2393</v>
      </c>
      <c r="B650">
        <f>COUNTIF(Лист2!H:H,A650)+COUNTIF(Лист2!I:I,A650)</f>
        <v>1</v>
      </c>
      <c r="C650">
        <v>1</v>
      </c>
    </row>
    <row r="651" spans="1:3" x14ac:dyDescent="0.25">
      <c r="A651" t="s">
        <v>2708</v>
      </c>
      <c r="B651">
        <f>COUNTIF(Лист2!H:H,A651)+COUNTIF(Лист2!I:I,A651)</f>
        <v>1</v>
      </c>
      <c r="C651">
        <v>1</v>
      </c>
    </row>
    <row r="652" spans="1:3" x14ac:dyDescent="0.25">
      <c r="A652" t="s">
        <v>2710</v>
      </c>
      <c r="B652">
        <f>COUNTIF(Лист2!H:H,A652)+COUNTIF(Лист2!I:I,A652)</f>
        <v>1</v>
      </c>
      <c r="C652">
        <v>1</v>
      </c>
    </row>
    <row r="653" spans="1:3" x14ac:dyDescent="0.25">
      <c r="A653" t="s">
        <v>2711</v>
      </c>
      <c r="B653">
        <f>COUNTIF(Лист2!H:H,A653)+COUNTIF(Лист2!I:I,A653)</f>
        <v>1</v>
      </c>
      <c r="C653">
        <v>1</v>
      </c>
    </row>
    <row r="654" spans="1:3" x14ac:dyDescent="0.25">
      <c r="A654" t="s">
        <v>2716</v>
      </c>
      <c r="B654">
        <f>COUNTIF(Лист2!H:H,A654)+COUNTIF(Лист2!I:I,A654)</f>
        <v>1</v>
      </c>
      <c r="C654">
        <v>1</v>
      </c>
    </row>
    <row r="655" spans="1:3" x14ac:dyDescent="0.25">
      <c r="A655" t="s">
        <v>2717</v>
      </c>
      <c r="B655">
        <f>COUNTIF(Лист2!H:H,A655)+COUNTIF(Лист2!I:I,A655)</f>
        <v>1</v>
      </c>
      <c r="C655">
        <v>1</v>
      </c>
    </row>
    <row r="656" spans="1:3" x14ac:dyDescent="0.25">
      <c r="A656" t="s">
        <v>2394</v>
      </c>
      <c r="B656">
        <f>COUNTIF(Лист2!H:H,A656)+COUNTIF(Лист2!I:I,A656)</f>
        <v>1</v>
      </c>
      <c r="C656">
        <v>1</v>
      </c>
    </row>
    <row r="657" spans="1:3" x14ac:dyDescent="0.25">
      <c r="A657" t="s">
        <v>2720</v>
      </c>
      <c r="B657">
        <f>COUNTIF(Лист2!H:H,A657)+COUNTIF(Лист2!I:I,A657)</f>
        <v>0</v>
      </c>
      <c r="C657">
        <v>1</v>
      </c>
    </row>
    <row r="658" spans="1:3" x14ac:dyDescent="0.25">
      <c r="A658" t="s">
        <v>2395</v>
      </c>
      <c r="B658">
        <f>COUNTIF(Лист2!H:H,A658)+COUNTIF(Лист2!I:I,A658)</f>
        <v>1</v>
      </c>
      <c r="C658">
        <v>1</v>
      </c>
    </row>
    <row r="659" spans="1:3" x14ac:dyDescent="0.25">
      <c r="A659" t="s">
        <v>2721</v>
      </c>
      <c r="B659">
        <f>COUNTIF(Лист2!H:H,A659)+COUNTIF(Лист2!I:I,A659)</f>
        <v>1</v>
      </c>
      <c r="C659">
        <v>1</v>
      </c>
    </row>
    <row r="660" spans="1:3" x14ac:dyDescent="0.25">
      <c r="A660" t="s">
        <v>2723</v>
      </c>
      <c r="B660">
        <f>COUNTIF(Лист2!H:H,A660)+COUNTIF(Лист2!I:I,A660)</f>
        <v>1</v>
      </c>
      <c r="C660">
        <v>1</v>
      </c>
    </row>
    <row r="661" spans="1:3" x14ac:dyDescent="0.25">
      <c r="A661" t="s">
        <v>2397</v>
      </c>
      <c r="B661">
        <f>COUNTIF(Лист2!H:H,A661)+COUNTIF(Лист2!I:I,A661)</f>
        <v>1</v>
      </c>
      <c r="C661">
        <v>1</v>
      </c>
    </row>
    <row r="662" spans="1:3" x14ac:dyDescent="0.25">
      <c r="A662" t="s">
        <v>2724</v>
      </c>
      <c r="B662">
        <f>COUNTIF(Лист2!H:H,A662)+COUNTIF(Лист2!I:I,A662)</f>
        <v>1</v>
      </c>
      <c r="C662">
        <v>1</v>
      </c>
    </row>
    <row r="663" spans="1:3" x14ac:dyDescent="0.25">
      <c r="A663" t="s">
        <v>2725</v>
      </c>
      <c r="B663">
        <f>COUNTIF(Лист2!H:H,A663)+COUNTIF(Лист2!I:I,A663)</f>
        <v>1</v>
      </c>
      <c r="C663">
        <v>1</v>
      </c>
    </row>
    <row r="664" spans="1:3" x14ac:dyDescent="0.25">
      <c r="A664" t="s">
        <v>2726</v>
      </c>
      <c r="B664">
        <f>COUNTIF(Лист2!H:H,A664)+COUNTIF(Лист2!I:I,A664)</f>
        <v>1</v>
      </c>
      <c r="C664">
        <v>1</v>
      </c>
    </row>
    <row r="665" spans="1:3" x14ac:dyDescent="0.25">
      <c r="A665" t="s">
        <v>2727</v>
      </c>
      <c r="B665">
        <f>COUNTIF(Лист2!H:H,A665)+COUNTIF(Лист2!I:I,A665)</f>
        <v>1</v>
      </c>
      <c r="C665">
        <v>1</v>
      </c>
    </row>
    <row r="666" spans="1:3" x14ac:dyDescent="0.25">
      <c r="A666" t="s">
        <v>2728</v>
      </c>
      <c r="B666">
        <f>COUNTIF(Лист2!H:H,A666)+COUNTIF(Лист2!I:I,A666)</f>
        <v>1</v>
      </c>
      <c r="C666">
        <v>1</v>
      </c>
    </row>
    <row r="667" spans="1:3" x14ac:dyDescent="0.25">
      <c r="A667" t="s">
        <v>2729</v>
      </c>
      <c r="B667">
        <f>COUNTIF(Лист2!H:H,A667)+COUNTIF(Лист2!I:I,A667)</f>
        <v>1</v>
      </c>
      <c r="C667">
        <v>1</v>
      </c>
    </row>
    <row r="668" spans="1:3" x14ac:dyDescent="0.25">
      <c r="A668" t="s">
        <v>2730</v>
      </c>
      <c r="B668">
        <f>COUNTIF(Лист2!H:H,A668)+COUNTIF(Лист2!I:I,A668)</f>
        <v>1</v>
      </c>
      <c r="C668">
        <v>1</v>
      </c>
    </row>
    <row r="669" spans="1:3" x14ac:dyDescent="0.25">
      <c r="A669" t="s">
        <v>2731</v>
      </c>
      <c r="B669">
        <f>COUNTIF(Лист2!H:H,A669)+COUNTIF(Лист2!I:I,A669)</f>
        <v>1</v>
      </c>
      <c r="C669">
        <v>1</v>
      </c>
    </row>
    <row r="670" spans="1:3" x14ac:dyDescent="0.25">
      <c r="A670" t="s">
        <v>2732</v>
      </c>
      <c r="B670">
        <f>COUNTIF(Лист2!H:H,A670)+COUNTIF(Лист2!I:I,A670)</f>
        <v>1</v>
      </c>
      <c r="C670">
        <v>1</v>
      </c>
    </row>
    <row r="671" spans="1:3" x14ac:dyDescent="0.25">
      <c r="A671" t="s">
        <v>2733</v>
      </c>
      <c r="B671">
        <f>COUNTIF(Лист2!H:H,A671)+COUNTIF(Лист2!I:I,A671)</f>
        <v>1</v>
      </c>
      <c r="C671">
        <v>1</v>
      </c>
    </row>
    <row r="672" spans="1:3" x14ac:dyDescent="0.25">
      <c r="A672" t="s">
        <v>2735</v>
      </c>
      <c r="B672">
        <f>COUNTIF(Лист2!H:H,A672)+COUNTIF(Лист2!I:I,A672)</f>
        <v>1</v>
      </c>
      <c r="C672">
        <v>1</v>
      </c>
    </row>
    <row r="673" spans="1:3" x14ac:dyDescent="0.25">
      <c r="A673" t="s">
        <v>2736</v>
      </c>
      <c r="B673">
        <f>COUNTIF(Лист2!H:H,A673)+COUNTIF(Лист2!I:I,A673)</f>
        <v>1</v>
      </c>
      <c r="C673">
        <v>1</v>
      </c>
    </row>
    <row r="674" spans="1:3" x14ac:dyDescent="0.25">
      <c r="A674" t="s">
        <v>2737</v>
      </c>
      <c r="B674">
        <f>COUNTIF(Лист2!H:H,A674)+COUNTIF(Лист2!I:I,A674)</f>
        <v>1</v>
      </c>
      <c r="C674">
        <v>1</v>
      </c>
    </row>
    <row r="675" spans="1:3" x14ac:dyDescent="0.25">
      <c r="A675" t="s">
        <v>2740</v>
      </c>
      <c r="B675">
        <f>COUNTIF(Лист2!H:H,A675)+COUNTIF(Лист2!I:I,A675)</f>
        <v>1</v>
      </c>
      <c r="C675">
        <v>1</v>
      </c>
    </row>
    <row r="676" spans="1:3" x14ac:dyDescent="0.25">
      <c r="A676" t="s">
        <v>2739</v>
      </c>
      <c r="B676">
        <f>COUNTIF(Лист2!H:H,A676)+COUNTIF(Лист2!I:I,A676)</f>
        <v>1</v>
      </c>
      <c r="C676">
        <v>1</v>
      </c>
    </row>
    <row r="677" spans="1:3" x14ac:dyDescent="0.25">
      <c r="A677" t="s">
        <v>2741</v>
      </c>
      <c r="B677">
        <f>COUNTIF(Лист2!H:H,A677)+COUNTIF(Лист2!I:I,A677)</f>
        <v>1</v>
      </c>
      <c r="C677">
        <v>1</v>
      </c>
    </row>
    <row r="678" spans="1:3" x14ac:dyDescent="0.25">
      <c r="A678" t="s">
        <v>2742</v>
      </c>
      <c r="B678">
        <f>COUNTIF(Лист2!H:H,A678)+COUNTIF(Лист2!I:I,A678)</f>
        <v>1</v>
      </c>
      <c r="C678">
        <v>1</v>
      </c>
    </row>
    <row r="679" spans="1:3" x14ac:dyDescent="0.25">
      <c r="A679" t="s">
        <v>2743</v>
      </c>
      <c r="B679">
        <f>COUNTIF(Лист2!H:H,A679)+COUNTIF(Лист2!I:I,A679)</f>
        <v>1</v>
      </c>
      <c r="C679">
        <v>1</v>
      </c>
    </row>
    <row r="680" spans="1:3" x14ac:dyDescent="0.25">
      <c r="A680" t="s">
        <v>2744</v>
      </c>
      <c r="B680">
        <f>COUNTIF(Лист2!H:H,A680)+COUNTIF(Лист2!I:I,A680)</f>
        <v>1</v>
      </c>
      <c r="C680">
        <v>1</v>
      </c>
    </row>
    <row r="681" spans="1:3" x14ac:dyDescent="0.25">
      <c r="A681" t="s">
        <v>2745</v>
      </c>
      <c r="B681">
        <f>COUNTIF(Лист2!H:H,A681)+COUNTIF(Лист2!I:I,A681)</f>
        <v>1</v>
      </c>
      <c r="C681">
        <v>1</v>
      </c>
    </row>
    <row r="682" spans="1:3" x14ac:dyDescent="0.25">
      <c r="A682" t="s">
        <v>2746</v>
      </c>
      <c r="B682">
        <f>COUNTIF(Лист2!H:H,A682)+COUNTIF(Лист2!I:I,A682)</f>
        <v>1</v>
      </c>
      <c r="C682">
        <v>1</v>
      </c>
    </row>
    <row r="683" spans="1:3" x14ac:dyDescent="0.25">
      <c r="A683" t="s">
        <v>2747</v>
      </c>
      <c r="B683">
        <f>COUNTIF(Лист2!H:H,A683)+COUNTIF(Лист2!I:I,A683)</f>
        <v>1</v>
      </c>
      <c r="C683">
        <v>1</v>
      </c>
    </row>
    <row r="684" spans="1:3" x14ac:dyDescent="0.25">
      <c r="A684" t="s">
        <v>2748</v>
      </c>
      <c r="B684">
        <f>COUNTIF(Лист2!H:H,A684)+COUNTIF(Лист2!I:I,A684)</f>
        <v>1</v>
      </c>
      <c r="C684">
        <v>1</v>
      </c>
    </row>
    <row r="685" spans="1:3" x14ac:dyDescent="0.25">
      <c r="A685" t="s">
        <v>2749</v>
      </c>
      <c r="B685">
        <f>COUNTIF(Лист2!H:H,A685)+COUNTIF(Лист2!I:I,A685)</f>
        <v>1</v>
      </c>
      <c r="C685">
        <v>1</v>
      </c>
    </row>
    <row r="686" spans="1:3" x14ac:dyDescent="0.25">
      <c r="A686" t="s">
        <v>2750</v>
      </c>
      <c r="B686">
        <f>COUNTIF(Лист2!H:H,A686)+COUNTIF(Лист2!I:I,A686)</f>
        <v>1</v>
      </c>
      <c r="C686">
        <v>1</v>
      </c>
    </row>
    <row r="687" spans="1:3" x14ac:dyDescent="0.25">
      <c r="A687" t="s">
        <v>2751</v>
      </c>
      <c r="B687">
        <f>COUNTIF(Лист2!H:H,A687)+COUNTIF(Лист2!I:I,A687)</f>
        <v>1</v>
      </c>
      <c r="C687">
        <v>1</v>
      </c>
    </row>
    <row r="688" spans="1:3" x14ac:dyDescent="0.25">
      <c r="A688" t="s">
        <v>2752</v>
      </c>
      <c r="B688">
        <f>COUNTIF(Лист2!H:H,A688)+COUNTIF(Лист2!I:I,A688)</f>
        <v>1</v>
      </c>
      <c r="C688">
        <v>1</v>
      </c>
    </row>
    <row r="689" spans="1:3" x14ac:dyDescent="0.25">
      <c r="A689" t="s">
        <v>2753</v>
      </c>
      <c r="B689">
        <f>COUNTIF(Лист2!H:H,A689)+COUNTIF(Лист2!I:I,A689)</f>
        <v>1</v>
      </c>
      <c r="C689">
        <v>1</v>
      </c>
    </row>
    <row r="690" spans="1:3" x14ac:dyDescent="0.25">
      <c r="A690" t="s">
        <v>2402</v>
      </c>
      <c r="B690">
        <f>COUNTIF(Лист2!H:H,A690)+COUNTIF(Лист2!I:I,A690)</f>
        <v>1</v>
      </c>
      <c r="C690">
        <v>1</v>
      </c>
    </row>
    <row r="691" spans="1:3" x14ac:dyDescent="0.25">
      <c r="A691" t="s">
        <v>2754</v>
      </c>
      <c r="B691">
        <f>COUNTIF(Лист2!H:H,A691)+COUNTIF(Лист2!I:I,A691)</f>
        <v>1</v>
      </c>
      <c r="C691">
        <v>1</v>
      </c>
    </row>
    <row r="692" spans="1:3" x14ac:dyDescent="0.25">
      <c r="A692" t="s">
        <v>2755</v>
      </c>
      <c r="B692">
        <f>COUNTIF(Лист2!H:H,A692)+COUNTIF(Лист2!I:I,A692)</f>
        <v>1</v>
      </c>
      <c r="C692">
        <v>1</v>
      </c>
    </row>
    <row r="693" spans="1:3" x14ac:dyDescent="0.25">
      <c r="A693" t="s">
        <v>2756</v>
      </c>
      <c r="B693">
        <f>COUNTIF(Лист2!H:H,A693)+COUNTIF(Лист2!I:I,A693)</f>
        <v>1</v>
      </c>
      <c r="C693">
        <v>1</v>
      </c>
    </row>
    <row r="694" spans="1:3" x14ac:dyDescent="0.25">
      <c r="A694" t="s">
        <v>2757</v>
      </c>
      <c r="B694">
        <f>COUNTIF(Лист2!H:H,A694)+COUNTIF(Лист2!I:I,A694)</f>
        <v>1</v>
      </c>
      <c r="C694">
        <v>1</v>
      </c>
    </row>
    <row r="695" spans="1:3" x14ac:dyDescent="0.25">
      <c r="A695" t="s">
        <v>2758</v>
      </c>
      <c r="B695">
        <f>COUNTIF(Лист2!H:H,A695)+COUNTIF(Лист2!I:I,A695)</f>
        <v>1</v>
      </c>
      <c r="C695">
        <v>1</v>
      </c>
    </row>
    <row r="696" spans="1:3" x14ac:dyDescent="0.25">
      <c r="A696" t="s">
        <v>2760</v>
      </c>
      <c r="B696">
        <f>COUNTIF(Лист2!H:H,A696)+COUNTIF(Лист2!I:I,A696)</f>
        <v>1</v>
      </c>
      <c r="C696">
        <v>1</v>
      </c>
    </row>
    <row r="697" spans="1:3" x14ac:dyDescent="0.25">
      <c r="A697" t="s">
        <v>2761</v>
      </c>
      <c r="B697">
        <f>COUNTIF(Лист2!H:H,A697)+COUNTIF(Лист2!I:I,A697)</f>
        <v>1</v>
      </c>
      <c r="C697">
        <v>1</v>
      </c>
    </row>
    <row r="698" spans="1:3" x14ac:dyDescent="0.25">
      <c r="A698" t="s">
        <v>2762</v>
      </c>
      <c r="B698">
        <f>COUNTIF(Лист2!H:H,A698)+COUNTIF(Лист2!I:I,A698)</f>
        <v>1</v>
      </c>
      <c r="C698">
        <v>1</v>
      </c>
    </row>
    <row r="699" spans="1:3" x14ac:dyDescent="0.25">
      <c r="A699" t="s">
        <v>2763</v>
      </c>
      <c r="B699">
        <f>COUNTIF(Лист2!H:H,A699)+COUNTIF(Лист2!I:I,A699)</f>
        <v>1</v>
      </c>
      <c r="C699">
        <v>1</v>
      </c>
    </row>
    <row r="700" spans="1:3" x14ac:dyDescent="0.25">
      <c r="A700" t="s">
        <v>2764</v>
      </c>
      <c r="B700">
        <f>COUNTIF(Лист2!H:H,A700)+COUNTIF(Лист2!I:I,A700)</f>
        <v>1</v>
      </c>
      <c r="C700">
        <v>1</v>
      </c>
    </row>
    <row r="701" spans="1:3" x14ac:dyDescent="0.25">
      <c r="A701" t="s">
        <v>2765</v>
      </c>
      <c r="B701">
        <f>COUNTIF(Лист2!H:H,A701)+COUNTIF(Лист2!I:I,A701)</f>
        <v>1</v>
      </c>
      <c r="C701">
        <v>1</v>
      </c>
    </row>
    <row r="702" spans="1:3" x14ac:dyDescent="0.25">
      <c r="A702" t="s">
        <v>2403</v>
      </c>
      <c r="B702">
        <f>COUNTIF(Лист2!H:H,A702)+COUNTIF(Лист2!I:I,A702)</f>
        <v>1</v>
      </c>
      <c r="C702">
        <v>1</v>
      </c>
    </row>
    <row r="703" spans="1:3" x14ac:dyDescent="0.25">
      <c r="A703" t="s">
        <v>2405</v>
      </c>
      <c r="B703">
        <f>COUNTIF(Лист2!H:H,A703)+COUNTIF(Лист2!I:I,A703)</f>
        <v>1</v>
      </c>
      <c r="C703">
        <v>1</v>
      </c>
    </row>
    <row r="704" spans="1:3" x14ac:dyDescent="0.25">
      <c r="A704" t="s">
        <v>2406</v>
      </c>
      <c r="B704">
        <f>COUNTIF(Лист2!H:H,A704)+COUNTIF(Лист2!I:I,A704)</f>
        <v>1</v>
      </c>
      <c r="C704">
        <v>1</v>
      </c>
    </row>
    <row r="705" spans="1:3" x14ac:dyDescent="0.25">
      <c r="A705" t="s">
        <v>2767</v>
      </c>
      <c r="B705">
        <f>COUNTIF(Лист2!H:H,A705)+COUNTIF(Лист2!I:I,A705)</f>
        <v>1</v>
      </c>
      <c r="C705">
        <v>1</v>
      </c>
    </row>
    <row r="706" spans="1:3" x14ac:dyDescent="0.25">
      <c r="A706" t="s">
        <v>2768</v>
      </c>
      <c r="B706">
        <f>COUNTIF(Лист2!H:H,A706)+COUNTIF(Лист2!I:I,A706)</f>
        <v>1</v>
      </c>
      <c r="C706">
        <v>1</v>
      </c>
    </row>
    <row r="707" spans="1:3" x14ac:dyDescent="0.25">
      <c r="A707" t="s">
        <v>2769</v>
      </c>
      <c r="B707">
        <f>COUNTIF(Лист2!H:H,A707)+COUNTIF(Лист2!I:I,A707)</f>
        <v>1</v>
      </c>
      <c r="C707">
        <v>1</v>
      </c>
    </row>
    <row r="708" spans="1:3" x14ac:dyDescent="0.25">
      <c r="A708" t="s">
        <v>2771</v>
      </c>
      <c r="B708">
        <f>COUNTIF(Лист2!H:H,A708)+COUNTIF(Лист2!I:I,A708)</f>
        <v>1</v>
      </c>
      <c r="C708">
        <v>1</v>
      </c>
    </row>
    <row r="709" spans="1:3" x14ac:dyDescent="0.25">
      <c r="A709" t="s">
        <v>2407</v>
      </c>
      <c r="B709">
        <f>COUNTIF(Лист2!H:H,A709)+COUNTIF(Лист2!I:I,A709)</f>
        <v>1</v>
      </c>
      <c r="C709">
        <v>1</v>
      </c>
    </row>
    <row r="710" spans="1:3" x14ac:dyDescent="0.25">
      <c r="A710" t="s">
        <v>2772</v>
      </c>
      <c r="B710">
        <f>COUNTIF(Лист2!H:H,A710)+COUNTIF(Лист2!I:I,A710)</f>
        <v>1</v>
      </c>
      <c r="C710">
        <v>1</v>
      </c>
    </row>
    <row r="711" spans="1:3" x14ac:dyDescent="0.25">
      <c r="A711" t="s">
        <v>2773</v>
      </c>
      <c r="B711">
        <f>COUNTIF(Лист2!H:H,A711)+COUNTIF(Лист2!I:I,A711)</f>
        <v>1</v>
      </c>
      <c r="C711">
        <v>1</v>
      </c>
    </row>
    <row r="712" spans="1:3" x14ac:dyDescent="0.25">
      <c r="A712" t="s">
        <v>2774</v>
      </c>
      <c r="B712">
        <f>COUNTIF(Лист2!H:H,A712)+COUNTIF(Лист2!I:I,A712)</f>
        <v>1</v>
      </c>
      <c r="C712">
        <v>1</v>
      </c>
    </row>
    <row r="713" spans="1:3" x14ac:dyDescent="0.25">
      <c r="A713" t="s">
        <v>2775</v>
      </c>
      <c r="B713">
        <f>COUNTIF(Лист2!H:H,A713)+COUNTIF(Лист2!I:I,A713)</f>
        <v>1</v>
      </c>
      <c r="C713">
        <v>1</v>
      </c>
    </row>
    <row r="714" spans="1:3" x14ac:dyDescent="0.25">
      <c r="A714" t="s">
        <v>2776</v>
      </c>
      <c r="B714">
        <f>COUNTIF(Лист2!H:H,A714)+COUNTIF(Лист2!I:I,A714)</f>
        <v>1</v>
      </c>
      <c r="C714">
        <v>1</v>
      </c>
    </row>
    <row r="715" spans="1:3" x14ac:dyDescent="0.25">
      <c r="A715" t="s">
        <v>2777</v>
      </c>
      <c r="B715">
        <f>COUNTIF(Лист2!H:H,A715)+COUNTIF(Лист2!I:I,A715)</f>
        <v>1</v>
      </c>
      <c r="C715">
        <v>1</v>
      </c>
    </row>
    <row r="716" spans="1:3" x14ac:dyDescent="0.25">
      <c r="A716" t="s">
        <v>2778</v>
      </c>
      <c r="B716">
        <f>COUNTIF(Лист2!H:H,A716)+COUNTIF(Лист2!I:I,A716)</f>
        <v>1</v>
      </c>
      <c r="C716">
        <v>1</v>
      </c>
    </row>
    <row r="717" spans="1:3" x14ac:dyDescent="0.25">
      <c r="A717" t="s">
        <v>2780</v>
      </c>
      <c r="B717">
        <f>COUNTIF(Лист2!H:H,A717)+COUNTIF(Лист2!I:I,A717)</f>
        <v>1</v>
      </c>
      <c r="C717">
        <v>1</v>
      </c>
    </row>
    <row r="718" spans="1:3" x14ac:dyDescent="0.25">
      <c r="A718" t="s">
        <v>2781</v>
      </c>
      <c r="B718">
        <f>COUNTIF(Лист2!H:H,A718)+COUNTIF(Лист2!I:I,A718)</f>
        <v>1</v>
      </c>
      <c r="C718">
        <v>1</v>
      </c>
    </row>
    <row r="719" spans="1:3" x14ac:dyDescent="0.25">
      <c r="A719" t="s">
        <v>2782</v>
      </c>
      <c r="B719">
        <f>COUNTIF(Лист2!H:H,A719)+COUNTIF(Лист2!I:I,A719)</f>
        <v>1</v>
      </c>
      <c r="C719">
        <v>1</v>
      </c>
    </row>
    <row r="720" spans="1:3" x14ac:dyDescent="0.25">
      <c r="A720" t="s">
        <v>2784</v>
      </c>
      <c r="B720">
        <f>COUNTIF(Лист2!H:H,A720)+COUNTIF(Лист2!I:I,A720)</f>
        <v>1</v>
      </c>
      <c r="C720">
        <v>1</v>
      </c>
    </row>
    <row r="721" spans="1:3" x14ac:dyDescent="0.25">
      <c r="A721" t="s">
        <v>2785</v>
      </c>
      <c r="B721">
        <f>COUNTIF(Лист2!H:H,A721)+COUNTIF(Лист2!I:I,A721)</f>
        <v>1</v>
      </c>
      <c r="C721">
        <v>1</v>
      </c>
    </row>
    <row r="722" spans="1:3" x14ac:dyDescent="0.25">
      <c r="A722" t="s">
        <v>2786</v>
      </c>
      <c r="B722">
        <f>COUNTIF(Лист2!H:H,A722)+COUNTIF(Лист2!I:I,A722)</f>
        <v>1</v>
      </c>
      <c r="C722">
        <v>1</v>
      </c>
    </row>
    <row r="723" spans="1:3" x14ac:dyDescent="0.25">
      <c r="A723" t="s">
        <v>2787</v>
      </c>
      <c r="B723">
        <f>COUNTIF(Лист2!H:H,A723)+COUNTIF(Лист2!I:I,A723)</f>
        <v>1</v>
      </c>
      <c r="C723">
        <v>1</v>
      </c>
    </row>
    <row r="724" spans="1:3" x14ac:dyDescent="0.25">
      <c r="A724" t="s">
        <v>2788</v>
      </c>
      <c r="B724">
        <f>COUNTIF(Лист2!H:H,A724)+COUNTIF(Лист2!I:I,A724)</f>
        <v>1</v>
      </c>
      <c r="C724">
        <v>1</v>
      </c>
    </row>
    <row r="725" spans="1:3" x14ac:dyDescent="0.25">
      <c r="A725" t="s">
        <v>2789</v>
      </c>
      <c r="B725">
        <f>COUNTIF(Лист2!H:H,A725)+COUNTIF(Лист2!I:I,A725)</f>
        <v>1</v>
      </c>
      <c r="C725">
        <v>1</v>
      </c>
    </row>
    <row r="726" spans="1:3" x14ac:dyDescent="0.25">
      <c r="A726" t="s">
        <v>2791</v>
      </c>
      <c r="B726">
        <f>COUNTIF(Лист2!H:H,A726)+COUNTIF(Лист2!I:I,A726)</f>
        <v>1</v>
      </c>
      <c r="C726">
        <v>1</v>
      </c>
    </row>
    <row r="727" spans="1:3" x14ac:dyDescent="0.25">
      <c r="A727" t="s">
        <v>2792</v>
      </c>
      <c r="B727">
        <f>COUNTIF(Лист2!H:H,A727)+COUNTIF(Лист2!I:I,A727)</f>
        <v>1</v>
      </c>
      <c r="C727">
        <v>1</v>
      </c>
    </row>
    <row r="728" spans="1:3" x14ac:dyDescent="0.25">
      <c r="A728" t="s">
        <v>2793</v>
      </c>
      <c r="B728">
        <f>COUNTIF(Лист2!H:H,A728)+COUNTIF(Лист2!I:I,A728)</f>
        <v>1</v>
      </c>
      <c r="C728">
        <v>1</v>
      </c>
    </row>
    <row r="729" spans="1:3" x14ac:dyDescent="0.25">
      <c r="A729" t="s">
        <v>2794</v>
      </c>
      <c r="B729">
        <f>COUNTIF(Лист2!H:H,A729)+COUNTIF(Лист2!I:I,A729)</f>
        <v>1</v>
      </c>
      <c r="C729">
        <v>1</v>
      </c>
    </row>
    <row r="730" spans="1:3" x14ac:dyDescent="0.25">
      <c r="A730" t="s">
        <v>2795</v>
      </c>
      <c r="B730">
        <f>COUNTIF(Лист2!H:H,A730)+COUNTIF(Лист2!I:I,A730)</f>
        <v>1</v>
      </c>
      <c r="C730">
        <v>1</v>
      </c>
    </row>
    <row r="731" spans="1:3" x14ac:dyDescent="0.25">
      <c r="A731" t="s">
        <v>2796</v>
      </c>
      <c r="B731">
        <f>COUNTIF(Лист2!H:H,A731)+COUNTIF(Лист2!I:I,A731)</f>
        <v>1</v>
      </c>
      <c r="C731">
        <v>1</v>
      </c>
    </row>
    <row r="732" spans="1:3" x14ac:dyDescent="0.25">
      <c r="A732" t="s">
        <v>2797</v>
      </c>
      <c r="B732">
        <f>COUNTIF(Лист2!H:H,A732)+COUNTIF(Лист2!I:I,A732)</f>
        <v>1</v>
      </c>
      <c r="C732">
        <v>1</v>
      </c>
    </row>
    <row r="733" spans="1:3" x14ac:dyDescent="0.25">
      <c r="A733" t="s">
        <v>2799</v>
      </c>
      <c r="B733">
        <f>COUNTIF(Лист2!H:H,A733)+COUNTIF(Лист2!I:I,A733)</f>
        <v>1</v>
      </c>
      <c r="C733">
        <v>1</v>
      </c>
    </row>
    <row r="734" spans="1:3" x14ac:dyDescent="0.25">
      <c r="A734" t="s">
        <v>2801</v>
      </c>
      <c r="B734">
        <f>COUNTIF(Лист2!H:H,A734)+COUNTIF(Лист2!I:I,A734)</f>
        <v>1</v>
      </c>
      <c r="C734">
        <v>1</v>
      </c>
    </row>
    <row r="735" spans="1:3" x14ac:dyDescent="0.25">
      <c r="A735" t="s">
        <v>2802</v>
      </c>
      <c r="B735">
        <f>COUNTIF(Лист2!H:H,A735)+COUNTIF(Лист2!I:I,A735)</f>
        <v>1</v>
      </c>
      <c r="C735">
        <v>1</v>
      </c>
    </row>
    <row r="736" spans="1:3" x14ac:dyDescent="0.25">
      <c r="A736" t="s">
        <v>2803</v>
      </c>
      <c r="B736">
        <f>COUNTIF(Лист2!H:H,A736)+COUNTIF(Лист2!I:I,A736)</f>
        <v>1</v>
      </c>
      <c r="C736">
        <v>1</v>
      </c>
    </row>
    <row r="737" spans="1:3" x14ac:dyDescent="0.25">
      <c r="A737" t="s">
        <v>2804</v>
      </c>
      <c r="B737">
        <f>COUNTIF(Лист2!H:H,A737)+COUNTIF(Лист2!I:I,A737)</f>
        <v>1</v>
      </c>
      <c r="C737">
        <v>1</v>
      </c>
    </row>
    <row r="738" spans="1:3" x14ac:dyDescent="0.25">
      <c r="A738" t="s">
        <v>2805</v>
      </c>
      <c r="B738">
        <f>COUNTIF(Лист2!H:H,A738)+COUNTIF(Лист2!I:I,A738)</f>
        <v>1</v>
      </c>
      <c r="C738">
        <v>1</v>
      </c>
    </row>
    <row r="739" spans="1:3" x14ac:dyDescent="0.25">
      <c r="A739" t="s">
        <v>2806</v>
      </c>
      <c r="B739">
        <f>COUNTIF(Лист2!H:H,A739)+COUNTIF(Лист2!I:I,A739)</f>
        <v>1</v>
      </c>
      <c r="C739">
        <v>1</v>
      </c>
    </row>
    <row r="740" spans="1:3" x14ac:dyDescent="0.25">
      <c r="A740" t="s">
        <v>2809</v>
      </c>
      <c r="B740">
        <f>COUNTIF(Лист2!H:H,A740)+COUNTIF(Лист2!I:I,A740)</f>
        <v>1</v>
      </c>
      <c r="C740">
        <v>1</v>
      </c>
    </row>
    <row r="741" spans="1:3" x14ac:dyDescent="0.25">
      <c r="A741" t="s">
        <v>2810</v>
      </c>
      <c r="B741">
        <f>COUNTIF(Лист2!H:H,A741)+COUNTIF(Лист2!I:I,A741)</f>
        <v>1</v>
      </c>
      <c r="C741">
        <v>1</v>
      </c>
    </row>
    <row r="742" spans="1:3" x14ac:dyDescent="0.25">
      <c r="A742" t="s">
        <v>2811</v>
      </c>
      <c r="B742">
        <f>COUNTIF(Лист2!H:H,A742)+COUNTIF(Лист2!I:I,A742)</f>
        <v>1</v>
      </c>
      <c r="C742">
        <v>1</v>
      </c>
    </row>
    <row r="743" spans="1:3" x14ac:dyDescent="0.25">
      <c r="A743" t="s">
        <v>2812</v>
      </c>
      <c r="B743">
        <f>COUNTIF(Лист2!H:H,A743)+COUNTIF(Лист2!I:I,A743)</f>
        <v>1</v>
      </c>
      <c r="C743">
        <v>1</v>
      </c>
    </row>
    <row r="744" spans="1:3" x14ac:dyDescent="0.25">
      <c r="A744" t="s">
        <v>2813</v>
      </c>
      <c r="B744">
        <f>COUNTIF(Лист2!H:H,A744)+COUNTIF(Лист2!I:I,A744)</f>
        <v>1</v>
      </c>
      <c r="C744">
        <v>1</v>
      </c>
    </row>
    <row r="745" spans="1:3" x14ac:dyDescent="0.25">
      <c r="A745" t="s">
        <v>2814</v>
      </c>
      <c r="B745">
        <f>COUNTIF(Лист2!H:H,A745)+COUNTIF(Лист2!I:I,A745)</f>
        <v>1</v>
      </c>
      <c r="C745">
        <v>1</v>
      </c>
    </row>
    <row r="746" spans="1:3" x14ac:dyDescent="0.25">
      <c r="A746" t="s">
        <v>2815</v>
      </c>
      <c r="B746">
        <f>COUNTIF(Лист2!H:H,A746)+COUNTIF(Лист2!I:I,A746)</f>
        <v>1</v>
      </c>
      <c r="C746">
        <v>1</v>
      </c>
    </row>
    <row r="747" spans="1:3" x14ac:dyDescent="0.25">
      <c r="A747" t="s">
        <v>2816</v>
      </c>
      <c r="B747">
        <f>COUNTIF(Лист2!H:H,A747)+COUNTIF(Лист2!I:I,A747)</f>
        <v>0</v>
      </c>
      <c r="C747">
        <v>1</v>
      </c>
    </row>
    <row r="748" spans="1:3" x14ac:dyDescent="0.25">
      <c r="A748" t="s">
        <v>2817</v>
      </c>
      <c r="B748">
        <f>COUNTIF(Лист2!H:H,A748)+COUNTIF(Лист2!I:I,A748)</f>
        <v>1</v>
      </c>
      <c r="C748">
        <v>1</v>
      </c>
    </row>
    <row r="749" spans="1:3" x14ac:dyDescent="0.25">
      <c r="A749" t="s">
        <v>2818</v>
      </c>
      <c r="B749">
        <f>COUNTIF(Лист2!H:H,A749)+COUNTIF(Лист2!I:I,A749)</f>
        <v>1</v>
      </c>
      <c r="C749">
        <v>1</v>
      </c>
    </row>
    <row r="750" spans="1:3" x14ac:dyDescent="0.25">
      <c r="A750" t="s">
        <v>2416</v>
      </c>
      <c r="B750">
        <f>COUNTIF(Лист2!H:H,A750)+COUNTIF(Лист2!I:I,A750)</f>
        <v>1</v>
      </c>
      <c r="C750">
        <v>1</v>
      </c>
    </row>
    <row r="751" spans="1:3" x14ac:dyDescent="0.25">
      <c r="A751" t="s">
        <v>2820</v>
      </c>
      <c r="B751">
        <f>COUNTIF(Лист2!H:H,A751)+COUNTIF(Лист2!I:I,A751)</f>
        <v>1</v>
      </c>
      <c r="C751">
        <v>1</v>
      </c>
    </row>
    <row r="752" spans="1:3" x14ac:dyDescent="0.25">
      <c r="A752" t="s">
        <v>2417</v>
      </c>
      <c r="B752">
        <f>COUNTIF(Лист2!H:H,A752)+COUNTIF(Лист2!I:I,A752)</f>
        <v>1</v>
      </c>
      <c r="C752">
        <v>1</v>
      </c>
    </row>
    <row r="753" spans="1:3" x14ac:dyDescent="0.25">
      <c r="A753" t="s">
        <v>2824</v>
      </c>
      <c r="B753">
        <f>COUNTIF(Лист2!H:H,A753)+COUNTIF(Лист2!I:I,A753)</f>
        <v>1</v>
      </c>
      <c r="C753">
        <v>1</v>
      </c>
    </row>
    <row r="754" spans="1:3" x14ac:dyDescent="0.25">
      <c r="A754" t="s">
        <v>2822</v>
      </c>
      <c r="B754">
        <f>COUNTIF(Лист2!H:H,A754)+COUNTIF(Лист2!I:I,A754)</f>
        <v>1</v>
      </c>
      <c r="C754">
        <v>1</v>
      </c>
    </row>
    <row r="755" spans="1:3" x14ac:dyDescent="0.25">
      <c r="A755" t="s">
        <v>2826</v>
      </c>
      <c r="B755">
        <f>COUNTIF(Лист2!H:H,A755)+COUNTIF(Лист2!I:I,A755)</f>
        <v>1</v>
      </c>
      <c r="C755">
        <v>1</v>
      </c>
    </row>
    <row r="756" spans="1:3" x14ac:dyDescent="0.25">
      <c r="A756" t="s">
        <v>2827</v>
      </c>
      <c r="B756">
        <f>COUNTIF(Лист2!H:H,A756)+COUNTIF(Лист2!I:I,A756)</f>
        <v>1</v>
      </c>
      <c r="C756">
        <v>1</v>
      </c>
    </row>
    <row r="757" spans="1:3" x14ac:dyDescent="0.25">
      <c r="A757" t="s">
        <v>2828</v>
      </c>
      <c r="B757">
        <f>COUNTIF(Лист2!H:H,A757)+COUNTIF(Лист2!I:I,A757)</f>
        <v>1</v>
      </c>
      <c r="C757">
        <v>1</v>
      </c>
    </row>
    <row r="758" spans="1:3" x14ac:dyDescent="0.25">
      <c r="A758" t="s">
        <v>2829</v>
      </c>
      <c r="B758">
        <f>COUNTIF(Лист2!H:H,A758)+COUNTIF(Лист2!I:I,A758)</f>
        <v>1</v>
      </c>
      <c r="C758">
        <v>1</v>
      </c>
    </row>
    <row r="759" spans="1:3" x14ac:dyDescent="0.25">
      <c r="A759" t="s">
        <v>2830</v>
      </c>
      <c r="B759">
        <f>COUNTIF(Лист2!H:H,A759)+COUNTIF(Лист2!I:I,A759)</f>
        <v>1</v>
      </c>
      <c r="C759">
        <v>1</v>
      </c>
    </row>
    <row r="760" spans="1:3" x14ac:dyDescent="0.25">
      <c r="A760" t="s">
        <v>2831</v>
      </c>
      <c r="B760">
        <f>COUNTIF(Лист2!H:H,A760)+COUNTIF(Лист2!I:I,A760)</f>
        <v>1</v>
      </c>
      <c r="C760">
        <v>1</v>
      </c>
    </row>
    <row r="761" spans="1:3" x14ac:dyDescent="0.25">
      <c r="A761" t="s">
        <v>2832</v>
      </c>
      <c r="B761">
        <f>COUNTIF(Лист2!H:H,A761)+COUNTIF(Лист2!I:I,A761)</f>
        <v>1</v>
      </c>
      <c r="C761">
        <v>1</v>
      </c>
    </row>
    <row r="762" spans="1:3" x14ac:dyDescent="0.25">
      <c r="A762" t="s">
        <v>2833</v>
      </c>
      <c r="B762">
        <f>COUNTIF(Лист2!H:H,A762)+COUNTIF(Лист2!I:I,A762)</f>
        <v>1</v>
      </c>
      <c r="C762">
        <v>1</v>
      </c>
    </row>
    <row r="763" spans="1:3" x14ac:dyDescent="0.25">
      <c r="A763" t="s">
        <v>2834</v>
      </c>
      <c r="B763">
        <f>COUNTIF(Лист2!H:H,A763)+COUNTIF(Лист2!I:I,A763)</f>
        <v>1</v>
      </c>
      <c r="C763">
        <v>1</v>
      </c>
    </row>
    <row r="764" spans="1:3" x14ac:dyDescent="0.25">
      <c r="A764" t="s">
        <v>2836</v>
      </c>
      <c r="B764">
        <f>COUNTIF(Лист2!H:H,A764)+COUNTIF(Лист2!I:I,A764)</f>
        <v>1</v>
      </c>
      <c r="C764">
        <v>1</v>
      </c>
    </row>
    <row r="765" spans="1:3" x14ac:dyDescent="0.25">
      <c r="A765" t="s">
        <v>2837</v>
      </c>
      <c r="B765">
        <f>COUNTIF(Лист2!H:H,A765)+COUNTIF(Лист2!I:I,A765)</f>
        <v>1</v>
      </c>
      <c r="C765">
        <v>1</v>
      </c>
    </row>
    <row r="766" spans="1:3" x14ac:dyDescent="0.25">
      <c r="A766" t="s">
        <v>2838</v>
      </c>
      <c r="B766">
        <f>COUNTIF(Лист2!H:H,A766)+COUNTIF(Лист2!I:I,A766)</f>
        <v>1</v>
      </c>
      <c r="C766">
        <v>1</v>
      </c>
    </row>
    <row r="767" spans="1:3" x14ac:dyDescent="0.25">
      <c r="A767" t="s">
        <v>2839</v>
      </c>
      <c r="B767">
        <f>COUNTIF(Лист2!H:H,A767)+COUNTIF(Лист2!I:I,A767)</f>
        <v>1</v>
      </c>
      <c r="C767">
        <v>1</v>
      </c>
    </row>
    <row r="768" spans="1:3" x14ac:dyDescent="0.25">
      <c r="A768" t="s">
        <v>2840</v>
      </c>
      <c r="B768">
        <f>COUNTIF(Лист2!H:H,A768)+COUNTIF(Лист2!I:I,A768)</f>
        <v>1</v>
      </c>
      <c r="C768">
        <v>1</v>
      </c>
    </row>
    <row r="769" spans="1:3" x14ac:dyDescent="0.25">
      <c r="A769" t="s">
        <v>2418</v>
      </c>
      <c r="B769">
        <f>COUNTIF(Лист2!H:H,A769)+COUNTIF(Лист2!I:I,A769)</f>
        <v>1</v>
      </c>
      <c r="C769">
        <v>1</v>
      </c>
    </row>
    <row r="770" spans="1:3" x14ac:dyDescent="0.25">
      <c r="A770" t="s">
        <v>2841</v>
      </c>
      <c r="B770">
        <f>COUNTIF(Лист2!H:H,A770)+COUNTIF(Лист2!I:I,A770)</f>
        <v>1</v>
      </c>
      <c r="C770">
        <v>1</v>
      </c>
    </row>
    <row r="771" spans="1:3" x14ac:dyDescent="0.25">
      <c r="A771" t="s">
        <v>2842</v>
      </c>
      <c r="B771">
        <f>COUNTIF(Лист2!H:H,A771)+COUNTIF(Лист2!I:I,A771)</f>
        <v>1</v>
      </c>
      <c r="C771">
        <v>1</v>
      </c>
    </row>
    <row r="772" spans="1:3" x14ac:dyDescent="0.25">
      <c r="A772" t="s">
        <v>2843</v>
      </c>
      <c r="B772">
        <f>COUNTIF(Лист2!H:H,A772)+COUNTIF(Лист2!I:I,A772)</f>
        <v>1</v>
      </c>
      <c r="C772">
        <v>1</v>
      </c>
    </row>
    <row r="773" spans="1:3" x14ac:dyDescent="0.25">
      <c r="A773" t="s">
        <v>2844</v>
      </c>
      <c r="B773">
        <f>COUNTIF(Лист2!H:H,A773)+COUNTIF(Лист2!I:I,A773)</f>
        <v>1</v>
      </c>
      <c r="C773">
        <v>1</v>
      </c>
    </row>
    <row r="774" spans="1:3" x14ac:dyDescent="0.25">
      <c r="A774" t="s">
        <v>2845</v>
      </c>
      <c r="B774">
        <f>COUNTIF(Лист2!H:H,A774)+COUNTIF(Лист2!I:I,A774)</f>
        <v>1</v>
      </c>
      <c r="C774">
        <v>1</v>
      </c>
    </row>
    <row r="775" spans="1:3" x14ac:dyDescent="0.25">
      <c r="A775" t="s">
        <v>2846</v>
      </c>
      <c r="B775">
        <f>COUNTIF(Лист2!H:H,A775)+COUNTIF(Лист2!I:I,A775)</f>
        <v>1</v>
      </c>
      <c r="C775">
        <v>1</v>
      </c>
    </row>
    <row r="776" spans="1:3" x14ac:dyDescent="0.25">
      <c r="A776" t="s">
        <v>2419</v>
      </c>
      <c r="B776">
        <f>COUNTIF(Лист2!H:H,A776)+COUNTIF(Лист2!I:I,A776)</f>
        <v>1</v>
      </c>
      <c r="C776">
        <v>1</v>
      </c>
    </row>
    <row r="777" spans="1:3" x14ac:dyDescent="0.25">
      <c r="A777" t="s">
        <v>2847</v>
      </c>
      <c r="B777">
        <f>COUNTIF(Лист2!H:H,A777)+COUNTIF(Лист2!I:I,A777)</f>
        <v>1</v>
      </c>
      <c r="C777">
        <v>1</v>
      </c>
    </row>
    <row r="778" spans="1:3" x14ac:dyDescent="0.25">
      <c r="A778" t="s">
        <v>2849</v>
      </c>
      <c r="B778">
        <f>COUNTIF(Лист2!H:H,A778)+COUNTIF(Лист2!I:I,A778)</f>
        <v>1</v>
      </c>
      <c r="C778">
        <v>1</v>
      </c>
    </row>
    <row r="779" spans="1:3" x14ac:dyDescent="0.25">
      <c r="A779" t="s">
        <v>2850</v>
      </c>
      <c r="B779">
        <f>COUNTIF(Лист2!H:H,A779)+COUNTIF(Лист2!I:I,A779)</f>
        <v>1</v>
      </c>
      <c r="C779">
        <v>1</v>
      </c>
    </row>
    <row r="780" spans="1:3" x14ac:dyDescent="0.25">
      <c r="A780" t="s">
        <v>2851</v>
      </c>
      <c r="B780">
        <f>COUNTIF(Лист2!H:H,A780)+COUNTIF(Лист2!I:I,A780)</f>
        <v>1</v>
      </c>
      <c r="C780">
        <v>1</v>
      </c>
    </row>
    <row r="781" spans="1:3" x14ac:dyDescent="0.25">
      <c r="A781" t="s">
        <v>2852</v>
      </c>
      <c r="B781">
        <f>COUNTIF(Лист2!H:H,A781)+COUNTIF(Лист2!I:I,A781)</f>
        <v>1</v>
      </c>
      <c r="C781">
        <v>1</v>
      </c>
    </row>
    <row r="782" spans="1:3" x14ac:dyDescent="0.25">
      <c r="A782" t="s">
        <v>2853</v>
      </c>
      <c r="B782">
        <f>COUNTIF(Лист2!H:H,A782)+COUNTIF(Лист2!I:I,A782)</f>
        <v>1</v>
      </c>
      <c r="C782">
        <v>1</v>
      </c>
    </row>
    <row r="783" spans="1:3" x14ac:dyDescent="0.25">
      <c r="A783" t="s">
        <v>2854</v>
      </c>
      <c r="B783">
        <f>COUNTIF(Лист2!H:H,A783)+COUNTIF(Лист2!I:I,A783)</f>
        <v>1</v>
      </c>
      <c r="C783">
        <v>1</v>
      </c>
    </row>
    <row r="784" spans="1:3" x14ac:dyDescent="0.25">
      <c r="A784" t="s">
        <v>2855</v>
      </c>
      <c r="B784">
        <f>COUNTIF(Лист2!H:H,A784)+COUNTIF(Лист2!I:I,A784)</f>
        <v>1</v>
      </c>
      <c r="C784">
        <v>1</v>
      </c>
    </row>
    <row r="785" spans="1:3" x14ac:dyDescent="0.25">
      <c r="A785" t="s">
        <v>2856</v>
      </c>
      <c r="B785">
        <f>COUNTIF(Лист2!H:H,A785)+COUNTIF(Лист2!I:I,A785)</f>
        <v>1</v>
      </c>
      <c r="C785">
        <v>1</v>
      </c>
    </row>
    <row r="786" spans="1:3" x14ac:dyDescent="0.25">
      <c r="A786" t="s">
        <v>2857</v>
      </c>
      <c r="B786">
        <f>COUNTIF(Лист2!H:H,A786)+COUNTIF(Лист2!I:I,A786)</f>
        <v>1</v>
      </c>
      <c r="C786">
        <v>1</v>
      </c>
    </row>
    <row r="787" spans="1:3" x14ac:dyDescent="0.25">
      <c r="A787" t="s">
        <v>2859</v>
      </c>
      <c r="B787">
        <f>COUNTIF(Лист2!H:H,A787)+COUNTIF(Лист2!I:I,A787)</f>
        <v>1</v>
      </c>
      <c r="C787">
        <v>1</v>
      </c>
    </row>
    <row r="788" spans="1:3" x14ac:dyDescent="0.25">
      <c r="A788" t="s">
        <v>2860</v>
      </c>
      <c r="B788">
        <f>COUNTIF(Лист2!H:H,A788)+COUNTIF(Лист2!I:I,A788)</f>
        <v>1</v>
      </c>
      <c r="C788">
        <v>1</v>
      </c>
    </row>
    <row r="789" spans="1:3" x14ac:dyDescent="0.25">
      <c r="A789" t="s">
        <v>2862</v>
      </c>
      <c r="B789">
        <f>COUNTIF(Лист2!H:H,A789)+COUNTIF(Лист2!I:I,A789)</f>
        <v>1</v>
      </c>
      <c r="C789">
        <v>1</v>
      </c>
    </row>
    <row r="790" spans="1:3" x14ac:dyDescent="0.25">
      <c r="A790" t="s">
        <v>2863</v>
      </c>
      <c r="B790">
        <f>COUNTIF(Лист2!H:H,A790)+COUNTIF(Лист2!I:I,A790)</f>
        <v>1</v>
      </c>
      <c r="C790">
        <v>1</v>
      </c>
    </row>
    <row r="791" spans="1:3" x14ac:dyDescent="0.25">
      <c r="A791" t="s">
        <v>2864</v>
      </c>
      <c r="B791">
        <f>COUNTIF(Лист2!H:H,A791)+COUNTIF(Лист2!I:I,A791)</f>
        <v>1</v>
      </c>
      <c r="C791">
        <v>1</v>
      </c>
    </row>
    <row r="792" spans="1:3" x14ac:dyDescent="0.25">
      <c r="A792" t="s">
        <v>2865</v>
      </c>
      <c r="B792">
        <f>COUNTIF(Лист2!H:H,A792)+COUNTIF(Лист2!I:I,A792)</f>
        <v>1</v>
      </c>
      <c r="C792">
        <v>1</v>
      </c>
    </row>
    <row r="793" spans="1:3" x14ac:dyDescent="0.25">
      <c r="A793" t="s">
        <v>2866</v>
      </c>
      <c r="B793">
        <f>COUNTIF(Лист2!H:H,A793)+COUNTIF(Лист2!I:I,A793)</f>
        <v>1</v>
      </c>
      <c r="C793">
        <v>1</v>
      </c>
    </row>
    <row r="794" spans="1:3" x14ac:dyDescent="0.25">
      <c r="A794" t="s">
        <v>2867</v>
      </c>
      <c r="B794">
        <f>COUNTIF(Лист2!H:H,A794)+COUNTIF(Лист2!I:I,A794)</f>
        <v>1</v>
      </c>
      <c r="C794">
        <v>1</v>
      </c>
    </row>
    <row r="795" spans="1:3" x14ac:dyDescent="0.25">
      <c r="A795" t="s">
        <v>2868</v>
      </c>
      <c r="B795">
        <f>COUNTIF(Лист2!H:H,A795)+COUNTIF(Лист2!I:I,A795)</f>
        <v>1</v>
      </c>
      <c r="C795">
        <v>1</v>
      </c>
    </row>
    <row r="796" spans="1:3" x14ac:dyDescent="0.25">
      <c r="A796" t="s">
        <v>2869</v>
      </c>
      <c r="B796">
        <f>COUNTIF(Лист2!H:H,A796)+COUNTIF(Лист2!I:I,A796)</f>
        <v>1</v>
      </c>
      <c r="C796">
        <v>1</v>
      </c>
    </row>
    <row r="797" spans="1:3" x14ac:dyDescent="0.25">
      <c r="A797" t="s">
        <v>2872</v>
      </c>
      <c r="B797">
        <f>COUNTIF(Лист2!H:H,A797)+COUNTIF(Лист2!I:I,A797)</f>
        <v>1</v>
      </c>
      <c r="C797">
        <v>1</v>
      </c>
    </row>
    <row r="798" spans="1:3" x14ac:dyDescent="0.25">
      <c r="A798" t="s">
        <v>2874</v>
      </c>
      <c r="B798">
        <f>COUNTIF(Лист2!H:H,A798)+COUNTIF(Лист2!I:I,A798)</f>
        <v>1</v>
      </c>
      <c r="C798">
        <v>1</v>
      </c>
    </row>
    <row r="799" spans="1:3" x14ac:dyDescent="0.25">
      <c r="A799" t="s">
        <v>2875</v>
      </c>
      <c r="B799">
        <f>COUNTIF(Лист2!H:H,A799)+COUNTIF(Лист2!I:I,A799)</f>
        <v>1</v>
      </c>
      <c r="C799">
        <v>1</v>
      </c>
    </row>
    <row r="800" spans="1:3" x14ac:dyDescent="0.25">
      <c r="A800" t="s">
        <v>2876</v>
      </c>
      <c r="B800">
        <f>COUNTIF(Лист2!H:H,A800)+COUNTIF(Лист2!I:I,A800)</f>
        <v>1</v>
      </c>
      <c r="C800">
        <v>1</v>
      </c>
    </row>
    <row r="801" spans="1:3" x14ac:dyDescent="0.25">
      <c r="A801" t="s">
        <v>2420</v>
      </c>
      <c r="B801">
        <f>COUNTIF(Лист2!H:H,A801)+COUNTIF(Лист2!I:I,A801)</f>
        <v>1</v>
      </c>
      <c r="C801">
        <v>1</v>
      </c>
    </row>
    <row r="802" spans="1:3" x14ac:dyDescent="0.25">
      <c r="A802" t="s">
        <v>2877</v>
      </c>
      <c r="B802">
        <f>COUNTIF(Лист2!H:H,A802)+COUNTIF(Лист2!I:I,A802)</f>
        <v>1</v>
      </c>
      <c r="C802">
        <v>1</v>
      </c>
    </row>
    <row r="803" spans="1:3" x14ac:dyDescent="0.25">
      <c r="A803" t="s">
        <v>2878</v>
      </c>
      <c r="B803">
        <f>COUNTIF(Лист2!H:H,A803)+COUNTIF(Лист2!I:I,A803)</f>
        <v>1</v>
      </c>
      <c r="C803">
        <v>1</v>
      </c>
    </row>
    <row r="804" spans="1:3" x14ac:dyDescent="0.25">
      <c r="A804" t="s">
        <v>2879</v>
      </c>
      <c r="B804">
        <f>COUNTIF(Лист2!H:H,A804)+COUNTIF(Лист2!I:I,A804)</f>
        <v>1</v>
      </c>
      <c r="C804">
        <v>1</v>
      </c>
    </row>
    <row r="805" spans="1:3" x14ac:dyDescent="0.25">
      <c r="A805" t="s">
        <v>2881</v>
      </c>
      <c r="B805">
        <f>COUNTIF(Лист2!H:H,A805)+COUNTIF(Лист2!I:I,A805)</f>
        <v>0</v>
      </c>
      <c r="C805">
        <v>1</v>
      </c>
    </row>
    <row r="806" spans="1:3" x14ac:dyDescent="0.25">
      <c r="A806" t="s">
        <v>2882</v>
      </c>
      <c r="B806">
        <f>COUNTIF(Лист2!H:H,A806)+COUNTIF(Лист2!I:I,A806)</f>
        <v>1</v>
      </c>
      <c r="C806">
        <v>1</v>
      </c>
    </row>
    <row r="807" spans="1:3" x14ac:dyDescent="0.25">
      <c r="A807" t="s">
        <v>2883</v>
      </c>
      <c r="B807">
        <f>COUNTIF(Лист2!H:H,A807)+COUNTIF(Лист2!I:I,A807)</f>
        <v>1</v>
      </c>
      <c r="C807">
        <v>1</v>
      </c>
    </row>
    <row r="808" spans="1:3" x14ac:dyDescent="0.25">
      <c r="A808" t="s">
        <v>2885</v>
      </c>
      <c r="B808">
        <f>COUNTIF(Лист2!H:H,A808)+COUNTIF(Лист2!I:I,A808)</f>
        <v>1</v>
      </c>
      <c r="C808">
        <v>1</v>
      </c>
    </row>
    <row r="809" spans="1:3" x14ac:dyDescent="0.25">
      <c r="A809" t="s">
        <v>2886</v>
      </c>
      <c r="B809">
        <f>COUNTIF(Лист2!H:H,A809)+COUNTIF(Лист2!I:I,A809)</f>
        <v>1</v>
      </c>
      <c r="C809">
        <v>1</v>
      </c>
    </row>
    <row r="810" spans="1:3" x14ac:dyDescent="0.25">
      <c r="A810" t="s">
        <v>2887</v>
      </c>
      <c r="B810">
        <f>COUNTIF(Лист2!H:H,A810)+COUNTIF(Лист2!I:I,A810)</f>
        <v>1</v>
      </c>
      <c r="C810">
        <v>1</v>
      </c>
    </row>
    <row r="811" spans="1:3" x14ac:dyDescent="0.25">
      <c r="A811" t="s">
        <v>2888</v>
      </c>
      <c r="B811">
        <f>COUNTIF(Лист2!H:H,A811)+COUNTIF(Лист2!I:I,A811)</f>
        <v>1</v>
      </c>
      <c r="C811">
        <v>1</v>
      </c>
    </row>
    <row r="812" spans="1:3" x14ac:dyDescent="0.25">
      <c r="A812" t="s">
        <v>2889</v>
      </c>
      <c r="B812">
        <f>COUNTIF(Лист2!H:H,A812)+COUNTIF(Лист2!I:I,A812)</f>
        <v>1</v>
      </c>
      <c r="C812">
        <v>1</v>
      </c>
    </row>
    <row r="813" spans="1:3" x14ac:dyDescent="0.25">
      <c r="A813" t="s">
        <v>2891</v>
      </c>
      <c r="B813">
        <f>COUNTIF(Лист2!H:H,A813)+COUNTIF(Лист2!I:I,A813)</f>
        <v>1</v>
      </c>
      <c r="C813">
        <v>1</v>
      </c>
    </row>
    <row r="814" spans="1:3" x14ac:dyDescent="0.25">
      <c r="A814" t="s">
        <v>2892</v>
      </c>
      <c r="B814">
        <f>COUNTIF(Лист2!H:H,A814)+COUNTIF(Лист2!I:I,A814)</f>
        <v>1</v>
      </c>
      <c r="C814">
        <v>1</v>
      </c>
    </row>
    <row r="815" spans="1:3" x14ac:dyDescent="0.25">
      <c r="A815" t="s">
        <v>2893</v>
      </c>
      <c r="B815">
        <f>COUNTIF(Лист2!H:H,A815)+COUNTIF(Лист2!I:I,A815)</f>
        <v>1</v>
      </c>
      <c r="C815">
        <v>1</v>
      </c>
    </row>
    <row r="816" spans="1:3" x14ac:dyDescent="0.25">
      <c r="A816" t="s">
        <v>2895</v>
      </c>
      <c r="B816">
        <f>COUNTIF(Лист2!H:H,A816)+COUNTIF(Лист2!I:I,A816)</f>
        <v>1</v>
      </c>
      <c r="C816">
        <v>1</v>
      </c>
    </row>
    <row r="817" spans="1:3" x14ac:dyDescent="0.25">
      <c r="A817" t="s">
        <v>2896</v>
      </c>
      <c r="B817">
        <f>COUNTIF(Лист2!H:H,A817)+COUNTIF(Лист2!I:I,A817)</f>
        <v>1</v>
      </c>
      <c r="C817">
        <v>1</v>
      </c>
    </row>
    <row r="818" spans="1:3" x14ac:dyDescent="0.25">
      <c r="A818" t="s">
        <v>2897</v>
      </c>
      <c r="B818">
        <f>COUNTIF(Лист2!H:H,A818)+COUNTIF(Лист2!I:I,A818)</f>
        <v>1</v>
      </c>
      <c r="C818">
        <v>1</v>
      </c>
    </row>
    <row r="819" spans="1:3" x14ac:dyDescent="0.25">
      <c r="A819" t="s">
        <v>2898</v>
      </c>
      <c r="B819">
        <f>COUNTIF(Лист2!H:H,A819)+COUNTIF(Лист2!I:I,A819)</f>
        <v>1</v>
      </c>
      <c r="C819">
        <v>1</v>
      </c>
    </row>
    <row r="820" spans="1:3" x14ac:dyDescent="0.25">
      <c r="A820" t="s">
        <v>2899</v>
      </c>
      <c r="B820">
        <f>COUNTIF(Лист2!H:H,A820)+COUNTIF(Лист2!I:I,A820)</f>
        <v>1</v>
      </c>
      <c r="C820">
        <v>1</v>
      </c>
    </row>
    <row r="821" spans="1:3" x14ac:dyDescent="0.25">
      <c r="A821" t="s">
        <v>2900</v>
      </c>
      <c r="B821">
        <f>COUNTIF(Лист2!H:H,A821)+COUNTIF(Лист2!I:I,A821)</f>
        <v>1</v>
      </c>
      <c r="C821">
        <v>1</v>
      </c>
    </row>
    <row r="822" spans="1:3" x14ac:dyDescent="0.25">
      <c r="A822" t="s">
        <v>2901</v>
      </c>
      <c r="B822">
        <f>COUNTIF(Лист2!H:H,A822)+COUNTIF(Лист2!I:I,A822)</f>
        <v>1</v>
      </c>
      <c r="C822">
        <v>1</v>
      </c>
    </row>
    <row r="823" spans="1:3" x14ac:dyDescent="0.25">
      <c r="A823" t="s">
        <v>2424</v>
      </c>
      <c r="B823">
        <f>COUNTIF(Лист2!H:H,A823)+COUNTIF(Лист2!I:I,A823)</f>
        <v>1</v>
      </c>
      <c r="C823">
        <v>1</v>
      </c>
    </row>
    <row r="824" spans="1:3" x14ac:dyDescent="0.25">
      <c r="A824" t="s">
        <v>2902</v>
      </c>
      <c r="B824">
        <f>COUNTIF(Лист2!H:H,A824)+COUNTIF(Лист2!I:I,A824)</f>
        <v>1</v>
      </c>
      <c r="C824">
        <v>1</v>
      </c>
    </row>
    <row r="825" spans="1:3" x14ac:dyDescent="0.25">
      <c r="A825" t="s">
        <v>2903</v>
      </c>
      <c r="B825">
        <f>COUNTIF(Лист2!H:H,A825)+COUNTIF(Лист2!I:I,A825)</f>
        <v>1</v>
      </c>
      <c r="C825">
        <v>1</v>
      </c>
    </row>
    <row r="826" spans="1:3" x14ac:dyDescent="0.25">
      <c r="A826" t="s">
        <v>2904</v>
      </c>
      <c r="B826">
        <f>COUNTIF(Лист2!H:H,A826)+COUNTIF(Лист2!I:I,A826)</f>
        <v>1</v>
      </c>
      <c r="C826">
        <v>1</v>
      </c>
    </row>
    <row r="827" spans="1:3" x14ac:dyDescent="0.25">
      <c r="A827" t="s">
        <v>2425</v>
      </c>
      <c r="B827">
        <f>COUNTIF(Лист2!H:H,A827)+COUNTIF(Лист2!I:I,A827)</f>
        <v>1</v>
      </c>
      <c r="C827">
        <v>1</v>
      </c>
    </row>
    <row r="828" spans="1:3" x14ac:dyDescent="0.25">
      <c r="A828" t="s">
        <v>2905</v>
      </c>
      <c r="B828">
        <f>COUNTIF(Лист2!H:H,A828)+COUNTIF(Лист2!I:I,A828)</f>
        <v>1</v>
      </c>
      <c r="C828">
        <v>1</v>
      </c>
    </row>
    <row r="829" spans="1:3" x14ac:dyDescent="0.25">
      <c r="A829" t="s">
        <v>2906</v>
      </c>
      <c r="B829">
        <f>COUNTIF(Лист2!H:H,A829)+COUNTIF(Лист2!I:I,A829)</f>
        <v>1</v>
      </c>
      <c r="C829">
        <v>1</v>
      </c>
    </row>
    <row r="830" spans="1:3" x14ac:dyDescent="0.25">
      <c r="A830" t="s">
        <v>2907</v>
      </c>
      <c r="B830">
        <f>COUNTIF(Лист2!H:H,A830)+COUNTIF(Лист2!I:I,A830)</f>
        <v>1</v>
      </c>
      <c r="C830">
        <v>1</v>
      </c>
    </row>
    <row r="831" spans="1:3" x14ac:dyDescent="0.25">
      <c r="A831" t="s">
        <v>2908</v>
      </c>
      <c r="B831">
        <f>COUNTIF(Лист2!H:H,A831)+COUNTIF(Лист2!I:I,A831)</f>
        <v>1</v>
      </c>
      <c r="C831">
        <v>1</v>
      </c>
    </row>
    <row r="832" spans="1:3" x14ac:dyDescent="0.25">
      <c r="A832" t="s">
        <v>2909</v>
      </c>
      <c r="B832">
        <f>COUNTIF(Лист2!H:H,A832)+COUNTIF(Лист2!I:I,A832)</f>
        <v>1</v>
      </c>
      <c r="C832">
        <v>1</v>
      </c>
    </row>
    <row r="833" spans="1:3" x14ac:dyDescent="0.25">
      <c r="A833" t="s">
        <v>2910</v>
      </c>
      <c r="B833">
        <f>COUNTIF(Лист2!H:H,A833)+COUNTIF(Лист2!I:I,A833)</f>
        <v>1</v>
      </c>
      <c r="C833">
        <v>1</v>
      </c>
    </row>
    <row r="834" spans="1:3" x14ac:dyDescent="0.25">
      <c r="A834" t="s">
        <v>2911</v>
      </c>
      <c r="B834">
        <f>COUNTIF(Лист2!H:H,A834)+COUNTIF(Лист2!I:I,A834)</f>
        <v>1</v>
      </c>
      <c r="C834">
        <v>1</v>
      </c>
    </row>
    <row r="835" spans="1:3" x14ac:dyDescent="0.25">
      <c r="A835" t="s">
        <v>2427</v>
      </c>
      <c r="B835">
        <f>COUNTIF(Лист2!H:H,A835)+COUNTIF(Лист2!I:I,A835)</f>
        <v>1</v>
      </c>
      <c r="C835">
        <v>1</v>
      </c>
    </row>
    <row r="836" spans="1:3" x14ac:dyDescent="0.25">
      <c r="A836" t="s">
        <v>2912</v>
      </c>
      <c r="B836">
        <f>COUNTIF(Лист2!H:H,A836)+COUNTIF(Лист2!I:I,A836)</f>
        <v>1</v>
      </c>
      <c r="C836">
        <v>1</v>
      </c>
    </row>
    <row r="837" spans="1:3" x14ac:dyDescent="0.25">
      <c r="A837" t="s">
        <v>2913</v>
      </c>
      <c r="B837">
        <f>COUNTIF(Лист2!H:H,A837)+COUNTIF(Лист2!I:I,A837)</f>
        <v>1</v>
      </c>
      <c r="C837">
        <v>1</v>
      </c>
    </row>
    <row r="838" spans="1:3" x14ac:dyDescent="0.25">
      <c r="A838" t="s">
        <v>2914</v>
      </c>
      <c r="B838">
        <f>COUNTIF(Лист2!H:H,A838)+COUNTIF(Лист2!I:I,A838)</f>
        <v>1</v>
      </c>
      <c r="C838">
        <v>1</v>
      </c>
    </row>
    <row r="839" spans="1:3" x14ac:dyDescent="0.25">
      <c r="A839" t="s">
        <v>2428</v>
      </c>
      <c r="B839">
        <f>COUNTIF(Лист2!H:H,A839)+COUNTIF(Лист2!I:I,A839)</f>
        <v>1</v>
      </c>
      <c r="C839">
        <v>1</v>
      </c>
    </row>
    <row r="840" spans="1:3" x14ac:dyDescent="0.25">
      <c r="A840" t="s">
        <v>2915</v>
      </c>
      <c r="B840">
        <f>COUNTIF(Лист2!H:H,A840)+COUNTIF(Лист2!I:I,A840)</f>
        <v>1</v>
      </c>
      <c r="C840">
        <v>1</v>
      </c>
    </row>
    <row r="841" spans="1:3" x14ac:dyDescent="0.25">
      <c r="A841" t="s">
        <v>2916</v>
      </c>
      <c r="B841">
        <f>COUNTIF(Лист2!H:H,A841)+COUNTIF(Лист2!I:I,A841)</f>
        <v>1</v>
      </c>
      <c r="C841">
        <v>1</v>
      </c>
    </row>
    <row r="842" spans="1:3" x14ac:dyDescent="0.25">
      <c r="A842" t="s">
        <v>2917</v>
      </c>
      <c r="B842">
        <f>COUNTIF(Лист2!H:H,A842)+COUNTIF(Лист2!I:I,A842)</f>
        <v>1</v>
      </c>
      <c r="C842">
        <v>1</v>
      </c>
    </row>
    <row r="843" spans="1:3" x14ac:dyDescent="0.25">
      <c r="A843" t="s">
        <v>2919</v>
      </c>
      <c r="B843">
        <f>COUNTIF(Лист2!H:H,A843)+COUNTIF(Лист2!I:I,A843)</f>
        <v>1</v>
      </c>
      <c r="C843">
        <v>1</v>
      </c>
    </row>
    <row r="844" spans="1:3" x14ac:dyDescent="0.25">
      <c r="A844" t="s">
        <v>2920</v>
      </c>
      <c r="B844">
        <f>COUNTIF(Лист2!H:H,A844)+COUNTIF(Лист2!I:I,A844)</f>
        <v>1</v>
      </c>
      <c r="C844">
        <v>1</v>
      </c>
    </row>
    <row r="845" spans="1:3" x14ac:dyDescent="0.25">
      <c r="A845" t="s">
        <v>2921</v>
      </c>
      <c r="B845">
        <f>COUNTIF(Лист2!H:H,A845)+COUNTIF(Лист2!I:I,A845)</f>
        <v>1</v>
      </c>
      <c r="C845">
        <v>1</v>
      </c>
    </row>
    <row r="846" spans="1:3" x14ac:dyDescent="0.25">
      <c r="A846" t="s">
        <v>2922</v>
      </c>
      <c r="B846">
        <f>COUNTIF(Лист2!H:H,A846)+COUNTIF(Лист2!I:I,A846)</f>
        <v>1</v>
      </c>
      <c r="C846">
        <v>1</v>
      </c>
    </row>
    <row r="847" spans="1:3" x14ac:dyDescent="0.25">
      <c r="A847" t="s">
        <v>2923</v>
      </c>
      <c r="B847">
        <f>COUNTIF(Лист2!H:H,A847)+COUNTIF(Лист2!I:I,A847)</f>
        <v>1</v>
      </c>
      <c r="C847">
        <v>1</v>
      </c>
    </row>
    <row r="848" spans="1:3" x14ac:dyDescent="0.25">
      <c r="A848" t="s">
        <v>2924</v>
      </c>
      <c r="B848">
        <f>COUNTIF(Лист2!H:H,A848)+COUNTIF(Лист2!I:I,A848)</f>
        <v>1</v>
      </c>
      <c r="C848">
        <v>1</v>
      </c>
    </row>
    <row r="849" spans="1:3" x14ac:dyDescent="0.25">
      <c r="A849" t="s">
        <v>2925</v>
      </c>
      <c r="B849">
        <f>COUNTIF(Лист2!H:H,A849)+COUNTIF(Лист2!I:I,A849)</f>
        <v>1</v>
      </c>
      <c r="C849">
        <v>1</v>
      </c>
    </row>
    <row r="850" spans="1:3" x14ac:dyDescent="0.25">
      <c r="A850" t="s">
        <v>2926</v>
      </c>
      <c r="B850">
        <f>COUNTIF(Лист2!H:H,A850)+COUNTIF(Лист2!I:I,A850)</f>
        <v>1</v>
      </c>
      <c r="C850">
        <v>1</v>
      </c>
    </row>
    <row r="851" spans="1:3" x14ac:dyDescent="0.25">
      <c r="A851" t="s">
        <v>2927</v>
      </c>
      <c r="B851">
        <f>COUNTIF(Лист2!H:H,A851)+COUNTIF(Лист2!I:I,A851)</f>
        <v>1</v>
      </c>
      <c r="C851">
        <v>1</v>
      </c>
    </row>
    <row r="852" spans="1:3" x14ac:dyDescent="0.25">
      <c r="A852" t="s">
        <v>2928</v>
      </c>
      <c r="B852">
        <f>COUNTIF(Лист2!H:H,A852)+COUNTIF(Лист2!I:I,A852)</f>
        <v>1</v>
      </c>
      <c r="C852">
        <v>1</v>
      </c>
    </row>
    <row r="853" spans="1:3" x14ac:dyDescent="0.25">
      <c r="A853" t="s">
        <v>2929</v>
      </c>
      <c r="B853">
        <f>COUNTIF(Лист2!H:H,A853)+COUNTIF(Лист2!I:I,A853)</f>
        <v>1</v>
      </c>
      <c r="C853">
        <v>1</v>
      </c>
    </row>
    <row r="854" spans="1:3" x14ac:dyDescent="0.25">
      <c r="A854" t="s">
        <v>2930</v>
      </c>
      <c r="B854">
        <f>COUNTIF(Лист2!H:H,A854)+COUNTIF(Лист2!I:I,A854)</f>
        <v>1</v>
      </c>
      <c r="C854">
        <v>1</v>
      </c>
    </row>
    <row r="855" spans="1:3" x14ac:dyDescent="0.25">
      <c r="A855" t="s">
        <v>2931</v>
      </c>
      <c r="B855">
        <f>COUNTIF(Лист2!H:H,A855)+COUNTIF(Лист2!I:I,A855)</f>
        <v>1</v>
      </c>
      <c r="C855">
        <v>1</v>
      </c>
    </row>
    <row r="856" spans="1:3" x14ac:dyDescent="0.25">
      <c r="A856" t="s">
        <v>2932</v>
      </c>
      <c r="B856">
        <f>COUNTIF(Лист2!H:H,A856)+COUNTIF(Лист2!I:I,A856)</f>
        <v>1</v>
      </c>
      <c r="C856">
        <v>1</v>
      </c>
    </row>
    <row r="857" spans="1:3" x14ac:dyDescent="0.25">
      <c r="A857" t="s">
        <v>2934</v>
      </c>
      <c r="B857">
        <f>COUNTIF(Лист2!H:H,A857)+COUNTIF(Лист2!I:I,A857)</f>
        <v>1</v>
      </c>
      <c r="C857">
        <v>1</v>
      </c>
    </row>
    <row r="858" spans="1:3" x14ac:dyDescent="0.25">
      <c r="A858" t="s">
        <v>2935</v>
      </c>
      <c r="B858">
        <f>COUNTIF(Лист2!H:H,A858)+COUNTIF(Лист2!I:I,A858)</f>
        <v>1</v>
      </c>
      <c r="C858">
        <v>1</v>
      </c>
    </row>
    <row r="859" spans="1:3" x14ac:dyDescent="0.25">
      <c r="A859" t="s">
        <v>2936</v>
      </c>
      <c r="B859">
        <f>COUNTIF(Лист2!H:H,A859)+COUNTIF(Лист2!I:I,A859)</f>
        <v>1</v>
      </c>
      <c r="C859">
        <v>1</v>
      </c>
    </row>
    <row r="860" spans="1:3" x14ac:dyDescent="0.25">
      <c r="A860" t="s">
        <v>2937</v>
      </c>
      <c r="B860">
        <f>COUNTIF(Лист2!H:H,A860)+COUNTIF(Лист2!I:I,A860)</f>
        <v>1</v>
      </c>
      <c r="C860">
        <v>1</v>
      </c>
    </row>
    <row r="861" spans="1:3" x14ac:dyDescent="0.25">
      <c r="A861" t="s">
        <v>2938</v>
      </c>
      <c r="B861">
        <f>COUNTIF(Лист2!H:H,A861)+COUNTIF(Лист2!I:I,A861)</f>
        <v>1</v>
      </c>
      <c r="C861">
        <v>1</v>
      </c>
    </row>
    <row r="862" spans="1:3" x14ac:dyDescent="0.25">
      <c r="A862" t="s">
        <v>2430</v>
      </c>
      <c r="B862">
        <f>COUNTIF(Лист2!H:H,A862)+COUNTIF(Лист2!I:I,A862)</f>
        <v>1</v>
      </c>
      <c r="C862">
        <v>1</v>
      </c>
    </row>
    <row r="863" spans="1:3" x14ac:dyDescent="0.25">
      <c r="A863" t="s">
        <v>2939</v>
      </c>
      <c r="B863">
        <f>COUNTIF(Лист2!H:H,A863)+COUNTIF(Лист2!I:I,A863)</f>
        <v>1</v>
      </c>
      <c r="C863">
        <v>1</v>
      </c>
    </row>
    <row r="864" spans="1:3" x14ac:dyDescent="0.25">
      <c r="A864" t="s">
        <v>2941</v>
      </c>
      <c r="B864">
        <f>COUNTIF(Лист2!H:H,A864)+COUNTIF(Лист2!I:I,A864)</f>
        <v>1</v>
      </c>
      <c r="C864">
        <v>1</v>
      </c>
    </row>
    <row r="865" spans="1:3" x14ac:dyDescent="0.25">
      <c r="A865" t="s">
        <v>2431</v>
      </c>
      <c r="B865">
        <f>COUNTIF(Лист2!H:H,A865)+COUNTIF(Лист2!I:I,A865)</f>
        <v>1</v>
      </c>
      <c r="C865">
        <v>1</v>
      </c>
    </row>
    <row r="866" spans="1:3" x14ac:dyDescent="0.25">
      <c r="A866" t="s">
        <v>2942</v>
      </c>
      <c r="B866">
        <f>COUNTIF(Лист2!H:H,A866)+COUNTIF(Лист2!I:I,A866)</f>
        <v>1</v>
      </c>
      <c r="C866">
        <v>1</v>
      </c>
    </row>
    <row r="867" spans="1:3" x14ac:dyDescent="0.25">
      <c r="A867" t="s">
        <v>2943</v>
      </c>
      <c r="B867">
        <f>COUNTIF(Лист2!H:H,A867)+COUNTIF(Лист2!I:I,A867)</f>
        <v>0</v>
      </c>
      <c r="C867">
        <v>1</v>
      </c>
    </row>
    <row r="868" spans="1:3" x14ac:dyDescent="0.25">
      <c r="A868" t="s">
        <v>2944</v>
      </c>
      <c r="B868">
        <f>COUNTIF(Лист2!H:H,A868)+COUNTIF(Лист2!I:I,A868)</f>
        <v>1</v>
      </c>
      <c r="C868">
        <v>1</v>
      </c>
    </row>
    <row r="869" spans="1:3" x14ac:dyDescent="0.25">
      <c r="A869" t="s">
        <v>2945</v>
      </c>
      <c r="B869">
        <f>COUNTIF(Лист2!H:H,A869)+COUNTIF(Лист2!I:I,A869)</f>
        <v>1</v>
      </c>
      <c r="C869">
        <v>1</v>
      </c>
    </row>
    <row r="870" spans="1:3" x14ac:dyDescent="0.25">
      <c r="A870" t="s">
        <v>2946</v>
      </c>
      <c r="B870">
        <f>COUNTIF(Лист2!H:H,A870)+COUNTIF(Лист2!I:I,A870)</f>
        <v>1</v>
      </c>
      <c r="C870">
        <v>1</v>
      </c>
    </row>
    <row r="871" spans="1:3" x14ac:dyDescent="0.25">
      <c r="A871" t="s">
        <v>2947</v>
      </c>
      <c r="B871">
        <f>COUNTIF(Лист2!H:H,A871)+COUNTIF(Лист2!I:I,A871)</f>
        <v>1</v>
      </c>
      <c r="C871">
        <v>1</v>
      </c>
    </row>
    <row r="872" spans="1:3" x14ac:dyDescent="0.25">
      <c r="A872" t="s">
        <v>2948</v>
      </c>
      <c r="B872">
        <f>COUNTIF(Лист2!H:H,A872)+COUNTIF(Лист2!I:I,A872)</f>
        <v>1</v>
      </c>
      <c r="C872">
        <v>1</v>
      </c>
    </row>
    <row r="873" spans="1:3" x14ac:dyDescent="0.25">
      <c r="A873" t="s">
        <v>2949</v>
      </c>
      <c r="B873">
        <f>COUNTIF(Лист2!H:H,A873)+COUNTIF(Лист2!I:I,A873)</f>
        <v>1</v>
      </c>
      <c r="C873">
        <v>1</v>
      </c>
    </row>
    <row r="874" spans="1:3" x14ac:dyDescent="0.25">
      <c r="A874" t="s">
        <v>2951</v>
      </c>
      <c r="B874">
        <f>COUNTIF(Лист2!H:H,A874)+COUNTIF(Лист2!I:I,A874)</f>
        <v>1</v>
      </c>
      <c r="C874">
        <v>1</v>
      </c>
    </row>
    <row r="875" spans="1:3" x14ac:dyDescent="0.25">
      <c r="A875" t="s">
        <v>2950</v>
      </c>
      <c r="B875">
        <f>COUNTIF(Лист2!H:H,A875)+COUNTIF(Лист2!I:I,A875)</f>
        <v>1</v>
      </c>
      <c r="C875">
        <v>1</v>
      </c>
    </row>
    <row r="876" spans="1:3" x14ac:dyDescent="0.25">
      <c r="A876" t="s">
        <v>2952</v>
      </c>
      <c r="B876">
        <f>COUNTIF(Лист2!H:H,A876)+COUNTIF(Лист2!I:I,A876)</f>
        <v>1</v>
      </c>
      <c r="C876">
        <v>1</v>
      </c>
    </row>
    <row r="877" spans="1:3" x14ac:dyDescent="0.25">
      <c r="A877" t="s">
        <v>2954</v>
      </c>
      <c r="B877">
        <f>COUNTIF(Лист2!H:H,A877)+COUNTIF(Лист2!I:I,A877)</f>
        <v>1</v>
      </c>
      <c r="C877">
        <v>1</v>
      </c>
    </row>
    <row r="878" spans="1:3" x14ac:dyDescent="0.25">
      <c r="A878" t="s">
        <v>2955</v>
      </c>
      <c r="B878">
        <f>COUNTIF(Лист2!H:H,A878)+COUNTIF(Лист2!I:I,A878)</f>
        <v>1</v>
      </c>
      <c r="C878">
        <v>1</v>
      </c>
    </row>
    <row r="879" spans="1:3" x14ac:dyDescent="0.25">
      <c r="A879" t="s">
        <v>2957</v>
      </c>
      <c r="B879">
        <f>COUNTIF(Лист2!H:H,A879)+COUNTIF(Лист2!I:I,A879)</f>
        <v>1</v>
      </c>
      <c r="C879">
        <v>1</v>
      </c>
    </row>
    <row r="880" spans="1:3" x14ac:dyDescent="0.25">
      <c r="A880" t="s">
        <v>2958</v>
      </c>
      <c r="B880">
        <f>COUNTIF(Лист2!H:H,A880)+COUNTIF(Лист2!I:I,A880)</f>
        <v>1</v>
      </c>
      <c r="C880">
        <v>1</v>
      </c>
    </row>
    <row r="881" spans="1:3" x14ac:dyDescent="0.25">
      <c r="A881" t="s">
        <v>2959</v>
      </c>
      <c r="B881">
        <f>COUNTIF(Лист2!H:H,A881)+COUNTIF(Лист2!I:I,A881)</f>
        <v>1</v>
      </c>
      <c r="C881">
        <v>1</v>
      </c>
    </row>
    <row r="882" spans="1:3" x14ac:dyDescent="0.25">
      <c r="A882" t="s">
        <v>2960</v>
      </c>
      <c r="B882">
        <f>COUNTIF(Лист2!H:H,A882)+COUNTIF(Лист2!I:I,A882)</f>
        <v>1</v>
      </c>
      <c r="C882">
        <v>1</v>
      </c>
    </row>
    <row r="883" spans="1:3" x14ac:dyDescent="0.25">
      <c r="A883" t="s">
        <v>2961</v>
      </c>
      <c r="B883">
        <f>COUNTIF(Лист2!H:H,A883)+COUNTIF(Лист2!I:I,A883)</f>
        <v>1</v>
      </c>
      <c r="C883">
        <v>1</v>
      </c>
    </row>
    <row r="884" spans="1:3" x14ac:dyDescent="0.25">
      <c r="A884" t="s">
        <v>2962</v>
      </c>
      <c r="B884">
        <f>COUNTIF(Лист2!H:H,A884)+COUNTIF(Лист2!I:I,A884)</f>
        <v>1</v>
      </c>
      <c r="C884">
        <v>1</v>
      </c>
    </row>
    <row r="885" spans="1:3" x14ac:dyDescent="0.25">
      <c r="A885" t="s">
        <v>2963</v>
      </c>
      <c r="B885">
        <f>COUNTIF(Лист2!H:H,A885)+COUNTIF(Лист2!I:I,A885)</f>
        <v>1</v>
      </c>
      <c r="C885">
        <v>1</v>
      </c>
    </row>
    <row r="886" spans="1:3" x14ac:dyDescent="0.25">
      <c r="A886" t="s">
        <v>2964</v>
      </c>
      <c r="B886">
        <f>COUNTIF(Лист2!H:H,A886)+COUNTIF(Лист2!I:I,A886)</f>
        <v>1</v>
      </c>
      <c r="C886">
        <v>1</v>
      </c>
    </row>
    <row r="887" spans="1:3" x14ac:dyDescent="0.25">
      <c r="A887" t="s">
        <v>2434</v>
      </c>
      <c r="B887">
        <f>COUNTIF(Лист2!H:H,A887)+COUNTIF(Лист2!I:I,A887)</f>
        <v>1</v>
      </c>
      <c r="C887">
        <v>1</v>
      </c>
    </row>
    <row r="888" spans="1:3" x14ac:dyDescent="0.25">
      <c r="A888" t="s">
        <v>2965</v>
      </c>
      <c r="B888">
        <f>COUNTIF(Лист2!H:H,A888)+COUNTIF(Лист2!I:I,A888)</f>
        <v>1</v>
      </c>
      <c r="C888">
        <v>1</v>
      </c>
    </row>
    <row r="889" spans="1:3" x14ac:dyDescent="0.25">
      <c r="A889" t="s">
        <v>2966</v>
      </c>
      <c r="B889">
        <f>COUNTIF(Лист2!H:H,A889)+COUNTIF(Лист2!I:I,A889)</f>
        <v>1</v>
      </c>
      <c r="C889">
        <v>1</v>
      </c>
    </row>
    <row r="890" spans="1:3" x14ac:dyDescent="0.25">
      <c r="A890" t="s">
        <v>2967</v>
      </c>
      <c r="B890">
        <f>COUNTIF(Лист2!H:H,A890)+COUNTIF(Лист2!I:I,A890)</f>
        <v>1</v>
      </c>
      <c r="C890">
        <v>1</v>
      </c>
    </row>
    <row r="891" spans="1:3" x14ac:dyDescent="0.25">
      <c r="A891" t="s">
        <v>2435</v>
      </c>
      <c r="B891">
        <f>COUNTIF(Лист2!H:H,A891)+COUNTIF(Лист2!I:I,A891)</f>
        <v>1</v>
      </c>
      <c r="C891">
        <v>1</v>
      </c>
    </row>
    <row r="892" spans="1:3" x14ac:dyDescent="0.25">
      <c r="A892" t="s">
        <v>2970</v>
      </c>
      <c r="B892">
        <f>COUNTIF(Лист2!H:H,A892)+COUNTIF(Лист2!I:I,A892)</f>
        <v>1</v>
      </c>
      <c r="C892">
        <v>1</v>
      </c>
    </row>
    <row r="893" spans="1:3" x14ac:dyDescent="0.25">
      <c r="A893" t="s">
        <v>2971</v>
      </c>
      <c r="B893">
        <f>COUNTIF(Лист2!H:H,A893)+COUNTIF(Лист2!I:I,A893)</f>
        <v>1</v>
      </c>
      <c r="C893">
        <v>1</v>
      </c>
    </row>
    <row r="894" spans="1:3" x14ac:dyDescent="0.25">
      <c r="A894" t="s">
        <v>2972</v>
      </c>
      <c r="B894">
        <f>COUNTIF(Лист2!H:H,A894)+COUNTIF(Лист2!I:I,A894)</f>
        <v>1</v>
      </c>
      <c r="C894">
        <v>1</v>
      </c>
    </row>
    <row r="895" spans="1:3" x14ac:dyDescent="0.25">
      <c r="A895" t="s">
        <v>2973</v>
      </c>
      <c r="B895">
        <f>COUNTIF(Лист2!H:H,A895)+COUNTIF(Лист2!I:I,A895)</f>
        <v>1</v>
      </c>
      <c r="C895">
        <v>1</v>
      </c>
    </row>
    <row r="896" spans="1:3" x14ac:dyDescent="0.25">
      <c r="A896" t="s">
        <v>2975</v>
      </c>
      <c r="B896">
        <f>COUNTIF(Лист2!H:H,A896)+COUNTIF(Лист2!I:I,A896)</f>
        <v>1</v>
      </c>
      <c r="C896">
        <v>1</v>
      </c>
    </row>
    <row r="897" spans="1:3" x14ac:dyDescent="0.25">
      <c r="A897" t="s">
        <v>2976</v>
      </c>
      <c r="B897">
        <f>COUNTIF(Лист2!H:H,A897)+COUNTIF(Лист2!I:I,A897)</f>
        <v>1</v>
      </c>
      <c r="C897">
        <v>1</v>
      </c>
    </row>
    <row r="898" spans="1:3" x14ac:dyDescent="0.25">
      <c r="A898" t="s">
        <v>2977</v>
      </c>
      <c r="B898">
        <f>COUNTIF(Лист2!H:H,A898)+COUNTIF(Лист2!I:I,A898)</f>
        <v>1</v>
      </c>
      <c r="C898">
        <v>1</v>
      </c>
    </row>
    <row r="899" spans="1:3" x14ac:dyDescent="0.25">
      <c r="A899" t="s">
        <v>2979</v>
      </c>
      <c r="B899">
        <f>COUNTIF(Лист2!H:H,A899)+COUNTIF(Лист2!I:I,A899)</f>
        <v>1</v>
      </c>
      <c r="C899">
        <v>1</v>
      </c>
    </row>
    <row r="900" spans="1:3" x14ac:dyDescent="0.25">
      <c r="A900" t="s">
        <v>2980</v>
      </c>
      <c r="B900">
        <f>COUNTIF(Лист2!H:H,A900)+COUNTIF(Лист2!I:I,A900)</f>
        <v>1</v>
      </c>
      <c r="C900">
        <v>1</v>
      </c>
    </row>
    <row r="901" spans="1:3" x14ac:dyDescent="0.25">
      <c r="A901" t="s">
        <v>2981</v>
      </c>
      <c r="B901">
        <f>COUNTIF(Лист2!H:H,A901)+COUNTIF(Лист2!I:I,A901)</f>
        <v>1</v>
      </c>
      <c r="C901">
        <v>1</v>
      </c>
    </row>
    <row r="902" spans="1:3" x14ac:dyDescent="0.25">
      <c r="A902" t="s">
        <v>2982</v>
      </c>
      <c r="B902">
        <f>COUNTIF(Лист2!H:H,A902)+COUNTIF(Лист2!I:I,A902)</f>
        <v>1</v>
      </c>
      <c r="C902">
        <v>1</v>
      </c>
    </row>
    <row r="903" spans="1:3" x14ac:dyDescent="0.25">
      <c r="A903" t="s">
        <v>2983</v>
      </c>
      <c r="B903">
        <f>COUNTIF(Лист2!H:H,A903)+COUNTIF(Лист2!I:I,A903)</f>
        <v>1</v>
      </c>
      <c r="C903">
        <v>1</v>
      </c>
    </row>
    <row r="904" spans="1:3" x14ac:dyDescent="0.25">
      <c r="A904" t="s">
        <v>2984</v>
      </c>
      <c r="B904">
        <f>COUNTIF(Лист2!H:H,A904)+COUNTIF(Лист2!I:I,A904)</f>
        <v>1</v>
      </c>
      <c r="C904">
        <v>1</v>
      </c>
    </row>
    <row r="905" spans="1:3" x14ac:dyDescent="0.25">
      <c r="A905" t="s">
        <v>2985</v>
      </c>
      <c r="B905">
        <f>COUNTIF(Лист2!H:H,A905)+COUNTIF(Лист2!I:I,A905)</f>
        <v>1</v>
      </c>
      <c r="C905">
        <v>1</v>
      </c>
    </row>
    <row r="906" spans="1:3" x14ac:dyDescent="0.25">
      <c r="A906" t="s">
        <v>2986</v>
      </c>
      <c r="B906">
        <f>COUNTIF(Лист2!H:H,A906)+COUNTIF(Лист2!I:I,A906)</f>
        <v>1</v>
      </c>
      <c r="C906">
        <v>1</v>
      </c>
    </row>
    <row r="907" spans="1:3" x14ac:dyDescent="0.25">
      <c r="A907" t="s">
        <v>2987</v>
      </c>
      <c r="B907">
        <f>COUNTIF(Лист2!H:H,A907)+COUNTIF(Лист2!I:I,A907)</f>
        <v>1</v>
      </c>
      <c r="C907">
        <v>1</v>
      </c>
    </row>
    <row r="908" spans="1:3" x14ac:dyDescent="0.25">
      <c r="A908" t="s">
        <v>2988</v>
      </c>
      <c r="B908">
        <f>COUNTIF(Лист2!H:H,A908)+COUNTIF(Лист2!I:I,A908)</f>
        <v>1</v>
      </c>
      <c r="C908">
        <v>1</v>
      </c>
    </row>
    <row r="909" spans="1:3" x14ac:dyDescent="0.25">
      <c r="A909" t="s">
        <v>2989</v>
      </c>
      <c r="B909">
        <f>COUNTIF(Лист2!H:H,A909)+COUNTIF(Лист2!I:I,A909)</f>
        <v>1</v>
      </c>
      <c r="C909">
        <v>1</v>
      </c>
    </row>
    <row r="910" spans="1:3" x14ac:dyDescent="0.25">
      <c r="A910" t="s">
        <v>2990</v>
      </c>
      <c r="B910">
        <f>COUNTIF(Лист2!H:H,A910)+COUNTIF(Лист2!I:I,A910)</f>
        <v>1</v>
      </c>
      <c r="C910">
        <v>1</v>
      </c>
    </row>
    <row r="911" spans="1:3" x14ac:dyDescent="0.25">
      <c r="A911" t="s">
        <v>2437</v>
      </c>
      <c r="B911">
        <f>COUNTIF(Лист2!H:H,A911)+COUNTIF(Лист2!I:I,A911)</f>
        <v>1</v>
      </c>
      <c r="C911">
        <v>1</v>
      </c>
    </row>
    <row r="912" spans="1:3" x14ac:dyDescent="0.25">
      <c r="A912" t="s">
        <v>2991</v>
      </c>
      <c r="B912">
        <f>COUNTIF(Лист2!H:H,A912)+COUNTIF(Лист2!I:I,A912)</f>
        <v>1</v>
      </c>
      <c r="C912">
        <v>1</v>
      </c>
    </row>
    <row r="913" spans="1:3" x14ac:dyDescent="0.25">
      <c r="A913" t="s">
        <v>2993</v>
      </c>
      <c r="B913">
        <f>COUNTIF(Лист2!H:H,A913)+COUNTIF(Лист2!I:I,A913)</f>
        <v>1</v>
      </c>
      <c r="C913">
        <v>1</v>
      </c>
    </row>
    <row r="914" spans="1:3" x14ac:dyDescent="0.25">
      <c r="A914" t="s">
        <v>2995</v>
      </c>
      <c r="B914">
        <f>COUNTIF(Лист2!H:H,A914)+COUNTIF(Лист2!I:I,A914)</f>
        <v>1</v>
      </c>
      <c r="C914">
        <v>1</v>
      </c>
    </row>
    <row r="915" spans="1:3" x14ac:dyDescent="0.25">
      <c r="A915" t="s">
        <v>2996</v>
      </c>
      <c r="B915">
        <f>COUNTIF(Лист2!H:H,A915)+COUNTIF(Лист2!I:I,A915)</f>
        <v>1</v>
      </c>
      <c r="C915">
        <v>1</v>
      </c>
    </row>
    <row r="916" spans="1:3" x14ac:dyDescent="0.25">
      <c r="A916" t="s">
        <v>2997</v>
      </c>
      <c r="B916">
        <f>COUNTIF(Лист2!H:H,A916)+COUNTIF(Лист2!I:I,A916)</f>
        <v>1</v>
      </c>
      <c r="C916">
        <v>1</v>
      </c>
    </row>
    <row r="917" spans="1:3" x14ac:dyDescent="0.25">
      <c r="A917" t="s">
        <v>2998</v>
      </c>
      <c r="B917">
        <f>COUNTIF(Лист2!H:H,A917)+COUNTIF(Лист2!I:I,A917)</f>
        <v>1</v>
      </c>
      <c r="C917">
        <v>1</v>
      </c>
    </row>
    <row r="918" spans="1:3" x14ac:dyDescent="0.25">
      <c r="A918" t="s">
        <v>2999</v>
      </c>
      <c r="B918">
        <f>COUNTIF(Лист2!H:H,A918)+COUNTIF(Лист2!I:I,A918)</f>
        <v>1</v>
      </c>
      <c r="C918">
        <v>1</v>
      </c>
    </row>
    <row r="919" spans="1:3" x14ac:dyDescent="0.25">
      <c r="A919" t="s">
        <v>2438</v>
      </c>
      <c r="B919">
        <f>COUNTIF(Лист2!H:H,A919)+COUNTIF(Лист2!I:I,A919)</f>
        <v>1</v>
      </c>
      <c r="C919">
        <v>1</v>
      </c>
    </row>
    <row r="920" spans="1:3" x14ac:dyDescent="0.25">
      <c r="A920" t="s">
        <v>3000</v>
      </c>
      <c r="B920">
        <f>COUNTIF(Лист2!H:H,A920)+COUNTIF(Лист2!I:I,A920)</f>
        <v>1</v>
      </c>
      <c r="C920">
        <v>1</v>
      </c>
    </row>
    <row r="921" spans="1:3" x14ac:dyDescent="0.25">
      <c r="A921" t="s">
        <v>3001</v>
      </c>
      <c r="B921">
        <f>COUNTIF(Лист2!H:H,A921)+COUNTIF(Лист2!I:I,A921)</f>
        <v>1</v>
      </c>
      <c r="C921">
        <v>1</v>
      </c>
    </row>
    <row r="922" spans="1:3" x14ac:dyDescent="0.25">
      <c r="A922" t="s">
        <v>3002</v>
      </c>
      <c r="B922">
        <f>COUNTIF(Лист2!H:H,A922)+COUNTIF(Лист2!I:I,A922)</f>
        <v>1</v>
      </c>
      <c r="C922">
        <v>1</v>
      </c>
    </row>
    <row r="923" spans="1:3" x14ac:dyDescent="0.25">
      <c r="A923" t="s">
        <v>3003</v>
      </c>
      <c r="B923">
        <f>COUNTIF(Лист2!H:H,A923)+COUNTIF(Лист2!I:I,A923)</f>
        <v>1</v>
      </c>
      <c r="C923">
        <v>1</v>
      </c>
    </row>
    <row r="924" spans="1:3" x14ac:dyDescent="0.25">
      <c r="A924" t="s">
        <v>3004</v>
      </c>
      <c r="B924">
        <f>COUNTIF(Лист2!H:H,A924)+COUNTIF(Лист2!I:I,A924)</f>
        <v>1</v>
      </c>
      <c r="C924">
        <v>1</v>
      </c>
    </row>
    <row r="925" spans="1:3" x14ac:dyDescent="0.25">
      <c r="A925" t="s">
        <v>3006</v>
      </c>
      <c r="B925">
        <f>COUNTIF(Лист2!H:H,A925)+COUNTIF(Лист2!I:I,A925)</f>
        <v>1</v>
      </c>
      <c r="C925">
        <v>1</v>
      </c>
    </row>
    <row r="926" spans="1:3" x14ac:dyDescent="0.25">
      <c r="A926" t="s">
        <v>3007</v>
      </c>
      <c r="B926">
        <f>COUNTIF(Лист2!H:H,A926)+COUNTIF(Лист2!I:I,A926)</f>
        <v>1</v>
      </c>
      <c r="C926">
        <v>1</v>
      </c>
    </row>
    <row r="927" spans="1:3" x14ac:dyDescent="0.25">
      <c r="A927" t="s">
        <v>3008</v>
      </c>
      <c r="B927">
        <f>COUNTIF(Лист2!H:H,A927)+COUNTIF(Лист2!I:I,A927)</f>
        <v>1</v>
      </c>
      <c r="C927">
        <v>1</v>
      </c>
    </row>
    <row r="928" spans="1:3" x14ac:dyDescent="0.25">
      <c r="A928" t="s">
        <v>3009</v>
      </c>
      <c r="B928">
        <f>COUNTIF(Лист2!H:H,A928)+COUNTIF(Лист2!I:I,A928)</f>
        <v>1</v>
      </c>
      <c r="C928">
        <v>1</v>
      </c>
    </row>
    <row r="929" spans="1:3" x14ac:dyDescent="0.25">
      <c r="A929" t="s">
        <v>3010</v>
      </c>
      <c r="B929">
        <f>COUNTIF(Лист2!H:H,A929)+COUNTIF(Лист2!I:I,A929)</f>
        <v>1</v>
      </c>
      <c r="C929">
        <v>1</v>
      </c>
    </row>
    <row r="930" spans="1:3" x14ac:dyDescent="0.25">
      <c r="A930" t="s">
        <v>3012</v>
      </c>
      <c r="B930">
        <f>COUNTIF(Лист2!H:H,A930)+COUNTIF(Лист2!I:I,A930)</f>
        <v>1</v>
      </c>
      <c r="C930">
        <v>1</v>
      </c>
    </row>
    <row r="931" spans="1:3" x14ac:dyDescent="0.25">
      <c r="A931" t="s">
        <v>3013</v>
      </c>
      <c r="B931">
        <f>COUNTIF(Лист2!H:H,A931)+COUNTIF(Лист2!I:I,A931)</f>
        <v>1</v>
      </c>
      <c r="C931">
        <v>1</v>
      </c>
    </row>
    <row r="932" spans="1:3" x14ac:dyDescent="0.25">
      <c r="A932" t="s">
        <v>2440</v>
      </c>
      <c r="B932">
        <f>COUNTIF(Лист2!H:H,A932)+COUNTIF(Лист2!I:I,A932)</f>
        <v>1</v>
      </c>
      <c r="C932">
        <v>1</v>
      </c>
    </row>
    <row r="933" spans="1:3" x14ac:dyDescent="0.25">
      <c r="A933" t="s">
        <v>3015</v>
      </c>
      <c r="B933">
        <f>COUNTIF(Лист2!H:H,A933)+COUNTIF(Лист2!I:I,A933)</f>
        <v>1</v>
      </c>
      <c r="C933">
        <v>1</v>
      </c>
    </row>
    <row r="934" spans="1:3" x14ac:dyDescent="0.25">
      <c r="A934" t="s">
        <v>2441</v>
      </c>
      <c r="B934">
        <f>COUNTIF(Лист2!H:H,A934)+COUNTIF(Лист2!I:I,A934)</f>
        <v>1</v>
      </c>
      <c r="C934">
        <v>1</v>
      </c>
    </row>
    <row r="935" spans="1:3" x14ac:dyDescent="0.25">
      <c r="A935" t="s">
        <v>3016</v>
      </c>
      <c r="B935">
        <f>COUNTIF(Лист2!H:H,A935)+COUNTIF(Лист2!I:I,A935)</f>
        <v>1</v>
      </c>
      <c r="C935">
        <v>1</v>
      </c>
    </row>
    <row r="936" spans="1:3" x14ac:dyDescent="0.25">
      <c r="A936" t="s">
        <v>3017</v>
      </c>
      <c r="B936">
        <f>COUNTIF(Лист2!H:H,A936)+COUNTIF(Лист2!I:I,A936)</f>
        <v>1</v>
      </c>
      <c r="C936">
        <v>1</v>
      </c>
    </row>
    <row r="937" spans="1:3" x14ac:dyDescent="0.25">
      <c r="A937" t="s">
        <v>3018</v>
      </c>
      <c r="B937">
        <f>COUNTIF(Лист2!H:H,A937)+COUNTIF(Лист2!I:I,A937)</f>
        <v>1</v>
      </c>
      <c r="C937">
        <v>1</v>
      </c>
    </row>
    <row r="938" spans="1:3" x14ac:dyDescent="0.25">
      <c r="A938" t="s">
        <v>3019</v>
      </c>
      <c r="B938">
        <f>COUNTIF(Лист2!H:H,A938)+COUNTIF(Лист2!I:I,A938)</f>
        <v>1</v>
      </c>
      <c r="C938">
        <v>1</v>
      </c>
    </row>
    <row r="939" spans="1:3" x14ac:dyDescent="0.25">
      <c r="A939" t="s">
        <v>3020</v>
      </c>
      <c r="B939">
        <f>COUNTIF(Лист2!H:H,A939)+COUNTIF(Лист2!I:I,A939)</f>
        <v>1</v>
      </c>
      <c r="C939">
        <v>1</v>
      </c>
    </row>
    <row r="940" spans="1:3" x14ac:dyDescent="0.25">
      <c r="A940" t="s">
        <v>2442</v>
      </c>
      <c r="B940">
        <f>COUNTIF(Лист2!H:H,A940)+COUNTIF(Лист2!I:I,A940)</f>
        <v>1</v>
      </c>
      <c r="C940">
        <v>1</v>
      </c>
    </row>
    <row r="941" spans="1:3" x14ac:dyDescent="0.25">
      <c r="A941" t="s">
        <v>2443</v>
      </c>
      <c r="B941">
        <f>COUNTIF(Лист2!H:H,A941)+COUNTIF(Лист2!I:I,A941)</f>
        <v>1</v>
      </c>
      <c r="C941">
        <v>1</v>
      </c>
    </row>
    <row r="942" spans="1:3" x14ac:dyDescent="0.25">
      <c r="A942" t="s">
        <v>3021</v>
      </c>
      <c r="B942">
        <f>COUNTIF(Лист2!H:H,A942)+COUNTIF(Лист2!I:I,A942)</f>
        <v>1</v>
      </c>
      <c r="C942">
        <v>1</v>
      </c>
    </row>
    <row r="943" spans="1:3" x14ac:dyDescent="0.25">
      <c r="A943" t="s">
        <v>3022</v>
      </c>
      <c r="B943">
        <f>COUNTIF(Лист2!H:H,A943)+COUNTIF(Лист2!I:I,A943)</f>
        <v>1</v>
      </c>
      <c r="C943">
        <v>1</v>
      </c>
    </row>
    <row r="944" spans="1:3" x14ac:dyDescent="0.25">
      <c r="A944" t="s">
        <v>3025</v>
      </c>
      <c r="B944">
        <f>COUNTIF(Лист2!H:H,A944)+COUNTIF(Лист2!I:I,A944)</f>
        <v>1</v>
      </c>
      <c r="C944">
        <v>1</v>
      </c>
    </row>
    <row r="945" spans="1:3" x14ac:dyDescent="0.25">
      <c r="A945" t="s">
        <v>3026</v>
      </c>
      <c r="B945">
        <f>COUNTIF(Лист2!H:H,A945)+COUNTIF(Лист2!I:I,A945)</f>
        <v>1</v>
      </c>
      <c r="C945">
        <v>1</v>
      </c>
    </row>
    <row r="946" spans="1:3" x14ac:dyDescent="0.25">
      <c r="A946" t="s">
        <v>3027</v>
      </c>
      <c r="B946">
        <f>COUNTIF(Лист2!H:H,A946)+COUNTIF(Лист2!I:I,A946)</f>
        <v>1</v>
      </c>
      <c r="C946">
        <v>1</v>
      </c>
    </row>
    <row r="947" spans="1:3" x14ac:dyDescent="0.25">
      <c r="A947" t="s">
        <v>3028</v>
      </c>
      <c r="B947">
        <f>COUNTIF(Лист2!H:H,A947)+COUNTIF(Лист2!I:I,A947)</f>
        <v>1</v>
      </c>
      <c r="C947">
        <v>1</v>
      </c>
    </row>
    <row r="948" spans="1:3" x14ac:dyDescent="0.25">
      <c r="A948" t="s">
        <v>3030</v>
      </c>
      <c r="B948">
        <f>COUNTIF(Лист2!H:H,A948)+COUNTIF(Лист2!I:I,A948)</f>
        <v>1</v>
      </c>
      <c r="C948">
        <v>1</v>
      </c>
    </row>
    <row r="949" spans="1:3" x14ac:dyDescent="0.25">
      <c r="A949" t="s">
        <v>3031</v>
      </c>
      <c r="B949">
        <f>COUNTIF(Лист2!H:H,A949)+COUNTIF(Лист2!I:I,A949)</f>
        <v>1</v>
      </c>
      <c r="C949">
        <v>1</v>
      </c>
    </row>
    <row r="950" spans="1:3" x14ac:dyDescent="0.25">
      <c r="A950" t="s">
        <v>3032</v>
      </c>
      <c r="B950">
        <f>COUNTIF(Лист2!H:H,A950)+COUNTIF(Лист2!I:I,A950)</f>
        <v>1</v>
      </c>
      <c r="C950">
        <v>1</v>
      </c>
    </row>
    <row r="951" spans="1:3" x14ac:dyDescent="0.25">
      <c r="A951" t="s">
        <v>3033</v>
      </c>
      <c r="B951">
        <f>COUNTIF(Лист2!H:H,A951)+COUNTIF(Лист2!I:I,A951)</f>
        <v>1</v>
      </c>
      <c r="C951">
        <v>1</v>
      </c>
    </row>
    <row r="952" spans="1:3" x14ac:dyDescent="0.25">
      <c r="A952" t="s">
        <v>3034</v>
      </c>
      <c r="B952">
        <f>COUNTIF(Лист2!H:H,A952)+COUNTIF(Лист2!I:I,A952)</f>
        <v>1</v>
      </c>
      <c r="C952">
        <v>1</v>
      </c>
    </row>
    <row r="953" spans="1:3" x14ac:dyDescent="0.25">
      <c r="A953" t="s">
        <v>3036</v>
      </c>
      <c r="B953">
        <f>COUNTIF(Лист2!H:H,A953)+COUNTIF(Лист2!I:I,A953)</f>
        <v>1</v>
      </c>
      <c r="C953">
        <v>1</v>
      </c>
    </row>
    <row r="954" spans="1:3" x14ac:dyDescent="0.25">
      <c r="A954" t="s">
        <v>3037</v>
      </c>
      <c r="B954">
        <f>COUNTIF(Лист2!H:H,A954)+COUNTIF(Лист2!I:I,A954)</f>
        <v>1</v>
      </c>
      <c r="C954">
        <v>1</v>
      </c>
    </row>
    <row r="955" spans="1:3" x14ac:dyDescent="0.25">
      <c r="A955" t="s">
        <v>2447</v>
      </c>
      <c r="B955">
        <f>COUNTIF(Лист2!H:H,A955)+COUNTIF(Лист2!I:I,A955)</f>
        <v>1</v>
      </c>
      <c r="C955">
        <v>1</v>
      </c>
    </row>
    <row r="956" spans="1:3" x14ac:dyDescent="0.25">
      <c r="A956" t="s">
        <v>3039</v>
      </c>
      <c r="B956">
        <f>COUNTIF(Лист2!H:H,A956)+COUNTIF(Лист2!I:I,A956)</f>
        <v>1</v>
      </c>
      <c r="C956">
        <v>1</v>
      </c>
    </row>
    <row r="957" spans="1:3" x14ac:dyDescent="0.25">
      <c r="A957" t="s">
        <v>3040</v>
      </c>
      <c r="B957">
        <f>COUNTIF(Лист2!H:H,A957)+COUNTIF(Лист2!I:I,A957)</f>
        <v>1</v>
      </c>
      <c r="C957">
        <v>1</v>
      </c>
    </row>
    <row r="958" spans="1:3" x14ac:dyDescent="0.25">
      <c r="A958" t="s">
        <v>3041</v>
      </c>
      <c r="B958">
        <f>COUNTIF(Лист2!H:H,A958)+COUNTIF(Лист2!I:I,A958)</f>
        <v>1</v>
      </c>
      <c r="C958">
        <v>1</v>
      </c>
    </row>
    <row r="959" spans="1:3" x14ac:dyDescent="0.25">
      <c r="A959" t="s">
        <v>2449</v>
      </c>
      <c r="B959">
        <f>COUNTIF(Лист2!H:H,A959)+COUNTIF(Лист2!I:I,A959)</f>
        <v>1</v>
      </c>
      <c r="C959">
        <v>1</v>
      </c>
    </row>
    <row r="960" spans="1:3" x14ac:dyDescent="0.25">
      <c r="A960" t="s">
        <v>3042</v>
      </c>
      <c r="B960">
        <f>COUNTIF(Лист2!H:H,A960)+COUNTIF(Лист2!I:I,A960)</f>
        <v>1</v>
      </c>
      <c r="C960">
        <v>1</v>
      </c>
    </row>
    <row r="961" spans="1:3" x14ac:dyDescent="0.25">
      <c r="A961" t="s">
        <v>3043</v>
      </c>
      <c r="B961">
        <f>COUNTIF(Лист2!H:H,A961)+COUNTIF(Лист2!I:I,A961)</f>
        <v>1</v>
      </c>
      <c r="C961">
        <v>1</v>
      </c>
    </row>
    <row r="962" spans="1:3" x14ac:dyDescent="0.25">
      <c r="A962" t="s">
        <v>3044</v>
      </c>
      <c r="B962">
        <f>COUNTIF(Лист2!H:H,A962)+COUNTIF(Лист2!I:I,A962)</f>
        <v>1</v>
      </c>
      <c r="C962">
        <v>1</v>
      </c>
    </row>
    <row r="963" spans="1:3" x14ac:dyDescent="0.25">
      <c r="A963" t="s">
        <v>3045</v>
      </c>
      <c r="B963">
        <f>COUNTIF(Лист2!H:H,A963)+COUNTIF(Лист2!I:I,A963)</f>
        <v>1</v>
      </c>
      <c r="C963">
        <v>1</v>
      </c>
    </row>
    <row r="964" spans="1:3" x14ac:dyDescent="0.25">
      <c r="A964" t="s">
        <v>3046</v>
      </c>
      <c r="B964">
        <f>COUNTIF(Лист2!H:H,A964)+COUNTIF(Лист2!I:I,A964)</f>
        <v>1</v>
      </c>
      <c r="C964">
        <v>1</v>
      </c>
    </row>
    <row r="965" spans="1:3" x14ac:dyDescent="0.25">
      <c r="A965" t="s">
        <v>3047</v>
      </c>
      <c r="B965">
        <f>COUNTIF(Лист2!H:H,A965)+COUNTIF(Лист2!I:I,A965)</f>
        <v>1</v>
      </c>
      <c r="C965">
        <v>1</v>
      </c>
    </row>
    <row r="966" spans="1:3" x14ac:dyDescent="0.25">
      <c r="A966" t="s">
        <v>3048</v>
      </c>
      <c r="B966">
        <f>COUNTIF(Лист2!H:H,A966)+COUNTIF(Лист2!I:I,A966)</f>
        <v>1</v>
      </c>
      <c r="C966">
        <v>1</v>
      </c>
    </row>
    <row r="967" spans="1:3" x14ac:dyDescent="0.25">
      <c r="A967" t="s">
        <v>3049</v>
      </c>
      <c r="B967">
        <f>COUNTIF(Лист2!H:H,A967)+COUNTIF(Лист2!I:I,A967)</f>
        <v>1</v>
      </c>
      <c r="C967">
        <v>1</v>
      </c>
    </row>
    <row r="968" spans="1:3" x14ac:dyDescent="0.25">
      <c r="A968" t="s">
        <v>2450</v>
      </c>
      <c r="B968">
        <f>COUNTIF(Лист2!H:H,A968)+COUNTIF(Лист2!I:I,A968)</f>
        <v>1</v>
      </c>
      <c r="C968">
        <v>1</v>
      </c>
    </row>
    <row r="969" spans="1:3" x14ac:dyDescent="0.25">
      <c r="A969" t="s">
        <v>3050</v>
      </c>
      <c r="B969">
        <f>COUNTIF(Лист2!H:H,A969)+COUNTIF(Лист2!I:I,A969)</f>
        <v>1</v>
      </c>
      <c r="C969">
        <v>1</v>
      </c>
    </row>
    <row r="970" spans="1:3" x14ac:dyDescent="0.25">
      <c r="A970" t="s">
        <v>2451</v>
      </c>
      <c r="B970">
        <f>COUNTIF(Лист2!H:H,A970)+COUNTIF(Лист2!I:I,A970)</f>
        <v>1</v>
      </c>
      <c r="C970">
        <v>1</v>
      </c>
    </row>
    <row r="971" spans="1:3" x14ac:dyDescent="0.25">
      <c r="A971" t="s">
        <v>3051</v>
      </c>
      <c r="B971">
        <f>COUNTIF(Лист2!H:H,A971)+COUNTIF(Лист2!I:I,A971)</f>
        <v>1</v>
      </c>
      <c r="C971">
        <v>1</v>
      </c>
    </row>
    <row r="972" spans="1:3" x14ac:dyDescent="0.25">
      <c r="A972" t="s">
        <v>3052</v>
      </c>
      <c r="B972">
        <f>COUNTIF(Лист2!H:H,A972)+COUNTIF(Лист2!I:I,A972)</f>
        <v>1</v>
      </c>
      <c r="C972">
        <v>1</v>
      </c>
    </row>
    <row r="973" spans="1:3" x14ac:dyDescent="0.25">
      <c r="A973" t="s">
        <v>3053</v>
      </c>
      <c r="B973">
        <f>COUNTIF(Лист2!H:H,A973)+COUNTIF(Лист2!I:I,A973)</f>
        <v>1</v>
      </c>
      <c r="C973">
        <v>1</v>
      </c>
    </row>
    <row r="974" spans="1:3" x14ac:dyDescent="0.25">
      <c r="A974" t="s">
        <v>2452</v>
      </c>
      <c r="B974">
        <f>COUNTIF(Лист2!H:H,A974)+COUNTIF(Лист2!I:I,A974)</f>
        <v>1</v>
      </c>
      <c r="C974">
        <v>1</v>
      </c>
    </row>
    <row r="975" spans="1:3" x14ac:dyDescent="0.25">
      <c r="A975" t="s">
        <v>3054</v>
      </c>
      <c r="B975">
        <f>COUNTIF(Лист2!H:H,A975)+COUNTIF(Лист2!I:I,A975)</f>
        <v>1</v>
      </c>
      <c r="C975">
        <v>1</v>
      </c>
    </row>
    <row r="976" spans="1:3" x14ac:dyDescent="0.25">
      <c r="A976" t="s">
        <v>3055</v>
      </c>
      <c r="B976">
        <f>COUNTIF(Лист2!H:H,A976)+COUNTIF(Лист2!I:I,A976)</f>
        <v>1</v>
      </c>
      <c r="C976">
        <v>1</v>
      </c>
    </row>
    <row r="977" spans="1:3" x14ac:dyDescent="0.25">
      <c r="A977" t="s">
        <v>3057</v>
      </c>
      <c r="B977">
        <f>COUNTIF(Лист2!H:H,A977)+COUNTIF(Лист2!I:I,A977)</f>
        <v>1</v>
      </c>
      <c r="C977">
        <v>1</v>
      </c>
    </row>
    <row r="978" spans="1:3" x14ac:dyDescent="0.25">
      <c r="A978" t="s">
        <v>3058</v>
      </c>
      <c r="B978">
        <f>COUNTIF(Лист2!H:H,A978)+COUNTIF(Лист2!I:I,A978)</f>
        <v>1</v>
      </c>
      <c r="C978">
        <v>1</v>
      </c>
    </row>
    <row r="979" spans="1:3" x14ac:dyDescent="0.25">
      <c r="A979" t="s">
        <v>3059</v>
      </c>
      <c r="B979">
        <f>COUNTIF(Лист2!H:H,A979)+COUNTIF(Лист2!I:I,A979)</f>
        <v>1</v>
      </c>
      <c r="C979">
        <v>1</v>
      </c>
    </row>
    <row r="980" spans="1:3" x14ac:dyDescent="0.25">
      <c r="A980" t="s">
        <v>3060</v>
      </c>
      <c r="B980">
        <f>COUNTIF(Лист2!H:H,A980)+COUNTIF(Лист2!I:I,A980)</f>
        <v>1</v>
      </c>
      <c r="C980">
        <v>1</v>
      </c>
    </row>
    <row r="981" spans="1:3" x14ac:dyDescent="0.25">
      <c r="A981" t="s">
        <v>3061</v>
      </c>
      <c r="B981">
        <f>COUNTIF(Лист2!H:H,A981)+COUNTIF(Лист2!I:I,A981)</f>
        <v>1</v>
      </c>
      <c r="C981">
        <v>1</v>
      </c>
    </row>
    <row r="982" spans="1:3" x14ac:dyDescent="0.25">
      <c r="A982" t="s">
        <v>3062</v>
      </c>
      <c r="B982">
        <f>COUNTIF(Лист2!H:H,A982)+COUNTIF(Лист2!I:I,A982)</f>
        <v>1</v>
      </c>
      <c r="C982">
        <v>1</v>
      </c>
    </row>
    <row r="983" spans="1:3" x14ac:dyDescent="0.25">
      <c r="A983" t="s">
        <v>3063</v>
      </c>
      <c r="B983">
        <f>COUNTIF(Лист2!H:H,A983)+COUNTIF(Лист2!I:I,A983)</f>
        <v>1</v>
      </c>
      <c r="C983">
        <v>1</v>
      </c>
    </row>
    <row r="984" spans="1:3" x14ac:dyDescent="0.25">
      <c r="A984" t="s">
        <v>3064</v>
      </c>
      <c r="B984">
        <f>COUNTIF(Лист2!H:H,A984)+COUNTIF(Лист2!I:I,A984)</f>
        <v>1</v>
      </c>
      <c r="C984">
        <v>1</v>
      </c>
    </row>
    <row r="985" spans="1:3" x14ac:dyDescent="0.25">
      <c r="A985" t="s">
        <v>2454</v>
      </c>
      <c r="B985">
        <f>COUNTIF(Лист2!H:H,A985)+COUNTIF(Лист2!I:I,A985)</f>
        <v>1</v>
      </c>
      <c r="C985">
        <v>1</v>
      </c>
    </row>
    <row r="986" spans="1:3" x14ac:dyDescent="0.25">
      <c r="A986" t="s">
        <v>3065</v>
      </c>
      <c r="B986">
        <f>COUNTIF(Лист2!H:H,A986)+COUNTIF(Лист2!I:I,A986)</f>
        <v>1</v>
      </c>
      <c r="C986">
        <v>1</v>
      </c>
    </row>
    <row r="987" spans="1:3" x14ac:dyDescent="0.25">
      <c r="A987" t="s">
        <v>3066</v>
      </c>
      <c r="B987">
        <f>COUNTIF(Лист2!H:H,A987)+COUNTIF(Лист2!I:I,A987)</f>
        <v>1</v>
      </c>
      <c r="C987">
        <v>1</v>
      </c>
    </row>
    <row r="988" spans="1:3" x14ac:dyDescent="0.25">
      <c r="A988" t="s">
        <v>3067</v>
      </c>
      <c r="B988">
        <f>COUNTIF(Лист2!H:H,A988)+COUNTIF(Лист2!I:I,A988)</f>
        <v>1</v>
      </c>
      <c r="C988">
        <v>1</v>
      </c>
    </row>
    <row r="989" spans="1:3" x14ac:dyDescent="0.25">
      <c r="A989" t="s">
        <v>3068</v>
      </c>
      <c r="B989">
        <f>COUNTIF(Лист2!H:H,A989)+COUNTIF(Лист2!I:I,A989)</f>
        <v>1</v>
      </c>
      <c r="C989">
        <v>1</v>
      </c>
    </row>
    <row r="990" spans="1:3" x14ac:dyDescent="0.25">
      <c r="A990" t="s">
        <v>2457</v>
      </c>
      <c r="B990">
        <f>COUNTIF(Лист2!H:H,A990)+COUNTIF(Лист2!I:I,A990)</f>
        <v>1</v>
      </c>
      <c r="C990">
        <v>1</v>
      </c>
    </row>
    <row r="991" spans="1:3" x14ac:dyDescent="0.25">
      <c r="A991" t="s">
        <v>3069</v>
      </c>
      <c r="B991">
        <f>COUNTIF(Лист2!H:H,A991)+COUNTIF(Лист2!I:I,A991)</f>
        <v>1</v>
      </c>
      <c r="C991">
        <v>1</v>
      </c>
    </row>
    <row r="992" spans="1:3" x14ac:dyDescent="0.25">
      <c r="A992" t="s">
        <v>3070</v>
      </c>
      <c r="B992">
        <f>COUNTIF(Лист2!H:H,A992)+COUNTIF(Лист2!I:I,A992)</f>
        <v>1</v>
      </c>
      <c r="C992">
        <v>1</v>
      </c>
    </row>
    <row r="993" spans="1:3" x14ac:dyDescent="0.25">
      <c r="A993" t="s">
        <v>3071</v>
      </c>
      <c r="B993">
        <f>COUNTIF(Лист2!H:H,A993)+COUNTIF(Лист2!I:I,A993)</f>
        <v>1</v>
      </c>
      <c r="C993">
        <v>1</v>
      </c>
    </row>
    <row r="994" spans="1:3" x14ac:dyDescent="0.25">
      <c r="A994" t="s">
        <v>3072</v>
      </c>
      <c r="B994">
        <f>COUNTIF(Лист2!H:H,A994)+COUNTIF(Лист2!I:I,A994)</f>
        <v>1</v>
      </c>
      <c r="C994">
        <v>1</v>
      </c>
    </row>
    <row r="995" spans="1:3" x14ac:dyDescent="0.25">
      <c r="A995" t="s">
        <v>3073</v>
      </c>
      <c r="B995">
        <f>COUNTIF(Лист2!H:H,A995)+COUNTIF(Лист2!I:I,A995)</f>
        <v>1</v>
      </c>
      <c r="C995">
        <v>1</v>
      </c>
    </row>
    <row r="996" spans="1:3" x14ac:dyDescent="0.25">
      <c r="A996" t="s">
        <v>3074</v>
      </c>
      <c r="B996">
        <f>COUNTIF(Лист2!H:H,A996)+COUNTIF(Лист2!I:I,A996)</f>
        <v>1</v>
      </c>
      <c r="C996">
        <v>1</v>
      </c>
    </row>
    <row r="997" spans="1:3" x14ac:dyDescent="0.25">
      <c r="A997" t="s">
        <v>3076</v>
      </c>
      <c r="B997">
        <f>COUNTIF(Лист2!H:H,A997)+COUNTIF(Лист2!I:I,A997)</f>
        <v>1</v>
      </c>
      <c r="C997">
        <v>1</v>
      </c>
    </row>
    <row r="998" spans="1:3" x14ac:dyDescent="0.25">
      <c r="A998" t="s">
        <v>3075</v>
      </c>
      <c r="B998">
        <f>COUNTIF(Лист2!H:H,A998)+COUNTIF(Лист2!I:I,A998)</f>
        <v>1</v>
      </c>
      <c r="C998">
        <v>1</v>
      </c>
    </row>
    <row r="999" spans="1:3" x14ac:dyDescent="0.25">
      <c r="A999" t="s">
        <v>3077</v>
      </c>
      <c r="B999">
        <f>COUNTIF(Лист2!H:H,A999)+COUNTIF(Лист2!I:I,A999)</f>
        <v>1</v>
      </c>
      <c r="C999">
        <v>1</v>
      </c>
    </row>
    <row r="1000" spans="1:3" x14ac:dyDescent="0.25">
      <c r="A1000" t="s">
        <v>3078</v>
      </c>
      <c r="B1000">
        <f>COUNTIF(Лист2!H:H,A1000)+COUNTIF(Лист2!I:I,A1000)</f>
        <v>1</v>
      </c>
      <c r="C1000">
        <v>1</v>
      </c>
    </row>
    <row r="1001" spans="1:3" x14ac:dyDescent="0.25">
      <c r="A1001" t="s">
        <v>3079</v>
      </c>
      <c r="B1001">
        <f>COUNTIF(Лист2!H:H,A1001)+COUNTIF(Лист2!I:I,A1001)</f>
        <v>1</v>
      </c>
      <c r="C1001">
        <v>1</v>
      </c>
    </row>
    <row r="1002" spans="1:3" x14ac:dyDescent="0.25">
      <c r="A1002" t="s">
        <v>2460</v>
      </c>
      <c r="B1002">
        <f>COUNTIF(Лист2!H:H,A1002)+COUNTIF(Лист2!I:I,A1002)</f>
        <v>1</v>
      </c>
      <c r="C1002">
        <v>1</v>
      </c>
    </row>
    <row r="1003" spans="1:3" x14ac:dyDescent="0.25">
      <c r="A1003" t="s">
        <v>3080</v>
      </c>
      <c r="B1003">
        <f>COUNTIF(Лист2!H:H,A1003)+COUNTIF(Лист2!I:I,A1003)</f>
        <v>1</v>
      </c>
      <c r="C1003">
        <v>1</v>
      </c>
    </row>
    <row r="1004" spans="1:3" x14ac:dyDescent="0.25">
      <c r="A1004" t="s">
        <v>3081</v>
      </c>
      <c r="B1004">
        <f>COUNTIF(Лист2!H:H,A1004)+COUNTIF(Лист2!I:I,A1004)</f>
        <v>1</v>
      </c>
      <c r="C1004">
        <v>1</v>
      </c>
    </row>
    <row r="1005" spans="1:3" x14ac:dyDescent="0.25">
      <c r="A1005" t="s">
        <v>3082</v>
      </c>
      <c r="B1005">
        <f>COUNTIF(Лист2!H:H,A1005)+COUNTIF(Лист2!I:I,A1005)</f>
        <v>1</v>
      </c>
      <c r="C1005">
        <v>1</v>
      </c>
    </row>
    <row r="1006" spans="1:3" x14ac:dyDescent="0.25">
      <c r="A1006" t="s">
        <v>3083</v>
      </c>
      <c r="B1006">
        <f>COUNTIF(Лист2!H:H,A1006)+COUNTIF(Лист2!I:I,A1006)</f>
        <v>1</v>
      </c>
      <c r="C1006">
        <v>1</v>
      </c>
    </row>
    <row r="1007" spans="1:3" x14ac:dyDescent="0.25">
      <c r="A1007" t="s">
        <v>3084</v>
      </c>
      <c r="B1007">
        <f>COUNTIF(Лист2!H:H,A1007)+COUNTIF(Лист2!I:I,A1007)</f>
        <v>1</v>
      </c>
      <c r="C1007">
        <v>1</v>
      </c>
    </row>
    <row r="1008" spans="1:3" x14ac:dyDescent="0.25">
      <c r="A1008" t="s">
        <v>3085</v>
      </c>
      <c r="B1008">
        <f>COUNTIF(Лист2!H:H,A1008)+COUNTIF(Лист2!I:I,A1008)</f>
        <v>1</v>
      </c>
      <c r="C1008">
        <v>1</v>
      </c>
    </row>
    <row r="1009" spans="1:3" x14ac:dyDescent="0.25">
      <c r="A1009" t="s">
        <v>3086</v>
      </c>
      <c r="B1009">
        <f>COUNTIF(Лист2!H:H,A1009)+COUNTIF(Лист2!I:I,A1009)</f>
        <v>1</v>
      </c>
      <c r="C1009">
        <v>1</v>
      </c>
    </row>
    <row r="1010" spans="1:3" x14ac:dyDescent="0.25">
      <c r="A1010" t="s">
        <v>3087</v>
      </c>
      <c r="B1010">
        <f>COUNTIF(Лист2!H:H,A1010)+COUNTIF(Лист2!I:I,A1010)</f>
        <v>1</v>
      </c>
      <c r="C1010">
        <v>1</v>
      </c>
    </row>
    <row r="1011" spans="1:3" x14ac:dyDescent="0.25">
      <c r="A1011" t="s">
        <v>3088</v>
      </c>
      <c r="B1011">
        <f>COUNTIF(Лист2!H:H,A1011)+COUNTIF(Лист2!I:I,A1011)</f>
        <v>1</v>
      </c>
      <c r="C1011">
        <v>1</v>
      </c>
    </row>
    <row r="1012" spans="1:3" x14ac:dyDescent="0.25">
      <c r="A1012" t="s">
        <v>3090</v>
      </c>
      <c r="B1012">
        <f>COUNTIF(Лист2!H:H,A1012)+COUNTIF(Лист2!I:I,A1012)</f>
        <v>1</v>
      </c>
      <c r="C1012">
        <v>1</v>
      </c>
    </row>
    <row r="1013" spans="1:3" x14ac:dyDescent="0.25">
      <c r="A1013" t="s">
        <v>3091</v>
      </c>
      <c r="B1013">
        <f>COUNTIF(Лист2!H:H,A1013)+COUNTIF(Лист2!I:I,A1013)</f>
        <v>1</v>
      </c>
      <c r="C1013">
        <v>1</v>
      </c>
    </row>
    <row r="1014" spans="1:3" x14ac:dyDescent="0.25">
      <c r="A1014" t="s">
        <v>3092</v>
      </c>
      <c r="B1014">
        <f>COUNTIF(Лист2!H:H,A1014)+COUNTIF(Лист2!I:I,A1014)</f>
        <v>1</v>
      </c>
      <c r="C1014">
        <v>1</v>
      </c>
    </row>
    <row r="1015" spans="1:3" x14ac:dyDescent="0.25">
      <c r="A1015" t="s">
        <v>3093</v>
      </c>
      <c r="B1015">
        <f>COUNTIF(Лист2!H:H,A1015)+COUNTIF(Лист2!I:I,A1015)</f>
        <v>1</v>
      </c>
      <c r="C1015">
        <v>1</v>
      </c>
    </row>
    <row r="1016" spans="1:3" x14ac:dyDescent="0.25">
      <c r="A1016" t="s">
        <v>3094</v>
      </c>
      <c r="B1016">
        <f>COUNTIF(Лист2!H:H,A1016)+COUNTIF(Лист2!I:I,A1016)</f>
        <v>1</v>
      </c>
      <c r="C1016">
        <v>1</v>
      </c>
    </row>
    <row r="1017" spans="1:3" x14ac:dyDescent="0.25">
      <c r="A1017" t="s">
        <v>3095</v>
      </c>
      <c r="B1017">
        <f>COUNTIF(Лист2!H:H,A1017)+COUNTIF(Лист2!I:I,A1017)</f>
        <v>1</v>
      </c>
      <c r="C1017">
        <v>1</v>
      </c>
    </row>
    <row r="1018" spans="1:3" x14ac:dyDescent="0.25">
      <c r="A1018" t="s">
        <v>3096</v>
      </c>
      <c r="B1018">
        <f>COUNTIF(Лист2!H:H,A1018)+COUNTIF(Лист2!I:I,A1018)</f>
        <v>1</v>
      </c>
      <c r="C1018">
        <v>1</v>
      </c>
    </row>
    <row r="1019" spans="1:3" x14ac:dyDescent="0.25">
      <c r="A1019" t="s">
        <v>3097</v>
      </c>
      <c r="B1019">
        <f>COUNTIF(Лист2!H:H,A1019)+COUNTIF(Лист2!I:I,A1019)</f>
        <v>1</v>
      </c>
      <c r="C1019">
        <v>1</v>
      </c>
    </row>
    <row r="1020" spans="1:3" x14ac:dyDescent="0.25">
      <c r="A1020" t="s">
        <v>3098</v>
      </c>
      <c r="B1020">
        <f>COUNTIF(Лист2!H:H,A1020)+COUNTIF(Лист2!I:I,A1020)</f>
        <v>1</v>
      </c>
      <c r="C1020">
        <v>1</v>
      </c>
    </row>
    <row r="1021" spans="1:3" x14ac:dyDescent="0.25">
      <c r="A1021" t="s">
        <v>3100</v>
      </c>
      <c r="B1021">
        <f>COUNTIF(Лист2!H:H,A1021)+COUNTIF(Лист2!I:I,A1021)</f>
        <v>1</v>
      </c>
      <c r="C1021">
        <v>1</v>
      </c>
    </row>
    <row r="1022" spans="1:3" x14ac:dyDescent="0.25">
      <c r="A1022" t="s">
        <v>3101</v>
      </c>
      <c r="B1022">
        <f>COUNTIF(Лист2!H:H,A1022)+COUNTIF(Лист2!I:I,A1022)</f>
        <v>1</v>
      </c>
      <c r="C1022">
        <v>1</v>
      </c>
    </row>
    <row r="1023" spans="1:3" x14ac:dyDescent="0.25">
      <c r="A1023" t="s">
        <v>3102</v>
      </c>
      <c r="B1023">
        <f>COUNTIF(Лист2!H:H,A1023)+COUNTIF(Лист2!I:I,A1023)</f>
        <v>1</v>
      </c>
      <c r="C1023">
        <v>1</v>
      </c>
    </row>
    <row r="1024" spans="1:3" x14ac:dyDescent="0.25">
      <c r="A1024" t="s">
        <v>3103</v>
      </c>
      <c r="B1024">
        <f>COUNTIF(Лист2!H:H,A1024)+COUNTIF(Лист2!I:I,A1024)</f>
        <v>1</v>
      </c>
      <c r="C1024">
        <v>1</v>
      </c>
    </row>
    <row r="1025" spans="1:3" x14ac:dyDescent="0.25">
      <c r="A1025" t="s">
        <v>3104</v>
      </c>
      <c r="B1025">
        <f>COUNTIF(Лист2!H:H,A1025)+COUNTIF(Лист2!I:I,A1025)</f>
        <v>1</v>
      </c>
      <c r="C1025">
        <v>1</v>
      </c>
    </row>
    <row r="1026" spans="1:3" x14ac:dyDescent="0.25">
      <c r="A1026" t="s">
        <v>3105</v>
      </c>
      <c r="B1026">
        <f>COUNTIF(Лист2!H:H,A1026)+COUNTIF(Лист2!I:I,A1026)</f>
        <v>1</v>
      </c>
      <c r="C1026">
        <v>1</v>
      </c>
    </row>
    <row r="1027" spans="1:3" x14ac:dyDescent="0.25">
      <c r="A1027" t="s">
        <v>2464</v>
      </c>
      <c r="B1027">
        <f>COUNTIF(Лист2!H:H,A1027)+COUNTIF(Лист2!I:I,A1027)</f>
        <v>1</v>
      </c>
      <c r="C1027">
        <v>1</v>
      </c>
    </row>
    <row r="1028" spans="1:3" x14ac:dyDescent="0.25">
      <c r="A1028" t="s">
        <v>3108</v>
      </c>
      <c r="B1028">
        <f>COUNTIF(Лист2!H:H,A1028)+COUNTIF(Лист2!I:I,A1028)</f>
        <v>1</v>
      </c>
      <c r="C1028">
        <v>1</v>
      </c>
    </row>
    <row r="1029" spans="1:3" x14ac:dyDescent="0.25">
      <c r="A1029" t="s">
        <v>2465</v>
      </c>
      <c r="B1029">
        <f>COUNTIF(Лист2!H:H,A1029)+COUNTIF(Лист2!I:I,A1029)</f>
        <v>1</v>
      </c>
      <c r="C1029">
        <v>1</v>
      </c>
    </row>
    <row r="1030" spans="1:3" x14ac:dyDescent="0.25">
      <c r="A1030" t="s">
        <v>3109</v>
      </c>
      <c r="B1030">
        <f>COUNTIF(Лист2!H:H,A1030)+COUNTIF(Лист2!I:I,A1030)</f>
        <v>1</v>
      </c>
      <c r="C1030">
        <v>1</v>
      </c>
    </row>
    <row r="1031" spans="1:3" x14ac:dyDescent="0.25">
      <c r="A1031" t="s">
        <v>3110</v>
      </c>
      <c r="B1031">
        <f>COUNTIF(Лист2!H:H,A1031)+COUNTIF(Лист2!I:I,A1031)</f>
        <v>1</v>
      </c>
      <c r="C1031">
        <v>1</v>
      </c>
    </row>
    <row r="1032" spans="1:3" x14ac:dyDescent="0.25">
      <c r="A1032" t="s">
        <v>3111</v>
      </c>
      <c r="B1032">
        <f>COUNTIF(Лист2!H:H,A1032)+COUNTIF(Лист2!I:I,A1032)</f>
        <v>1</v>
      </c>
      <c r="C1032">
        <v>1</v>
      </c>
    </row>
    <row r="1033" spans="1:3" x14ac:dyDescent="0.25">
      <c r="A1033" t="s">
        <v>3112</v>
      </c>
      <c r="B1033">
        <f>COUNTIF(Лист2!H:H,A1033)+COUNTIF(Лист2!I:I,A1033)</f>
        <v>1</v>
      </c>
      <c r="C1033">
        <v>1</v>
      </c>
    </row>
    <row r="1034" spans="1:3" x14ac:dyDescent="0.25">
      <c r="A1034" t="s">
        <v>3113</v>
      </c>
      <c r="B1034">
        <f>COUNTIF(Лист2!H:H,A1034)+COUNTIF(Лист2!I:I,A1034)</f>
        <v>1</v>
      </c>
      <c r="C1034">
        <v>1</v>
      </c>
    </row>
    <row r="1035" spans="1:3" x14ac:dyDescent="0.25">
      <c r="A1035" t="s">
        <v>3114</v>
      </c>
      <c r="B1035">
        <f>COUNTIF(Лист2!H:H,A1035)+COUNTIF(Лист2!I:I,A1035)</f>
        <v>1</v>
      </c>
      <c r="C1035">
        <v>1</v>
      </c>
    </row>
    <row r="1036" spans="1:3" x14ac:dyDescent="0.25">
      <c r="A1036" t="s">
        <v>3115</v>
      </c>
      <c r="B1036">
        <f>COUNTIF(Лист2!H:H,A1036)+COUNTIF(Лист2!I:I,A1036)</f>
        <v>1</v>
      </c>
      <c r="C1036">
        <v>1</v>
      </c>
    </row>
    <row r="1037" spans="1:3" x14ac:dyDescent="0.25">
      <c r="A1037" t="s">
        <v>3116</v>
      </c>
      <c r="B1037">
        <f>COUNTIF(Лист2!H:H,A1037)+COUNTIF(Лист2!I:I,A1037)</f>
        <v>1</v>
      </c>
      <c r="C1037">
        <v>1</v>
      </c>
    </row>
    <row r="1038" spans="1:3" x14ac:dyDescent="0.25">
      <c r="A1038" t="s">
        <v>3117</v>
      </c>
      <c r="B1038">
        <f>COUNTIF(Лист2!H:H,A1038)+COUNTIF(Лист2!I:I,A1038)</f>
        <v>1</v>
      </c>
      <c r="C1038">
        <v>1</v>
      </c>
    </row>
    <row r="1039" spans="1:3" x14ac:dyDescent="0.25">
      <c r="A1039" t="s">
        <v>3118</v>
      </c>
      <c r="B1039">
        <f>COUNTIF(Лист2!H:H,A1039)+COUNTIF(Лист2!I:I,A1039)</f>
        <v>1</v>
      </c>
      <c r="C1039">
        <v>1</v>
      </c>
    </row>
    <row r="1040" spans="1:3" x14ac:dyDescent="0.25">
      <c r="A1040" t="s">
        <v>3119</v>
      </c>
      <c r="B1040">
        <f>COUNTIF(Лист2!H:H,A1040)+COUNTIF(Лист2!I:I,A1040)</f>
        <v>1</v>
      </c>
      <c r="C1040">
        <v>1</v>
      </c>
    </row>
    <row r="1041" spans="1:3" x14ac:dyDescent="0.25">
      <c r="A1041" t="s">
        <v>3120</v>
      </c>
      <c r="B1041">
        <f>COUNTIF(Лист2!H:H,A1041)+COUNTIF(Лист2!I:I,A1041)</f>
        <v>1</v>
      </c>
      <c r="C1041">
        <v>1</v>
      </c>
    </row>
    <row r="1042" spans="1:3" x14ac:dyDescent="0.25">
      <c r="A1042" t="s">
        <v>3122</v>
      </c>
      <c r="B1042">
        <f>COUNTIF(Лист2!H:H,A1042)+COUNTIF(Лист2!I:I,A1042)</f>
        <v>1</v>
      </c>
      <c r="C1042">
        <v>1</v>
      </c>
    </row>
    <row r="1043" spans="1:3" x14ac:dyDescent="0.25">
      <c r="A1043" t="s">
        <v>3124</v>
      </c>
      <c r="B1043">
        <f>COUNTIF(Лист2!H:H,A1043)+COUNTIF(Лист2!I:I,A1043)</f>
        <v>1</v>
      </c>
      <c r="C1043">
        <v>1</v>
      </c>
    </row>
    <row r="1044" spans="1:3" x14ac:dyDescent="0.25">
      <c r="A1044" t="s">
        <v>3125</v>
      </c>
      <c r="B1044">
        <f>COUNTIF(Лист2!H:H,A1044)+COUNTIF(Лист2!I:I,A1044)</f>
        <v>1</v>
      </c>
      <c r="C1044">
        <v>1</v>
      </c>
    </row>
    <row r="1045" spans="1:3" x14ac:dyDescent="0.25">
      <c r="A1045" t="s">
        <v>3126</v>
      </c>
      <c r="B1045">
        <f>COUNTIF(Лист2!H:H,A1045)+COUNTIF(Лист2!I:I,A1045)</f>
        <v>1</v>
      </c>
      <c r="C1045">
        <v>1</v>
      </c>
    </row>
    <row r="1046" spans="1:3" x14ac:dyDescent="0.25">
      <c r="A1046" t="s">
        <v>3127</v>
      </c>
      <c r="B1046">
        <f>COUNTIF(Лист2!H:H,A1046)+COUNTIF(Лист2!I:I,A1046)</f>
        <v>1</v>
      </c>
      <c r="C1046">
        <v>1</v>
      </c>
    </row>
    <row r="1047" spans="1:3" x14ac:dyDescent="0.25">
      <c r="A1047" t="s">
        <v>3128</v>
      </c>
      <c r="B1047">
        <f>COUNTIF(Лист2!H:H,A1047)+COUNTIF(Лист2!I:I,A1047)</f>
        <v>1</v>
      </c>
      <c r="C1047">
        <v>1</v>
      </c>
    </row>
    <row r="1048" spans="1:3" x14ac:dyDescent="0.25">
      <c r="A1048" t="s">
        <v>3129</v>
      </c>
      <c r="B1048">
        <f>COUNTIF(Лист2!H:H,A1048)+COUNTIF(Лист2!I:I,A1048)</f>
        <v>1</v>
      </c>
      <c r="C1048">
        <v>1</v>
      </c>
    </row>
    <row r="1049" spans="1:3" x14ac:dyDescent="0.25">
      <c r="A1049" t="s">
        <v>3130</v>
      </c>
      <c r="B1049">
        <f>COUNTIF(Лист2!H:H,A1049)+COUNTIF(Лист2!I:I,A1049)</f>
        <v>1</v>
      </c>
      <c r="C1049">
        <v>1</v>
      </c>
    </row>
    <row r="1050" spans="1:3" x14ac:dyDescent="0.25">
      <c r="A1050" t="s">
        <v>3131</v>
      </c>
      <c r="B1050">
        <f>COUNTIF(Лист2!H:H,A1050)+COUNTIF(Лист2!I:I,A1050)</f>
        <v>1</v>
      </c>
      <c r="C1050">
        <v>1</v>
      </c>
    </row>
    <row r="1051" spans="1:3" x14ac:dyDescent="0.25">
      <c r="A1051" t="s">
        <v>3132</v>
      </c>
      <c r="B1051">
        <f>COUNTIF(Лист2!H:H,A1051)+COUNTIF(Лист2!I:I,A1051)</f>
        <v>1</v>
      </c>
      <c r="C1051">
        <v>1</v>
      </c>
    </row>
    <row r="1052" spans="1:3" x14ac:dyDescent="0.25">
      <c r="A1052" t="s">
        <v>3135</v>
      </c>
      <c r="B1052">
        <f>COUNTIF(Лист2!H:H,A1052)+COUNTIF(Лист2!I:I,A1052)</f>
        <v>1</v>
      </c>
      <c r="C1052">
        <v>1</v>
      </c>
    </row>
    <row r="1053" spans="1:3" x14ac:dyDescent="0.25">
      <c r="A1053" t="s">
        <v>2468</v>
      </c>
      <c r="B1053">
        <f>COUNTIF(Лист2!H:H,A1053)+COUNTIF(Лист2!I:I,A1053)</f>
        <v>1</v>
      </c>
      <c r="C1053">
        <v>1</v>
      </c>
    </row>
    <row r="1054" spans="1:3" x14ac:dyDescent="0.25">
      <c r="A1054" t="s">
        <v>3137</v>
      </c>
      <c r="B1054">
        <f>COUNTIF(Лист2!H:H,A1054)+COUNTIF(Лист2!I:I,A1054)</f>
        <v>1</v>
      </c>
      <c r="C1054">
        <v>1</v>
      </c>
    </row>
    <row r="1055" spans="1:3" x14ac:dyDescent="0.25">
      <c r="A1055" t="s">
        <v>3139</v>
      </c>
      <c r="B1055">
        <f>COUNTIF(Лист2!H:H,A1055)+COUNTIF(Лист2!I:I,A1055)</f>
        <v>1</v>
      </c>
      <c r="C1055">
        <v>1</v>
      </c>
    </row>
    <row r="1056" spans="1:3" x14ac:dyDescent="0.25">
      <c r="A1056" t="s">
        <v>3140</v>
      </c>
      <c r="B1056">
        <f>COUNTIF(Лист2!H:H,A1056)+COUNTIF(Лист2!I:I,A1056)</f>
        <v>1</v>
      </c>
      <c r="C1056">
        <v>1</v>
      </c>
    </row>
    <row r="1057" spans="1:3" x14ac:dyDescent="0.25">
      <c r="A1057" t="s">
        <v>3141</v>
      </c>
      <c r="B1057">
        <f>COUNTIF(Лист2!H:H,A1057)+COUNTIF(Лист2!I:I,A1057)</f>
        <v>1</v>
      </c>
      <c r="C1057">
        <v>1</v>
      </c>
    </row>
    <row r="1058" spans="1:3" x14ac:dyDescent="0.25">
      <c r="A1058" t="s">
        <v>2469</v>
      </c>
      <c r="B1058">
        <f>COUNTIF(Лист2!H:H,A1058)+COUNTIF(Лист2!I:I,A1058)</f>
        <v>1</v>
      </c>
      <c r="C1058">
        <v>1</v>
      </c>
    </row>
    <row r="1059" spans="1:3" x14ac:dyDescent="0.25">
      <c r="A1059" t="s">
        <v>3142</v>
      </c>
      <c r="B1059">
        <f>COUNTIF(Лист2!H:H,A1059)+COUNTIF(Лист2!I:I,A1059)</f>
        <v>1</v>
      </c>
      <c r="C1059">
        <v>1</v>
      </c>
    </row>
    <row r="1060" spans="1:3" x14ac:dyDescent="0.25">
      <c r="A1060" t="s">
        <v>3143</v>
      </c>
      <c r="B1060">
        <f>COUNTIF(Лист2!H:H,A1060)+COUNTIF(Лист2!I:I,A1060)</f>
        <v>1</v>
      </c>
      <c r="C1060">
        <v>1</v>
      </c>
    </row>
    <row r="1061" spans="1:3" x14ac:dyDescent="0.25">
      <c r="A1061" t="s">
        <v>3144</v>
      </c>
      <c r="B1061">
        <f>COUNTIF(Лист2!H:H,A1061)+COUNTIF(Лист2!I:I,A1061)</f>
        <v>1</v>
      </c>
      <c r="C1061">
        <v>1</v>
      </c>
    </row>
    <row r="1062" spans="1:3" x14ac:dyDescent="0.25">
      <c r="A1062" t="s">
        <v>3145</v>
      </c>
      <c r="B1062">
        <f>COUNTIF(Лист2!H:H,A1062)+COUNTIF(Лист2!I:I,A1062)</f>
        <v>1</v>
      </c>
      <c r="C1062">
        <v>1</v>
      </c>
    </row>
    <row r="1063" spans="1:3" x14ac:dyDescent="0.25">
      <c r="A1063" t="s">
        <v>3146</v>
      </c>
      <c r="B1063">
        <f>COUNTIF(Лист2!H:H,A1063)+COUNTIF(Лист2!I:I,A1063)</f>
        <v>1</v>
      </c>
      <c r="C1063">
        <v>1</v>
      </c>
    </row>
    <row r="1064" spans="1:3" x14ac:dyDescent="0.25">
      <c r="A1064" t="s">
        <v>3147</v>
      </c>
      <c r="B1064">
        <f>COUNTIF(Лист2!H:H,A1064)+COUNTIF(Лист2!I:I,A1064)</f>
        <v>1</v>
      </c>
      <c r="C1064">
        <v>1</v>
      </c>
    </row>
    <row r="1065" spans="1:3" x14ac:dyDescent="0.25">
      <c r="A1065" t="s">
        <v>3149</v>
      </c>
      <c r="B1065">
        <f>COUNTIF(Лист2!H:H,A1065)+COUNTIF(Лист2!I:I,A1065)</f>
        <v>1</v>
      </c>
      <c r="C1065">
        <v>1</v>
      </c>
    </row>
    <row r="1066" spans="1:3" x14ac:dyDescent="0.25">
      <c r="A1066" t="s">
        <v>3150</v>
      </c>
      <c r="B1066">
        <f>COUNTIF(Лист2!H:H,A1066)+COUNTIF(Лист2!I:I,A1066)</f>
        <v>1</v>
      </c>
      <c r="C1066">
        <v>1</v>
      </c>
    </row>
    <row r="1067" spans="1:3" x14ac:dyDescent="0.25">
      <c r="A1067" t="s">
        <v>3151</v>
      </c>
      <c r="B1067">
        <f>COUNTIF(Лист2!H:H,A1067)+COUNTIF(Лист2!I:I,A1067)</f>
        <v>1</v>
      </c>
      <c r="C1067">
        <v>1</v>
      </c>
    </row>
    <row r="1068" spans="1:3" x14ac:dyDescent="0.25">
      <c r="A1068" t="s">
        <v>3152</v>
      </c>
      <c r="B1068">
        <f>COUNTIF(Лист2!H:H,A1068)+COUNTIF(Лист2!I:I,A1068)</f>
        <v>1</v>
      </c>
      <c r="C1068">
        <v>1</v>
      </c>
    </row>
    <row r="1069" spans="1:3" x14ac:dyDescent="0.25">
      <c r="A1069" t="s">
        <v>3153</v>
      </c>
      <c r="B1069">
        <f>COUNTIF(Лист2!H:H,A1069)+COUNTIF(Лист2!I:I,A1069)</f>
        <v>1</v>
      </c>
      <c r="C1069">
        <v>1</v>
      </c>
    </row>
    <row r="1070" spans="1:3" x14ac:dyDescent="0.25">
      <c r="A1070" t="s">
        <v>3154</v>
      </c>
      <c r="B1070">
        <f>COUNTIF(Лист2!H:H,A1070)+COUNTIF(Лист2!I:I,A1070)</f>
        <v>1</v>
      </c>
      <c r="C1070">
        <v>1</v>
      </c>
    </row>
    <row r="1071" spans="1:3" x14ac:dyDescent="0.25">
      <c r="A1071" t="s">
        <v>3156</v>
      </c>
      <c r="B1071">
        <f>COUNTIF(Лист2!H:H,A1071)+COUNTIF(Лист2!I:I,A1071)</f>
        <v>1</v>
      </c>
      <c r="C1071">
        <v>1</v>
      </c>
    </row>
    <row r="1072" spans="1:3" x14ac:dyDescent="0.25">
      <c r="A1072" t="s">
        <v>2470</v>
      </c>
      <c r="B1072">
        <f>COUNTIF(Лист2!H:H,A1072)+COUNTIF(Лист2!I:I,A1072)</f>
        <v>1</v>
      </c>
      <c r="C1072">
        <v>1</v>
      </c>
    </row>
    <row r="1073" spans="1:3" x14ac:dyDescent="0.25">
      <c r="A1073" t="s">
        <v>3157</v>
      </c>
      <c r="B1073">
        <f>COUNTIF(Лист2!H:H,A1073)+COUNTIF(Лист2!I:I,A1073)</f>
        <v>1</v>
      </c>
      <c r="C1073">
        <v>1</v>
      </c>
    </row>
    <row r="1074" spans="1:3" x14ac:dyDescent="0.25">
      <c r="A1074" t="s">
        <v>2472</v>
      </c>
      <c r="B1074">
        <f>COUNTIF(Лист2!H:H,A1074)+COUNTIF(Лист2!I:I,A1074)</f>
        <v>1</v>
      </c>
      <c r="C1074">
        <v>1</v>
      </c>
    </row>
    <row r="1075" spans="1:3" x14ac:dyDescent="0.25">
      <c r="A1075" t="s">
        <v>3159</v>
      </c>
      <c r="B1075">
        <f>COUNTIF(Лист2!H:H,A1075)+COUNTIF(Лист2!I:I,A1075)</f>
        <v>1</v>
      </c>
      <c r="C1075">
        <v>1</v>
      </c>
    </row>
    <row r="1076" spans="1:3" x14ac:dyDescent="0.25">
      <c r="A1076" t="s">
        <v>3160</v>
      </c>
      <c r="B1076">
        <f>COUNTIF(Лист2!H:H,A1076)+COUNTIF(Лист2!I:I,A1076)</f>
        <v>1</v>
      </c>
      <c r="C1076">
        <v>1</v>
      </c>
    </row>
    <row r="1077" spans="1:3" x14ac:dyDescent="0.25">
      <c r="A1077" t="s">
        <v>3161</v>
      </c>
      <c r="B1077">
        <f>COUNTIF(Лист2!H:H,A1077)+COUNTIF(Лист2!I:I,A1077)</f>
        <v>1</v>
      </c>
      <c r="C1077">
        <v>1</v>
      </c>
    </row>
    <row r="1078" spans="1:3" x14ac:dyDescent="0.25">
      <c r="A1078" t="s">
        <v>3162</v>
      </c>
      <c r="B1078">
        <f>COUNTIF(Лист2!H:H,A1078)+COUNTIF(Лист2!I:I,A1078)</f>
        <v>1</v>
      </c>
      <c r="C1078">
        <v>1</v>
      </c>
    </row>
    <row r="1079" spans="1:3" x14ac:dyDescent="0.25">
      <c r="A1079" t="s">
        <v>3163</v>
      </c>
      <c r="B1079">
        <f>COUNTIF(Лист2!H:H,A1079)+COUNTIF(Лист2!I:I,A1079)</f>
        <v>1</v>
      </c>
      <c r="C1079">
        <v>1</v>
      </c>
    </row>
    <row r="1080" spans="1:3" x14ac:dyDescent="0.25">
      <c r="A1080" t="s">
        <v>3164</v>
      </c>
      <c r="B1080">
        <f>COUNTIF(Лист2!H:H,A1080)+COUNTIF(Лист2!I:I,A1080)</f>
        <v>1</v>
      </c>
      <c r="C1080">
        <v>1</v>
      </c>
    </row>
    <row r="1081" spans="1:3" x14ac:dyDescent="0.25">
      <c r="A1081" t="s">
        <v>2473</v>
      </c>
      <c r="B1081">
        <f>COUNTIF(Лист2!H:H,A1081)+COUNTIF(Лист2!I:I,A1081)</f>
        <v>1</v>
      </c>
      <c r="C1081">
        <v>1</v>
      </c>
    </row>
    <row r="1082" spans="1:3" x14ac:dyDescent="0.25">
      <c r="A1082" t="s">
        <v>3165</v>
      </c>
      <c r="B1082">
        <f>COUNTIF(Лист2!H:H,A1082)+COUNTIF(Лист2!I:I,A1082)</f>
        <v>1</v>
      </c>
      <c r="C1082">
        <v>1</v>
      </c>
    </row>
    <row r="1083" spans="1:3" x14ac:dyDescent="0.25">
      <c r="A1083" t="s">
        <v>2474</v>
      </c>
      <c r="B1083">
        <f>COUNTIF(Лист2!H:H,A1083)+COUNTIF(Лист2!I:I,A1083)</f>
        <v>1</v>
      </c>
      <c r="C1083">
        <v>1</v>
      </c>
    </row>
    <row r="1084" spans="1:3" x14ac:dyDescent="0.25">
      <c r="A1084" t="s">
        <v>1214</v>
      </c>
      <c r="B1084">
        <f>COUNTIF(Лист2!H:H,A1084)+COUNTIF(Лист2!I:I,A1084)</f>
        <v>1</v>
      </c>
      <c r="C1084">
        <v>1</v>
      </c>
    </row>
    <row r="1085" spans="1:3" x14ac:dyDescent="0.25">
      <c r="A1085" t="s">
        <v>3166</v>
      </c>
      <c r="B1085">
        <f>COUNTIF(Лист2!H:H,A1085)+COUNTIF(Лист2!I:I,A1085)</f>
        <v>1</v>
      </c>
      <c r="C1085">
        <v>1</v>
      </c>
    </row>
    <row r="1086" spans="1:3" x14ac:dyDescent="0.25">
      <c r="A1086" t="s">
        <v>2475</v>
      </c>
      <c r="B1086">
        <f>COUNTIF(Лист2!H:H,A1086)+COUNTIF(Лист2!I:I,A1086)</f>
        <v>1</v>
      </c>
      <c r="C1086">
        <v>1</v>
      </c>
    </row>
    <row r="1087" spans="1:3" x14ac:dyDescent="0.25">
      <c r="A1087" t="s">
        <v>3167</v>
      </c>
      <c r="B1087">
        <f>COUNTIF(Лист2!H:H,A1087)+COUNTIF(Лист2!I:I,A1087)</f>
        <v>1</v>
      </c>
      <c r="C1087">
        <v>1</v>
      </c>
    </row>
    <row r="1088" spans="1:3" x14ac:dyDescent="0.25">
      <c r="A1088" t="s">
        <v>3168</v>
      </c>
      <c r="B1088">
        <f>COUNTIF(Лист2!H:H,A1088)+COUNTIF(Лист2!I:I,A1088)</f>
        <v>1</v>
      </c>
      <c r="C1088">
        <v>1</v>
      </c>
    </row>
    <row r="1089" spans="1:3" x14ac:dyDescent="0.25">
      <c r="A1089" t="s">
        <v>3169</v>
      </c>
      <c r="B1089">
        <f>COUNTIF(Лист2!H:H,A1089)+COUNTIF(Лист2!I:I,A1089)</f>
        <v>1</v>
      </c>
      <c r="C1089">
        <v>1</v>
      </c>
    </row>
    <row r="1090" spans="1:3" x14ac:dyDescent="0.25">
      <c r="A1090" t="s">
        <v>3170</v>
      </c>
      <c r="B1090">
        <f>COUNTIF(Лист2!H:H,A1090)+COUNTIF(Лист2!I:I,A1090)</f>
        <v>1</v>
      </c>
      <c r="C1090">
        <v>1</v>
      </c>
    </row>
    <row r="1091" spans="1:3" x14ac:dyDescent="0.25">
      <c r="A1091" t="s">
        <v>3172</v>
      </c>
      <c r="B1091">
        <f>COUNTIF(Лист2!H:H,A1091)+COUNTIF(Лист2!I:I,A1091)</f>
        <v>1</v>
      </c>
      <c r="C1091">
        <v>1</v>
      </c>
    </row>
    <row r="1092" spans="1:3" x14ac:dyDescent="0.25">
      <c r="A1092" t="s">
        <v>3173</v>
      </c>
      <c r="B1092">
        <f>COUNTIF(Лист2!H:H,A1092)+COUNTIF(Лист2!I:I,A1092)</f>
        <v>1</v>
      </c>
      <c r="C1092">
        <v>1</v>
      </c>
    </row>
    <row r="1093" spans="1:3" x14ac:dyDescent="0.25">
      <c r="A1093" t="s">
        <v>3174</v>
      </c>
      <c r="B1093">
        <f>COUNTIF(Лист2!H:H,A1093)+COUNTIF(Лист2!I:I,A1093)</f>
        <v>1</v>
      </c>
      <c r="C1093">
        <v>1</v>
      </c>
    </row>
    <row r="1094" spans="1:3" x14ac:dyDescent="0.25">
      <c r="A1094" t="s">
        <v>3176</v>
      </c>
      <c r="B1094">
        <f>COUNTIF(Лист2!H:H,A1094)+COUNTIF(Лист2!I:I,A1094)</f>
        <v>1</v>
      </c>
      <c r="C1094">
        <v>1</v>
      </c>
    </row>
    <row r="1095" spans="1:3" x14ac:dyDescent="0.25">
      <c r="A1095" t="s">
        <v>3177</v>
      </c>
      <c r="B1095">
        <f>COUNTIF(Лист2!H:H,A1095)+COUNTIF(Лист2!I:I,A1095)</f>
        <v>1</v>
      </c>
      <c r="C1095">
        <v>1</v>
      </c>
    </row>
    <row r="1096" spans="1:3" x14ac:dyDescent="0.25">
      <c r="A1096" t="s">
        <v>3178</v>
      </c>
      <c r="B1096">
        <f>COUNTIF(Лист2!H:H,A1096)+COUNTIF(Лист2!I:I,A1096)</f>
        <v>1</v>
      </c>
      <c r="C1096">
        <v>1</v>
      </c>
    </row>
    <row r="1097" spans="1:3" x14ac:dyDescent="0.25">
      <c r="A1097" t="s">
        <v>3179</v>
      </c>
      <c r="B1097">
        <f>COUNTIF(Лист2!H:H,A1097)+COUNTIF(Лист2!I:I,A1097)</f>
        <v>1</v>
      </c>
      <c r="C1097">
        <v>1</v>
      </c>
    </row>
    <row r="1098" spans="1:3" x14ac:dyDescent="0.25">
      <c r="A1098" t="s">
        <v>3180</v>
      </c>
      <c r="B1098">
        <f>COUNTIF(Лист2!H:H,A1098)+COUNTIF(Лист2!I:I,A1098)</f>
        <v>1</v>
      </c>
      <c r="C1098">
        <v>1</v>
      </c>
    </row>
    <row r="1099" spans="1:3" x14ac:dyDescent="0.25">
      <c r="A1099" t="s">
        <v>3181</v>
      </c>
      <c r="B1099">
        <f>COUNTIF(Лист2!H:H,A1099)+COUNTIF(Лист2!I:I,A1099)</f>
        <v>1</v>
      </c>
      <c r="C1099">
        <v>1</v>
      </c>
    </row>
    <row r="1100" spans="1:3" x14ac:dyDescent="0.25">
      <c r="A1100" t="s">
        <v>3182</v>
      </c>
      <c r="B1100">
        <f>COUNTIF(Лист2!H:H,A1100)+COUNTIF(Лист2!I:I,A1100)</f>
        <v>1</v>
      </c>
      <c r="C1100">
        <v>1</v>
      </c>
    </row>
    <row r="1101" spans="1:3" x14ac:dyDescent="0.25">
      <c r="A1101" t="s">
        <v>3183</v>
      </c>
      <c r="B1101">
        <f>COUNTIF(Лист2!H:H,A1101)+COUNTIF(Лист2!I:I,A1101)</f>
        <v>1</v>
      </c>
      <c r="C1101">
        <v>1</v>
      </c>
    </row>
    <row r="1102" spans="1:3" x14ac:dyDescent="0.25">
      <c r="A1102" t="s">
        <v>3184</v>
      </c>
      <c r="B1102">
        <f>COUNTIF(Лист2!H:H,A1102)+COUNTIF(Лист2!I:I,A1102)</f>
        <v>1</v>
      </c>
      <c r="C1102">
        <v>1</v>
      </c>
    </row>
    <row r="1103" spans="1:3" x14ac:dyDescent="0.25">
      <c r="A1103" t="s">
        <v>3185</v>
      </c>
      <c r="B1103">
        <f>COUNTIF(Лист2!H:H,A1103)+COUNTIF(Лист2!I:I,A1103)</f>
        <v>1</v>
      </c>
      <c r="C1103">
        <v>1</v>
      </c>
    </row>
    <row r="1104" spans="1:3" x14ac:dyDescent="0.25">
      <c r="A1104" t="s">
        <v>3186</v>
      </c>
      <c r="B1104">
        <f>COUNTIF(Лист2!H:H,A1104)+COUNTIF(Лист2!I:I,A1104)</f>
        <v>1</v>
      </c>
      <c r="C1104">
        <v>1</v>
      </c>
    </row>
    <row r="1105" spans="1:3" x14ac:dyDescent="0.25">
      <c r="A1105" t="s">
        <v>3187</v>
      </c>
      <c r="B1105">
        <f>COUNTIF(Лист2!H:H,A1105)+COUNTIF(Лист2!I:I,A1105)</f>
        <v>1</v>
      </c>
      <c r="C1105">
        <v>1</v>
      </c>
    </row>
    <row r="1106" spans="1:3" x14ac:dyDescent="0.25">
      <c r="A1106" t="s">
        <v>3188</v>
      </c>
      <c r="B1106">
        <f>COUNTIF(Лист2!H:H,A1106)+COUNTIF(Лист2!I:I,A1106)</f>
        <v>1</v>
      </c>
      <c r="C1106">
        <v>1</v>
      </c>
    </row>
    <row r="1107" spans="1:3" x14ac:dyDescent="0.25">
      <c r="A1107" t="s">
        <v>3189</v>
      </c>
      <c r="B1107">
        <f>COUNTIF(Лист2!H:H,A1107)+COUNTIF(Лист2!I:I,A1107)</f>
        <v>1</v>
      </c>
      <c r="C1107">
        <v>1</v>
      </c>
    </row>
    <row r="1108" spans="1:3" x14ac:dyDescent="0.25">
      <c r="A1108" t="s">
        <v>3190</v>
      </c>
      <c r="B1108">
        <f>COUNTIF(Лист2!H:H,A1108)+COUNTIF(Лист2!I:I,A1108)</f>
        <v>1</v>
      </c>
      <c r="C1108">
        <v>1</v>
      </c>
    </row>
    <row r="1109" spans="1:3" x14ac:dyDescent="0.25">
      <c r="A1109" t="s">
        <v>3191</v>
      </c>
      <c r="B1109">
        <f>COUNTIF(Лист2!H:H,A1109)+COUNTIF(Лист2!I:I,A1109)</f>
        <v>1</v>
      </c>
      <c r="C1109">
        <v>1</v>
      </c>
    </row>
    <row r="1110" spans="1:3" x14ac:dyDescent="0.25">
      <c r="A1110" t="s">
        <v>3192</v>
      </c>
      <c r="B1110">
        <f>COUNTIF(Лист2!H:H,A1110)+COUNTIF(Лист2!I:I,A1110)</f>
        <v>1</v>
      </c>
      <c r="C1110">
        <v>1</v>
      </c>
    </row>
    <row r="1111" spans="1:3" x14ac:dyDescent="0.25">
      <c r="A1111" t="s">
        <v>3193</v>
      </c>
      <c r="B1111">
        <f>COUNTIF(Лист2!H:H,A1111)+COUNTIF(Лист2!I:I,A1111)</f>
        <v>1</v>
      </c>
      <c r="C1111">
        <v>1</v>
      </c>
    </row>
    <row r="1112" spans="1:3" x14ac:dyDescent="0.25">
      <c r="A1112" t="s">
        <v>3194</v>
      </c>
      <c r="B1112">
        <f>COUNTIF(Лист2!H:H,A1112)+COUNTIF(Лист2!I:I,A1112)</f>
        <v>1</v>
      </c>
      <c r="C1112">
        <v>1</v>
      </c>
    </row>
    <row r="1113" spans="1:3" x14ac:dyDescent="0.25">
      <c r="A1113" t="s">
        <v>3195</v>
      </c>
      <c r="B1113">
        <f>COUNTIF(Лист2!H:H,A1113)+COUNTIF(Лист2!I:I,A1113)</f>
        <v>1</v>
      </c>
      <c r="C1113">
        <v>1</v>
      </c>
    </row>
    <row r="1114" spans="1:3" x14ac:dyDescent="0.25">
      <c r="A1114" t="s">
        <v>3196</v>
      </c>
      <c r="B1114">
        <f>COUNTIF(Лист2!H:H,A1114)+COUNTIF(Лист2!I:I,A1114)</f>
        <v>1</v>
      </c>
      <c r="C1114">
        <v>1</v>
      </c>
    </row>
    <row r="1115" spans="1:3" x14ac:dyDescent="0.25">
      <c r="A1115" t="s">
        <v>3198</v>
      </c>
      <c r="B1115">
        <f>COUNTIF(Лист2!H:H,A1115)+COUNTIF(Лист2!I:I,A1115)</f>
        <v>1</v>
      </c>
      <c r="C1115">
        <v>1</v>
      </c>
    </row>
    <row r="1116" spans="1:3" x14ac:dyDescent="0.25">
      <c r="A1116" t="s">
        <v>3199</v>
      </c>
      <c r="B1116">
        <f>COUNTIF(Лист2!H:H,A1116)+COUNTIF(Лист2!I:I,A1116)</f>
        <v>1</v>
      </c>
      <c r="C1116">
        <v>1</v>
      </c>
    </row>
    <row r="1117" spans="1:3" x14ac:dyDescent="0.25">
      <c r="A1117" t="s">
        <v>2481</v>
      </c>
      <c r="B1117">
        <f>COUNTIF(Лист2!H:H,A1117)+COUNTIF(Лист2!I:I,A1117)</f>
        <v>1</v>
      </c>
      <c r="C1117">
        <v>1</v>
      </c>
    </row>
    <row r="1118" spans="1:3" x14ac:dyDescent="0.25">
      <c r="A1118" t="s">
        <v>3200</v>
      </c>
      <c r="B1118">
        <f>COUNTIF(Лист2!H:H,A1118)+COUNTIF(Лист2!I:I,A1118)</f>
        <v>1</v>
      </c>
      <c r="C1118">
        <v>1</v>
      </c>
    </row>
    <row r="1119" spans="1:3" x14ac:dyDescent="0.25">
      <c r="A1119" t="s">
        <v>3201</v>
      </c>
      <c r="B1119">
        <f>COUNTIF(Лист2!H:H,A1119)+COUNTIF(Лист2!I:I,A1119)</f>
        <v>1</v>
      </c>
      <c r="C1119">
        <v>1</v>
      </c>
    </row>
    <row r="1120" spans="1:3" x14ac:dyDescent="0.25">
      <c r="A1120" t="s">
        <v>3203</v>
      </c>
      <c r="B1120">
        <f>COUNTIF(Лист2!H:H,A1120)+COUNTIF(Лист2!I:I,A1120)</f>
        <v>0</v>
      </c>
      <c r="C1120">
        <v>1</v>
      </c>
    </row>
    <row r="1121" spans="1:3" x14ac:dyDescent="0.25">
      <c r="A1121" t="s">
        <v>3204</v>
      </c>
      <c r="B1121">
        <f>COUNTIF(Лист2!H:H,A1121)+COUNTIF(Лист2!I:I,A1121)</f>
        <v>1</v>
      </c>
      <c r="C1121">
        <v>1</v>
      </c>
    </row>
    <row r="1122" spans="1:3" x14ac:dyDescent="0.25">
      <c r="A1122" t="s">
        <v>3205</v>
      </c>
      <c r="B1122">
        <f>COUNTIF(Лист2!H:H,A1122)+COUNTIF(Лист2!I:I,A1122)</f>
        <v>1</v>
      </c>
      <c r="C1122">
        <v>1</v>
      </c>
    </row>
    <row r="1123" spans="1:3" x14ac:dyDescent="0.25">
      <c r="A1123" t="s">
        <v>3206</v>
      </c>
      <c r="B1123">
        <f>COUNTIF(Лист2!H:H,A1123)+COUNTIF(Лист2!I:I,A1123)</f>
        <v>1</v>
      </c>
      <c r="C1123">
        <v>1</v>
      </c>
    </row>
    <row r="1124" spans="1:3" x14ac:dyDescent="0.25">
      <c r="A1124" t="s">
        <v>3207</v>
      </c>
      <c r="B1124">
        <f>COUNTIF(Лист2!H:H,A1124)+COUNTIF(Лист2!I:I,A1124)</f>
        <v>1</v>
      </c>
      <c r="C1124">
        <v>1</v>
      </c>
    </row>
    <row r="1125" spans="1:3" x14ac:dyDescent="0.25">
      <c r="A1125" t="s">
        <v>3209</v>
      </c>
      <c r="B1125">
        <f>COUNTIF(Лист2!H:H,A1125)+COUNTIF(Лист2!I:I,A1125)</f>
        <v>1</v>
      </c>
      <c r="C1125">
        <v>1</v>
      </c>
    </row>
    <row r="1126" spans="1:3" x14ac:dyDescent="0.25">
      <c r="A1126" t="s">
        <v>3211</v>
      </c>
      <c r="B1126">
        <f>COUNTIF(Лист2!H:H,A1126)+COUNTIF(Лист2!I:I,A1126)</f>
        <v>1</v>
      </c>
      <c r="C1126">
        <v>1</v>
      </c>
    </row>
    <row r="1127" spans="1:3" x14ac:dyDescent="0.25">
      <c r="A1127" t="s">
        <v>3212</v>
      </c>
      <c r="B1127">
        <f>COUNTIF(Лист2!H:H,A1127)+COUNTIF(Лист2!I:I,A1127)</f>
        <v>1</v>
      </c>
      <c r="C1127">
        <v>1</v>
      </c>
    </row>
    <row r="1128" spans="1:3" x14ac:dyDescent="0.25">
      <c r="A1128" t="s">
        <v>3213</v>
      </c>
      <c r="B1128">
        <f>COUNTIF(Лист2!H:H,A1128)+COUNTIF(Лист2!I:I,A1128)</f>
        <v>1</v>
      </c>
      <c r="C1128">
        <v>1</v>
      </c>
    </row>
    <row r="1129" spans="1:3" x14ac:dyDescent="0.25">
      <c r="A1129" t="s">
        <v>3214</v>
      </c>
      <c r="B1129">
        <f>COUNTIF(Лист2!H:H,A1129)+COUNTIF(Лист2!I:I,A1129)</f>
        <v>1</v>
      </c>
      <c r="C1129">
        <v>1</v>
      </c>
    </row>
    <row r="1130" spans="1:3" x14ac:dyDescent="0.25">
      <c r="A1130" t="s">
        <v>3216</v>
      </c>
      <c r="B1130">
        <f>COUNTIF(Лист2!H:H,A1130)+COUNTIF(Лист2!I:I,A1130)</f>
        <v>1</v>
      </c>
      <c r="C1130">
        <v>1</v>
      </c>
    </row>
    <row r="1131" spans="1:3" x14ac:dyDescent="0.25">
      <c r="A1131" t="s">
        <v>3217</v>
      </c>
      <c r="B1131">
        <f>COUNTIF(Лист2!H:H,A1131)+COUNTIF(Лист2!I:I,A1131)</f>
        <v>1</v>
      </c>
      <c r="C1131">
        <v>1</v>
      </c>
    </row>
    <row r="1132" spans="1:3" x14ac:dyDescent="0.25">
      <c r="A1132" t="s">
        <v>3219</v>
      </c>
      <c r="B1132">
        <f>COUNTIF(Лист2!H:H,A1132)+COUNTIF(Лист2!I:I,A1132)</f>
        <v>1</v>
      </c>
      <c r="C1132">
        <v>1</v>
      </c>
    </row>
    <row r="1133" spans="1:3" x14ac:dyDescent="0.25">
      <c r="A1133" t="s">
        <v>3220</v>
      </c>
      <c r="B1133">
        <f>COUNTIF(Лист2!H:H,A1133)+COUNTIF(Лист2!I:I,A1133)</f>
        <v>1</v>
      </c>
      <c r="C1133">
        <v>1</v>
      </c>
    </row>
    <row r="1134" spans="1:3" x14ac:dyDescent="0.25">
      <c r="A1134" t="s">
        <v>2482</v>
      </c>
      <c r="B1134">
        <f>COUNTIF(Лист2!H:H,A1134)+COUNTIF(Лист2!I:I,A1134)</f>
        <v>1</v>
      </c>
      <c r="C1134">
        <v>1</v>
      </c>
    </row>
    <row r="1135" spans="1:3" x14ac:dyDescent="0.25">
      <c r="A1135" t="s">
        <v>3222</v>
      </c>
      <c r="B1135">
        <f>COUNTIF(Лист2!H:H,A1135)+COUNTIF(Лист2!I:I,A1135)</f>
        <v>0</v>
      </c>
      <c r="C1135">
        <v>1</v>
      </c>
    </row>
    <row r="1136" spans="1:3" x14ac:dyDescent="0.25">
      <c r="A1136" t="s">
        <v>3225</v>
      </c>
      <c r="B1136">
        <f>COUNTIF(Лист2!H:H,A1136)+COUNTIF(Лист2!I:I,A1136)</f>
        <v>1</v>
      </c>
      <c r="C1136">
        <v>1</v>
      </c>
    </row>
    <row r="1137" spans="1:3" x14ac:dyDescent="0.25">
      <c r="A1137" t="s">
        <v>3226</v>
      </c>
      <c r="B1137">
        <f>COUNTIF(Лист2!H:H,A1137)+COUNTIF(Лист2!I:I,A1137)</f>
        <v>1</v>
      </c>
      <c r="C1137">
        <v>1</v>
      </c>
    </row>
    <row r="1138" spans="1:3" x14ac:dyDescent="0.25">
      <c r="A1138" t="s">
        <v>3227</v>
      </c>
      <c r="B1138">
        <f>COUNTIF(Лист2!H:H,A1138)+COUNTIF(Лист2!I:I,A1138)</f>
        <v>1</v>
      </c>
      <c r="C1138">
        <v>1</v>
      </c>
    </row>
    <row r="1139" spans="1:3" x14ac:dyDescent="0.25">
      <c r="A1139" t="s">
        <v>3228</v>
      </c>
      <c r="B1139">
        <f>COUNTIF(Лист2!H:H,A1139)+COUNTIF(Лист2!I:I,A1139)</f>
        <v>1</v>
      </c>
      <c r="C1139">
        <v>1</v>
      </c>
    </row>
    <row r="1140" spans="1:3" x14ac:dyDescent="0.25">
      <c r="A1140" t="s">
        <v>3229</v>
      </c>
      <c r="B1140">
        <f>COUNTIF(Лист2!H:H,A1140)+COUNTIF(Лист2!I:I,A1140)</f>
        <v>1</v>
      </c>
      <c r="C1140">
        <v>1</v>
      </c>
    </row>
    <row r="1141" spans="1:3" x14ac:dyDescent="0.25">
      <c r="A1141" t="s">
        <v>3230</v>
      </c>
      <c r="B1141">
        <f>COUNTIF(Лист2!H:H,A1141)+COUNTIF(Лист2!I:I,A1141)</f>
        <v>1</v>
      </c>
      <c r="C1141">
        <v>1</v>
      </c>
    </row>
    <row r="1142" spans="1:3" x14ac:dyDescent="0.25">
      <c r="A1142" t="s">
        <v>2483</v>
      </c>
      <c r="B1142">
        <f>COUNTIF(Лист2!H:H,A1142)+COUNTIF(Лист2!I:I,A1142)</f>
        <v>1</v>
      </c>
      <c r="C1142">
        <v>1</v>
      </c>
    </row>
    <row r="1143" spans="1:3" x14ac:dyDescent="0.25">
      <c r="A1143" t="s">
        <v>3231</v>
      </c>
      <c r="B1143">
        <f>COUNTIF(Лист2!H:H,A1143)+COUNTIF(Лист2!I:I,A1143)</f>
        <v>1</v>
      </c>
      <c r="C1143">
        <v>1</v>
      </c>
    </row>
    <row r="1144" spans="1:3" x14ac:dyDescent="0.25">
      <c r="A1144" t="s">
        <v>3232</v>
      </c>
      <c r="B1144">
        <f>COUNTIF(Лист2!H:H,A1144)+COUNTIF(Лист2!I:I,A1144)</f>
        <v>1</v>
      </c>
      <c r="C1144">
        <v>1</v>
      </c>
    </row>
    <row r="1145" spans="1:3" x14ac:dyDescent="0.25">
      <c r="A1145" t="s">
        <v>3234</v>
      </c>
      <c r="B1145">
        <f>COUNTIF(Лист2!H:H,A1145)+COUNTIF(Лист2!I:I,A1145)</f>
        <v>1</v>
      </c>
      <c r="C1145">
        <v>1</v>
      </c>
    </row>
    <row r="1146" spans="1:3" x14ac:dyDescent="0.25">
      <c r="A1146" t="s">
        <v>3233</v>
      </c>
      <c r="B1146">
        <f>COUNTIF(Лист2!H:H,A1146)+COUNTIF(Лист2!I:I,A1146)</f>
        <v>1</v>
      </c>
      <c r="C1146">
        <v>1</v>
      </c>
    </row>
    <row r="1147" spans="1:3" x14ac:dyDescent="0.25">
      <c r="A1147" t="s">
        <v>3235</v>
      </c>
      <c r="B1147">
        <f>COUNTIF(Лист2!H:H,A1147)+COUNTIF(Лист2!I:I,A1147)</f>
        <v>1</v>
      </c>
      <c r="C1147">
        <v>1</v>
      </c>
    </row>
    <row r="1148" spans="1:3" x14ac:dyDescent="0.25">
      <c r="A1148" t="s">
        <v>3236</v>
      </c>
      <c r="B1148">
        <f>COUNTIF(Лист2!H:H,A1148)+COUNTIF(Лист2!I:I,A1148)</f>
        <v>1</v>
      </c>
      <c r="C1148">
        <v>1</v>
      </c>
    </row>
    <row r="1149" spans="1:3" x14ac:dyDescent="0.25">
      <c r="A1149" t="s">
        <v>3238</v>
      </c>
      <c r="B1149">
        <f>COUNTIF(Лист2!H:H,A1149)+COUNTIF(Лист2!I:I,A1149)</f>
        <v>1</v>
      </c>
      <c r="C1149">
        <v>1</v>
      </c>
    </row>
    <row r="1150" spans="1:3" x14ac:dyDescent="0.25">
      <c r="A1150" t="s">
        <v>3241</v>
      </c>
      <c r="B1150">
        <f>COUNTIF(Лист2!H:H,A1150)+COUNTIF(Лист2!I:I,A1150)</f>
        <v>1</v>
      </c>
      <c r="C1150">
        <v>1</v>
      </c>
    </row>
    <row r="1151" spans="1:3" x14ac:dyDescent="0.25">
      <c r="A1151" t="s">
        <v>3242</v>
      </c>
      <c r="B1151">
        <f>COUNTIF(Лист2!H:H,A1151)+COUNTIF(Лист2!I:I,A1151)</f>
        <v>1</v>
      </c>
      <c r="C1151">
        <v>1</v>
      </c>
    </row>
    <row r="1152" spans="1:3" x14ac:dyDescent="0.25">
      <c r="A1152" t="s">
        <v>3243</v>
      </c>
      <c r="B1152">
        <f>COUNTIF(Лист2!H:H,A1152)+COUNTIF(Лист2!I:I,A1152)</f>
        <v>1</v>
      </c>
      <c r="C1152">
        <v>1</v>
      </c>
    </row>
    <row r="1153" spans="1:3" x14ac:dyDescent="0.25">
      <c r="A1153" t="s">
        <v>3244</v>
      </c>
      <c r="B1153">
        <f>COUNTIF(Лист2!H:H,A1153)+COUNTIF(Лист2!I:I,A1153)</f>
        <v>1</v>
      </c>
      <c r="C1153">
        <v>1</v>
      </c>
    </row>
    <row r="1154" spans="1:3" x14ac:dyDescent="0.25">
      <c r="A1154" t="s">
        <v>2487</v>
      </c>
      <c r="B1154">
        <f>COUNTIF(Лист2!H:H,A1154)+COUNTIF(Лист2!I:I,A1154)</f>
        <v>1</v>
      </c>
      <c r="C1154">
        <v>1</v>
      </c>
    </row>
    <row r="1155" spans="1:3" x14ac:dyDescent="0.25">
      <c r="A1155" t="s">
        <v>3245</v>
      </c>
      <c r="B1155">
        <f>COUNTIF(Лист2!H:H,A1155)+COUNTIF(Лист2!I:I,A1155)</f>
        <v>1</v>
      </c>
      <c r="C1155">
        <v>1</v>
      </c>
    </row>
    <row r="1156" spans="1:3" x14ac:dyDescent="0.25">
      <c r="A1156" t="s">
        <v>3246</v>
      </c>
      <c r="B1156">
        <f>COUNTIF(Лист2!H:H,A1156)+COUNTIF(Лист2!I:I,A1156)</f>
        <v>1</v>
      </c>
      <c r="C1156">
        <v>1</v>
      </c>
    </row>
    <row r="1157" spans="1:3" x14ac:dyDescent="0.25">
      <c r="A1157" t="s">
        <v>3248</v>
      </c>
      <c r="B1157">
        <f>COUNTIF(Лист2!H:H,A1157)+COUNTIF(Лист2!I:I,A1157)</f>
        <v>1</v>
      </c>
      <c r="C1157">
        <v>1</v>
      </c>
    </row>
    <row r="1158" spans="1:3" x14ac:dyDescent="0.25">
      <c r="A1158" t="s">
        <v>3249</v>
      </c>
      <c r="B1158">
        <f>COUNTIF(Лист2!H:H,A1158)+COUNTIF(Лист2!I:I,A1158)</f>
        <v>1</v>
      </c>
      <c r="C1158">
        <v>1</v>
      </c>
    </row>
    <row r="1159" spans="1:3" x14ac:dyDescent="0.25">
      <c r="A1159" t="s">
        <v>3250</v>
      </c>
      <c r="B1159">
        <f>COUNTIF(Лист2!H:H,A1159)+COUNTIF(Лист2!I:I,A1159)</f>
        <v>1</v>
      </c>
      <c r="C1159">
        <v>1</v>
      </c>
    </row>
    <row r="1160" spans="1:3" x14ac:dyDescent="0.25">
      <c r="A1160" t="s">
        <v>3254</v>
      </c>
      <c r="B1160">
        <f>COUNTIF(Лист2!H:H,A1160)+COUNTIF(Лист2!I:I,A1160)</f>
        <v>1</v>
      </c>
      <c r="C1160">
        <v>1</v>
      </c>
    </row>
    <row r="1161" spans="1:3" x14ac:dyDescent="0.25">
      <c r="A1161" t="s">
        <v>3255</v>
      </c>
      <c r="B1161">
        <f>COUNTIF(Лист2!H:H,A1161)+COUNTIF(Лист2!I:I,A1161)</f>
        <v>1</v>
      </c>
      <c r="C1161">
        <v>1</v>
      </c>
    </row>
    <row r="1162" spans="1:3" x14ac:dyDescent="0.25">
      <c r="A1162" t="s">
        <v>2488</v>
      </c>
      <c r="B1162">
        <f>COUNTIF(Лист2!H:H,A1162)+COUNTIF(Лист2!I:I,A1162)</f>
        <v>1</v>
      </c>
      <c r="C1162">
        <v>1</v>
      </c>
    </row>
    <row r="1163" spans="1:3" x14ac:dyDescent="0.25">
      <c r="A1163" t="s">
        <v>3256</v>
      </c>
      <c r="B1163">
        <f>COUNTIF(Лист2!H:H,A1163)+COUNTIF(Лист2!I:I,A1163)</f>
        <v>1</v>
      </c>
      <c r="C1163">
        <v>1</v>
      </c>
    </row>
    <row r="1164" spans="1:3" x14ac:dyDescent="0.25">
      <c r="A1164" t="s">
        <v>3257</v>
      </c>
      <c r="B1164">
        <f>COUNTIF(Лист2!H:H,A1164)+COUNTIF(Лист2!I:I,A1164)</f>
        <v>1</v>
      </c>
      <c r="C1164">
        <v>1</v>
      </c>
    </row>
    <row r="1165" spans="1:3" x14ac:dyDescent="0.25">
      <c r="A1165" t="s">
        <v>3258</v>
      </c>
      <c r="B1165">
        <f>COUNTIF(Лист2!H:H,A1165)+COUNTIF(Лист2!I:I,A1165)</f>
        <v>1</v>
      </c>
      <c r="C1165">
        <v>1</v>
      </c>
    </row>
    <row r="1166" spans="1:3" x14ac:dyDescent="0.25">
      <c r="A1166" t="s">
        <v>3259</v>
      </c>
      <c r="B1166">
        <f>COUNTIF(Лист2!H:H,A1166)+COUNTIF(Лист2!I:I,A1166)</f>
        <v>1</v>
      </c>
      <c r="C1166">
        <v>1</v>
      </c>
    </row>
    <row r="1167" spans="1:3" x14ac:dyDescent="0.25">
      <c r="A1167" t="s">
        <v>3260</v>
      </c>
      <c r="B1167">
        <f>COUNTIF(Лист2!H:H,A1167)+COUNTIF(Лист2!I:I,A1167)</f>
        <v>1</v>
      </c>
      <c r="C1167">
        <v>1</v>
      </c>
    </row>
    <row r="1168" spans="1:3" x14ac:dyDescent="0.25">
      <c r="A1168" t="s">
        <v>3261</v>
      </c>
      <c r="B1168">
        <f>COUNTIF(Лист2!H:H,A1168)+COUNTIF(Лист2!I:I,A1168)</f>
        <v>1</v>
      </c>
      <c r="C1168">
        <v>1</v>
      </c>
    </row>
    <row r="1169" spans="1:3" x14ac:dyDescent="0.25">
      <c r="A1169" t="s">
        <v>3262</v>
      </c>
      <c r="B1169">
        <f>COUNTIF(Лист2!H:H,A1169)+COUNTIF(Лист2!I:I,A1169)</f>
        <v>1</v>
      </c>
      <c r="C1169">
        <v>1</v>
      </c>
    </row>
    <row r="1170" spans="1:3" x14ac:dyDescent="0.25">
      <c r="A1170" t="s">
        <v>3263</v>
      </c>
      <c r="B1170">
        <f>COUNTIF(Лист2!H:H,A1170)+COUNTIF(Лист2!I:I,A1170)</f>
        <v>1</v>
      </c>
      <c r="C1170">
        <v>1</v>
      </c>
    </row>
    <row r="1171" spans="1:3" x14ac:dyDescent="0.25">
      <c r="A1171" t="s">
        <v>3264</v>
      </c>
      <c r="B1171">
        <f>COUNTIF(Лист2!H:H,A1171)+COUNTIF(Лист2!I:I,A1171)</f>
        <v>1</v>
      </c>
      <c r="C1171">
        <v>1</v>
      </c>
    </row>
    <row r="1172" spans="1:3" x14ac:dyDescent="0.25">
      <c r="A1172" t="s">
        <v>3265</v>
      </c>
      <c r="B1172">
        <f>COUNTIF(Лист2!H:H,A1172)+COUNTIF(Лист2!I:I,A1172)</f>
        <v>1</v>
      </c>
      <c r="C1172">
        <v>1</v>
      </c>
    </row>
    <row r="1173" spans="1:3" x14ac:dyDescent="0.25">
      <c r="A1173" t="s">
        <v>2489</v>
      </c>
      <c r="B1173">
        <f>COUNTIF(Лист2!H:H,A1173)+COUNTIF(Лист2!I:I,A1173)</f>
        <v>1</v>
      </c>
      <c r="C1173">
        <v>1</v>
      </c>
    </row>
    <row r="1174" spans="1:3" x14ac:dyDescent="0.25">
      <c r="A1174" t="s">
        <v>3266</v>
      </c>
      <c r="B1174">
        <f>COUNTIF(Лист2!H:H,A1174)+COUNTIF(Лист2!I:I,A1174)</f>
        <v>1</v>
      </c>
      <c r="C1174">
        <v>1</v>
      </c>
    </row>
    <row r="1175" spans="1:3" x14ac:dyDescent="0.25">
      <c r="A1175" t="s">
        <v>3267</v>
      </c>
      <c r="B1175">
        <f>COUNTIF(Лист2!H:H,A1175)+COUNTIF(Лист2!I:I,A1175)</f>
        <v>1</v>
      </c>
      <c r="C1175">
        <v>1</v>
      </c>
    </row>
    <row r="1176" spans="1:3" x14ac:dyDescent="0.25">
      <c r="A1176" t="s">
        <v>3269</v>
      </c>
      <c r="B1176">
        <f>COUNTIF(Лист2!H:H,A1176)+COUNTIF(Лист2!I:I,A1176)</f>
        <v>1</v>
      </c>
      <c r="C1176">
        <v>1</v>
      </c>
    </row>
    <row r="1177" spans="1:3" x14ac:dyDescent="0.25">
      <c r="A1177" t="s">
        <v>3270</v>
      </c>
      <c r="B1177">
        <f>COUNTIF(Лист2!H:H,A1177)+COUNTIF(Лист2!I:I,A1177)</f>
        <v>1</v>
      </c>
      <c r="C1177">
        <v>1</v>
      </c>
    </row>
    <row r="1178" spans="1:3" x14ac:dyDescent="0.25">
      <c r="A1178" t="s">
        <v>3271</v>
      </c>
      <c r="B1178">
        <f>COUNTIF(Лист2!H:H,A1178)+COUNTIF(Лист2!I:I,A1178)</f>
        <v>1</v>
      </c>
      <c r="C1178">
        <v>1</v>
      </c>
    </row>
    <row r="1179" spans="1:3" x14ac:dyDescent="0.25">
      <c r="A1179" t="s">
        <v>3272</v>
      </c>
      <c r="B1179">
        <f>COUNTIF(Лист2!H:H,A1179)+COUNTIF(Лист2!I:I,A1179)</f>
        <v>1</v>
      </c>
      <c r="C1179">
        <v>1</v>
      </c>
    </row>
    <row r="1180" spans="1:3" x14ac:dyDescent="0.25">
      <c r="A1180" t="s">
        <v>2490</v>
      </c>
      <c r="B1180">
        <f>COUNTIF(Лист2!H:H,A1180)+COUNTIF(Лист2!I:I,A1180)</f>
        <v>1</v>
      </c>
      <c r="C1180">
        <v>1</v>
      </c>
    </row>
    <row r="1181" spans="1:3" x14ac:dyDescent="0.25">
      <c r="A1181" t="s">
        <v>2491</v>
      </c>
      <c r="B1181">
        <f>COUNTIF(Лист2!H:H,A1181)+COUNTIF(Лист2!I:I,A1181)</f>
        <v>1</v>
      </c>
      <c r="C1181">
        <v>1</v>
      </c>
    </row>
    <row r="1182" spans="1:3" x14ac:dyDescent="0.25">
      <c r="A1182" t="s">
        <v>3274</v>
      </c>
      <c r="B1182">
        <f>COUNTIF(Лист2!H:H,A1182)+COUNTIF(Лист2!I:I,A1182)</f>
        <v>1</v>
      </c>
      <c r="C1182">
        <v>1</v>
      </c>
    </row>
    <row r="1183" spans="1:3" x14ac:dyDescent="0.25">
      <c r="A1183" t="s">
        <v>3275</v>
      </c>
      <c r="B1183">
        <f>COUNTIF(Лист2!H:H,A1183)+COUNTIF(Лист2!I:I,A1183)</f>
        <v>1</v>
      </c>
      <c r="C1183">
        <v>1</v>
      </c>
    </row>
    <row r="1184" spans="1:3" x14ac:dyDescent="0.25">
      <c r="A1184" t="s">
        <v>3276</v>
      </c>
      <c r="B1184">
        <f>COUNTIF(Лист2!H:H,A1184)+COUNTIF(Лист2!I:I,A1184)</f>
        <v>1</v>
      </c>
      <c r="C1184">
        <v>1</v>
      </c>
    </row>
    <row r="1185" spans="1:3" x14ac:dyDescent="0.25">
      <c r="A1185" t="s">
        <v>3277</v>
      </c>
      <c r="B1185">
        <f>COUNTIF(Лист2!H:H,A1185)+COUNTIF(Лист2!I:I,A1185)</f>
        <v>1</v>
      </c>
      <c r="C1185">
        <v>1</v>
      </c>
    </row>
    <row r="1186" spans="1:3" x14ac:dyDescent="0.25">
      <c r="A1186" t="s">
        <v>3278</v>
      </c>
      <c r="B1186">
        <f>COUNTIF(Лист2!H:H,A1186)+COUNTIF(Лист2!I:I,A1186)</f>
        <v>1</v>
      </c>
      <c r="C1186">
        <v>1</v>
      </c>
    </row>
    <row r="1187" spans="1:3" x14ac:dyDescent="0.25">
      <c r="A1187" t="s">
        <v>3280</v>
      </c>
      <c r="B1187">
        <f>COUNTIF(Лист2!H:H,A1187)+COUNTIF(Лист2!I:I,A1187)</f>
        <v>1</v>
      </c>
      <c r="C1187">
        <v>1</v>
      </c>
    </row>
    <row r="1188" spans="1:3" x14ac:dyDescent="0.25">
      <c r="A1188" t="s">
        <v>3284</v>
      </c>
      <c r="B1188">
        <f>COUNTIF(Лист2!H:H,A1188)+COUNTIF(Лист2!I:I,A1188)</f>
        <v>1</v>
      </c>
      <c r="C1188">
        <v>1</v>
      </c>
    </row>
    <row r="1189" spans="1:3" x14ac:dyDescent="0.25">
      <c r="A1189" t="s">
        <v>3285</v>
      </c>
      <c r="B1189">
        <f>COUNTIF(Лист2!H:H,A1189)+COUNTIF(Лист2!I:I,A1189)</f>
        <v>1</v>
      </c>
      <c r="C1189">
        <v>1</v>
      </c>
    </row>
    <row r="1190" spans="1:3" x14ac:dyDescent="0.25">
      <c r="A1190" t="s">
        <v>2493</v>
      </c>
      <c r="B1190">
        <f>COUNTIF(Лист2!H:H,A1190)+COUNTIF(Лист2!I:I,A1190)</f>
        <v>1</v>
      </c>
      <c r="C1190">
        <v>1</v>
      </c>
    </row>
    <row r="1191" spans="1:3" x14ac:dyDescent="0.25">
      <c r="A1191" t="s">
        <v>3287</v>
      </c>
      <c r="B1191">
        <f>COUNTIF(Лист2!H:H,A1191)+COUNTIF(Лист2!I:I,A1191)</f>
        <v>1</v>
      </c>
      <c r="C1191">
        <v>1</v>
      </c>
    </row>
    <row r="1192" spans="1:3" x14ac:dyDescent="0.25">
      <c r="A1192" t="s">
        <v>3286</v>
      </c>
      <c r="B1192">
        <f>COUNTIF(Лист2!H:H,A1192)+COUNTIF(Лист2!I:I,A1192)</f>
        <v>1</v>
      </c>
      <c r="C1192">
        <v>1</v>
      </c>
    </row>
    <row r="1193" spans="1:3" x14ac:dyDescent="0.25">
      <c r="A1193" t="s">
        <v>3288</v>
      </c>
      <c r="B1193">
        <f>COUNTIF(Лист2!H:H,A1193)+COUNTIF(Лист2!I:I,A1193)</f>
        <v>1</v>
      </c>
      <c r="C1193">
        <v>1</v>
      </c>
    </row>
    <row r="1194" spans="1:3" x14ac:dyDescent="0.25">
      <c r="A1194" t="s">
        <v>3289</v>
      </c>
      <c r="B1194">
        <f>COUNTIF(Лист2!H:H,A1194)+COUNTIF(Лист2!I:I,A1194)</f>
        <v>1</v>
      </c>
      <c r="C1194">
        <v>1</v>
      </c>
    </row>
    <row r="1195" spans="1:3" x14ac:dyDescent="0.25">
      <c r="A1195" t="s">
        <v>3290</v>
      </c>
      <c r="B1195">
        <f>COUNTIF(Лист2!H:H,A1195)+COUNTIF(Лист2!I:I,A1195)</f>
        <v>1</v>
      </c>
      <c r="C1195">
        <v>1</v>
      </c>
    </row>
    <row r="1196" spans="1:3" x14ac:dyDescent="0.25">
      <c r="A1196" t="s">
        <v>3291</v>
      </c>
      <c r="B1196">
        <f>COUNTIF(Лист2!H:H,A1196)+COUNTIF(Лист2!I:I,A1196)</f>
        <v>1</v>
      </c>
      <c r="C1196">
        <v>1</v>
      </c>
    </row>
    <row r="1197" spans="1:3" x14ac:dyDescent="0.25">
      <c r="A1197" t="s">
        <v>3293</v>
      </c>
      <c r="B1197">
        <f>COUNTIF(Лист2!H:H,A1197)+COUNTIF(Лист2!I:I,A1197)</f>
        <v>1</v>
      </c>
      <c r="C1197">
        <v>1</v>
      </c>
    </row>
    <row r="1198" spans="1:3" x14ac:dyDescent="0.25">
      <c r="A1198" t="s">
        <v>3294</v>
      </c>
      <c r="B1198">
        <f>COUNTIF(Лист2!H:H,A1198)+COUNTIF(Лист2!I:I,A1198)</f>
        <v>1</v>
      </c>
      <c r="C1198">
        <v>1</v>
      </c>
    </row>
    <row r="1199" spans="1:3" x14ac:dyDescent="0.25">
      <c r="A1199" t="s">
        <v>3295</v>
      </c>
      <c r="B1199">
        <f>COUNTIF(Лист2!H:H,A1199)+COUNTIF(Лист2!I:I,A1199)</f>
        <v>1</v>
      </c>
      <c r="C1199">
        <v>1</v>
      </c>
    </row>
    <row r="1200" spans="1:3" x14ac:dyDescent="0.25">
      <c r="A1200" t="s">
        <v>3296</v>
      </c>
      <c r="B1200">
        <f>COUNTIF(Лист2!H:H,A1200)+COUNTIF(Лист2!I:I,A1200)</f>
        <v>1</v>
      </c>
      <c r="C1200">
        <v>1</v>
      </c>
    </row>
  </sheetData>
  <sortState ref="G1:G1201">
    <sortCondition ref="G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6"/>
  <sheetViews>
    <sheetView zoomScale="80" zoomScaleNormal="80" workbookViewId="0">
      <selection activeCell="B1" sqref="B1:P1"/>
    </sheetView>
  </sheetViews>
  <sheetFormatPr defaultRowHeight="15" x14ac:dyDescent="0.25"/>
  <cols>
    <col min="1" max="1" width="7.85546875" bestFit="1" customWidth="1"/>
    <col min="2" max="2" width="12.28515625" bestFit="1" customWidth="1"/>
    <col min="3" max="3" width="12.85546875" bestFit="1" customWidth="1"/>
    <col min="4" max="4" width="12" bestFit="1" customWidth="1"/>
    <col min="5" max="5" width="14.42578125" bestFit="1" customWidth="1"/>
    <col min="6" max="6" width="12.42578125" bestFit="1" customWidth="1"/>
    <col min="7" max="7" width="12.7109375" bestFit="1" customWidth="1"/>
    <col min="8" max="8" width="12.85546875" bestFit="1" customWidth="1"/>
    <col min="9" max="9" width="14.28515625" bestFit="1" customWidth="1"/>
    <col min="10" max="10" width="13" bestFit="1" customWidth="1"/>
    <col min="11" max="11" width="12.140625" bestFit="1" customWidth="1"/>
    <col min="12" max="12" width="14.5703125" bestFit="1" customWidth="1"/>
    <col min="13" max="13" width="13.85546875" bestFit="1" customWidth="1"/>
    <col min="14" max="14" width="12.140625" bestFit="1" customWidth="1"/>
    <col min="15" max="15" width="12.42578125" bestFit="1" customWidth="1"/>
    <col min="16" max="16" width="12.28515625" bestFit="1" customWidth="1"/>
    <col min="18" max="18" width="12.28515625" bestFit="1" customWidth="1"/>
    <col min="19" max="19" width="12.85546875" bestFit="1" customWidth="1"/>
    <col min="20" max="20" width="12" bestFit="1" customWidth="1"/>
    <col min="21" max="21" width="14.42578125" bestFit="1" customWidth="1"/>
    <col min="22" max="22" width="12.42578125" bestFit="1" customWidth="1"/>
    <col min="23" max="23" width="12.7109375" bestFit="1" customWidth="1"/>
    <col min="24" max="24" width="12.85546875" bestFit="1" customWidth="1"/>
    <col min="25" max="25" width="14.28515625" bestFit="1" customWidth="1"/>
    <col min="26" max="26" width="13" bestFit="1" customWidth="1"/>
    <col min="27" max="27" width="12.140625" bestFit="1" customWidth="1"/>
    <col min="28" max="28" width="14.5703125" bestFit="1" customWidth="1"/>
    <col min="29" max="29" width="13.85546875" bestFit="1" customWidth="1"/>
    <col min="30" max="30" width="12.140625" bestFit="1" customWidth="1"/>
    <col min="31" max="31" width="12.42578125" bestFit="1" customWidth="1"/>
    <col min="32" max="32" width="12.28515625" bestFit="1" customWidth="1"/>
  </cols>
  <sheetData>
    <row r="1" spans="1:32" x14ac:dyDescent="0.25">
      <c r="B1" t="s">
        <v>2098</v>
      </c>
      <c r="C1" t="s">
        <v>2100</v>
      </c>
      <c r="D1" t="s">
        <v>2101</v>
      </c>
      <c r="E1" t="s">
        <v>2103</v>
      </c>
      <c r="F1" t="s">
        <v>2099</v>
      </c>
      <c r="G1" t="s">
        <v>2105</v>
      </c>
      <c r="H1" t="s">
        <v>2111</v>
      </c>
      <c r="I1" t="s">
        <v>2102</v>
      </c>
      <c r="J1" t="s">
        <v>2108</v>
      </c>
      <c r="K1" t="s">
        <v>2104</v>
      </c>
      <c r="L1" t="s">
        <v>2121</v>
      </c>
      <c r="M1" t="s">
        <v>2127</v>
      </c>
      <c r="N1" t="s">
        <v>2109</v>
      </c>
      <c r="O1" t="s">
        <v>2120</v>
      </c>
      <c r="P1" t="s">
        <v>2124</v>
      </c>
      <c r="R1" t="s">
        <v>2098</v>
      </c>
      <c r="S1" t="s">
        <v>2100</v>
      </c>
      <c r="T1" t="s">
        <v>2101</v>
      </c>
      <c r="U1" t="s">
        <v>2103</v>
      </c>
      <c r="V1" t="s">
        <v>2099</v>
      </c>
      <c r="W1" t="s">
        <v>2105</v>
      </c>
      <c r="X1" t="s">
        <v>2111</v>
      </c>
      <c r="Y1" t="s">
        <v>2102</v>
      </c>
      <c r="Z1" t="s">
        <v>2108</v>
      </c>
      <c r="AA1" t="s">
        <v>2104</v>
      </c>
      <c r="AB1" t="s">
        <v>2121</v>
      </c>
      <c r="AC1" t="s">
        <v>2127</v>
      </c>
      <c r="AD1" t="s">
        <v>2109</v>
      </c>
      <c r="AE1" t="s">
        <v>2120</v>
      </c>
      <c r="AF1" t="s">
        <v>2124</v>
      </c>
    </row>
    <row r="2" spans="1:32" x14ac:dyDescent="0.25">
      <c r="A2" t="s">
        <v>2237</v>
      </c>
      <c r="B2" t="str">
        <f>CONCATENATE(A2,"_",$B$1)</f>
        <v>1ST_BTC</v>
      </c>
      <c r="C2" t="str">
        <f>CONCATENATE(A2,"_",$C$1)</f>
        <v>1ST_USD</v>
      </c>
      <c r="D2" t="str">
        <f>CONCATENATE(A2,"_",$D$1)</f>
        <v>1ST_LTC</v>
      </c>
      <c r="E2" t="str">
        <f>CONCATENATE(A2,"_",$E$1)</f>
        <v>1ST_DOGE</v>
      </c>
      <c r="F2" t="str">
        <f>CONCATENATE(A2,"_",$F$1)</f>
        <v>1ST_ETH</v>
      </c>
      <c r="G2" t="str">
        <f>CONCATENATE(A2,"_",$G$1)</f>
        <v>1ST_EUR</v>
      </c>
      <c r="H2" t="str">
        <f>CONCATENATE(A2,"_",$H$1)</f>
        <v>1ST_RUR</v>
      </c>
      <c r="I2" t="str">
        <f>CONCATENATE(A2,"_",$I$1)</f>
        <v>1ST_DASH</v>
      </c>
      <c r="J2" t="str">
        <f>CONCATENATE(A2,"_",$J$1)</f>
        <v>1ST_XMR</v>
      </c>
      <c r="K2" t="str">
        <f>CONCATENATE(A2,"_",$K$1)</f>
        <v>1ST_ETC</v>
      </c>
      <c r="L2" t="str">
        <f>CONCATENATE(A2,"_",$L$1)</f>
        <v>1ST_POSW</v>
      </c>
      <c r="M2" t="str">
        <f>CONCATENATE(A2,"_",$M$1)</f>
        <v>1ST_USDT</v>
      </c>
      <c r="N2" t="str">
        <f>CONCATENATE(A2,"_",$N$1)</f>
        <v>1ST_ZEC</v>
      </c>
      <c r="O2" t="str">
        <f>CONCATENATE(A2,"_",$O$1)</f>
        <v>1ST_NXT</v>
      </c>
      <c r="P2" t="str">
        <f>CONCATENATE(A2,"_",$P$1)</f>
        <v>1ST_REP</v>
      </c>
      <c r="R2" t="str">
        <f>CONCATENATE($B$1,"_",A2)</f>
        <v>BTC_1ST</v>
      </c>
      <c r="S2" t="str">
        <f>CONCATENATE($C$1,"_",A2)</f>
        <v>USD_1ST</v>
      </c>
      <c r="T2" t="str">
        <f>CONCATENATE($D$1,"_",A2)</f>
        <v>LTC_1ST</v>
      </c>
      <c r="U2" t="str">
        <f>CONCATENATE($E$1,"_",A2)</f>
        <v>DOGE_1ST</v>
      </c>
      <c r="V2" t="str">
        <f>CONCATENATE($F$1,"_",A2)</f>
        <v>ETH_1ST</v>
      </c>
      <c r="W2" t="str">
        <f>CONCATENATE($G$1,"_",A2)</f>
        <v>EUR_1ST</v>
      </c>
      <c r="X2" t="str">
        <f>CONCATENATE($H$1,"_",A2)</f>
        <v>RUR_1ST</v>
      </c>
      <c r="Y2" t="str">
        <f>CONCATENATE($I$1,"_",A2)</f>
        <v>DASH_1ST</v>
      </c>
      <c r="Z2" t="str">
        <f>CONCATENATE($J$1,"_",A2)</f>
        <v>XMR_1ST</v>
      </c>
      <c r="AA2" t="str">
        <f>CONCATENATE($K$1,"_",A2)</f>
        <v>ETC_1ST</v>
      </c>
      <c r="AB2" t="str">
        <f>CONCATENATE($L$1,"_",A2)</f>
        <v>POSW_1ST</v>
      </c>
      <c r="AC2" t="str">
        <f>CONCATENATE($M$1,"_",A2)</f>
        <v>USDT_1ST</v>
      </c>
      <c r="AD2" t="str">
        <f>CONCATENATE($N$1,"_",A2)</f>
        <v>ZEC_1ST</v>
      </c>
      <c r="AE2" t="str">
        <f>CONCATENATE($O$1,"_",A2)</f>
        <v>NXT_1ST</v>
      </c>
      <c r="AF2" t="str">
        <f>CONCATENATE($P$1,"_",A2)</f>
        <v>REP_1ST</v>
      </c>
    </row>
    <row r="3" spans="1:32" x14ac:dyDescent="0.25">
      <c r="A3" t="s">
        <v>2241</v>
      </c>
      <c r="B3" t="str">
        <f>CONCATENATE(A3,"_",$B$1)</f>
        <v>2GIVE_BTC</v>
      </c>
      <c r="C3" t="str">
        <f t="shared" ref="C3:C66" si="0">CONCATENATE(A3,"_",$C$1)</f>
        <v>2GIVE_USD</v>
      </c>
      <c r="D3" t="str">
        <f t="shared" ref="D3:D66" si="1">CONCATENATE(A3,"_",$D$1)</f>
        <v>2GIVE_LTC</v>
      </c>
      <c r="E3" t="str">
        <f t="shared" ref="E3:E66" si="2">CONCATENATE(A3,"_",$E$1)</f>
        <v>2GIVE_DOGE</v>
      </c>
      <c r="F3" t="str">
        <f t="shared" ref="F3:F66" si="3">CONCATENATE(A3,"_",$F$1)</f>
        <v>2GIVE_ETH</v>
      </c>
      <c r="G3" t="str">
        <f t="shared" ref="G3:G66" si="4">CONCATENATE(A3,"_",$G$1)</f>
        <v>2GIVE_EUR</v>
      </c>
      <c r="H3" t="str">
        <f t="shared" ref="H3:H66" si="5">CONCATENATE(A3,"_",$H$1)</f>
        <v>2GIVE_RUR</v>
      </c>
      <c r="I3" t="str">
        <f t="shared" ref="I3:I66" si="6">CONCATENATE(A3,"_",$I$1)</f>
        <v>2GIVE_DASH</v>
      </c>
      <c r="J3" t="str">
        <f t="shared" ref="J3:J66" si="7">CONCATENATE(A3,"_",$J$1)</f>
        <v>2GIVE_XMR</v>
      </c>
      <c r="K3" t="str">
        <f t="shared" ref="K3:K66" si="8">CONCATENATE(A3,"_",$K$1)</f>
        <v>2GIVE_ETC</v>
      </c>
      <c r="L3" t="str">
        <f t="shared" ref="L3:L66" si="9">CONCATENATE(A3,"_",$L$1)</f>
        <v>2GIVE_POSW</v>
      </c>
      <c r="M3" t="str">
        <f t="shared" ref="M3:M66" si="10">CONCATENATE(A3,"_",$M$1)</f>
        <v>2GIVE_USDT</v>
      </c>
      <c r="N3" t="str">
        <f t="shared" ref="N3:N66" si="11">CONCATENATE(A3,"_",$N$1)</f>
        <v>2GIVE_ZEC</v>
      </c>
      <c r="O3" t="str">
        <f t="shared" ref="O3:O66" si="12">CONCATENATE(A3,"_",$O$1)</f>
        <v>2GIVE_NXT</v>
      </c>
      <c r="P3" t="str">
        <f t="shared" ref="P3:P66" si="13">CONCATENATE(A3,"_",$P$1)</f>
        <v>2GIVE_REP</v>
      </c>
      <c r="R3" t="str">
        <f>CONCATENATE($B$1,"_",A3)</f>
        <v>BTC_2GIVE</v>
      </c>
      <c r="S3" t="str">
        <f>CONCATENATE($C$1,"_",A3)</f>
        <v>USD_2GIVE</v>
      </c>
      <c r="T3" t="str">
        <f>CONCATENATE($D$1,"_",A3)</f>
        <v>LTC_2GIVE</v>
      </c>
      <c r="U3" t="str">
        <f>CONCATENATE($E$1,"_",A3)</f>
        <v>DOGE_2GIVE</v>
      </c>
      <c r="V3" t="str">
        <f>CONCATENATE($F$1,"_",A3)</f>
        <v>ETH_2GIVE</v>
      </c>
      <c r="W3" t="str">
        <f>CONCATENATE($G$1,"_",A3)</f>
        <v>EUR_2GIVE</v>
      </c>
      <c r="X3" t="str">
        <f>CONCATENATE($H$1,"_",A3)</f>
        <v>RUR_2GIVE</v>
      </c>
      <c r="Y3" t="str">
        <f>CONCATENATE($I$1,"_",A3)</f>
        <v>DASH_2GIVE</v>
      </c>
      <c r="Z3" t="str">
        <f>CONCATENATE($J$1,"_",A3)</f>
        <v>XMR_2GIVE</v>
      </c>
      <c r="AA3" t="str">
        <f>CONCATENATE($K$1,"_",A3)</f>
        <v>ETC_2GIVE</v>
      </c>
      <c r="AB3" t="str">
        <f>CONCATENATE($L$1,"_",A3)</f>
        <v>POSW_2GIVE</v>
      </c>
      <c r="AC3" t="str">
        <f>CONCATENATE($M$1,"_",A3)</f>
        <v>USDT_2GIVE</v>
      </c>
      <c r="AD3" t="str">
        <f>CONCATENATE($N$1,"_",A3)</f>
        <v>ZEC_2GIVE</v>
      </c>
      <c r="AE3" t="str">
        <f>CONCATENATE($O$1,"_",A3)</f>
        <v>NXT_2GIVE</v>
      </c>
      <c r="AF3" t="str">
        <f>CONCATENATE($P$1,"_",A3)</f>
        <v>REP_2GIVE</v>
      </c>
    </row>
    <row r="4" spans="1:32" x14ac:dyDescent="0.25">
      <c r="A4" t="s">
        <v>2247</v>
      </c>
      <c r="B4" t="str">
        <f t="shared" ref="B4:B67" si="14">CONCATENATE(A4,"_",$B$1)</f>
        <v>8BIT_BTC</v>
      </c>
      <c r="C4" t="str">
        <f t="shared" si="0"/>
        <v>8BIT_USD</v>
      </c>
      <c r="D4" t="str">
        <f t="shared" si="1"/>
        <v>8BIT_LTC</v>
      </c>
      <c r="E4" t="str">
        <f t="shared" si="2"/>
        <v>8BIT_DOGE</v>
      </c>
      <c r="F4" t="str">
        <f t="shared" si="3"/>
        <v>8BIT_ETH</v>
      </c>
      <c r="G4" t="str">
        <f t="shared" si="4"/>
        <v>8BIT_EUR</v>
      </c>
      <c r="H4" t="str">
        <f t="shared" si="5"/>
        <v>8BIT_RUR</v>
      </c>
      <c r="I4" t="str">
        <f t="shared" si="6"/>
        <v>8BIT_DASH</v>
      </c>
      <c r="J4" t="str">
        <f t="shared" si="7"/>
        <v>8BIT_XMR</v>
      </c>
      <c r="K4" t="str">
        <f t="shared" si="8"/>
        <v>8BIT_ETC</v>
      </c>
      <c r="L4" t="str">
        <f t="shared" si="9"/>
        <v>8BIT_POSW</v>
      </c>
      <c r="M4" t="str">
        <f t="shared" si="10"/>
        <v>8BIT_USDT</v>
      </c>
      <c r="N4" t="str">
        <f t="shared" si="11"/>
        <v>8BIT_ZEC</v>
      </c>
      <c r="O4" t="str">
        <f t="shared" si="12"/>
        <v>8BIT_NXT</v>
      </c>
      <c r="P4" t="str">
        <f t="shared" si="13"/>
        <v>8BIT_REP</v>
      </c>
      <c r="R4" t="str">
        <f t="shared" ref="R4:R67" si="15">CONCATENATE($B$1,"_",A4)</f>
        <v>BTC_8BIT</v>
      </c>
      <c r="S4" t="str">
        <f t="shared" ref="S4:S67" si="16">CONCATENATE($C$1,"_",A4)</f>
        <v>USD_8BIT</v>
      </c>
      <c r="T4" t="str">
        <f t="shared" ref="T4:T67" si="17">CONCATENATE($D$1,"_",A4)</f>
        <v>LTC_8BIT</v>
      </c>
      <c r="U4" t="str">
        <f t="shared" ref="U4:U67" si="18">CONCATENATE($E$1,"_",A4)</f>
        <v>DOGE_8BIT</v>
      </c>
      <c r="V4" t="str">
        <f t="shared" ref="V4:V67" si="19">CONCATENATE($F$1,"_",A4)</f>
        <v>ETH_8BIT</v>
      </c>
      <c r="W4" t="str">
        <f t="shared" ref="W4:W67" si="20">CONCATENATE($G$1,"_",A4)</f>
        <v>EUR_8BIT</v>
      </c>
      <c r="X4" t="str">
        <f t="shared" ref="X4:X67" si="21">CONCATENATE($H$1,"_",A4)</f>
        <v>RUR_8BIT</v>
      </c>
      <c r="Y4" t="str">
        <f t="shared" ref="Y4:Y67" si="22">CONCATENATE($I$1,"_",A4)</f>
        <v>DASH_8BIT</v>
      </c>
      <c r="Z4" t="str">
        <f t="shared" ref="Z4:Z67" si="23">CONCATENATE($J$1,"_",A4)</f>
        <v>XMR_8BIT</v>
      </c>
      <c r="AA4" t="str">
        <f t="shared" ref="AA4:AA67" si="24">CONCATENATE($K$1,"_",A4)</f>
        <v>ETC_8BIT</v>
      </c>
      <c r="AB4" t="str">
        <f t="shared" ref="AB4:AB67" si="25">CONCATENATE($L$1,"_",A4)</f>
        <v>POSW_8BIT</v>
      </c>
      <c r="AC4" t="str">
        <f t="shared" ref="AC4:AC67" si="26">CONCATENATE($M$1,"_",A4)</f>
        <v>USDT_8BIT</v>
      </c>
      <c r="AD4" t="str">
        <f t="shared" ref="AD4:AD67" si="27">CONCATENATE($N$1,"_",A4)</f>
        <v>ZEC_8BIT</v>
      </c>
      <c r="AE4" t="str">
        <f t="shared" ref="AE4:AE67" si="28">CONCATENATE($O$1,"_",A4)</f>
        <v>NXT_8BIT</v>
      </c>
      <c r="AF4" t="str">
        <f t="shared" ref="AF4:AF67" si="29">CONCATENATE($P$1,"_",A4)</f>
        <v>REP_8BIT</v>
      </c>
    </row>
    <row r="5" spans="1:32" x14ac:dyDescent="0.25">
      <c r="A5" t="s">
        <v>2251</v>
      </c>
      <c r="B5" t="str">
        <f t="shared" si="14"/>
        <v>ABY_BTC</v>
      </c>
      <c r="C5" t="str">
        <f t="shared" si="0"/>
        <v>ABY_USD</v>
      </c>
      <c r="D5" t="str">
        <f t="shared" si="1"/>
        <v>ABY_LTC</v>
      </c>
      <c r="E5" t="str">
        <f t="shared" si="2"/>
        <v>ABY_DOGE</v>
      </c>
      <c r="F5" t="str">
        <f t="shared" si="3"/>
        <v>ABY_ETH</v>
      </c>
      <c r="G5" t="str">
        <f t="shared" si="4"/>
        <v>ABY_EUR</v>
      </c>
      <c r="H5" t="str">
        <f t="shared" si="5"/>
        <v>ABY_RUR</v>
      </c>
      <c r="I5" t="str">
        <f t="shared" si="6"/>
        <v>ABY_DASH</v>
      </c>
      <c r="J5" t="str">
        <f t="shared" si="7"/>
        <v>ABY_XMR</v>
      </c>
      <c r="K5" t="str">
        <f t="shared" si="8"/>
        <v>ABY_ETC</v>
      </c>
      <c r="L5" t="str">
        <f t="shared" si="9"/>
        <v>ABY_POSW</v>
      </c>
      <c r="M5" t="str">
        <f t="shared" si="10"/>
        <v>ABY_USDT</v>
      </c>
      <c r="N5" t="str">
        <f t="shared" si="11"/>
        <v>ABY_ZEC</v>
      </c>
      <c r="O5" t="str">
        <f t="shared" si="12"/>
        <v>ABY_NXT</v>
      </c>
      <c r="P5" t="str">
        <f t="shared" si="13"/>
        <v>ABY_REP</v>
      </c>
      <c r="R5" t="str">
        <f t="shared" si="15"/>
        <v>BTC_ABY</v>
      </c>
      <c r="S5" t="str">
        <f t="shared" si="16"/>
        <v>USD_ABY</v>
      </c>
      <c r="T5" t="str">
        <f t="shared" si="17"/>
        <v>LTC_ABY</v>
      </c>
      <c r="U5" t="str">
        <f t="shared" si="18"/>
        <v>DOGE_ABY</v>
      </c>
      <c r="V5" t="str">
        <f t="shared" si="19"/>
        <v>ETH_ABY</v>
      </c>
      <c r="W5" t="str">
        <f t="shared" si="20"/>
        <v>EUR_ABY</v>
      </c>
      <c r="X5" t="str">
        <f t="shared" si="21"/>
        <v>RUR_ABY</v>
      </c>
      <c r="Y5" t="str">
        <f t="shared" si="22"/>
        <v>DASH_ABY</v>
      </c>
      <c r="Z5" t="str">
        <f t="shared" si="23"/>
        <v>XMR_ABY</v>
      </c>
      <c r="AA5" t="str">
        <f t="shared" si="24"/>
        <v>ETC_ABY</v>
      </c>
      <c r="AB5" t="str">
        <f t="shared" si="25"/>
        <v>POSW_ABY</v>
      </c>
      <c r="AC5" t="str">
        <f t="shared" si="26"/>
        <v>USDT_ABY</v>
      </c>
      <c r="AD5" t="str">
        <f t="shared" si="27"/>
        <v>ZEC_ABY</v>
      </c>
      <c r="AE5" t="str">
        <f t="shared" si="28"/>
        <v>NXT_ABY</v>
      </c>
      <c r="AF5" t="str">
        <f t="shared" si="29"/>
        <v>REP_ABY</v>
      </c>
    </row>
    <row r="6" spans="1:32" x14ac:dyDescent="0.25">
      <c r="A6" t="s">
        <v>2130</v>
      </c>
      <c r="B6" t="str">
        <f t="shared" si="14"/>
        <v>ACP_BTC</v>
      </c>
      <c r="C6" t="str">
        <f t="shared" si="0"/>
        <v>ACP_USD</v>
      </c>
      <c r="D6" t="str">
        <f t="shared" si="1"/>
        <v>ACP_LTC</v>
      </c>
      <c r="E6" t="str">
        <f t="shared" si="2"/>
        <v>ACP_DOGE</v>
      </c>
      <c r="F6" t="str">
        <f t="shared" si="3"/>
        <v>ACP_ETH</v>
      </c>
      <c r="G6" t="str">
        <f t="shared" si="4"/>
        <v>ACP_EUR</v>
      </c>
      <c r="H6" t="str">
        <f t="shared" si="5"/>
        <v>ACP_RUR</v>
      </c>
      <c r="I6" t="str">
        <f t="shared" si="6"/>
        <v>ACP_DASH</v>
      </c>
      <c r="J6" t="str">
        <f t="shared" si="7"/>
        <v>ACP_XMR</v>
      </c>
      <c r="K6" t="str">
        <f t="shared" si="8"/>
        <v>ACP_ETC</v>
      </c>
      <c r="L6" t="str">
        <f t="shared" si="9"/>
        <v>ACP_POSW</v>
      </c>
      <c r="M6" t="str">
        <f t="shared" si="10"/>
        <v>ACP_USDT</v>
      </c>
      <c r="N6" t="str">
        <f t="shared" si="11"/>
        <v>ACP_ZEC</v>
      </c>
      <c r="O6" t="str">
        <f t="shared" si="12"/>
        <v>ACP_NXT</v>
      </c>
      <c r="P6" t="str">
        <f t="shared" si="13"/>
        <v>ACP_REP</v>
      </c>
      <c r="R6" t="str">
        <f t="shared" si="15"/>
        <v>BTC_ACP</v>
      </c>
      <c r="S6" t="str">
        <f t="shared" si="16"/>
        <v>USD_ACP</v>
      </c>
      <c r="T6" t="str">
        <f t="shared" si="17"/>
        <v>LTC_ACP</v>
      </c>
      <c r="U6" t="str">
        <f t="shared" si="18"/>
        <v>DOGE_ACP</v>
      </c>
      <c r="V6" t="str">
        <f t="shared" si="19"/>
        <v>ETH_ACP</v>
      </c>
      <c r="W6" t="str">
        <f t="shared" si="20"/>
        <v>EUR_ACP</v>
      </c>
      <c r="X6" t="str">
        <f t="shared" si="21"/>
        <v>RUR_ACP</v>
      </c>
      <c r="Y6" t="str">
        <f t="shared" si="22"/>
        <v>DASH_ACP</v>
      </c>
      <c r="Z6" t="str">
        <f t="shared" si="23"/>
        <v>XMR_ACP</v>
      </c>
      <c r="AA6" t="str">
        <f t="shared" si="24"/>
        <v>ETC_ACP</v>
      </c>
      <c r="AB6" t="str">
        <f t="shared" si="25"/>
        <v>POSW_ACP</v>
      </c>
      <c r="AC6" t="str">
        <f t="shared" si="26"/>
        <v>USDT_ACP</v>
      </c>
      <c r="AD6" t="str">
        <f t="shared" si="27"/>
        <v>ZEC_ACP</v>
      </c>
      <c r="AE6" t="str">
        <f t="shared" si="28"/>
        <v>NXT_ACP</v>
      </c>
      <c r="AF6" t="str">
        <f t="shared" si="29"/>
        <v>REP_ACP</v>
      </c>
    </row>
    <row r="7" spans="1:32" x14ac:dyDescent="0.25">
      <c r="A7" t="s">
        <v>2131</v>
      </c>
      <c r="B7" t="str">
        <f t="shared" si="14"/>
        <v>ADCN_BTC</v>
      </c>
      <c r="C7" t="str">
        <f t="shared" si="0"/>
        <v>ADCN_USD</v>
      </c>
      <c r="D7" t="str">
        <f t="shared" si="1"/>
        <v>ADCN_LTC</v>
      </c>
      <c r="E7" t="str">
        <f t="shared" si="2"/>
        <v>ADCN_DOGE</v>
      </c>
      <c r="F7" t="str">
        <f t="shared" si="3"/>
        <v>ADCN_ETH</v>
      </c>
      <c r="G7" t="str">
        <f t="shared" si="4"/>
        <v>ADCN_EUR</v>
      </c>
      <c r="H7" t="str">
        <f t="shared" si="5"/>
        <v>ADCN_RUR</v>
      </c>
      <c r="I7" t="str">
        <f t="shared" si="6"/>
        <v>ADCN_DASH</v>
      </c>
      <c r="J7" t="str">
        <f t="shared" si="7"/>
        <v>ADCN_XMR</v>
      </c>
      <c r="K7" t="str">
        <f t="shared" si="8"/>
        <v>ADCN_ETC</v>
      </c>
      <c r="L7" t="str">
        <f t="shared" si="9"/>
        <v>ADCN_POSW</v>
      </c>
      <c r="M7" t="str">
        <f t="shared" si="10"/>
        <v>ADCN_USDT</v>
      </c>
      <c r="N7" t="str">
        <f t="shared" si="11"/>
        <v>ADCN_ZEC</v>
      </c>
      <c r="O7" t="str">
        <f t="shared" si="12"/>
        <v>ADCN_NXT</v>
      </c>
      <c r="P7" t="str">
        <f t="shared" si="13"/>
        <v>ADCN_REP</v>
      </c>
      <c r="R7" t="str">
        <f t="shared" si="15"/>
        <v>BTC_ADCN</v>
      </c>
      <c r="S7" t="str">
        <f t="shared" si="16"/>
        <v>USD_ADCN</v>
      </c>
      <c r="T7" t="str">
        <f t="shared" si="17"/>
        <v>LTC_ADCN</v>
      </c>
      <c r="U7" t="str">
        <f t="shared" si="18"/>
        <v>DOGE_ADCN</v>
      </c>
      <c r="V7" t="str">
        <f t="shared" si="19"/>
        <v>ETH_ADCN</v>
      </c>
      <c r="W7" t="str">
        <f t="shared" si="20"/>
        <v>EUR_ADCN</v>
      </c>
      <c r="X7" t="str">
        <f t="shared" si="21"/>
        <v>RUR_ADCN</v>
      </c>
      <c r="Y7" t="str">
        <f t="shared" si="22"/>
        <v>DASH_ADCN</v>
      </c>
      <c r="Z7" t="str">
        <f t="shared" si="23"/>
        <v>XMR_ADCN</v>
      </c>
      <c r="AA7" t="str">
        <f t="shared" si="24"/>
        <v>ETC_ADCN</v>
      </c>
      <c r="AB7" t="str">
        <f t="shared" si="25"/>
        <v>POSW_ADCN</v>
      </c>
      <c r="AC7" t="str">
        <f t="shared" si="26"/>
        <v>USDT_ADCN</v>
      </c>
      <c r="AD7" t="str">
        <f t="shared" si="27"/>
        <v>ZEC_ADCN</v>
      </c>
      <c r="AE7" t="str">
        <f t="shared" si="28"/>
        <v>NXT_ADCN</v>
      </c>
      <c r="AF7" t="str">
        <f t="shared" si="29"/>
        <v>REP_ADCN</v>
      </c>
    </row>
    <row r="8" spans="1:32" x14ac:dyDescent="0.25">
      <c r="A8" t="s">
        <v>2132</v>
      </c>
      <c r="B8" t="str">
        <f t="shared" si="14"/>
        <v>ADZ_BTC</v>
      </c>
      <c r="C8" t="str">
        <f t="shared" si="0"/>
        <v>ADZ_USD</v>
      </c>
      <c r="D8" t="str">
        <f t="shared" si="1"/>
        <v>ADZ_LTC</v>
      </c>
      <c r="E8" t="str">
        <f t="shared" si="2"/>
        <v>ADZ_DOGE</v>
      </c>
      <c r="F8" t="str">
        <f t="shared" si="3"/>
        <v>ADZ_ETH</v>
      </c>
      <c r="G8" t="str">
        <f t="shared" si="4"/>
        <v>ADZ_EUR</v>
      </c>
      <c r="H8" t="str">
        <f t="shared" si="5"/>
        <v>ADZ_RUR</v>
      </c>
      <c r="I8" t="str">
        <f t="shared" si="6"/>
        <v>ADZ_DASH</v>
      </c>
      <c r="J8" t="str">
        <f t="shared" si="7"/>
        <v>ADZ_XMR</v>
      </c>
      <c r="K8" t="str">
        <f t="shared" si="8"/>
        <v>ADZ_ETC</v>
      </c>
      <c r="L8" t="str">
        <f t="shared" si="9"/>
        <v>ADZ_POSW</v>
      </c>
      <c r="M8" t="str">
        <f t="shared" si="10"/>
        <v>ADZ_USDT</v>
      </c>
      <c r="N8" t="str">
        <f t="shared" si="11"/>
        <v>ADZ_ZEC</v>
      </c>
      <c r="O8" t="str">
        <f t="shared" si="12"/>
        <v>ADZ_NXT</v>
      </c>
      <c r="P8" t="str">
        <f t="shared" si="13"/>
        <v>ADZ_REP</v>
      </c>
      <c r="R8" t="str">
        <f t="shared" si="15"/>
        <v>BTC_ADZ</v>
      </c>
      <c r="S8" t="str">
        <f t="shared" si="16"/>
        <v>USD_ADZ</v>
      </c>
      <c r="T8" t="str">
        <f t="shared" si="17"/>
        <v>LTC_ADZ</v>
      </c>
      <c r="U8" t="str">
        <f t="shared" si="18"/>
        <v>DOGE_ADZ</v>
      </c>
      <c r="V8" t="str">
        <f t="shared" si="19"/>
        <v>ETH_ADZ</v>
      </c>
      <c r="W8" t="str">
        <f t="shared" si="20"/>
        <v>EUR_ADZ</v>
      </c>
      <c r="X8" t="str">
        <f t="shared" si="21"/>
        <v>RUR_ADZ</v>
      </c>
      <c r="Y8" t="str">
        <f t="shared" si="22"/>
        <v>DASH_ADZ</v>
      </c>
      <c r="Z8" t="str">
        <f t="shared" si="23"/>
        <v>XMR_ADZ</v>
      </c>
      <c r="AA8" t="str">
        <f t="shared" si="24"/>
        <v>ETC_ADZ</v>
      </c>
      <c r="AB8" t="str">
        <f t="shared" si="25"/>
        <v>POSW_ADZ</v>
      </c>
      <c r="AC8" t="str">
        <f t="shared" si="26"/>
        <v>USDT_ADZ</v>
      </c>
      <c r="AD8" t="str">
        <f t="shared" si="27"/>
        <v>ZEC_ADZ</v>
      </c>
      <c r="AE8" t="str">
        <f t="shared" si="28"/>
        <v>NXT_ADZ</v>
      </c>
      <c r="AF8" t="str">
        <f t="shared" si="29"/>
        <v>REP_ADZ</v>
      </c>
    </row>
    <row r="9" spans="1:32" x14ac:dyDescent="0.25">
      <c r="A9" t="s">
        <v>2261</v>
      </c>
      <c r="B9" t="str">
        <f t="shared" si="14"/>
        <v>AEON_BTC</v>
      </c>
      <c r="C9" t="str">
        <f t="shared" si="0"/>
        <v>AEON_USD</v>
      </c>
      <c r="D9" t="str">
        <f t="shared" si="1"/>
        <v>AEON_LTC</v>
      </c>
      <c r="E9" t="str">
        <f t="shared" si="2"/>
        <v>AEON_DOGE</v>
      </c>
      <c r="F9" t="str">
        <f t="shared" si="3"/>
        <v>AEON_ETH</v>
      </c>
      <c r="G9" t="str">
        <f t="shared" si="4"/>
        <v>AEON_EUR</v>
      </c>
      <c r="H9" t="str">
        <f t="shared" si="5"/>
        <v>AEON_RUR</v>
      </c>
      <c r="I9" t="str">
        <f t="shared" si="6"/>
        <v>AEON_DASH</v>
      </c>
      <c r="J9" t="str">
        <f t="shared" si="7"/>
        <v>AEON_XMR</v>
      </c>
      <c r="K9" t="str">
        <f t="shared" si="8"/>
        <v>AEON_ETC</v>
      </c>
      <c r="L9" t="str">
        <f t="shared" si="9"/>
        <v>AEON_POSW</v>
      </c>
      <c r="M9" t="str">
        <f t="shared" si="10"/>
        <v>AEON_USDT</v>
      </c>
      <c r="N9" t="str">
        <f t="shared" si="11"/>
        <v>AEON_ZEC</v>
      </c>
      <c r="O9" t="str">
        <f t="shared" si="12"/>
        <v>AEON_NXT</v>
      </c>
      <c r="P9" t="str">
        <f t="shared" si="13"/>
        <v>AEON_REP</v>
      </c>
      <c r="R9" t="str">
        <f t="shared" si="15"/>
        <v>BTC_AEON</v>
      </c>
      <c r="S9" t="str">
        <f t="shared" si="16"/>
        <v>USD_AEON</v>
      </c>
      <c r="T9" t="str">
        <f t="shared" si="17"/>
        <v>LTC_AEON</v>
      </c>
      <c r="U9" t="str">
        <f t="shared" si="18"/>
        <v>DOGE_AEON</v>
      </c>
      <c r="V9" t="str">
        <f t="shared" si="19"/>
        <v>ETH_AEON</v>
      </c>
      <c r="W9" t="str">
        <f t="shared" si="20"/>
        <v>EUR_AEON</v>
      </c>
      <c r="X9" t="str">
        <f t="shared" si="21"/>
        <v>RUR_AEON</v>
      </c>
      <c r="Y9" t="str">
        <f t="shared" si="22"/>
        <v>DASH_AEON</v>
      </c>
      <c r="Z9" t="str">
        <f t="shared" si="23"/>
        <v>XMR_AEON</v>
      </c>
      <c r="AA9" t="str">
        <f t="shared" si="24"/>
        <v>ETC_AEON</v>
      </c>
      <c r="AB9" t="str">
        <f t="shared" si="25"/>
        <v>POSW_AEON</v>
      </c>
      <c r="AC9" t="str">
        <f t="shared" si="26"/>
        <v>USDT_AEON</v>
      </c>
      <c r="AD9" t="str">
        <f t="shared" si="27"/>
        <v>ZEC_AEON</v>
      </c>
      <c r="AE9" t="str">
        <f t="shared" si="28"/>
        <v>NXT_AEON</v>
      </c>
      <c r="AF9" t="str">
        <f t="shared" si="29"/>
        <v>REP_AEON</v>
      </c>
    </row>
    <row r="10" spans="1:32" x14ac:dyDescent="0.25">
      <c r="A10" t="s">
        <v>2133</v>
      </c>
      <c r="B10" t="str">
        <f t="shared" si="14"/>
        <v>AIB_BTC</v>
      </c>
      <c r="C10" t="str">
        <f t="shared" si="0"/>
        <v>AIB_USD</v>
      </c>
      <c r="D10" t="str">
        <f t="shared" si="1"/>
        <v>AIB_LTC</v>
      </c>
      <c r="E10" t="str">
        <f t="shared" si="2"/>
        <v>AIB_DOGE</v>
      </c>
      <c r="F10" t="str">
        <f t="shared" si="3"/>
        <v>AIB_ETH</v>
      </c>
      <c r="G10" t="str">
        <f t="shared" si="4"/>
        <v>AIB_EUR</v>
      </c>
      <c r="H10" t="str">
        <f t="shared" si="5"/>
        <v>AIB_RUR</v>
      </c>
      <c r="I10" t="str">
        <f t="shared" si="6"/>
        <v>AIB_DASH</v>
      </c>
      <c r="J10" t="str">
        <f t="shared" si="7"/>
        <v>AIB_XMR</v>
      </c>
      <c r="K10" t="str">
        <f t="shared" si="8"/>
        <v>AIB_ETC</v>
      </c>
      <c r="L10" t="str">
        <f t="shared" si="9"/>
        <v>AIB_POSW</v>
      </c>
      <c r="M10" t="str">
        <f t="shared" si="10"/>
        <v>AIB_USDT</v>
      </c>
      <c r="N10" t="str">
        <f t="shared" si="11"/>
        <v>AIB_ZEC</v>
      </c>
      <c r="O10" t="str">
        <f t="shared" si="12"/>
        <v>AIB_NXT</v>
      </c>
      <c r="P10" t="str">
        <f t="shared" si="13"/>
        <v>AIB_REP</v>
      </c>
      <c r="R10" t="str">
        <f t="shared" si="15"/>
        <v>BTC_AIB</v>
      </c>
      <c r="S10" t="str">
        <f t="shared" si="16"/>
        <v>USD_AIB</v>
      </c>
      <c r="T10" t="str">
        <f t="shared" si="17"/>
        <v>LTC_AIB</v>
      </c>
      <c r="U10" t="str">
        <f t="shared" si="18"/>
        <v>DOGE_AIB</v>
      </c>
      <c r="V10" t="str">
        <f t="shared" si="19"/>
        <v>ETH_AIB</v>
      </c>
      <c r="W10" t="str">
        <f t="shared" si="20"/>
        <v>EUR_AIB</v>
      </c>
      <c r="X10" t="str">
        <f t="shared" si="21"/>
        <v>RUR_AIB</v>
      </c>
      <c r="Y10" t="str">
        <f t="shared" si="22"/>
        <v>DASH_AIB</v>
      </c>
      <c r="Z10" t="str">
        <f t="shared" si="23"/>
        <v>XMR_AIB</v>
      </c>
      <c r="AA10" t="str">
        <f t="shared" si="24"/>
        <v>ETC_AIB</v>
      </c>
      <c r="AB10" t="str">
        <f t="shared" si="25"/>
        <v>POSW_AIB</v>
      </c>
      <c r="AC10" t="str">
        <f t="shared" si="26"/>
        <v>USDT_AIB</v>
      </c>
      <c r="AD10" t="str">
        <f t="shared" si="27"/>
        <v>ZEC_AIB</v>
      </c>
      <c r="AE10" t="str">
        <f t="shared" si="28"/>
        <v>NXT_AIB</v>
      </c>
      <c r="AF10" t="str">
        <f t="shared" si="29"/>
        <v>REP_AIB</v>
      </c>
    </row>
    <row r="11" spans="1:32" x14ac:dyDescent="0.25">
      <c r="A11" t="s">
        <v>2143</v>
      </c>
      <c r="B11" t="str">
        <f t="shared" si="14"/>
        <v>AMP_BTC</v>
      </c>
      <c r="C11" t="str">
        <f t="shared" si="0"/>
        <v>AMP_USD</v>
      </c>
      <c r="D11" t="str">
        <f t="shared" si="1"/>
        <v>AMP_LTC</v>
      </c>
      <c r="E11" t="str">
        <f t="shared" si="2"/>
        <v>AMP_DOGE</v>
      </c>
      <c r="F11" t="str">
        <f t="shared" si="3"/>
        <v>AMP_ETH</v>
      </c>
      <c r="G11" t="str">
        <f t="shared" si="4"/>
        <v>AMP_EUR</v>
      </c>
      <c r="H11" t="str">
        <f t="shared" si="5"/>
        <v>AMP_RUR</v>
      </c>
      <c r="I11" t="str">
        <f t="shared" si="6"/>
        <v>AMP_DASH</v>
      </c>
      <c r="J11" t="str">
        <f t="shared" si="7"/>
        <v>AMP_XMR</v>
      </c>
      <c r="K11" t="str">
        <f t="shared" si="8"/>
        <v>AMP_ETC</v>
      </c>
      <c r="L11" t="str">
        <f t="shared" si="9"/>
        <v>AMP_POSW</v>
      </c>
      <c r="M11" t="str">
        <f t="shared" si="10"/>
        <v>AMP_USDT</v>
      </c>
      <c r="N11" t="str">
        <f t="shared" si="11"/>
        <v>AMP_ZEC</v>
      </c>
      <c r="O11" t="str">
        <f t="shared" si="12"/>
        <v>AMP_NXT</v>
      </c>
      <c r="P11" t="str">
        <f t="shared" si="13"/>
        <v>AMP_REP</v>
      </c>
      <c r="R11" t="str">
        <f t="shared" si="15"/>
        <v>BTC_AMP</v>
      </c>
      <c r="S11" t="str">
        <f t="shared" si="16"/>
        <v>USD_AMP</v>
      </c>
      <c r="T11" t="str">
        <f t="shared" si="17"/>
        <v>LTC_AMP</v>
      </c>
      <c r="U11" t="str">
        <f t="shared" si="18"/>
        <v>DOGE_AMP</v>
      </c>
      <c r="V11" t="str">
        <f t="shared" si="19"/>
        <v>ETH_AMP</v>
      </c>
      <c r="W11" t="str">
        <f t="shared" si="20"/>
        <v>EUR_AMP</v>
      </c>
      <c r="X11" t="str">
        <f t="shared" si="21"/>
        <v>RUR_AMP</v>
      </c>
      <c r="Y11" t="str">
        <f t="shared" si="22"/>
        <v>DASH_AMP</v>
      </c>
      <c r="Z11" t="str">
        <f t="shared" si="23"/>
        <v>XMR_AMP</v>
      </c>
      <c r="AA11" t="str">
        <f t="shared" si="24"/>
        <v>ETC_AMP</v>
      </c>
      <c r="AB11" t="str">
        <f t="shared" si="25"/>
        <v>POSW_AMP</v>
      </c>
      <c r="AC11" t="str">
        <f t="shared" si="26"/>
        <v>USDT_AMP</v>
      </c>
      <c r="AD11" t="str">
        <f t="shared" si="27"/>
        <v>ZEC_AMP</v>
      </c>
      <c r="AE11" t="str">
        <f t="shared" si="28"/>
        <v>NXT_AMP</v>
      </c>
      <c r="AF11" t="str">
        <f t="shared" si="29"/>
        <v>REP_AMP</v>
      </c>
    </row>
    <row r="12" spans="1:32" x14ac:dyDescent="0.25">
      <c r="A12" t="s">
        <v>2134</v>
      </c>
      <c r="B12" t="str">
        <f t="shared" si="14"/>
        <v>ARC_BTC</v>
      </c>
      <c r="C12" t="str">
        <f t="shared" si="0"/>
        <v>ARC_USD</v>
      </c>
      <c r="D12" t="str">
        <f t="shared" si="1"/>
        <v>ARC_LTC</v>
      </c>
      <c r="E12" t="str">
        <f t="shared" si="2"/>
        <v>ARC_DOGE</v>
      </c>
      <c r="F12" t="str">
        <f t="shared" si="3"/>
        <v>ARC_ETH</v>
      </c>
      <c r="G12" t="str">
        <f t="shared" si="4"/>
        <v>ARC_EUR</v>
      </c>
      <c r="H12" t="str">
        <f t="shared" si="5"/>
        <v>ARC_RUR</v>
      </c>
      <c r="I12" t="str">
        <f t="shared" si="6"/>
        <v>ARC_DASH</v>
      </c>
      <c r="J12" t="str">
        <f t="shared" si="7"/>
        <v>ARC_XMR</v>
      </c>
      <c r="K12" t="str">
        <f t="shared" si="8"/>
        <v>ARC_ETC</v>
      </c>
      <c r="L12" t="str">
        <f t="shared" si="9"/>
        <v>ARC_POSW</v>
      </c>
      <c r="M12" t="str">
        <f t="shared" si="10"/>
        <v>ARC_USDT</v>
      </c>
      <c r="N12" t="str">
        <f t="shared" si="11"/>
        <v>ARC_ZEC</v>
      </c>
      <c r="O12" t="str">
        <f t="shared" si="12"/>
        <v>ARC_NXT</v>
      </c>
      <c r="P12" t="str">
        <f t="shared" si="13"/>
        <v>ARC_REP</v>
      </c>
      <c r="R12" t="str">
        <f t="shared" si="15"/>
        <v>BTC_ARC</v>
      </c>
      <c r="S12" t="str">
        <f t="shared" si="16"/>
        <v>USD_ARC</v>
      </c>
      <c r="T12" t="str">
        <f t="shared" si="17"/>
        <v>LTC_ARC</v>
      </c>
      <c r="U12" t="str">
        <f t="shared" si="18"/>
        <v>DOGE_ARC</v>
      </c>
      <c r="V12" t="str">
        <f t="shared" si="19"/>
        <v>ETH_ARC</v>
      </c>
      <c r="W12" t="str">
        <f t="shared" si="20"/>
        <v>EUR_ARC</v>
      </c>
      <c r="X12" t="str">
        <f t="shared" si="21"/>
        <v>RUR_ARC</v>
      </c>
      <c r="Y12" t="str">
        <f t="shared" si="22"/>
        <v>DASH_ARC</v>
      </c>
      <c r="Z12" t="str">
        <f t="shared" si="23"/>
        <v>XMR_ARC</v>
      </c>
      <c r="AA12" t="str">
        <f t="shared" si="24"/>
        <v>ETC_ARC</v>
      </c>
      <c r="AB12" t="str">
        <f t="shared" si="25"/>
        <v>POSW_ARC</v>
      </c>
      <c r="AC12" t="str">
        <f t="shared" si="26"/>
        <v>USDT_ARC</v>
      </c>
      <c r="AD12" t="str">
        <f t="shared" si="27"/>
        <v>ZEC_ARC</v>
      </c>
      <c r="AE12" t="str">
        <f t="shared" si="28"/>
        <v>NXT_ARC</v>
      </c>
      <c r="AF12" t="str">
        <f t="shared" si="29"/>
        <v>REP_ARC</v>
      </c>
    </row>
    <row r="13" spans="1:32" x14ac:dyDescent="0.25">
      <c r="A13" t="s">
        <v>2280</v>
      </c>
      <c r="B13" t="str">
        <f t="shared" si="14"/>
        <v>ARDR_BTC</v>
      </c>
      <c r="C13" t="str">
        <f t="shared" si="0"/>
        <v>ARDR_USD</v>
      </c>
      <c r="D13" t="str">
        <f t="shared" si="1"/>
        <v>ARDR_LTC</v>
      </c>
      <c r="E13" t="str">
        <f t="shared" si="2"/>
        <v>ARDR_DOGE</v>
      </c>
      <c r="F13" t="str">
        <f t="shared" si="3"/>
        <v>ARDR_ETH</v>
      </c>
      <c r="G13" t="str">
        <f t="shared" si="4"/>
        <v>ARDR_EUR</v>
      </c>
      <c r="H13" t="str">
        <f t="shared" si="5"/>
        <v>ARDR_RUR</v>
      </c>
      <c r="I13" t="str">
        <f t="shared" si="6"/>
        <v>ARDR_DASH</v>
      </c>
      <c r="J13" t="str">
        <f t="shared" si="7"/>
        <v>ARDR_XMR</v>
      </c>
      <c r="K13" t="str">
        <f t="shared" si="8"/>
        <v>ARDR_ETC</v>
      </c>
      <c r="L13" t="str">
        <f t="shared" si="9"/>
        <v>ARDR_POSW</v>
      </c>
      <c r="M13" t="str">
        <f t="shared" si="10"/>
        <v>ARDR_USDT</v>
      </c>
      <c r="N13" t="str">
        <f t="shared" si="11"/>
        <v>ARDR_ZEC</v>
      </c>
      <c r="O13" t="str">
        <f t="shared" si="12"/>
        <v>ARDR_NXT</v>
      </c>
      <c r="P13" t="str">
        <f t="shared" si="13"/>
        <v>ARDR_REP</v>
      </c>
      <c r="R13" t="str">
        <f t="shared" si="15"/>
        <v>BTC_ARDR</v>
      </c>
      <c r="S13" t="str">
        <f t="shared" si="16"/>
        <v>USD_ARDR</v>
      </c>
      <c r="T13" t="str">
        <f t="shared" si="17"/>
        <v>LTC_ARDR</v>
      </c>
      <c r="U13" t="str">
        <f t="shared" si="18"/>
        <v>DOGE_ARDR</v>
      </c>
      <c r="V13" t="str">
        <f t="shared" si="19"/>
        <v>ETH_ARDR</v>
      </c>
      <c r="W13" t="str">
        <f t="shared" si="20"/>
        <v>EUR_ARDR</v>
      </c>
      <c r="X13" t="str">
        <f t="shared" si="21"/>
        <v>RUR_ARDR</v>
      </c>
      <c r="Y13" t="str">
        <f t="shared" si="22"/>
        <v>DASH_ARDR</v>
      </c>
      <c r="Z13" t="str">
        <f t="shared" si="23"/>
        <v>XMR_ARDR</v>
      </c>
      <c r="AA13" t="str">
        <f t="shared" si="24"/>
        <v>ETC_ARDR</v>
      </c>
      <c r="AB13" t="str">
        <f t="shared" si="25"/>
        <v>POSW_ARDR</v>
      </c>
      <c r="AC13" t="str">
        <f t="shared" si="26"/>
        <v>USDT_ARDR</v>
      </c>
      <c r="AD13" t="str">
        <f t="shared" si="27"/>
        <v>ZEC_ARDR</v>
      </c>
      <c r="AE13" t="str">
        <f t="shared" si="28"/>
        <v>NXT_ARDR</v>
      </c>
      <c r="AF13" t="str">
        <f t="shared" si="29"/>
        <v>REP_ARDR</v>
      </c>
    </row>
    <row r="14" spans="1:32" x14ac:dyDescent="0.25">
      <c r="A14" t="s">
        <v>2295</v>
      </c>
      <c r="B14" t="str">
        <f t="shared" si="14"/>
        <v>AUR_BTC</v>
      </c>
      <c r="C14" t="str">
        <f t="shared" si="0"/>
        <v>AUR_USD</v>
      </c>
      <c r="D14" t="str">
        <f t="shared" si="1"/>
        <v>AUR_LTC</v>
      </c>
      <c r="E14" t="str">
        <f t="shared" si="2"/>
        <v>AUR_DOGE</v>
      </c>
      <c r="F14" t="str">
        <f t="shared" si="3"/>
        <v>AUR_ETH</v>
      </c>
      <c r="G14" t="str">
        <f t="shared" si="4"/>
        <v>AUR_EUR</v>
      </c>
      <c r="H14" t="str">
        <f t="shared" si="5"/>
        <v>AUR_RUR</v>
      </c>
      <c r="I14" t="str">
        <f t="shared" si="6"/>
        <v>AUR_DASH</v>
      </c>
      <c r="J14" t="str">
        <f t="shared" si="7"/>
        <v>AUR_XMR</v>
      </c>
      <c r="K14" t="str">
        <f t="shared" si="8"/>
        <v>AUR_ETC</v>
      </c>
      <c r="L14" t="str">
        <f t="shared" si="9"/>
        <v>AUR_POSW</v>
      </c>
      <c r="M14" t="str">
        <f t="shared" si="10"/>
        <v>AUR_USDT</v>
      </c>
      <c r="N14" t="str">
        <f t="shared" si="11"/>
        <v>AUR_ZEC</v>
      </c>
      <c r="O14" t="str">
        <f t="shared" si="12"/>
        <v>AUR_NXT</v>
      </c>
      <c r="P14" t="str">
        <f t="shared" si="13"/>
        <v>AUR_REP</v>
      </c>
      <c r="R14" t="str">
        <f t="shared" si="15"/>
        <v>BTC_AUR</v>
      </c>
      <c r="S14" t="str">
        <f t="shared" si="16"/>
        <v>USD_AUR</v>
      </c>
      <c r="T14" t="str">
        <f t="shared" si="17"/>
        <v>LTC_AUR</v>
      </c>
      <c r="U14" t="str">
        <f t="shared" si="18"/>
        <v>DOGE_AUR</v>
      </c>
      <c r="V14" t="str">
        <f t="shared" si="19"/>
        <v>ETH_AUR</v>
      </c>
      <c r="W14" t="str">
        <f t="shared" si="20"/>
        <v>EUR_AUR</v>
      </c>
      <c r="X14" t="str">
        <f t="shared" si="21"/>
        <v>RUR_AUR</v>
      </c>
      <c r="Y14" t="str">
        <f t="shared" si="22"/>
        <v>DASH_AUR</v>
      </c>
      <c r="Z14" t="str">
        <f t="shared" si="23"/>
        <v>XMR_AUR</v>
      </c>
      <c r="AA14" t="str">
        <f t="shared" si="24"/>
        <v>ETC_AUR</v>
      </c>
      <c r="AB14" t="str">
        <f t="shared" si="25"/>
        <v>POSW_AUR</v>
      </c>
      <c r="AC14" t="str">
        <f t="shared" si="26"/>
        <v>USDT_AUR</v>
      </c>
      <c r="AD14" t="str">
        <f t="shared" si="27"/>
        <v>ZEC_AUR</v>
      </c>
      <c r="AE14" t="str">
        <f t="shared" si="28"/>
        <v>NXT_AUR</v>
      </c>
      <c r="AF14" t="str">
        <f t="shared" si="29"/>
        <v>REP_AUR</v>
      </c>
    </row>
    <row r="15" spans="1:32" x14ac:dyDescent="0.25">
      <c r="A15" t="s">
        <v>2135</v>
      </c>
      <c r="B15" t="str">
        <f t="shared" si="14"/>
        <v>BASH_BTC</v>
      </c>
      <c r="C15" t="str">
        <f t="shared" si="0"/>
        <v>BASH_USD</v>
      </c>
      <c r="D15" t="str">
        <f t="shared" si="1"/>
        <v>BASH_LTC</v>
      </c>
      <c r="E15" t="str">
        <f t="shared" si="2"/>
        <v>BASH_DOGE</v>
      </c>
      <c r="F15" t="str">
        <f t="shared" si="3"/>
        <v>BASH_ETH</v>
      </c>
      <c r="G15" t="str">
        <f t="shared" si="4"/>
        <v>BASH_EUR</v>
      </c>
      <c r="H15" t="str">
        <f t="shared" si="5"/>
        <v>BASH_RUR</v>
      </c>
      <c r="I15" t="str">
        <f t="shared" si="6"/>
        <v>BASH_DASH</v>
      </c>
      <c r="J15" t="str">
        <f t="shared" si="7"/>
        <v>BASH_XMR</v>
      </c>
      <c r="K15" t="str">
        <f t="shared" si="8"/>
        <v>BASH_ETC</v>
      </c>
      <c r="L15" t="str">
        <f t="shared" si="9"/>
        <v>BASH_POSW</v>
      </c>
      <c r="M15" t="str">
        <f t="shared" si="10"/>
        <v>BASH_USDT</v>
      </c>
      <c r="N15" t="str">
        <f t="shared" si="11"/>
        <v>BASH_ZEC</v>
      </c>
      <c r="O15" t="str">
        <f t="shared" si="12"/>
        <v>BASH_NXT</v>
      </c>
      <c r="P15" t="str">
        <f t="shared" si="13"/>
        <v>BASH_REP</v>
      </c>
      <c r="R15" t="str">
        <f t="shared" si="15"/>
        <v>BTC_BASH</v>
      </c>
      <c r="S15" t="str">
        <f t="shared" si="16"/>
        <v>USD_BASH</v>
      </c>
      <c r="T15" t="str">
        <f t="shared" si="17"/>
        <v>LTC_BASH</v>
      </c>
      <c r="U15" t="str">
        <f t="shared" si="18"/>
        <v>DOGE_BASH</v>
      </c>
      <c r="V15" t="str">
        <f t="shared" si="19"/>
        <v>ETH_BASH</v>
      </c>
      <c r="W15" t="str">
        <f t="shared" si="20"/>
        <v>EUR_BASH</v>
      </c>
      <c r="X15" t="str">
        <f t="shared" si="21"/>
        <v>RUR_BASH</v>
      </c>
      <c r="Y15" t="str">
        <f t="shared" si="22"/>
        <v>DASH_BASH</v>
      </c>
      <c r="Z15" t="str">
        <f t="shared" si="23"/>
        <v>XMR_BASH</v>
      </c>
      <c r="AA15" t="str">
        <f t="shared" si="24"/>
        <v>ETC_BASH</v>
      </c>
      <c r="AB15" t="str">
        <f t="shared" si="25"/>
        <v>POSW_BASH</v>
      </c>
      <c r="AC15" t="str">
        <f t="shared" si="26"/>
        <v>USDT_BASH</v>
      </c>
      <c r="AD15" t="str">
        <f t="shared" si="27"/>
        <v>ZEC_BASH</v>
      </c>
      <c r="AE15" t="str">
        <f t="shared" si="28"/>
        <v>NXT_BASH</v>
      </c>
      <c r="AF15" t="str">
        <f t="shared" si="29"/>
        <v>REP_BASH</v>
      </c>
    </row>
    <row r="16" spans="1:32" x14ac:dyDescent="0.25">
      <c r="A16" t="s">
        <v>2307</v>
      </c>
      <c r="B16" t="str">
        <f t="shared" si="14"/>
        <v>BAY_BTC</v>
      </c>
      <c r="C16" t="str">
        <f t="shared" si="0"/>
        <v>BAY_USD</v>
      </c>
      <c r="D16" t="str">
        <f t="shared" si="1"/>
        <v>BAY_LTC</v>
      </c>
      <c r="E16" t="str">
        <f t="shared" si="2"/>
        <v>BAY_DOGE</v>
      </c>
      <c r="F16" t="str">
        <f t="shared" si="3"/>
        <v>BAY_ETH</v>
      </c>
      <c r="G16" t="str">
        <f t="shared" si="4"/>
        <v>BAY_EUR</v>
      </c>
      <c r="H16" t="str">
        <f t="shared" si="5"/>
        <v>BAY_RUR</v>
      </c>
      <c r="I16" t="str">
        <f t="shared" si="6"/>
        <v>BAY_DASH</v>
      </c>
      <c r="J16" t="str">
        <f t="shared" si="7"/>
        <v>BAY_XMR</v>
      </c>
      <c r="K16" t="str">
        <f t="shared" si="8"/>
        <v>BAY_ETC</v>
      </c>
      <c r="L16" t="str">
        <f t="shared" si="9"/>
        <v>BAY_POSW</v>
      </c>
      <c r="M16" t="str">
        <f t="shared" si="10"/>
        <v>BAY_USDT</v>
      </c>
      <c r="N16" t="str">
        <f t="shared" si="11"/>
        <v>BAY_ZEC</v>
      </c>
      <c r="O16" t="str">
        <f t="shared" si="12"/>
        <v>BAY_NXT</v>
      </c>
      <c r="P16" t="str">
        <f t="shared" si="13"/>
        <v>BAY_REP</v>
      </c>
      <c r="R16" t="str">
        <f t="shared" si="15"/>
        <v>BTC_BAY</v>
      </c>
      <c r="S16" t="str">
        <f t="shared" si="16"/>
        <v>USD_BAY</v>
      </c>
      <c r="T16" t="str">
        <f t="shared" si="17"/>
        <v>LTC_BAY</v>
      </c>
      <c r="U16" t="str">
        <f t="shared" si="18"/>
        <v>DOGE_BAY</v>
      </c>
      <c r="V16" t="str">
        <f t="shared" si="19"/>
        <v>ETH_BAY</v>
      </c>
      <c r="W16" t="str">
        <f t="shared" si="20"/>
        <v>EUR_BAY</v>
      </c>
      <c r="X16" t="str">
        <f t="shared" si="21"/>
        <v>RUR_BAY</v>
      </c>
      <c r="Y16" t="str">
        <f t="shared" si="22"/>
        <v>DASH_BAY</v>
      </c>
      <c r="Z16" t="str">
        <f t="shared" si="23"/>
        <v>XMR_BAY</v>
      </c>
      <c r="AA16" t="str">
        <f t="shared" si="24"/>
        <v>ETC_BAY</v>
      </c>
      <c r="AB16" t="str">
        <f t="shared" si="25"/>
        <v>POSW_BAY</v>
      </c>
      <c r="AC16" t="str">
        <f t="shared" si="26"/>
        <v>USDT_BAY</v>
      </c>
      <c r="AD16" t="str">
        <f t="shared" si="27"/>
        <v>ZEC_BAY</v>
      </c>
      <c r="AE16" t="str">
        <f t="shared" si="28"/>
        <v>NXT_BAY</v>
      </c>
      <c r="AF16" t="str">
        <f t="shared" si="29"/>
        <v>REP_BAY</v>
      </c>
    </row>
    <row r="17" spans="1:32" x14ac:dyDescent="0.25">
      <c r="A17" t="s">
        <v>2136</v>
      </c>
      <c r="B17" t="str">
        <f t="shared" si="14"/>
        <v>BCC_BTC</v>
      </c>
      <c r="C17" t="str">
        <f t="shared" si="0"/>
        <v>BCC_USD</v>
      </c>
      <c r="D17" t="str">
        <f t="shared" si="1"/>
        <v>BCC_LTC</v>
      </c>
      <c r="E17" t="str">
        <f t="shared" si="2"/>
        <v>BCC_DOGE</v>
      </c>
      <c r="F17" t="str">
        <f t="shared" si="3"/>
        <v>BCC_ETH</v>
      </c>
      <c r="G17" t="str">
        <f t="shared" si="4"/>
        <v>BCC_EUR</v>
      </c>
      <c r="H17" t="str">
        <f t="shared" si="5"/>
        <v>BCC_RUR</v>
      </c>
      <c r="I17" t="str">
        <f t="shared" si="6"/>
        <v>BCC_DASH</v>
      </c>
      <c r="J17" t="str">
        <f t="shared" si="7"/>
        <v>BCC_XMR</v>
      </c>
      <c r="K17" t="str">
        <f t="shared" si="8"/>
        <v>BCC_ETC</v>
      </c>
      <c r="L17" t="str">
        <f t="shared" si="9"/>
        <v>BCC_POSW</v>
      </c>
      <c r="M17" t="str">
        <f t="shared" si="10"/>
        <v>BCC_USDT</v>
      </c>
      <c r="N17" t="str">
        <f t="shared" si="11"/>
        <v>BCC_ZEC</v>
      </c>
      <c r="O17" t="str">
        <f t="shared" si="12"/>
        <v>BCC_NXT</v>
      </c>
      <c r="P17" t="str">
        <f t="shared" si="13"/>
        <v>BCC_REP</v>
      </c>
      <c r="R17" t="str">
        <f t="shared" si="15"/>
        <v>BTC_BCC</v>
      </c>
      <c r="S17" t="str">
        <f t="shared" si="16"/>
        <v>USD_BCC</v>
      </c>
      <c r="T17" t="str">
        <f t="shared" si="17"/>
        <v>LTC_BCC</v>
      </c>
      <c r="U17" t="str">
        <f t="shared" si="18"/>
        <v>DOGE_BCC</v>
      </c>
      <c r="V17" t="str">
        <f t="shared" si="19"/>
        <v>ETH_BCC</v>
      </c>
      <c r="W17" t="str">
        <f t="shared" si="20"/>
        <v>EUR_BCC</v>
      </c>
      <c r="X17" t="str">
        <f t="shared" si="21"/>
        <v>RUR_BCC</v>
      </c>
      <c r="Y17" t="str">
        <f t="shared" si="22"/>
        <v>DASH_BCC</v>
      </c>
      <c r="Z17" t="str">
        <f t="shared" si="23"/>
        <v>XMR_BCC</v>
      </c>
      <c r="AA17" t="str">
        <f t="shared" si="24"/>
        <v>ETC_BCC</v>
      </c>
      <c r="AB17" t="str">
        <f t="shared" si="25"/>
        <v>POSW_BCC</v>
      </c>
      <c r="AC17" t="str">
        <f t="shared" si="26"/>
        <v>USDT_BCC</v>
      </c>
      <c r="AD17" t="str">
        <f t="shared" si="27"/>
        <v>ZEC_BCC</v>
      </c>
      <c r="AE17" t="str">
        <f t="shared" si="28"/>
        <v>NXT_BCC</v>
      </c>
      <c r="AF17" t="str">
        <f t="shared" si="29"/>
        <v>REP_BCC</v>
      </c>
    </row>
    <row r="18" spans="1:32" x14ac:dyDescent="0.25">
      <c r="A18" t="s">
        <v>2309</v>
      </c>
      <c r="B18" t="str">
        <f t="shared" si="14"/>
        <v>BCN_BTC</v>
      </c>
      <c r="C18" t="str">
        <f t="shared" si="0"/>
        <v>BCN_USD</v>
      </c>
      <c r="D18" t="str">
        <f t="shared" si="1"/>
        <v>BCN_LTC</v>
      </c>
      <c r="E18" t="str">
        <f t="shared" si="2"/>
        <v>BCN_DOGE</v>
      </c>
      <c r="F18" t="str">
        <f t="shared" si="3"/>
        <v>BCN_ETH</v>
      </c>
      <c r="G18" t="str">
        <f t="shared" si="4"/>
        <v>BCN_EUR</v>
      </c>
      <c r="H18" t="str">
        <f t="shared" si="5"/>
        <v>BCN_RUR</v>
      </c>
      <c r="I18" t="str">
        <f t="shared" si="6"/>
        <v>BCN_DASH</v>
      </c>
      <c r="J18" t="str">
        <f t="shared" si="7"/>
        <v>BCN_XMR</v>
      </c>
      <c r="K18" t="str">
        <f t="shared" si="8"/>
        <v>BCN_ETC</v>
      </c>
      <c r="L18" t="str">
        <f t="shared" si="9"/>
        <v>BCN_POSW</v>
      </c>
      <c r="M18" t="str">
        <f t="shared" si="10"/>
        <v>BCN_USDT</v>
      </c>
      <c r="N18" t="str">
        <f t="shared" si="11"/>
        <v>BCN_ZEC</v>
      </c>
      <c r="O18" t="str">
        <f t="shared" si="12"/>
        <v>BCN_NXT</v>
      </c>
      <c r="P18" t="str">
        <f t="shared" si="13"/>
        <v>BCN_REP</v>
      </c>
      <c r="R18" t="str">
        <f t="shared" si="15"/>
        <v>BTC_BCN</v>
      </c>
      <c r="S18" t="str">
        <f t="shared" si="16"/>
        <v>USD_BCN</v>
      </c>
      <c r="T18" t="str">
        <f t="shared" si="17"/>
        <v>LTC_BCN</v>
      </c>
      <c r="U18" t="str">
        <f t="shared" si="18"/>
        <v>DOGE_BCN</v>
      </c>
      <c r="V18" t="str">
        <f t="shared" si="19"/>
        <v>ETH_BCN</v>
      </c>
      <c r="W18" t="str">
        <f t="shared" si="20"/>
        <v>EUR_BCN</v>
      </c>
      <c r="X18" t="str">
        <f t="shared" si="21"/>
        <v>RUR_BCN</v>
      </c>
      <c r="Y18" t="str">
        <f t="shared" si="22"/>
        <v>DASH_BCN</v>
      </c>
      <c r="Z18" t="str">
        <f t="shared" si="23"/>
        <v>XMR_BCN</v>
      </c>
      <c r="AA18" t="str">
        <f t="shared" si="24"/>
        <v>ETC_BCN</v>
      </c>
      <c r="AB18" t="str">
        <f t="shared" si="25"/>
        <v>POSW_BCN</v>
      </c>
      <c r="AC18" t="str">
        <f t="shared" si="26"/>
        <v>USDT_BCN</v>
      </c>
      <c r="AD18" t="str">
        <f t="shared" si="27"/>
        <v>ZEC_BCN</v>
      </c>
      <c r="AE18" t="str">
        <f t="shared" si="28"/>
        <v>NXT_BCN</v>
      </c>
      <c r="AF18" t="str">
        <f t="shared" si="29"/>
        <v>REP_BCN</v>
      </c>
    </row>
    <row r="19" spans="1:32" x14ac:dyDescent="0.25">
      <c r="A19" t="s">
        <v>2144</v>
      </c>
      <c r="B19" t="str">
        <f t="shared" si="14"/>
        <v>BCY_BTC</v>
      </c>
      <c r="C19" t="str">
        <f t="shared" si="0"/>
        <v>BCY_USD</v>
      </c>
      <c r="D19" t="str">
        <f t="shared" si="1"/>
        <v>BCY_LTC</v>
      </c>
      <c r="E19" t="str">
        <f t="shared" si="2"/>
        <v>BCY_DOGE</v>
      </c>
      <c r="F19" t="str">
        <f t="shared" si="3"/>
        <v>BCY_ETH</v>
      </c>
      <c r="G19" t="str">
        <f t="shared" si="4"/>
        <v>BCY_EUR</v>
      </c>
      <c r="H19" t="str">
        <f t="shared" si="5"/>
        <v>BCY_RUR</v>
      </c>
      <c r="I19" t="str">
        <f t="shared" si="6"/>
        <v>BCY_DASH</v>
      </c>
      <c r="J19" t="str">
        <f t="shared" si="7"/>
        <v>BCY_XMR</v>
      </c>
      <c r="K19" t="str">
        <f t="shared" si="8"/>
        <v>BCY_ETC</v>
      </c>
      <c r="L19" t="str">
        <f t="shared" si="9"/>
        <v>BCY_POSW</v>
      </c>
      <c r="M19" t="str">
        <f t="shared" si="10"/>
        <v>BCY_USDT</v>
      </c>
      <c r="N19" t="str">
        <f t="shared" si="11"/>
        <v>BCY_ZEC</v>
      </c>
      <c r="O19" t="str">
        <f t="shared" si="12"/>
        <v>BCY_NXT</v>
      </c>
      <c r="P19" t="str">
        <f t="shared" si="13"/>
        <v>BCY_REP</v>
      </c>
      <c r="R19" t="str">
        <f t="shared" si="15"/>
        <v>BTC_BCY</v>
      </c>
      <c r="S19" t="str">
        <f t="shared" si="16"/>
        <v>USD_BCY</v>
      </c>
      <c r="T19" t="str">
        <f t="shared" si="17"/>
        <v>LTC_BCY</v>
      </c>
      <c r="U19" t="str">
        <f t="shared" si="18"/>
        <v>DOGE_BCY</v>
      </c>
      <c r="V19" t="str">
        <f t="shared" si="19"/>
        <v>ETH_BCY</v>
      </c>
      <c r="W19" t="str">
        <f t="shared" si="20"/>
        <v>EUR_BCY</v>
      </c>
      <c r="X19" t="str">
        <f t="shared" si="21"/>
        <v>RUR_BCY</v>
      </c>
      <c r="Y19" t="str">
        <f t="shared" si="22"/>
        <v>DASH_BCY</v>
      </c>
      <c r="Z19" t="str">
        <f t="shared" si="23"/>
        <v>XMR_BCY</v>
      </c>
      <c r="AA19" t="str">
        <f t="shared" si="24"/>
        <v>ETC_BCY</v>
      </c>
      <c r="AB19" t="str">
        <f t="shared" si="25"/>
        <v>POSW_BCY</v>
      </c>
      <c r="AC19" t="str">
        <f t="shared" si="26"/>
        <v>USDT_BCY</v>
      </c>
      <c r="AD19" t="str">
        <f t="shared" si="27"/>
        <v>ZEC_BCY</v>
      </c>
      <c r="AE19" t="str">
        <f t="shared" si="28"/>
        <v>NXT_BCY</v>
      </c>
      <c r="AF19" t="str">
        <f t="shared" si="29"/>
        <v>REP_BCY</v>
      </c>
    </row>
    <row r="20" spans="1:32" x14ac:dyDescent="0.25">
      <c r="A20" t="s">
        <v>2137</v>
      </c>
      <c r="B20" t="str">
        <f t="shared" si="14"/>
        <v>BHC_BTC</v>
      </c>
      <c r="C20" t="str">
        <f t="shared" si="0"/>
        <v>BHC_USD</v>
      </c>
      <c r="D20" t="str">
        <f t="shared" si="1"/>
        <v>BHC_LTC</v>
      </c>
      <c r="E20" t="str">
        <f t="shared" si="2"/>
        <v>BHC_DOGE</v>
      </c>
      <c r="F20" t="str">
        <f t="shared" si="3"/>
        <v>BHC_ETH</v>
      </c>
      <c r="G20" t="str">
        <f t="shared" si="4"/>
        <v>BHC_EUR</v>
      </c>
      <c r="H20" t="str">
        <f t="shared" si="5"/>
        <v>BHC_RUR</v>
      </c>
      <c r="I20" t="str">
        <f t="shared" si="6"/>
        <v>BHC_DASH</v>
      </c>
      <c r="J20" t="str">
        <f t="shared" si="7"/>
        <v>BHC_XMR</v>
      </c>
      <c r="K20" t="str">
        <f t="shared" si="8"/>
        <v>BHC_ETC</v>
      </c>
      <c r="L20" t="str">
        <f t="shared" si="9"/>
        <v>BHC_POSW</v>
      </c>
      <c r="M20" t="str">
        <f t="shared" si="10"/>
        <v>BHC_USDT</v>
      </c>
      <c r="N20" t="str">
        <f t="shared" si="11"/>
        <v>BHC_ZEC</v>
      </c>
      <c r="O20" t="str">
        <f t="shared" si="12"/>
        <v>BHC_NXT</v>
      </c>
      <c r="P20" t="str">
        <f t="shared" si="13"/>
        <v>BHC_REP</v>
      </c>
      <c r="R20" t="str">
        <f t="shared" si="15"/>
        <v>BTC_BHC</v>
      </c>
      <c r="S20" t="str">
        <f t="shared" si="16"/>
        <v>USD_BHC</v>
      </c>
      <c r="T20" t="str">
        <f t="shared" si="17"/>
        <v>LTC_BHC</v>
      </c>
      <c r="U20" t="str">
        <f t="shared" si="18"/>
        <v>DOGE_BHC</v>
      </c>
      <c r="V20" t="str">
        <f t="shared" si="19"/>
        <v>ETH_BHC</v>
      </c>
      <c r="W20" t="str">
        <f t="shared" si="20"/>
        <v>EUR_BHC</v>
      </c>
      <c r="X20" t="str">
        <f t="shared" si="21"/>
        <v>RUR_BHC</v>
      </c>
      <c r="Y20" t="str">
        <f t="shared" si="22"/>
        <v>DASH_BHC</v>
      </c>
      <c r="Z20" t="str">
        <f t="shared" si="23"/>
        <v>XMR_BHC</v>
      </c>
      <c r="AA20" t="str">
        <f t="shared" si="24"/>
        <v>ETC_BHC</v>
      </c>
      <c r="AB20" t="str">
        <f t="shared" si="25"/>
        <v>POSW_BHC</v>
      </c>
      <c r="AC20" t="str">
        <f t="shared" si="26"/>
        <v>USDT_BHC</v>
      </c>
      <c r="AD20" t="str">
        <f t="shared" si="27"/>
        <v>ZEC_BHC</v>
      </c>
      <c r="AE20" t="str">
        <f t="shared" si="28"/>
        <v>NXT_BHC</v>
      </c>
      <c r="AF20" t="str">
        <f t="shared" si="29"/>
        <v>REP_BHC</v>
      </c>
    </row>
    <row r="21" spans="1:32" x14ac:dyDescent="0.25">
      <c r="A21" t="s">
        <v>2138</v>
      </c>
      <c r="B21" t="str">
        <f t="shared" si="14"/>
        <v>BIOS_BTC</v>
      </c>
      <c r="C21" t="str">
        <f t="shared" si="0"/>
        <v>BIOS_USD</v>
      </c>
      <c r="D21" t="str">
        <f t="shared" si="1"/>
        <v>BIOS_LTC</v>
      </c>
      <c r="E21" t="str">
        <f t="shared" si="2"/>
        <v>BIOS_DOGE</v>
      </c>
      <c r="F21" t="str">
        <f t="shared" si="3"/>
        <v>BIOS_ETH</v>
      </c>
      <c r="G21" t="str">
        <f t="shared" si="4"/>
        <v>BIOS_EUR</v>
      </c>
      <c r="H21" t="str">
        <f t="shared" si="5"/>
        <v>BIOS_RUR</v>
      </c>
      <c r="I21" t="str">
        <f t="shared" si="6"/>
        <v>BIOS_DASH</v>
      </c>
      <c r="J21" t="str">
        <f t="shared" si="7"/>
        <v>BIOS_XMR</v>
      </c>
      <c r="K21" t="str">
        <f t="shared" si="8"/>
        <v>BIOS_ETC</v>
      </c>
      <c r="L21" t="str">
        <f t="shared" si="9"/>
        <v>BIOS_POSW</v>
      </c>
      <c r="M21" t="str">
        <f t="shared" si="10"/>
        <v>BIOS_USDT</v>
      </c>
      <c r="N21" t="str">
        <f t="shared" si="11"/>
        <v>BIOS_ZEC</v>
      </c>
      <c r="O21" t="str">
        <f t="shared" si="12"/>
        <v>BIOS_NXT</v>
      </c>
      <c r="P21" t="str">
        <f t="shared" si="13"/>
        <v>BIOS_REP</v>
      </c>
      <c r="R21" t="str">
        <f t="shared" si="15"/>
        <v>BTC_BIOS</v>
      </c>
      <c r="S21" t="str">
        <f t="shared" si="16"/>
        <v>USD_BIOS</v>
      </c>
      <c r="T21" t="str">
        <f t="shared" si="17"/>
        <v>LTC_BIOS</v>
      </c>
      <c r="U21" t="str">
        <f t="shared" si="18"/>
        <v>DOGE_BIOS</v>
      </c>
      <c r="V21" t="str">
        <f t="shared" si="19"/>
        <v>ETH_BIOS</v>
      </c>
      <c r="W21" t="str">
        <f t="shared" si="20"/>
        <v>EUR_BIOS</v>
      </c>
      <c r="X21" t="str">
        <f t="shared" si="21"/>
        <v>RUR_BIOS</v>
      </c>
      <c r="Y21" t="str">
        <f t="shared" si="22"/>
        <v>DASH_BIOS</v>
      </c>
      <c r="Z21" t="str">
        <f t="shared" si="23"/>
        <v>XMR_BIOS</v>
      </c>
      <c r="AA21" t="str">
        <f t="shared" si="24"/>
        <v>ETC_BIOS</v>
      </c>
      <c r="AB21" t="str">
        <f t="shared" si="25"/>
        <v>POSW_BIOS</v>
      </c>
      <c r="AC21" t="str">
        <f t="shared" si="26"/>
        <v>USDT_BIOS</v>
      </c>
      <c r="AD21" t="str">
        <f t="shared" si="27"/>
        <v>ZEC_BIOS</v>
      </c>
      <c r="AE21" t="str">
        <f t="shared" si="28"/>
        <v>NXT_BIOS</v>
      </c>
      <c r="AF21" t="str">
        <f t="shared" si="29"/>
        <v>REP_BIOS</v>
      </c>
    </row>
    <row r="22" spans="1:32" x14ac:dyDescent="0.25">
      <c r="A22" t="s">
        <v>2139</v>
      </c>
      <c r="B22" t="str">
        <f t="shared" si="14"/>
        <v>BIT_BTC</v>
      </c>
      <c r="C22" t="str">
        <f t="shared" si="0"/>
        <v>BIT_USD</v>
      </c>
      <c r="D22" t="str">
        <f t="shared" si="1"/>
        <v>BIT_LTC</v>
      </c>
      <c r="E22" t="str">
        <f t="shared" si="2"/>
        <v>BIT_DOGE</v>
      </c>
      <c r="F22" t="str">
        <f t="shared" si="3"/>
        <v>BIT_ETH</v>
      </c>
      <c r="G22" t="str">
        <f t="shared" si="4"/>
        <v>BIT_EUR</v>
      </c>
      <c r="H22" t="str">
        <f t="shared" si="5"/>
        <v>BIT_RUR</v>
      </c>
      <c r="I22" t="str">
        <f t="shared" si="6"/>
        <v>BIT_DASH</v>
      </c>
      <c r="J22" t="str">
        <f t="shared" si="7"/>
        <v>BIT_XMR</v>
      </c>
      <c r="K22" t="str">
        <f t="shared" si="8"/>
        <v>BIT_ETC</v>
      </c>
      <c r="L22" t="str">
        <f t="shared" si="9"/>
        <v>BIT_POSW</v>
      </c>
      <c r="M22" t="str">
        <f t="shared" si="10"/>
        <v>BIT_USDT</v>
      </c>
      <c r="N22" t="str">
        <f t="shared" si="11"/>
        <v>BIT_ZEC</v>
      </c>
      <c r="O22" t="str">
        <f t="shared" si="12"/>
        <v>BIT_NXT</v>
      </c>
      <c r="P22" t="str">
        <f t="shared" si="13"/>
        <v>BIT_REP</v>
      </c>
      <c r="R22" t="str">
        <f t="shared" si="15"/>
        <v>BTC_BIT</v>
      </c>
      <c r="S22" t="str">
        <f t="shared" si="16"/>
        <v>USD_BIT</v>
      </c>
      <c r="T22" t="str">
        <f t="shared" si="17"/>
        <v>LTC_BIT</v>
      </c>
      <c r="U22" t="str">
        <f t="shared" si="18"/>
        <v>DOGE_BIT</v>
      </c>
      <c r="V22" t="str">
        <f t="shared" si="19"/>
        <v>ETH_BIT</v>
      </c>
      <c r="W22" t="str">
        <f t="shared" si="20"/>
        <v>EUR_BIT</v>
      </c>
      <c r="X22" t="str">
        <f t="shared" si="21"/>
        <v>RUR_BIT</v>
      </c>
      <c r="Y22" t="str">
        <f t="shared" si="22"/>
        <v>DASH_BIT</v>
      </c>
      <c r="Z22" t="str">
        <f t="shared" si="23"/>
        <v>XMR_BIT</v>
      </c>
      <c r="AA22" t="str">
        <f t="shared" si="24"/>
        <v>ETC_BIT</v>
      </c>
      <c r="AB22" t="str">
        <f t="shared" si="25"/>
        <v>POSW_BIT</v>
      </c>
      <c r="AC22" t="str">
        <f t="shared" si="26"/>
        <v>USDT_BIT</v>
      </c>
      <c r="AD22" t="str">
        <f t="shared" si="27"/>
        <v>ZEC_BIT</v>
      </c>
      <c r="AE22" t="str">
        <f t="shared" si="28"/>
        <v>NXT_BIT</v>
      </c>
      <c r="AF22" t="str">
        <f t="shared" si="29"/>
        <v>REP_BIT</v>
      </c>
    </row>
    <row r="23" spans="1:32" x14ac:dyDescent="0.25">
      <c r="A23" t="s">
        <v>2322</v>
      </c>
      <c r="B23" t="str">
        <f t="shared" si="14"/>
        <v>BITB_BTC</v>
      </c>
      <c r="C23" t="str">
        <f t="shared" si="0"/>
        <v>BITB_USD</v>
      </c>
      <c r="D23" t="str">
        <f t="shared" si="1"/>
        <v>BITB_LTC</v>
      </c>
      <c r="E23" t="str">
        <f t="shared" si="2"/>
        <v>BITB_DOGE</v>
      </c>
      <c r="F23" t="str">
        <f t="shared" si="3"/>
        <v>BITB_ETH</v>
      </c>
      <c r="G23" t="str">
        <f t="shared" si="4"/>
        <v>BITB_EUR</v>
      </c>
      <c r="H23" t="str">
        <f t="shared" si="5"/>
        <v>BITB_RUR</v>
      </c>
      <c r="I23" t="str">
        <f t="shared" si="6"/>
        <v>BITB_DASH</v>
      </c>
      <c r="J23" t="str">
        <f t="shared" si="7"/>
        <v>BITB_XMR</v>
      </c>
      <c r="K23" t="str">
        <f t="shared" si="8"/>
        <v>BITB_ETC</v>
      </c>
      <c r="L23" t="str">
        <f t="shared" si="9"/>
        <v>BITB_POSW</v>
      </c>
      <c r="M23" t="str">
        <f t="shared" si="10"/>
        <v>BITB_USDT</v>
      </c>
      <c r="N23" t="str">
        <f t="shared" si="11"/>
        <v>BITB_ZEC</v>
      </c>
      <c r="O23" t="str">
        <f t="shared" si="12"/>
        <v>BITB_NXT</v>
      </c>
      <c r="P23" t="str">
        <f t="shared" si="13"/>
        <v>BITB_REP</v>
      </c>
      <c r="R23" t="str">
        <f t="shared" si="15"/>
        <v>BTC_BITB</v>
      </c>
      <c r="S23" t="str">
        <f t="shared" si="16"/>
        <v>USD_BITB</v>
      </c>
      <c r="T23" t="str">
        <f t="shared" si="17"/>
        <v>LTC_BITB</v>
      </c>
      <c r="U23" t="str">
        <f t="shared" si="18"/>
        <v>DOGE_BITB</v>
      </c>
      <c r="V23" t="str">
        <f t="shared" si="19"/>
        <v>ETH_BITB</v>
      </c>
      <c r="W23" t="str">
        <f t="shared" si="20"/>
        <v>EUR_BITB</v>
      </c>
      <c r="X23" t="str">
        <f t="shared" si="21"/>
        <v>RUR_BITB</v>
      </c>
      <c r="Y23" t="str">
        <f t="shared" si="22"/>
        <v>DASH_BITB</v>
      </c>
      <c r="Z23" t="str">
        <f t="shared" si="23"/>
        <v>XMR_BITB</v>
      </c>
      <c r="AA23" t="str">
        <f t="shared" si="24"/>
        <v>ETC_BITB</v>
      </c>
      <c r="AB23" t="str">
        <f t="shared" si="25"/>
        <v>POSW_BITB</v>
      </c>
      <c r="AC23" t="str">
        <f t="shared" si="26"/>
        <v>USDT_BITB</v>
      </c>
      <c r="AD23" t="str">
        <f t="shared" si="27"/>
        <v>ZEC_BITB</v>
      </c>
      <c r="AE23" t="str">
        <f t="shared" si="28"/>
        <v>NXT_BITB</v>
      </c>
      <c r="AF23" t="str">
        <f t="shared" si="29"/>
        <v>REP_BITB</v>
      </c>
    </row>
    <row r="24" spans="1:32" x14ac:dyDescent="0.25">
      <c r="A24" t="s">
        <v>2330</v>
      </c>
      <c r="B24" t="str">
        <f t="shared" si="14"/>
        <v>BLK_BTC</v>
      </c>
      <c r="C24" t="str">
        <f t="shared" si="0"/>
        <v>BLK_USD</v>
      </c>
      <c r="D24" t="str">
        <f t="shared" si="1"/>
        <v>BLK_LTC</v>
      </c>
      <c r="E24" t="str">
        <f t="shared" si="2"/>
        <v>BLK_DOGE</v>
      </c>
      <c r="F24" t="str">
        <f t="shared" si="3"/>
        <v>BLK_ETH</v>
      </c>
      <c r="G24" t="str">
        <f t="shared" si="4"/>
        <v>BLK_EUR</v>
      </c>
      <c r="H24" t="str">
        <f t="shared" si="5"/>
        <v>BLK_RUR</v>
      </c>
      <c r="I24" t="str">
        <f t="shared" si="6"/>
        <v>BLK_DASH</v>
      </c>
      <c r="J24" t="str">
        <f t="shared" si="7"/>
        <v>BLK_XMR</v>
      </c>
      <c r="K24" t="str">
        <f t="shared" si="8"/>
        <v>BLK_ETC</v>
      </c>
      <c r="L24" t="str">
        <f t="shared" si="9"/>
        <v>BLK_POSW</v>
      </c>
      <c r="M24" t="str">
        <f t="shared" si="10"/>
        <v>BLK_USDT</v>
      </c>
      <c r="N24" t="str">
        <f t="shared" si="11"/>
        <v>BLK_ZEC</v>
      </c>
      <c r="O24" t="str">
        <f t="shared" si="12"/>
        <v>BLK_NXT</v>
      </c>
      <c r="P24" t="str">
        <f t="shared" si="13"/>
        <v>BLK_REP</v>
      </c>
      <c r="R24" t="str">
        <f t="shared" si="15"/>
        <v>BTC_BLK</v>
      </c>
      <c r="S24" t="str">
        <f t="shared" si="16"/>
        <v>USD_BLK</v>
      </c>
      <c r="T24" t="str">
        <f t="shared" si="17"/>
        <v>LTC_BLK</v>
      </c>
      <c r="U24" t="str">
        <f t="shared" si="18"/>
        <v>DOGE_BLK</v>
      </c>
      <c r="V24" t="str">
        <f t="shared" si="19"/>
        <v>ETH_BLK</v>
      </c>
      <c r="W24" t="str">
        <f t="shared" si="20"/>
        <v>EUR_BLK</v>
      </c>
      <c r="X24" t="str">
        <f t="shared" si="21"/>
        <v>RUR_BLK</v>
      </c>
      <c r="Y24" t="str">
        <f t="shared" si="22"/>
        <v>DASH_BLK</v>
      </c>
      <c r="Z24" t="str">
        <f t="shared" si="23"/>
        <v>XMR_BLK</v>
      </c>
      <c r="AA24" t="str">
        <f t="shared" si="24"/>
        <v>ETC_BLK</v>
      </c>
      <c r="AB24" t="str">
        <f t="shared" si="25"/>
        <v>POSW_BLK</v>
      </c>
      <c r="AC24" t="str">
        <f t="shared" si="26"/>
        <v>USDT_BLK</v>
      </c>
      <c r="AD24" t="str">
        <f t="shared" si="27"/>
        <v>ZEC_BLK</v>
      </c>
      <c r="AE24" t="str">
        <f t="shared" si="28"/>
        <v>NXT_BLK</v>
      </c>
      <c r="AF24" t="str">
        <f t="shared" si="29"/>
        <v>REP_BLK</v>
      </c>
    </row>
    <row r="25" spans="1:32" x14ac:dyDescent="0.25">
      <c r="A25" t="s">
        <v>2140</v>
      </c>
      <c r="B25" t="str">
        <f t="shared" si="14"/>
        <v>BLU_BTC</v>
      </c>
      <c r="C25" t="str">
        <f t="shared" si="0"/>
        <v>BLU_USD</v>
      </c>
      <c r="D25" t="str">
        <f t="shared" si="1"/>
        <v>BLU_LTC</v>
      </c>
      <c r="E25" t="str">
        <f t="shared" si="2"/>
        <v>BLU_DOGE</v>
      </c>
      <c r="F25" t="str">
        <f t="shared" si="3"/>
        <v>BLU_ETH</v>
      </c>
      <c r="G25" t="str">
        <f t="shared" si="4"/>
        <v>BLU_EUR</v>
      </c>
      <c r="H25" t="str">
        <f t="shared" si="5"/>
        <v>BLU_RUR</v>
      </c>
      <c r="I25" t="str">
        <f t="shared" si="6"/>
        <v>BLU_DASH</v>
      </c>
      <c r="J25" t="str">
        <f t="shared" si="7"/>
        <v>BLU_XMR</v>
      </c>
      <c r="K25" t="str">
        <f t="shared" si="8"/>
        <v>BLU_ETC</v>
      </c>
      <c r="L25" t="str">
        <f t="shared" si="9"/>
        <v>BLU_POSW</v>
      </c>
      <c r="M25" t="str">
        <f t="shared" si="10"/>
        <v>BLU_USDT</v>
      </c>
      <c r="N25" t="str">
        <f t="shared" si="11"/>
        <v>BLU_ZEC</v>
      </c>
      <c r="O25" t="str">
        <f t="shared" si="12"/>
        <v>BLU_NXT</v>
      </c>
      <c r="P25" t="str">
        <f t="shared" si="13"/>
        <v>BLU_REP</v>
      </c>
      <c r="R25" t="str">
        <f t="shared" si="15"/>
        <v>BTC_BLU</v>
      </c>
      <c r="S25" t="str">
        <f t="shared" si="16"/>
        <v>USD_BLU</v>
      </c>
      <c r="T25" t="str">
        <f t="shared" si="17"/>
        <v>LTC_BLU</v>
      </c>
      <c r="U25" t="str">
        <f t="shared" si="18"/>
        <v>DOGE_BLU</v>
      </c>
      <c r="V25" t="str">
        <f t="shared" si="19"/>
        <v>ETH_BLU</v>
      </c>
      <c r="W25" t="str">
        <f t="shared" si="20"/>
        <v>EUR_BLU</v>
      </c>
      <c r="X25" t="str">
        <f t="shared" si="21"/>
        <v>RUR_BLU</v>
      </c>
      <c r="Y25" t="str">
        <f t="shared" si="22"/>
        <v>DASH_BLU</v>
      </c>
      <c r="Z25" t="str">
        <f t="shared" si="23"/>
        <v>XMR_BLU</v>
      </c>
      <c r="AA25" t="str">
        <f t="shared" si="24"/>
        <v>ETC_BLU</v>
      </c>
      <c r="AB25" t="str">
        <f t="shared" si="25"/>
        <v>POSW_BLU</v>
      </c>
      <c r="AC25" t="str">
        <f t="shared" si="26"/>
        <v>USDT_BLU</v>
      </c>
      <c r="AD25" t="str">
        <f t="shared" si="27"/>
        <v>ZEC_BLU</v>
      </c>
      <c r="AE25" t="str">
        <f t="shared" si="28"/>
        <v>NXT_BLU</v>
      </c>
      <c r="AF25" t="str">
        <f t="shared" si="29"/>
        <v>REP_BLU</v>
      </c>
    </row>
    <row r="26" spans="1:32" x14ac:dyDescent="0.25">
      <c r="A26" t="s">
        <v>2141</v>
      </c>
      <c r="B26" t="str">
        <f t="shared" si="14"/>
        <v>BPC_BTC</v>
      </c>
      <c r="C26" t="str">
        <f t="shared" si="0"/>
        <v>BPC_USD</v>
      </c>
      <c r="D26" t="str">
        <f t="shared" si="1"/>
        <v>BPC_LTC</v>
      </c>
      <c r="E26" t="str">
        <f t="shared" si="2"/>
        <v>BPC_DOGE</v>
      </c>
      <c r="F26" t="str">
        <f t="shared" si="3"/>
        <v>BPC_ETH</v>
      </c>
      <c r="G26" t="str">
        <f t="shared" si="4"/>
        <v>BPC_EUR</v>
      </c>
      <c r="H26" t="str">
        <f t="shared" si="5"/>
        <v>BPC_RUR</v>
      </c>
      <c r="I26" t="str">
        <f t="shared" si="6"/>
        <v>BPC_DASH</v>
      </c>
      <c r="J26" t="str">
        <f t="shared" si="7"/>
        <v>BPC_XMR</v>
      </c>
      <c r="K26" t="str">
        <f t="shared" si="8"/>
        <v>BPC_ETC</v>
      </c>
      <c r="L26" t="str">
        <f t="shared" si="9"/>
        <v>BPC_POSW</v>
      </c>
      <c r="M26" t="str">
        <f t="shared" si="10"/>
        <v>BPC_USDT</v>
      </c>
      <c r="N26" t="str">
        <f t="shared" si="11"/>
        <v>BPC_ZEC</v>
      </c>
      <c r="O26" t="str">
        <f t="shared" si="12"/>
        <v>BPC_NXT</v>
      </c>
      <c r="P26" t="str">
        <f t="shared" si="13"/>
        <v>BPC_REP</v>
      </c>
      <c r="R26" t="str">
        <f t="shared" si="15"/>
        <v>BTC_BPC</v>
      </c>
      <c r="S26" t="str">
        <f t="shared" si="16"/>
        <v>USD_BPC</v>
      </c>
      <c r="T26" t="str">
        <f t="shared" si="17"/>
        <v>LTC_BPC</v>
      </c>
      <c r="U26" t="str">
        <f t="shared" si="18"/>
        <v>DOGE_BPC</v>
      </c>
      <c r="V26" t="str">
        <f t="shared" si="19"/>
        <v>ETH_BPC</v>
      </c>
      <c r="W26" t="str">
        <f t="shared" si="20"/>
        <v>EUR_BPC</v>
      </c>
      <c r="X26" t="str">
        <f t="shared" si="21"/>
        <v>RUR_BPC</v>
      </c>
      <c r="Y26" t="str">
        <f t="shared" si="22"/>
        <v>DASH_BPC</v>
      </c>
      <c r="Z26" t="str">
        <f t="shared" si="23"/>
        <v>XMR_BPC</v>
      </c>
      <c r="AA26" t="str">
        <f t="shared" si="24"/>
        <v>ETC_BPC</v>
      </c>
      <c r="AB26" t="str">
        <f t="shared" si="25"/>
        <v>POSW_BPC</v>
      </c>
      <c r="AC26" t="str">
        <f t="shared" si="26"/>
        <v>USDT_BPC</v>
      </c>
      <c r="AD26" t="str">
        <f t="shared" si="27"/>
        <v>ZEC_BPC</v>
      </c>
      <c r="AE26" t="str">
        <f t="shared" si="28"/>
        <v>NXT_BPC</v>
      </c>
      <c r="AF26" t="str">
        <f t="shared" si="29"/>
        <v>REP_BPC</v>
      </c>
    </row>
    <row r="27" spans="1:32" x14ac:dyDescent="0.25">
      <c r="A27" t="s">
        <v>2353</v>
      </c>
      <c r="B27" t="str">
        <f t="shared" si="14"/>
        <v>BSD_BTC</v>
      </c>
      <c r="C27" t="str">
        <f t="shared" si="0"/>
        <v>BSD_USD</v>
      </c>
      <c r="D27" t="str">
        <f t="shared" si="1"/>
        <v>BSD_LTC</v>
      </c>
      <c r="E27" t="str">
        <f t="shared" si="2"/>
        <v>BSD_DOGE</v>
      </c>
      <c r="F27" t="str">
        <f t="shared" si="3"/>
        <v>BSD_ETH</v>
      </c>
      <c r="G27" t="str">
        <f t="shared" si="4"/>
        <v>BSD_EUR</v>
      </c>
      <c r="H27" t="str">
        <f t="shared" si="5"/>
        <v>BSD_RUR</v>
      </c>
      <c r="I27" t="str">
        <f t="shared" si="6"/>
        <v>BSD_DASH</v>
      </c>
      <c r="J27" t="str">
        <f t="shared" si="7"/>
        <v>BSD_XMR</v>
      </c>
      <c r="K27" t="str">
        <f t="shared" si="8"/>
        <v>BSD_ETC</v>
      </c>
      <c r="L27" t="str">
        <f t="shared" si="9"/>
        <v>BSD_POSW</v>
      </c>
      <c r="M27" t="str">
        <f t="shared" si="10"/>
        <v>BSD_USDT</v>
      </c>
      <c r="N27" t="str">
        <f t="shared" si="11"/>
        <v>BSD_ZEC</v>
      </c>
      <c r="O27" t="str">
        <f t="shared" si="12"/>
        <v>BSD_NXT</v>
      </c>
      <c r="P27" t="str">
        <f t="shared" si="13"/>
        <v>BSD_REP</v>
      </c>
      <c r="R27" t="str">
        <f t="shared" si="15"/>
        <v>BTC_BSD</v>
      </c>
      <c r="S27" t="str">
        <f t="shared" si="16"/>
        <v>USD_BSD</v>
      </c>
      <c r="T27" t="str">
        <f t="shared" si="17"/>
        <v>LTC_BSD</v>
      </c>
      <c r="U27" t="str">
        <f t="shared" si="18"/>
        <v>DOGE_BSD</v>
      </c>
      <c r="V27" t="str">
        <f t="shared" si="19"/>
        <v>ETH_BSD</v>
      </c>
      <c r="W27" t="str">
        <f t="shared" si="20"/>
        <v>EUR_BSD</v>
      </c>
      <c r="X27" t="str">
        <f t="shared" si="21"/>
        <v>RUR_BSD</v>
      </c>
      <c r="Y27" t="str">
        <f t="shared" si="22"/>
        <v>DASH_BSD</v>
      </c>
      <c r="Z27" t="str">
        <f t="shared" si="23"/>
        <v>XMR_BSD</v>
      </c>
      <c r="AA27" t="str">
        <f t="shared" si="24"/>
        <v>ETC_BSD</v>
      </c>
      <c r="AB27" t="str">
        <f t="shared" si="25"/>
        <v>POSW_BSD</v>
      </c>
      <c r="AC27" t="str">
        <f t="shared" si="26"/>
        <v>USDT_BSD</v>
      </c>
      <c r="AD27" t="str">
        <f t="shared" si="27"/>
        <v>ZEC_BSD</v>
      </c>
      <c r="AE27" t="str">
        <f t="shared" si="28"/>
        <v>NXT_BSD</v>
      </c>
      <c r="AF27" t="str">
        <f t="shared" si="29"/>
        <v>REP_BSD</v>
      </c>
    </row>
    <row r="28" spans="1:32" x14ac:dyDescent="0.25">
      <c r="A28" t="s">
        <v>2142</v>
      </c>
      <c r="B28" t="str">
        <f t="shared" si="14"/>
        <v>BTA_BTC</v>
      </c>
      <c r="C28" t="str">
        <f t="shared" si="0"/>
        <v>BTA_USD</v>
      </c>
      <c r="D28" t="str">
        <f t="shared" si="1"/>
        <v>BTA_LTC</v>
      </c>
      <c r="E28" t="str">
        <f t="shared" si="2"/>
        <v>BTA_DOGE</v>
      </c>
      <c r="F28" t="str">
        <f t="shared" si="3"/>
        <v>BTA_ETH</v>
      </c>
      <c r="G28" t="str">
        <f t="shared" si="4"/>
        <v>BTA_EUR</v>
      </c>
      <c r="H28" t="str">
        <f t="shared" si="5"/>
        <v>BTA_RUR</v>
      </c>
      <c r="I28" t="str">
        <f t="shared" si="6"/>
        <v>BTA_DASH</v>
      </c>
      <c r="J28" t="str">
        <f t="shared" si="7"/>
        <v>BTA_XMR</v>
      </c>
      <c r="K28" t="str">
        <f t="shared" si="8"/>
        <v>BTA_ETC</v>
      </c>
      <c r="L28" t="str">
        <f t="shared" si="9"/>
        <v>BTA_POSW</v>
      </c>
      <c r="M28" t="str">
        <f t="shared" si="10"/>
        <v>BTA_USDT</v>
      </c>
      <c r="N28" t="str">
        <f t="shared" si="11"/>
        <v>BTA_ZEC</v>
      </c>
      <c r="O28" t="str">
        <f t="shared" si="12"/>
        <v>BTA_NXT</v>
      </c>
      <c r="P28" t="str">
        <f t="shared" si="13"/>
        <v>BTA_REP</v>
      </c>
      <c r="R28" t="str">
        <f t="shared" si="15"/>
        <v>BTC_BTA</v>
      </c>
      <c r="S28" t="str">
        <f t="shared" si="16"/>
        <v>USD_BTA</v>
      </c>
      <c r="T28" t="str">
        <f t="shared" si="17"/>
        <v>LTC_BTA</v>
      </c>
      <c r="U28" t="str">
        <f t="shared" si="18"/>
        <v>DOGE_BTA</v>
      </c>
      <c r="V28" t="str">
        <f t="shared" si="19"/>
        <v>ETH_BTA</v>
      </c>
      <c r="W28" t="str">
        <f t="shared" si="20"/>
        <v>EUR_BTA</v>
      </c>
      <c r="X28" t="str">
        <f t="shared" si="21"/>
        <v>RUR_BTA</v>
      </c>
      <c r="Y28" t="str">
        <f t="shared" si="22"/>
        <v>DASH_BTA</v>
      </c>
      <c r="Z28" t="str">
        <f t="shared" si="23"/>
        <v>XMR_BTA</v>
      </c>
      <c r="AA28" t="str">
        <f t="shared" si="24"/>
        <v>ETC_BTA</v>
      </c>
      <c r="AB28" t="str">
        <f t="shared" si="25"/>
        <v>POSW_BTA</v>
      </c>
      <c r="AC28" t="str">
        <f t="shared" si="26"/>
        <v>USDT_BTA</v>
      </c>
      <c r="AD28" t="str">
        <f t="shared" si="27"/>
        <v>ZEC_BTA</v>
      </c>
      <c r="AE28" t="str">
        <f t="shared" si="28"/>
        <v>NXT_BTA</v>
      </c>
      <c r="AF28" t="str">
        <f t="shared" si="29"/>
        <v>REP_BTA</v>
      </c>
    </row>
    <row r="29" spans="1:32" x14ac:dyDescent="0.25">
      <c r="A29" t="s">
        <v>2098</v>
      </c>
      <c r="B29" t="str">
        <f t="shared" si="14"/>
        <v>BTC_BTC</v>
      </c>
      <c r="C29" t="str">
        <f t="shared" si="0"/>
        <v>BTC_USD</v>
      </c>
      <c r="D29" t="str">
        <f t="shared" si="1"/>
        <v>BTC_LTC</v>
      </c>
      <c r="E29" t="str">
        <f t="shared" si="2"/>
        <v>BTC_DOGE</v>
      </c>
      <c r="F29" t="str">
        <f t="shared" si="3"/>
        <v>BTC_ETH</v>
      </c>
      <c r="G29" t="str">
        <f t="shared" si="4"/>
        <v>BTC_EUR</v>
      </c>
      <c r="H29" t="str">
        <f t="shared" si="5"/>
        <v>BTC_RUR</v>
      </c>
      <c r="I29" t="str">
        <f t="shared" si="6"/>
        <v>BTC_DASH</v>
      </c>
      <c r="J29" t="str">
        <f t="shared" si="7"/>
        <v>BTC_XMR</v>
      </c>
      <c r="K29" t="str">
        <f t="shared" si="8"/>
        <v>BTC_ETC</v>
      </c>
      <c r="L29" t="str">
        <f t="shared" si="9"/>
        <v>BTC_POSW</v>
      </c>
      <c r="M29" t="str">
        <f t="shared" si="10"/>
        <v>BTC_USDT</v>
      </c>
      <c r="N29" t="str">
        <f t="shared" si="11"/>
        <v>BTC_ZEC</v>
      </c>
      <c r="O29" t="str">
        <f t="shared" si="12"/>
        <v>BTC_NXT</v>
      </c>
      <c r="P29" t="str">
        <f t="shared" si="13"/>
        <v>BTC_REP</v>
      </c>
      <c r="R29" t="str">
        <f t="shared" si="15"/>
        <v>BTC_BTC</v>
      </c>
      <c r="S29" t="str">
        <f t="shared" si="16"/>
        <v>USD_BTC</v>
      </c>
      <c r="T29" t="str">
        <f t="shared" si="17"/>
        <v>LTC_BTC</v>
      </c>
      <c r="U29" t="str">
        <f t="shared" si="18"/>
        <v>DOGE_BTC</v>
      </c>
      <c r="V29" t="str">
        <f t="shared" si="19"/>
        <v>ETH_BTC</v>
      </c>
      <c r="W29" t="str">
        <f t="shared" si="20"/>
        <v>EUR_BTC</v>
      </c>
      <c r="X29" t="str">
        <f t="shared" si="21"/>
        <v>RUR_BTC</v>
      </c>
      <c r="Y29" t="str">
        <f t="shared" si="22"/>
        <v>DASH_BTC</v>
      </c>
      <c r="Z29" t="str">
        <f t="shared" si="23"/>
        <v>XMR_BTC</v>
      </c>
      <c r="AA29" t="str">
        <f t="shared" si="24"/>
        <v>ETC_BTC</v>
      </c>
      <c r="AB29" t="str">
        <f t="shared" si="25"/>
        <v>POSW_BTC</v>
      </c>
      <c r="AC29" t="str">
        <f t="shared" si="26"/>
        <v>USDT_BTC</v>
      </c>
      <c r="AD29" t="str">
        <f t="shared" si="27"/>
        <v>ZEC_BTC</v>
      </c>
      <c r="AE29" t="str">
        <f t="shared" si="28"/>
        <v>NXT_BTC</v>
      </c>
      <c r="AF29" t="str">
        <f t="shared" si="29"/>
        <v>REP_BTC</v>
      </c>
    </row>
    <row r="30" spans="1:32" x14ac:dyDescent="0.25">
      <c r="A30" t="s">
        <v>2110</v>
      </c>
      <c r="B30" t="str">
        <f t="shared" si="14"/>
        <v>BTCD_BTC</v>
      </c>
      <c r="C30" t="str">
        <f t="shared" si="0"/>
        <v>BTCD_USD</v>
      </c>
      <c r="D30" t="str">
        <f t="shared" si="1"/>
        <v>BTCD_LTC</v>
      </c>
      <c r="E30" t="str">
        <f t="shared" si="2"/>
        <v>BTCD_DOGE</v>
      </c>
      <c r="F30" t="str">
        <f t="shared" si="3"/>
        <v>BTCD_ETH</v>
      </c>
      <c r="G30" t="str">
        <f t="shared" si="4"/>
        <v>BTCD_EUR</v>
      </c>
      <c r="H30" t="str">
        <f t="shared" si="5"/>
        <v>BTCD_RUR</v>
      </c>
      <c r="I30" t="str">
        <f t="shared" si="6"/>
        <v>BTCD_DASH</v>
      </c>
      <c r="J30" t="str">
        <f t="shared" si="7"/>
        <v>BTCD_XMR</v>
      </c>
      <c r="K30" t="str">
        <f t="shared" si="8"/>
        <v>BTCD_ETC</v>
      </c>
      <c r="L30" t="str">
        <f t="shared" si="9"/>
        <v>BTCD_POSW</v>
      </c>
      <c r="M30" t="str">
        <f t="shared" si="10"/>
        <v>BTCD_USDT</v>
      </c>
      <c r="N30" t="str">
        <f t="shared" si="11"/>
        <v>BTCD_ZEC</v>
      </c>
      <c r="O30" t="str">
        <f t="shared" si="12"/>
        <v>BTCD_NXT</v>
      </c>
      <c r="P30" t="str">
        <f t="shared" si="13"/>
        <v>BTCD_REP</v>
      </c>
      <c r="R30" t="str">
        <f t="shared" si="15"/>
        <v>BTC_BTCD</v>
      </c>
      <c r="S30" t="str">
        <f t="shared" si="16"/>
        <v>USD_BTCD</v>
      </c>
      <c r="T30" t="str">
        <f t="shared" si="17"/>
        <v>LTC_BTCD</v>
      </c>
      <c r="U30" t="str">
        <f t="shared" si="18"/>
        <v>DOGE_BTCD</v>
      </c>
      <c r="V30" t="str">
        <f t="shared" si="19"/>
        <v>ETH_BTCD</v>
      </c>
      <c r="W30" t="str">
        <f t="shared" si="20"/>
        <v>EUR_BTCD</v>
      </c>
      <c r="X30" t="str">
        <f t="shared" si="21"/>
        <v>RUR_BTCD</v>
      </c>
      <c r="Y30" t="str">
        <f t="shared" si="22"/>
        <v>DASH_BTCD</v>
      </c>
      <c r="Z30" t="str">
        <f t="shared" si="23"/>
        <v>XMR_BTCD</v>
      </c>
      <c r="AA30" t="str">
        <f t="shared" si="24"/>
        <v>ETC_BTCD</v>
      </c>
      <c r="AB30" t="str">
        <f t="shared" si="25"/>
        <v>POSW_BTCD</v>
      </c>
      <c r="AC30" t="str">
        <f t="shared" si="26"/>
        <v>USDT_BTCD</v>
      </c>
      <c r="AD30" t="str">
        <f t="shared" si="27"/>
        <v>ZEC_BTCD</v>
      </c>
      <c r="AE30" t="str">
        <f t="shared" si="28"/>
        <v>NXT_BTCD</v>
      </c>
      <c r="AF30" t="str">
        <f t="shared" si="29"/>
        <v>REP_BTCD</v>
      </c>
    </row>
    <row r="31" spans="1:32" x14ac:dyDescent="0.25">
      <c r="A31" t="s">
        <v>2162</v>
      </c>
      <c r="B31" t="str">
        <f t="shared" si="14"/>
        <v>BTS_BTC</v>
      </c>
      <c r="C31" t="str">
        <f t="shared" si="0"/>
        <v>BTS_USD</v>
      </c>
      <c r="D31" t="str">
        <f t="shared" si="1"/>
        <v>BTS_LTC</v>
      </c>
      <c r="E31" t="str">
        <f t="shared" si="2"/>
        <v>BTS_DOGE</v>
      </c>
      <c r="F31" t="str">
        <f t="shared" si="3"/>
        <v>BTS_ETH</v>
      </c>
      <c r="G31" t="str">
        <f t="shared" si="4"/>
        <v>BTS_EUR</v>
      </c>
      <c r="H31" t="str">
        <f t="shared" si="5"/>
        <v>BTS_RUR</v>
      </c>
      <c r="I31" t="str">
        <f t="shared" si="6"/>
        <v>BTS_DASH</v>
      </c>
      <c r="J31" t="str">
        <f t="shared" si="7"/>
        <v>BTS_XMR</v>
      </c>
      <c r="K31" t="str">
        <f t="shared" si="8"/>
        <v>BTS_ETC</v>
      </c>
      <c r="L31" t="str">
        <f t="shared" si="9"/>
        <v>BTS_POSW</v>
      </c>
      <c r="M31" t="str">
        <f t="shared" si="10"/>
        <v>BTS_USDT</v>
      </c>
      <c r="N31" t="str">
        <f t="shared" si="11"/>
        <v>BTS_ZEC</v>
      </c>
      <c r="O31" t="str">
        <f t="shared" si="12"/>
        <v>BTS_NXT</v>
      </c>
      <c r="P31" t="str">
        <f t="shared" si="13"/>
        <v>BTS_REP</v>
      </c>
      <c r="R31" t="str">
        <f t="shared" si="15"/>
        <v>BTC_BTS</v>
      </c>
      <c r="S31" t="str">
        <f t="shared" si="16"/>
        <v>USD_BTS</v>
      </c>
      <c r="T31" t="str">
        <f t="shared" si="17"/>
        <v>LTC_BTS</v>
      </c>
      <c r="U31" t="str">
        <f t="shared" si="18"/>
        <v>DOGE_BTS</v>
      </c>
      <c r="V31" t="str">
        <f t="shared" si="19"/>
        <v>ETH_BTS</v>
      </c>
      <c r="W31" t="str">
        <f t="shared" si="20"/>
        <v>EUR_BTS</v>
      </c>
      <c r="X31" t="str">
        <f t="shared" si="21"/>
        <v>RUR_BTS</v>
      </c>
      <c r="Y31" t="str">
        <f t="shared" si="22"/>
        <v>DASH_BTS</v>
      </c>
      <c r="Z31" t="str">
        <f t="shared" si="23"/>
        <v>XMR_BTS</v>
      </c>
      <c r="AA31" t="str">
        <f t="shared" si="24"/>
        <v>ETC_BTS</v>
      </c>
      <c r="AB31" t="str">
        <f t="shared" si="25"/>
        <v>POSW_BTS</v>
      </c>
      <c r="AC31" t="str">
        <f t="shared" si="26"/>
        <v>USDT_BTS</v>
      </c>
      <c r="AD31" t="str">
        <f t="shared" si="27"/>
        <v>ZEC_BTS</v>
      </c>
      <c r="AE31" t="str">
        <f t="shared" si="28"/>
        <v>NXT_BTS</v>
      </c>
      <c r="AF31" t="str">
        <f t="shared" si="29"/>
        <v>REP_BTS</v>
      </c>
    </row>
    <row r="32" spans="1:32" x14ac:dyDescent="0.25">
      <c r="A32" t="s">
        <v>2163</v>
      </c>
      <c r="B32" t="str">
        <f t="shared" si="14"/>
        <v>BURST_BTC</v>
      </c>
      <c r="C32" t="str">
        <f t="shared" si="0"/>
        <v>BURST_USD</v>
      </c>
      <c r="D32" t="str">
        <f t="shared" si="1"/>
        <v>BURST_LTC</v>
      </c>
      <c r="E32" t="str">
        <f t="shared" si="2"/>
        <v>BURST_DOGE</v>
      </c>
      <c r="F32" t="str">
        <f t="shared" si="3"/>
        <v>BURST_ETH</v>
      </c>
      <c r="G32" t="str">
        <f t="shared" si="4"/>
        <v>BURST_EUR</v>
      </c>
      <c r="H32" t="str">
        <f t="shared" si="5"/>
        <v>BURST_RUR</v>
      </c>
      <c r="I32" t="str">
        <f t="shared" si="6"/>
        <v>BURST_DASH</v>
      </c>
      <c r="J32" t="str">
        <f t="shared" si="7"/>
        <v>BURST_XMR</v>
      </c>
      <c r="K32" t="str">
        <f t="shared" si="8"/>
        <v>BURST_ETC</v>
      </c>
      <c r="L32" t="str">
        <f t="shared" si="9"/>
        <v>BURST_POSW</v>
      </c>
      <c r="M32" t="str">
        <f t="shared" si="10"/>
        <v>BURST_USDT</v>
      </c>
      <c r="N32" t="str">
        <f t="shared" si="11"/>
        <v>BURST_ZEC</v>
      </c>
      <c r="O32" t="str">
        <f t="shared" si="12"/>
        <v>BURST_NXT</v>
      </c>
      <c r="P32" t="str">
        <f t="shared" si="13"/>
        <v>BURST_REP</v>
      </c>
      <c r="R32" t="str">
        <f t="shared" si="15"/>
        <v>BTC_BURST</v>
      </c>
      <c r="S32" t="str">
        <f t="shared" si="16"/>
        <v>USD_BURST</v>
      </c>
      <c r="T32" t="str">
        <f t="shared" si="17"/>
        <v>LTC_BURST</v>
      </c>
      <c r="U32" t="str">
        <f t="shared" si="18"/>
        <v>DOGE_BURST</v>
      </c>
      <c r="V32" t="str">
        <f t="shared" si="19"/>
        <v>ETH_BURST</v>
      </c>
      <c r="W32" t="str">
        <f t="shared" si="20"/>
        <v>EUR_BURST</v>
      </c>
      <c r="X32" t="str">
        <f t="shared" si="21"/>
        <v>RUR_BURST</v>
      </c>
      <c r="Y32" t="str">
        <f t="shared" si="22"/>
        <v>DASH_BURST</v>
      </c>
      <c r="Z32" t="str">
        <f t="shared" si="23"/>
        <v>XMR_BURST</v>
      </c>
      <c r="AA32" t="str">
        <f t="shared" si="24"/>
        <v>ETC_BURST</v>
      </c>
      <c r="AB32" t="str">
        <f t="shared" si="25"/>
        <v>POSW_BURST</v>
      </c>
      <c r="AC32" t="str">
        <f t="shared" si="26"/>
        <v>USDT_BURST</v>
      </c>
      <c r="AD32" t="str">
        <f t="shared" si="27"/>
        <v>ZEC_BURST</v>
      </c>
      <c r="AE32" t="str">
        <f t="shared" si="28"/>
        <v>NXT_BURST</v>
      </c>
      <c r="AF32" t="str">
        <f t="shared" si="29"/>
        <v>REP_BURST</v>
      </c>
    </row>
    <row r="33" spans="1:32" x14ac:dyDescent="0.25">
      <c r="A33" t="s">
        <v>2371</v>
      </c>
      <c r="B33" t="str">
        <f t="shared" si="14"/>
        <v>CANN_BTC</v>
      </c>
      <c r="C33" t="str">
        <f t="shared" si="0"/>
        <v>CANN_USD</v>
      </c>
      <c r="D33" t="str">
        <f t="shared" si="1"/>
        <v>CANN_LTC</v>
      </c>
      <c r="E33" t="str">
        <f t="shared" si="2"/>
        <v>CANN_DOGE</v>
      </c>
      <c r="F33" t="str">
        <f t="shared" si="3"/>
        <v>CANN_ETH</v>
      </c>
      <c r="G33" t="str">
        <f t="shared" si="4"/>
        <v>CANN_EUR</v>
      </c>
      <c r="H33" t="str">
        <f t="shared" si="5"/>
        <v>CANN_RUR</v>
      </c>
      <c r="I33" t="str">
        <f t="shared" si="6"/>
        <v>CANN_DASH</v>
      </c>
      <c r="J33" t="str">
        <f t="shared" si="7"/>
        <v>CANN_XMR</v>
      </c>
      <c r="K33" t="str">
        <f t="shared" si="8"/>
        <v>CANN_ETC</v>
      </c>
      <c r="L33" t="str">
        <f t="shared" si="9"/>
        <v>CANN_POSW</v>
      </c>
      <c r="M33" t="str">
        <f t="shared" si="10"/>
        <v>CANN_USDT</v>
      </c>
      <c r="N33" t="str">
        <f t="shared" si="11"/>
        <v>CANN_ZEC</v>
      </c>
      <c r="O33" t="str">
        <f t="shared" si="12"/>
        <v>CANN_NXT</v>
      </c>
      <c r="P33" t="str">
        <f t="shared" si="13"/>
        <v>CANN_REP</v>
      </c>
      <c r="R33" t="str">
        <f t="shared" si="15"/>
        <v>BTC_CANN</v>
      </c>
      <c r="S33" t="str">
        <f t="shared" si="16"/>
        <v>USD_CANN</v>
      </c>
      <c r="T33" t="str">
        <f t="shared" si="17"/>
        <v>LTC_CANN</v>
      </c>
      <c r="U33" t="str">
        <f t="shared" si="18"/>
        <v>DOGE_CANN</v>
      </c>
      <c r="V33" t="str">
        <f t="shared" si="19"/>
        <v>ETH_CANN</v>
      </c>
      <c r="W33" t="str">
        <f t="shared" si="20"/>
        <v>EUR_CANN</v>
      </c>
      <c r="X33" t="str">
        <f t="shared" si="21"/>
        <v>RUR_CANN</v>
      </c>
      <c r="Y33" t="str">
        <f t="shared" si="22"/>
        <v>DASH_CANN</v>
      </c>
      <c r="Z33" t="str">
        <f t="shared" si="23"/>
        <v>XMR_CANN</v>
      </c>
      <c r="AA33" t="str">
        <f t="shared" si="24"/>
        <v>ETC_CANN</v>
      </c>
      <c r="AB33" t="str">
        <f t="shared" si="25"/>
        <v>POSW_CANN</v>
      </c>
      <c r="AC33" t="str">
        <f t="shared" si="26"/>
        <v>USDT_CANN</v>
      </c>
      <c r="AD33" t="str">
        <f t="shared" si="27"/>
        <v>ZEC_CANN</v>
      </c>
      <c r="AE33" t="str">
        <f t="shared" si="28"/>
        <v>NXT_CANN</v>
      </c>
      <c r="AF33" t="str">
        <f t="shared" si="29"/>
        <v>REP_CANN</v>
      </c>
    </row>
    <row r="34" spans="1:32" x14ac:dyDescent="0.25">
      <c r="A34" t="s">
        <v>2164</v>
      </c>
      <c r="B34" t="str">
        <f t="shared" si="14"/>
        <v>CCRB_BTC</v>
      </c>
      <c r="C34" t="str">
        <f t="shared" si="0"/>
        <v>CCRB_USD</v>
      </c>
      <c r="D34" t="str">
        <f t="shared" si="1"/>
        <v>CCRB_LTC</v>
      </c>
      <c r="E34" t="str">
        <f t="shared" si="2"/>
        <v>CCRB_DOGE</v>
      </c>
      <c r="F34" t="str">
        <f t="shared" si="3"/>
        <v>CCRB_ETH</v>
      </c>
      <c r="G34" t="str">
        <f t="shared" si="4"/>
        <v>CCRB_EUR</v>
      </c>
      <c r="H34" t="str">
        <f t="shared" si="5"/>
        <v>CCRB_RUR</v>
      </c>
      <c r="I34" t="str">
        <f t="shared" si="6"/>
        <v>CCRB_DASH</v>
      </c>
      <c r="J34" t="str">
        <f t="shared" si="7"/>
        <v>CCRB_XMR</v>
      </c>
      <c r="K34" t="str">
        <f t="shared" si="8"/>
        <v>CCRB_ETC</v>
      </c>
      <c r="L34" t="str">
        <f t="shared" si="9"/>
        <v>CCRB_POSW</v>
      </c>
      <c r="M34" t="str">
        <f t="shared" si="10"/>
        <v>CCRB_USDT</v>
      </c>
      <c r="N34" t="str">
        <f t="shared" si="11"/>
        <v>CCRB_ZEC</v>
      </c>
      <c r="O34" t="str">
        <f t="shared" si="12"/>
        <v>CCRB_NXT</v>
      </c>
      <c r="P34" t="str">
        <f t="shared" si="13"/>
        <v>CCRB_REP</v>
      </c>
      <c r="R34" t="str">
        <f t="shared" si="15"/>
        <v>BTC_CCRB</v>
      </c>
      <c r="S34" t="str">
        <f t="shared" si="16"/>
        <v>USD_CCRB</v>
      </c>
      <c r="T34" t="str">
        <f t="shared" si="17"/>
        <v>LTC_CCRB</v>
      </c>
      <c r="U34" t="str">
        <f t="shared" si="18"/>
        <v>DOGE_CCRB</v>
      </c>
      <c r="V34" t="str">
        <f t="shared" si="19"/>
        <v>ETH_CCRB</v>
      </c>
      <c r="W34" t="str">
        <f t="shared" si="20"/>
        <v>EUR_CCRB</v>
      </c>
      <c r="X34" t="str">
        <f t="shared" si="21"/>
        <v>RUR_CCRB</v>
      </c>
      <c r="Y34" t="str">
        <f t="shared" si="22"/>
        <v>DASH_CCRB</v>
      </c>
      <c r="Z34" t="str">
        <f t="shared" si="23"/>
        <v>XMR_CCRB</v>
      </c>
      <c r="AA34" t="str">
        <f t="shared" si="24"/>
        <v>ETC_CCRB</v>
      </c>
      <c r="AB34" t="str">
        <f t="shared" si="25"/>
        <v>POSW_CCRB</v>
      </c>
      <c r="AC34" t="str">
        <f t="shared" si="26"/>
        <v>USDT_CCRB</v>
      </c>
      <c r="AD34" t="str">
        <f t="shared" si="27"/>
        <v>ZEC_CCRB</v>
      </c>
      <c r="AE34" t="str">
        <f t="shared" si="28"/>
        <v>NXT_CCRB</v>
      </c>
      <c r="AF34" t="str">
        <f t="shared" si="29"/>
        <v>REP_CCRB</v>
      </c>
    </row>
    <row r="35" spans="1:32" x14ac:dyDescent="0.25">
      <c r="A35" t="s">
        <v>2165</v>
      </c>
      <c r="B35" t="str">
        <f t="shared" si="14"/>
        <v>CJ_BTC</v>
      </c>
      <c r="C35" t="str">
        <f t="shared" si="0"/>
        <v>CJ_USD</v>
      </c>
      <c r="D35" t="str">
        <f t="shared" si="1"/>
        <v>CJ_LTC</v>
      </c>
      <c r="E35" t="str">
        <f t="shared" si="2"/>
        <v>CJ_DOGE</v>
      </c>
      <c r="F35" t="str">
        <f t="shared" si="3"/>
        <v>CJ_ETH</v>
      </c>
      <c r="G35" t="str">
        <f t="shared" si="4"/>
        <v>CJ_EUR</v>
      </c>
      <c r="H35" t="str">
        <f t="shared" si="5"/>
        <v>CJ_RUR</v>
      </c>
      <c r="I35" t="str">
        <f t="shared" si="6"/>
        <v>CJ_DASH</v>
      </c>
      <c r="J35" t="str">
        <f t="shared" si="7"/>
        <v>CJ_XMR</v>
      </c>
      <c r="K35" t="str">
        <f t="shared" si="8"/>
        <v>CJ_ETC</v>
      </c>
      <c r="L35" t="str">
        <f t="shared" si="9"/>
        <v>CJ_POSW</v>
      </c>
      <c r="M35" t="str">
        <f t="shared" si="10"/>
        <v>CJ_USDT</v>
      </c>
      <c r="N35" t="str">
        <f t="shared" si="11"/>
        <v>CJ_ZEC</v>
      </c>
      <c r="O35" t="str">
        <f t="shared" si="12"/>
        <v>CJ_NXT</v>
      </c>
      <c r="P35" t="str">
        <f t="shared" si="13"/>
        <v>CJ_REP</v>
      </c>
      <c r="R35" t="str">
        <f t="shared" si="15"/>
        <v>BTC_CJ</v>
      </c>
      <c r="S35" t="str">
        <f t="shared" si="16"/>
        <v>USD_CJ</v>
      </c>
      <c r="T35" t="str">
        <f t="shared" si="17"/>
        <v>LTC_CJ</v>
      </c>
      <c r="U35" t="str">
        <f t="shared" si="18"/>
        <v>DOGE_CJ</v>
      </c>
      <c r="V35" t="str">
        <f t="shared" si="19"/>
        <v>ETH_CJ</v>
      </c>
      <c r="W35" t="str">
        <f t="shared" si="20"/>
        <v>EUR_CJ</v>
      </c>
      <c r="X35" t="str">
        <f t="shared" si="21"/>
        <v>RUR_CJ</v>
      </c>
      <c r="Y35" t="str">
        <f t="shared" si="22"/>
        <v>DASH_CJ</v>
      </c>
      <c r="Z35" t="str">
        <f t="shared" si="23"/>
        <v>XMR_CJ</v>
      </c>
      <c r="AA35" t="str">
        <f t="shared" si="24"/>
        <v>ETC_CJ</v>
      </c>
      <c r="AB35" t="str">
        <f t="shared" si="25"/>
        <v>POSW_CJ</v>
      </c>
      <c r="AC35" t="str">
        <f t="shared" si="26"/>
        <v>USDT_CJ</v>
      </c>
      <c r="AD35" t="str">
        <f t="shared" si="27"/>
        <v>ZEC_CJ</v>
      </c>
      <c r="AE35" t="str">
        <f t="shared" si="28"/>
        <v>NXT_CJ</v>
      </c>
      <c r="AF35" t="str">
        <f t="shared" si="29"/>
        <v>REP_CJ</v>
      </c>
    </row>
    <row r="36" spans="1:32" x14ac:dyDescent="0.25">
      <c r="A36" t="s">
        <v>2372</v>
      </c>
      <c r="B36" t="str">
        <f t="shared" si="14"/>
        <v>CLAM_BTC</v>
      </c>
      <c r="C36" t="str">
        <f t="shared" si="0"/>
        <v>CLAM_USD</v>
      </c>
      <c r="D36" t="str">
        <f t="shared" si="1"/>
        <v>CLAM_LTC</v>
      </c>
      <c r="E36" t="str">
        <f t="shared" si="2"/>
        <v>CLAM_DOGE</v>
      </c>
      <c r="F36" t="str">
        <f t="shared" si="3"/>
        <v>CLAM_ETH</v>
      </c>
      <c r="G36" t="str">
        <f t="shared" si="4"/>
        <v>CLAM_EUR</v>
      </c>
      <c r="H36" t="str">
        <f t="shared" si="5"/>
        <v>CLAM_RUR</v>
      </c>
      <c r="I36" t="str">
        <f t="shared" si="6"/>
        <v>CLAM_DASH</v>
      </c>
      <c r="J36" t="str">
        <f t="shared" si="7"/>
        <v>CLAM_XMR</v>
      </c>
      <c r="K36" t="str">
        <f t="shared" si="8"/>
        <v>CLAM_ETC</v>
      </c>
      <c r="L36" t="str">
        <f t="shared" si="9"/>
        <v>CLAM_POSW</v>
      </c>
      <c r="M36" t="str">
        <f t="shared" si="10"/>
        <v>CLAM_USDT</v>
      </c>
      <c r="N36" t="str">
        <f t="shared" si="11"/>
        <v>CLAM_ZEC</v>
      </c>
      <c r="O36" t="str">
        <f t="shared" si="12"/>
        <v>CLAM_NXT</v>
      </c>
      <c r="P36" t="str">
        <f t="shared" si="13"/>
        <v>CLAM_REP</v>
      </c>
      <c r="R36" t="str">
        <f t="shared" si="15"/>
        <v>BTC_CLAM</v>
      </c>
      <c r="S36" t="str">
        <f t="shared" si="16"/>
        <v>USD_CLAM</v>
      </c>
      <c r="T36" t="str">
        <f t="shared" si="17"/>
        <v>LTC_CLAM</v>
      </c>
      <c r="U36" t="str">
        <f t="shared" si="18"/>
        <v>DOGE_CLAM</v>
      </c>
      <c r="V36" t="str">
        <f t="shared" si="19"/>
        <v>ETH_CLAM</v>
      </c>
      <c r="W36" t="str">
        <f t="shared" si="20"/>
        <v>EUR_CLAM</v>
      </c>
      <c r="X36" t="str">
        <f t="shared" si="21"/>
        <v>RUR_CLAM</v>
      </c>
      <c r="Y36" t="str">
        <f t="shared" si="22"/>
        <v>DASH_CLAM</v>
      </c>
      <c r="Z36" t="str">
        <f t="shared" si="23"/>
        <v>XMR_CLAM</v>
      </c>
      <c r="AA36" t="str">
        <f t="shared" si="24"/>
        <v>ETC_CLAM</v>
      </c>
      <c r="AB36" t="str">
        <f t="shared" si="25"/>
        <v>POSW_CLAM</v>
      </c>
      <c r="AC36" t="str">
        <f t="shared" si="26"/>
        <v>USDT_CLAM</v>
      </c>
      <c r="AD36" t="str">
        <f t="shared" si="27"/>
        <v>ZEC_CLAM</v>
      </c>
      <c r="AE36" t="str">
        <f t="shared" si="28"/>
        <v>NXT_CLAM</v>
      </c>
      <c r="AF36" t="str">
        <f t="shared" si="29"/>
        <v>REP_CLAM</v>
      </c>
    </row>
    <row r="37" spans="1:32" x14ac:dyDescent="0.25">
      <c r="A37" t="s">
        <v>2166</v>
      </c>
      <c r="B37" t="str">
        <f t="shared" si="14"/>
        <v>CLOAK_BTC</v>
      </c>
      <c r="C37" t="str">
        <f t="shared" si="0"/>
        <v>CLOAK_USD</v>
      </c>
      <c r="D37" t="str">
        <f t="shared" si="1"/>
        <v>CLOAK_LTC</v>
      </c>
      <c r="E37" t="str">
        <f t="shared" si="2"/>
        <v>CLOAK_DOGE</v>
      </c>
      <c r="F37" t="str">
        <f t="shared" si="3"/>
        <v>CLOAK_ETH</v>
      </c>
      <c r="G37" t="str">
        <f t="shared" si="4"/>
        <v>CLOAK_EUR</v>
      </c>
      <c r="H37" t="str">
        <f t="shared" si="5"/>
        <v>CLOAK_RUR</v>
      </c>
      <c r="I37" t="str">
        <f t="shared" si="6"/>
        <v>CLOAK_DASH</v>
      </c>
      <c r="J37" t="str">
        <f t="shared" si="7"/>
        <v>CLOAK_XMR</v>
      </c>
      <c r="K37" t="str">
        <f t="shared" si="8"/>
        <v>CLOAK_ETC</v>
      </c>
      <c r="L37" t="str">
        <f t="shared" si="9"/>
        <v>CLOAK_POSW</v>
      </c>
      <c r="M37" t="str">
        <f t="shared" si="10"/>
        <v>CLOAK_USDT</v>
      </c>
      <c r="N37" t="str">
        <f t="shared" si="11"/>
        <v>CLOAK_ZEC</v>
      </c>
      <c r="O37" t="str">
        <f t="shared" si="12"/>
        <v>CLOAK_NXT</v>
      </c>
      <c r="P37" t="str">
        <f t="shared" si="13"/>
        <v>CLOAK_REP</v>
      </c>
      <c r="R37" t="str">
        <f t="shared" si="15"/>
        <v>BTC_CLOAK</v>
      </c>
      <c r="S37" t="str">
        <f t="shared" si="16"/>
        <v>USD_CLOAK</v>
      </c>
      <c r="T37" t="str">
        <f t="shared" si="17"/>
        <v>LTC_CLOAK</v>
      </c>
      <c r="U37" t="str">
        <f t="shared" si="18"/>
        <v>DOGE_CLOAK</v>
      </c>
      <c r="V37" t="str">
        <f t="shared" si="19"/>
        <v>ETH_CLOAK</v>
      </c>
      <c r="W37" t="str">
        <f t="shared" si="20"/>
        <v>EUR_CLOAK</v>
      </c>
      <c r="X37" t="str">
        <f t="shared" si="21"/>
        <v>RUR_CLOAK</v>
      </c>
      <c r="Y37" t="str">
        <f t="shared" si="22"/>
        <v>DASH_CLOAK</v>
      </c>
      <c r="Z37" t="str">
        <f t="shared" si="23"/>
        <v>XMR_CLOAK</v>
      </c>
      <c r="AA37" t="str">
        <f t="shared" si="24"/>
        <v>ETC_CLOAK</v>
      </c>
      <c r="AB37" t="str">
        <f t="shared" si="25"/>
        <v>POSW_CLOAK</v>
      </c>
      <c r="AC37" t="str">
        <f t="shared" si="26"/>
        <v>USDT_CLOAK</v>
      </c>
      <c r="AD37" t="str">
        <f t="shared" si="27"/>
        <v>ZEC_CLOAK</v>
      </c>
      <c r="AE37" t="str">
        <f t="shared" si="28"/>
        <v>NXT_CLOAK</v>
      </c>
      <c r="AF37" t="str">
        <f t="shared" si="29"/>
        <v>REP_CLOAK</v>
      </c>
    </row>
    <row r="38" spans="1:32" x14ac:dyDescent="0.25">
      <c r="A38" t="s">
        <v>2373</v>
      </c>
      <c r="B38" t="str">
        <f t="shared" si="14"/>
        <v>CLUB_BTC</v>
      </c>
      <c r="C38" t="str">
        <f t="shared" si="0"/>
        <v>CLUB_USD</v>
      </c>
      <c r="D38" t="str">
        <f t="shared" si="1"/>
        <v>CLUB_LTC</v>
      </c>
      <c r="E38" t="str">
        <f t="shared" si="2"/>
        <v>CLUB_DOGE</v>
      </c>
      <c r="F38" t="str">
        <f t="shared" si="3"/>
        <v>CLUB_ETH</v>
      </c>
      <c r="G38" t="str">
        <f t="shared" si="4"/>
        <v>CLUB_EUR</v>
      </c>
      <c r="H38" t="str">
        <f t="shared" si="5"/>
        <v>CLUB_RUR</v>
      </c>
      <c r="I38" t="str">
        <f t="shared" si="6"/>
        <v>CLUB_DASH</v>
      </c>
      <c r="J38" t="str">
        <f t="shared" si="7"/>
        <v>CLUB_XMR</v>
      </c>
      <c r="K38" t="str">
        <f t="shared" si="8"/>
        <v>CLUB_ETC</v>
      </c>
      <c r="L38" t="str">
        <f t="shared" si="9"/>
        <v>CLUB_POSW</v>
      </c>
      <c r="M38" t="str">
        <f t="shared" si="10"/>
        <v>CLUB_USDT</v>
      </c>
      <c r="N38" t="str">
        <f t="shared" si="11"/>
        <v>CLUB_ZEC</v>
      </c>
      <c r="O38" t="str">
        <f t="shared" si="12"/>
        <v>CLUB_NXT</v>
      </c>
      <c r="P38" t="str">
        <f t="shared" si="13"/>
        <v>CLUB_REP</v>
      </c>
      <c r="R38" t="str">
        <f t="shared" si="15"/>
        <v>BTC_CLUB</v>
      </c>
      <c r="S38" t="str">
        <f t="shared" si="16"/>
        <v>USD_CLUB</v>
      </c>
      <c r="T38" t="str">
        <f t="shared" si="17"/>
        <v>LTC_CLUB</v>
      </c>
      <c r="U38" t="str">
        <f t="shared" si="18"/>
        <v>DOGE_CLUB</v>
      </c>
      <c r="V38" t="str">
        <f t="shared" si="19"/>
        <v>ETH_CLUB</v>
      </c>
      <c r="W38" t="str">
        <f t="shared" si="20"/>
        <v>EUR_CLUB</v>
      </c>
      <c r="X38" t="str">
        <f t="shared" si="21"/>
        <v>RUR_CLUB</v>
      </c>
      <c r="Y38" t="str">
        <f t="shared" si="22"/>
        <v>DASH_CLUB</v>
      </c>
      <c r="Z38" t="str">
        <f t="shared" si="23"/>
        <v>XMR_CLUB</v>
      </c>
      <c r="AA38" t="str">
        <f t="shared" si="24"/>
        <v>ETC_CLUB</v>
      </c>
      <c r="AB38" t="str">
        <f t="shared" si="25"/>
        <v>POSW_CLUB</v>
      </c>
      <c r="AC38" t="str">
        <f t="shared" si="26"/>
        <v>USDT_CLUB</v>
      </c>
      <c r="AD38" t="str">
        <f t="shared" si="27"/>
        <v>ZEC_CLUB</v>
      </c>
      <c r="AE38" t="str">
        <f t="shared" si="28"/>
        <v>NXT_CLUB</v>
      </c>
      <c r="AF38" t="str">
        <f t="shared" si="29"/>
        <v>REP_CLUB</v>
      </c>
    </row>
    <row r="39" spans="1:32" x14ac:dyDescent="0.25">
      <c r="A39" t="s">
        <v>2167</v>
      </c>
      <c r="B39" t="str">
        <f t="shared" si="14"/>
        <v>CNT_BTC</v>
      </c>
      <c r="C39" t="str">
        <f t="shared" si="0"/>
        <v>CNT_USD</v>
      </c>
      <c r="D39" t="str">
        <f t="shared" si="1"/>
        <v>CNT_LTC</v>
      </c>
      <c r="E39" t="str">
        <f t="shared" si="2"/>
        <v>CNT_DOGE</v>
      </c>
      <c r="F39" t="str">
        <f t="shared" si="3"/>
        <v>CNT_ETH</v>
      </c>
      <c r="G39" t="str">
        <f t="shared" si="4"/>
        <v>CNT_EUR</v>
      </c>
      <c r="H39" t="str">
        <f t="shared" si="5"/>
        <v>CNT_RUR</v>
      </c>
      <c r="I39" t="str">
        <f t="shared" si="6"/>
        <v>CNT_DASH</v>
      </c>
      <c r="J39" t="str">
        <f t="shared" si="7"/>
        <v>CNT_XMR</v>
      </c>
      <c r="K39" t="str">
        <f t="shared" si="8"/>
        <v>CNT_ETC</v>
      </c>
      <c r="L39" t="str">
        <f t="shared" si="9"/>
        <v>CNT_POSW</v>
      </c>
      <c r="M39" t="str">
        <f t="shared" si="10"/>
        <v>CNT_USDT</v>
      </c>
      <c r="N39" t="str">
        <f t="shared" si="11"/>
        <v>CNT_ZEC</v>
      </c>
      <c r="O39" t="str">
        <f t="shared" si="12"/>
        <v>CNT_NXT</v>
      </c>
      <c r="P39" t="str">
        <f t="shared" si="13"/>
        <v>CNT_REP</v>
      </c>
      <c r="R39" t="str">
        <f t="shared" si="15"/>
        <v>BTC_CNT</v>
      </c>
      <c r="S39" t="str">
        <f t="shared" si="16"/>
        <v>USD_CNT</v>
      </c>
      <c r="T39" t="str">
        <f t="shared" si="17"/>
        <v>LTC_CNT</v>
      </c>
      <c r="U39" t="str">
        <f t="shared" si="18"/>
        <v>DOGE_CNT</v>
      </c>
      <c r="V39" t="str">
        <f t="shared" si="19"/>
        <v>ETH_CNT</v>
      </c>
      <c r="W39" t="str">
        <f t="shared" si="20"/>
        <v>EUR_CNT</v>
      </c>
      <c r="X39" t="str">
        <f t="shared" si="21"/>
        <v>RUR_CNT</v>
      </c>
      <c r="Y39" t="str">
        <f t="shared" si="22"/>
        <v>DASH_CNT</v>
      </c>
      <c r="Z39" t="str">
        <f t="shared" si="23"/>
        <v>XMR_CNT</v>
      </c>
      <c r="AA39" t="str">
        <f t="shared" si="24"/>
        <v>ETC_CNT</v>
      </c>
      <c r="AB39" t="str">
        <f t="shared" si="25"/>
        <v>POSW_CNT</v>
      </c>
      <c r="AC39" t="str">
        <f t="shared" si="26"/>
        <v>USDT_CNT</v>
      </c>
      <c r="AD39" t="str">
        <f t="shared" si="27"/>
        <v>ZEC_CNT</v>
      </c>
      <c r="AE39" t="str">
        <f t="shared" si="28"/>
        <v>NXT_CNT</v>
      </c>
      <c r="AF39" t="str">
        <f t="shared" si="29"/>
        <v>REP_CNT</v>
      </c>
    </row>
    <row r="40" spans="1:32" x14ac:dyDescent="0.25">
      <c r="A40" t="s">
        <v>2375</v>
      </c>
      <c r="B40" t="str">
        <f t="shared" si="14"/>
        <v>CPC_BTC</v>
      </c>
      <c r="C40" t="str">
        <f t="shared" si="0"/>
        <v>CPC_USD</v>
      </c>
      <c r="D40" t="str">
        <f t="shared" si="1"/>
        <v>CPC_LTC</v>
      </c>
      <c r="E40" t="str">
        <f t="shared" si="2"/>
        <v>CPC_DOGE</v>
      </c>
      <c r="F40" t="str">
        <f t="shared" si="3"/>
        <v>CPC_ETH</v>
      </c>
      <c r="G40" t="str">
        <f t="shared" si="4"/>
        <v>CPC_EUR</v>
      </c>
      <c r="H40" t="str">
        <f t="shared" si="5"/>
        <v>CPC_RUR</v>
      </c>
      <c r="I40" t="str">
        <f t="shared" si="6"/>
        <v>CPC_DASH</v>
      </c>
      <c r="J40" t="str">
        <f t="shared" si="7"/>
        <v>CPC_XMR</v>
      </c>
      <c r="K40" t="str">
        <f t="shared" si="8"/>
        <v>CPC_ETC</v>
      </c>
      <c r="L40" t="str">
        <f t="shared" si="9"/>
        <v>CPC_POSW</v>
      </c>
      <c r="M40" t="str">
        <f t="shared" si="10"/>
        <v>CPC_USDT</v>
      </c>
      <c r="N40" t="str">
        <f t="shared" si="11"/>
        <v>CPC_ZEC</v>
      </c>
      <c r="O40" t="str">
        <f t="shared" si="12"/>
        <v>CPC_NXT</v>
      </c>
      <c r="P40" t="str">
        <f t="shared" si="13"/>
        <v>CPC_REP</v>
      </c>
      <c r="R40" t="str">
        <f t="shared" si="15"/>
        <v>BTC_CPC</v>
      </c>
      <c r="S40" t="str">
        <f t="shared" si="16"/>
        <v>USD_CPC</v>
      </c>
      <c r="T40" t="str">
        <f t="shared" si="17"/>
        <v>LTC_CPC</v>
      </c>
      <c r="U40" t="str">
        <f t="shared" si="18"/>
        <v>DOGE_CPC</v>
      </c>
      <c r="V40" t="str">
        <f t="shared" si="19"/>
        <v>ETH_CPC</v>
      </c>
      <c r="W40" t="str">
        <f t="shared" si="20"/>
        <v>EUR_CPC</v>
      </c>
      <c r="X40" t="str">
        <f t="shared" si="21"/>
        <v>RUR_CPC</v>
      </c>
      <c r="Y40" t="str">
        <f t="shared" si="22"/>
        <v>DASH_CPC</v>
      </c>
      <c r="Z40" t="str">
        <f t="shared" si="23"/>
        <v>XMR_CPC</v>
      </c>
      <c r="AA40" t="str">
        <f t="shared" si="24"/>
        <v>ETC_CPC</v>
      </c>
      <c r="AB40" t="str">
        <f t="shared" si="25"/>
        <v>POSW_CPC</v>
      </c>
      <c r="AC40" t="str">
        <f t="shared" si="26"/>
        <v>USDT_CPC</v>
      </c>
      <c r="AD40" t="str">
        <f t="shared" si="27"/>
        <v>ZEC_CPC</v>
      </c>
      <c r="AE40" t="str">
        <f t="shared" si="28"/>
        <v>NXT_CPC</v>
      </c>
      <c r="AF40" t="str">
        <f t="shared" si="29"/>
        <v>REP_CPC</v>
      </c>
    </row>
    <row r="41" spans="1:32" x14ac:dyDescent="0.25">
      <c r="A41" t="s">
        <v>2168</v>
      </c>
      <c r="B41" t="str">
        <f t="shared" si="14"/>
        <v>CREVA_BTC</v>
      </c>
      <c r="C41" t="str">
        <f t="shared" si="0"/>
        <v>CREVA_USD</v>
      </c>
      <c r="D41" t="str">
        <f t="shared" si="1"/>
        <v>CREVA_LTC</v>
      </c>
      <c r="E41" t="str">
        <f t="shared" si="2"/>
        <v>CREVA_DOGE</v>
      </c>
      <c r="F41" t="str">
        <f t="shared" si="3"/>
        <v>CREVA_ETH</v>
      </c>
      <c r="G41" t="str">
        <f t="shared" si="4"/>
        <v>CREVA_EUR</v>
      </c>
      <c r="H41" t="str">
        <f t="shared" si="5"/>
        <v>CREVA_RUR</v>
      </c>
      <c r="I41" t="str">
        <f t="shared" si="6"/>
        <v>CREVA_DASH</v>
      </c>
      <c r="J41" t="str">
        <f t="shared" si="7"/>
        <v>CREVA_XMR</v>
      </c>
      <c r="K41" t="str">
        <f t="shared" si="8"/>
        <v>CREVA_ETC</v>
      </c>
      <c r="L41" t="str">
        <f t="shared" si="9"/>
        <v>CREVA_POSW</v>
      </c>
      <c r="M41" t="str">
        <f t="shared" si="10"/>
        <v>CREVA_USDT</v>
      </c>
      <c r="N41" t="str">
        <f t="shared" si="11"/>
        <v>CREVA_ZEC</v>
      </c>
      <c r="O41" t="str">
        <f t="shared" si="12"/>
        <v>CREVA_NXT</v>
      </c>
      <c r="P41" t="str">
        <f t="shared" si="13"/>
        <v>CREVA_REP</v>
      </c>
      <c r="R41" t="str">
        <f t="shared" si="15"/>
        <v>BTC_CREVA</v>
      </c>
      <c r="S41" t="str">
        <f t="shared" si="16"/>
        <v>USD_CREVA</v>
      </c>
      <c r="T41" t="str">
        <f t="shared" si="17"/>
        <v>LTC_CREVA</v>
      </c>
      <c r="U41" t="str">
        <f t="shared" si="18"/>
        <v>DOGE_CREVA</v>
      </c>
      <c r="V41" t="str">
        <f t="shared" si="19"/>
        <v>ETH_CREVA</v>
      </c>
      <c r="W41" t="str">
        <f t="shared" si="20"/>
        <v>EUR_CREVA</v>
      </c>
      <c r="X41" t="str">
        <f t="shared" si="21"/>
        <v>RUR_CREVA</v>
      </c>
      <c r="Y41" t="str">
        <f t="shared" si="22"/>
        <v>DASH_CREVA</v>
      </c>
      <c r="Z41" t="str">
        <f t="shared" si="23"/>
        <v>XMR_CREVA</v>
      </c>
      <c r="AA41" t="str">
        <f t="shared" si="24"/>
        <v>ETC_CREVA</v>
      </c>
      <c r="AB41" t="str">
        <f t="shared" si="25"/>
        <v>POSW_CREVA</v>
      </c>
      <c r="AC41" t="str">
        <f t="shared" si="26"/>
        <v>USDT_CREVA</v>
      </c>
      <c r="AD41" t="str">
        <f t="shared" si="27"/>
        <v>ZEC_CREVA</v>
      </c>
      <c r="AE41" t="str">
        <f t="shared" si="28"/>
        <v>NXT_CREVA</v>
      </c>
      <c r="AF41" t="str">
        <f t="shared" si="29"/>
        <v>REP_CREVA</v>
      </c>
    </row>
    <row r="42" spans="1:32" x14ac:dyDescent="0.25">
      <c r="A42" t="s">
        <v>2169</v>
      </c>
      <c r="B42" t="str">
        <f t="shared" si="14"/>
        <v>CRW_BTC</v>
      </c>
      <c r="C42" t="str">
        <f t="shared" si="0"/>
        <v>CRW_USD</v>
      </c>
      <c r="D42" t="str">
        <f t="shared" si="1"/>
        <v>CRW_LTC</v>
      </c>
      <c r="E42" t="str">
        <f t="shared" si="2"/>
        <v>CRW_DOGE</v>
      </c>
      <c r="F42" t="str">
        <f t="shared" si="3"/>
        <v>CRW_ETH</v>
      </c>
      <c r="G42" t="str">
        <f t="shared" si="4"/>
        <v>CRW_EUR</v>
      </c>
      <c r="H42" t="str">
        <f t="shared" si="5"/>
        <v>CRW_RUR</v>
      </c>
      <c r="I42" t="str">
        <f t="shared" si="6"/>
        <v>CRW_DASH</v>
      </c>
      <c r="J42" t="str">
        <f t="shared" si="7"/>
        <v>CRW_XMR</v>
      </c>
      <c r="K42" t="str">
        <f t="shared" si="8"/>
        <v>CRW_ETC</v>
      </c>
      <c r="L42" t="str">
        <f t="shared" si="9"/>
        <v>CRW_POSW</v>
      </c>
      <c r="M42" t="str">
        <f t="shared" si="10"/>
        <v>CRW_USDT</v>
      </c>
      <c r="N42" t="str">
        <f t="shared" si="11"/>
        <v>CRW_ZEC</v>
      </c>
      <c r="O42" t="str">
        <f t="shared" si="12"/>
        <v>CRW_NXT</v>
      </c>
      <c r="P42" t="str">
        <f t="shared" si="13"/>
        <v>CRW_REP</v>
      </c>
      <c r="R42" t="str">
        <f t="shared" si="15"/>
        <v>BTC_CRW</v>
      </c>
      <c r="S42" t="str">
        <f t="shared" si="16"/>
        <v>USD_CRW</v>
      </c>
      <c r="T42" t="str">
        <f t="shared" si="17"/>
        <v>LTC_CRW</v>
      </c>
      <c r="U42" t="str">
        <f t="shared" si="18"/>
        <v>DOGE_CRW</v>
      </c>
      <c r="V42" t="str">
        <f t="shared" si="19"/>
        <v>ETH_CRW</v>
      </c>
      <c r="W42" t="str">
        <f t="shared" si="20"/>
        <v>EUR_CRW</v>
      </c>
      <c r="X42" t="str">
        <f t="shared" si="21"/>
        <v>RUR_CRW</v>
      </c>
      <c r="Y42" t="str">
        <f t="shared" si="22"/>
        <v>DASH_CRW</v>
      </c>
      <c r="Z42" t="str">
        <f t="shared" si="23"/>
        <v>XMR_CRW</v>
      </c>
      <c r="AA42" t="str">
        <f t="shared" si="24"/>
        <v>ETC_CRW</v>
      </c>
      <c r="AB42" t="str">
        <f t="shared" si="25"/>
        <v>POSW_CRW</v>
      </c>
      <c r="AC42" t="str">
        <f t="shared" si="26"/>
        <v>USDT_CRW</v>
      </c>
      <c r="AD42" t="str">
        <f t="shared" si="27"/>
        <v>ZEC_CRW</v>
      </c>
      <c r="AE42" t="str">
        <f t="shared" si="28"/>
        <v>NXT_CRW</v>
      </c>
      <c r="AF42" t="str">
        <f t="shared" si="29"/>
        <v>REP_CRW</v>
      </c>
    </row>
    <row r="43" spans="1:32" x14ac:dyDescent="0.25">
      <c r="A43" t="s">
        <v>2377</v>
      </c>
      <c r="B43" t="str">
        <f t="shared" si="14"/>
        <v>CURE_BTC</v>
      </c>
      <c r="C43" t="str">
        <f t="shared" si="0"/>
        <v>CURE_USD</v>
      </c>
      <c r="D43" t="str">
        <f t="shared" si="1"/>
        <v>CURE_LTC</v>
      </c>
      <c r="E43" t="str">
        <f t="shared" si="2"/>
        <v>CURE_DOGE</v>
      </c>
      <c r="F43" t="str">
        <f t="shared" si="3"/>
        <v>CURE_ETH</v>
      </c>
      <c r="G43" t="str">
        <f t="shared" si="4"/>
        <v>CURE_EUR</v>
      </c>
      <c r="H43" t="str">
        <f t="shared" si="5"/>
        <v>CURE_RUR</v>
      </c>
      <c r="I43" t="str">
        <f t="shared" si="6"/>
        <v>CURE_DASH</v>
      </c>
      <c r="J43" t="str">
        <f t="shared" si="7"/>
        <v>CURE_XMR</v>
      </c>
      <c r="K43" t="str">
        <f t="shared" si="8"/>
        <v>CURE_ETC</v>
      </c>
      <c r="L43" t="str">
        <f t="shared" si="9"/>
        <v>CURE_POSW</v>
      </c>
      <c r="M43" t="str">
        <f t="shared" si="10"/>
        <v>CURE_USDT</v>
      </c>
      <c r="N43" t="str">
        <f t="shared" si="11"/>
        <v>CURE_ZEC</v>
      </c>
      <c r="O43" t="str">
        <f t="shared" si="12"/>
        <v>CURE_NXT</v>
      </c>
      <c r="P43" t="str">
        <f t="shared" si="13"/>
        <v>CURE_REP</v>
      </c>
      <c r="R43" t="str">
        <f t="shared" si="15"/>
        <v>BTC_CURE</v>
      </c>
      <c r="S43" t="str">
        <f t="shared" si="16"/>
        <v>USD_CURE</v>
      </c>
      <c r="T43" t="str">
        <f t="shared" si="17"/>
        <v>LTC_CURE</v>
      </c>
      <c r="U43" t="str">
        <f t="shared" si="18"/>
        <v>DOGE_CURE</v>
      </c>
      <c r="V43" t="str">
        <f t="shared" si="19"/>
        <v>ETH_CURE</v>
      </c>
      <c r="W43" t="str">
        <f t="shared" si="20"/>
        <v>EUR_CURE</v>
      </c>
      <c r="X43" t="str">
        <f t="shared" si="21"/>
        <v>RUR_CURE</v>
      </c>
      <c r="Y43" t="str">
        <f t="shared" si="22"/>
        <v>DASH_CURE</v>
      </c>
      <c r="Z43" t="str">
        <f t="shared" si="23"/>
        <v>XMR_CURE</v>
      </c>
      <c r="AA43" t="str">
        <f t="shared" si="24"/>
        <v>ETC_CURE</v>
      </c>
      <c r="AB43" t="str">
        <f t="shared" si="25"/>
        <v>POSW_CURE</v>
      </c>
      <c r="AC43" t="str">
        <f t="shared" si="26"/>
        <v>USDT_CURE</v>
      </c>
      <c r="AD43" t="str">
        <f t="shared" si="27"/>
        <v>ZEC_CURE</v>
      </c>
      <c r="AE43" t="str">
        <f t="shared" si="28"/>
        <v>NXT_CURE</v>
      </c>
      <c r="AF43" t="str">
        <f t="shared" si="29"/>
        <v>REP_CURE</v>
      </c>
    </row>
    <row r="44" spans="1:32" x14ac:dyDescent="0.25">
      <c r="A44" t="s">
        <v>2102</v>
      </c>
      <c r="B44" t="str">
        <f t="shared" si="14"/>
        <v>DASH_BTC</v>
      </c>
      <c r="C44" t="str">
        <f t="shared" si="0"/>
        <v>DASH_USD</v>
      </c>
      <c r="D44" t="str">
        <f t="shared" si="1"/>
        <v>DASH_LTC</v>
      </c>
      <c r="E44" t="str">
        <f t="shared" si="2"/>
        <v>DASH_DOGE</v>
      </c>
      <c r="F44" t="str">
        <f t="shared" si="3"/>
        <v>DASH_ETH</v>
      </c>
      <c r="G44" t="str">
        <f t="shared" si="4"/>
        <v>DASH_EUR</v>
      </c>
      <c r="H44" t="str">
        <f t="shared" si="5"/>
        <v>DASH_RUR</v>
      </c>
      <c r="I44" t="str">
        <f t="shared" si="6"/>
        <v>DASH_DASH</v>
      </c>
      <c r="J44" t="str">
        <f t="shared" si="7"/>
        <v>DASH_XMR</v>
      </c>
      <c r="K44" t="str">
        <f t="shared" si="8"/>
        <v>DASH_ETC</v>
      </c>
      <c r="L44" t="str">
        <f t="shared" si="9"/>
        <v>DASH_POSW</v>
      </c>
      <c r="M44" t="str">
        <f t="shared" si="10"/>
        <v>DASH_USDT</v>
      </c>
      <c r="N44" t="str">
        <f t="shared" si="11"/>
        <v>DASH_ZEC</v>
      </c>
      <c r="O44" t="str">
        <f t="shared" si="12"/>
        <v>DASH_NXT</v>
      </c>
      <c r="P44" t="str">
        <f t="shared" si="13"/>
        <v>DASH_REP</v>
      </c>
      <c r="R44" t="str">
        <f t="shared" si="15"/>
        <v>BTC_DASH</v>
      </c>
      <c r="S44" t="str">
        <f t="shared" si="16"/>
        <v>USD_DASH</v>
      </c>
      <c r="T44" t="str">
        <f t="shared" si="17"/>
        <v>LTC_DASH</v>
      </c>
      <c r="U44" t="str">
        <f t="shared" si="18"/>
        <v>DOGE_DASH</v>
      </c>
      <c r="V44" t="str">
        <f t="shared" si="19"/>
        <v>ETH_DASH</v>
      </c>
      <c r="W44" t="str">
        <f t="shared" si="20"/>
        <v>EUR_DASH</v>
      </c>
      <c r="X44" t="str">
        <f t="shared" si="21"/>
        <v>RUR_DASH</v>
      </c>
      <c r="Y44" t="str">
        <f t="shared" si="22"/>
        <v>DASH_DASH</v>
      </c>
      <c r="Z44" t="str">
        <f t="shared" si="23"/>
        <v>XMR_DASH</v>
      </c>
      <c r="AA44" t="str">
        <f t="shared" si="24"/>
        <v>ETC_DASH</v>
      </c>
      <c r="AB44" t="str">
        <f t="shared" si="25"/>
        <v>POSW_DASH</v>
      </c>
      <c r="AC44" t="str">
        <f t="shared" si="26"/>
        <v>USDT_DASH</v>
      </c>
      <c r="AD44" t="str">
        <f t="shared" si="27"/>
        <v>ZEC_DASH</v>
      </c>
      <c r="AE44" t="str">
        <f t="shared" si="28"/>
        <v>NXT_DASH</v>
      </c>
      <c r="AF44" t="str">
        <f t="shared" si="29"/>
        <v>REP_DASH</v>
      </c>
    </row>
    <row r="45" spans="1:32" x14ac:dyDescent="0.25">
      <c r="A45" t="s">
        <v>2145</v>
      </c>
      <c r="B45" t="str">
        <f t="shared" si="14"/>
        <v>DCR_BTC</v>
      </c>
      <c r="C45" t="str">
        <f t="shared" si="0"/>
        <v>DCR_USD</v>
      </c>
      <c r="D45" t="str">
        <f t="shared" si="1"/>
        <v>DCR_LTC</v>
      </c>
      <c r="E45" t="str">
        <f t="shared" si="2"/>
        <v>DCR_DOGE</v>
      </c>
      <c r="F45" t="str">
        <f t="shared" si="3"/>
        <v>DCR_ETH</v>
      </c>
      <c r="G45" t="str">
        <f t="shared" si="4"/>
        <v>DCR_EUR</v>
      </c>
      <c r="H45" t="str">
        <f t="shared" si="5"/>
        <v>DCR_RUR</v>
      </c>
      <c r="I45" t="str">
        <f t="shared" si="6"/>
        <v>DCR_DASH</v>
      </c>
      <c r="J45" t="str">
        <f t="shared" si="7"/>
        <v>DCR_XMR</v>
      </c>
      <c r="K45" t="str">
        <f t="shared" si="8"/>
        <v>DCR_ETC</v>
      </c>
      <c r="L45" t="str">
        <f t="shared" si="9"/>
        <v>DCR_POSW</v>
      </c>
      <c r="M45" t="str">
        <f t="shared" si="10"/>
        <v>DCR_USDT</v>
      </c>
      <c r="N45" t="str">
        <f t="shared" si="11"/>
        <v>DCR_ZEC</v>
      </c>
      <c r="O45" t="str">
        <f t="shared" si="12"/>
        <v>DCR_NXT</v>
      </c>
      <c r="P45" t="str">
        <f t="shared" si="13"/>
        <v>DCR_REP</v>
      </c>
      <c r="R45" t="str">
        <f t="shared" si="15"/>
        <v>BTC_DCR</v>
      </c>
      <c r="S45" t="str">
        <f t="shared" si="16"/>
        <v>USD_DCR</v>
      </c>
      <c r="T45" t="str">
        <f t="shared" si="17"/>
        <v>LTC_DCR</v>
      </c>
      <c r="U45" t="str">
        <f t="shared" si="18"/>
        <v>DOGE_DCR</v>
      </c>
      <c r="V45" t="str">
        <f t="shared" si="19"/>
        <v>ETH_DCR</v>
      </c>
      <c r="W45" t="str">
        <f t="shared" si="20"/>
        <v>EUR_DCR</v>
      </c>
      <c r="X45" t="str">
        <f t="shared" si="21"/>
        <v>RUR_DCR</v>
      </c>
      <c r="Y45" t="str">
        <f t="shared" si="22"/>
        <v>DASH_DCR</v>
      </c>
      <c r="Z45" t="str">
        <f t="shared" si="23"/>
        <v>XMR_DCR</v>
      </c>
      <c r="AA45" t="str">
        <f t="shared" si="24"/>
        <v>ETC_DCR</v>
      </c>
      <c r="AB45" t="str">
        <f t="shared" si="25"/>
        <v>POSW_DCR</v>
      </c>
      <c r="AC45" t="str">
        <f t="shared" si="26"/>
        <v>USDT_DCR</v>
      </c>
      <c r="AD45" t="str">
        <f t="shared" si="27"/>
        <v>ZEC_DCR</v>
      </c>
      <c r="AE45" t="str">
        <f t="shared" si="28"/>
        <v>NXT_DCR</v>
      </c>
      <c r="AF45" t="str">
        <f t="shared" si="29"/>
        <v>REP_DCR</v>
      </c>
    </row>
    <row r="46" spans="1:32" x14ac:dyDescent="0.25">
      <c r="A46" t="s">
        <v>2170</v>
      </c>
      <c r="B46" t="str">
        <f t="shared" si="14"/>
        <v>DCT_BTC</v>
      </c>
      <c r="C46" t="str">
        <f t="shared" si="0"/>
        <v>DCT_USD</v>
      </c>
      <c r="D46" t="str">
        <f t="shared" si="1"/>
        <v>DCT_LTC</v>
      </c>
      <c r="E46" t="str">
        <f t="shared" si="2"/>
        <v>DCT_DOGE</v>
      </c>
      <c r="F46" t="str">
        <f t="shared" si="3"/>
        <v>DCT_ETH</v>
      </c>
      <c r="G46" t="str">
        <f t="shared" si="4"/>
        <v>DCT_EUR</v>
      </c>
      <c r="H46" t="str">
        <f t="shared" si="5"/>
        <v>DCT_RUR</v>
      </c>
      <c r="I46" t="str">
        <f t="shared" si="6"/>
        <v>DCT_DASH</v>
      </c>
      <c r="J46" t="str">
        <f t="shared" si="7"/>
        <v>DCT_XMR</v>
      </c>
      <c r="K46" t="str">
        <f t="shared" si="8"/>
        <v>DCT_ETC</v>
      </c>
      <c r="L46" t="str">
        <f t="shared" si="9"/>
        <v>DCT_POSW</v>
      </c>
      <c r="M46" t="str">
        <f t="shared" si="10"/>
        <v>DCT_USDT</v>
      </c>
      <c r="N46" t="str">
        <f t="shared" si="11"/>
        <v>DCT_ZEC</v>
      </c>
      <c r="O46" t="str">
        <f t="shared" si="12"/>
        <v>DCT_NXT</v>
      </c>
      <c r="P46" t="str">
        <f t="shared" si="13"/>
        <v>DCT_REP</v>
      </c>
      <c r="R46" t="str">
        <f t="shared" si="15"/>
        <v>BTC_DCT</v>
      </c>
      <c r="S46" t="str">
        <f t="shared" si="16"/>
        <v>USD_DCT</v>
      </c>
      <c r="T46" t="str">
        <f t="shared" si="17"/>
        <v>LTC_DCT</v>
      </c>
      <c r="U46" t="str">
        <f t="shared" si="18"/>
        <v>DOGE_DCT</v>
      </c>
      <c r="V46" t="str">
        <f t="shared" si="19"/>
        <v>ETH_DCT</v>
      </c>
      <c r="W46" t="str">
        <f t="shared" si="20"/>
        <v>EUR_DCT</v>
      </c>
      <c r="X46" t="str">
        <f t="shared" si="21"/>
        <v>RUR_DCT</v>
      </c>
      <c r="Y46" t="str">
        <f t="shared" si="22"/>
        <v>DASH_DCT</v>
      </c>
      <c r="Z46" t="str">
        <f t="shared" si="23"/>
        <v>XMR_DCT</v>
      </c>
      <c r="AA46" t="str">
        <f t="shared" si="24"/>
        <v>ETC_DCT</v>
      </c>
      <c r="AB46" t="str">
        <f t="shared" si="25"/>
        <v>POSW_DCT</v>
      </c>
      <c r="AC46" t="str">
        <f t="shared" si="26"/>
        <v>USDT_DCT</v>
      </c>
      <c r="AD46" t="str">
        <f t="shared" si="27"/>
        <v>ZEC_DCT</v>
      </c>
      <c r="AE46" t="str">
        <f t="shared" si="28"/>
        <v>NXT_DCT</v>
      </c>
      <c r="AF46" t="str">
        <f t="shared" si="29"/>
        <v>REP_DCT</v>
      </c>
    </row>
    <row r="47" spans="1:32" x14ac:dyDescent="0.25">
      <c r="A47" t="s">
        <v>2171</v>
      </c>
      <c r="B47" t="str">
        <f t="shared" si="14"/>
        <v>DGB_BTC</v>
      </c>
      <c r="C47" t="str">
        <f t="shared" si="0"/>
        <v>DGB_USD</v>
      </c>
      <c r="D47" t="str">
        <f t="shared" si="1"/>
        <v>DGB_LTC</v>
      </c>
      <c r="E47" t="str">
        <f t="shared" si="2"/>
        <v>DGB_DOGE</v>
      </c>
      <c r="F47" t="str">
        <f t="shared" si="3"/>
        <v>DGB_ETH</v>
      </c>
      <c r="G47" t="str">
        <f t="shared" si="4"/>
        <v>DGB_EUR</v>
      </c>
      <c r="H47" t="str">
        <f t="shared" si="5"/>
        <v>DGB_RUR</v>
      </c>
      <c r="I47" t="str">
        <f t="shared" si="6"/>
        <v>DGB_DASH</v>
      </c>
      <c r="J47" t="str">
        <f t="shared" si="7"/>
        <v>DGB_XMR</v>
      </c>
      <c r="K47" t="str">
        <f t="shared" si="8"/>
        <v>DGB_ETC</v>
      </c>
      <c r="L47" t="str">
        <f t="shared" si="9"/>
        <v>DGB_POSW</v>
      </c>
      <c r="M47" t="str">
        <f t="shared" si="10"/>
        <v>DGB_USDT</v>
      </c>
      <c r="N47" t="str">
        <f t="shared" si="11"/>
        <v>DGB_ZEC</v>
      </c>
      <c r="O47" t="str">
        <f t="shared" si="12"/>
        <v>DGB_NXT</v>
      </c>
      <c r="P47" t="str">
        <f t="shared" si="13"/>
        <v>DGB_REP</v>
      </c>
      <c r="R47" t="str">
        <f t="shared" si="15"/>
        <v>BTC_DGB</v>
      </c>
      <c r="S47" t="str">
        <f t="shared" si="16"/>
        <v>USD_DGB</v>
      </c>
      <c r="T47" t="str">
        <f t="shared" si="17"/>
        <v>LTC_DGB</v>
      </c>
      <c r="U47" t="str">
        <f t="shared" si="18"/>
        <v>DOGE_DGB</v>
      </c>
      <c r="V47" t="str">
        <f t="shared" si="19"/>
        <v>ETH_DGB</v>
      </c>
      <c r="W47" t="str">
        <f t="shared" si="20"/>
        <v>EUR_DGB</v>
      </c>
      <c r="X47" t="str">
        <f t="shared" si="21"/>
        <v>RUR_DGB</v>
      </c>
      <c r="Y47" t="str">
        <f t="shared" si="22"/>
        <v>DASH_DGB</v>
      </c>
      <c r="Z47" t="str">
        <f t="shared" si="23"/>
        <v>XMR_DGB</v>
      </c>
      <c r="AA47" t="str">
        <f t="shared" si="24"/>
        <v>ETC_DGB</v>
      </c>
      <c r="AB47" t="str">
        <f t="shared" si="25"/>
        <v>POSW_DGB</v>
      </c>
      <c r="AC47" t="str">
        <f t="shared" si="26"/>
        <v>USDT_DGB</v>
      </c>
      <c r="AD47" t="str">
        <f t="shared" si="27"/>
        <v>ZEC_DGB</v>
      </c>
      <c r="AE47" t="str">
        <f t="shared" si="28"/>
        <v>NXT_DGB</v>
      </c>
      <c r="AF47" t="str">
        <f t="shared" si="29"/>
        <v>REP_DGB</v>
      </c>
    </row>
    <row r="48" spans="1:32" x14ac:dyDescent="0.25">
      <c r="A48" t="s">
        <v>2172</v>
      </c>
      <c r="B48" t="str">
        <f t="shared" si="14"/>
        <v>DGD_BTC</v>
      </c>
      <c r="C48" t="str">
        <f t="shared" si="0"/>
        <v>DGD_USD</v>
      </c>
      <c r="D48" t="str">
        <f t="shared" si="1"/>
        <v>DGD_LTC</v>
      </c>
      <c r="E48" t="str">
        <f t="shared" si="2"/>
        <v>DGD_DOGE</v>
      </c>
      <c r="F48" t="str">
        <f t="shared" si="3"/>
        <v>DGD_ETH</v>
      </c>
      <c r="G48" t="str">
        <f t="shared" si="4"/>
        <v>DGD_EUR</v>
      </c>
      <c r="H48" t="str">
        <f t="shared" si="5"/>
        <v>DGD_RUR</v>
      </c>
      <c r="I48" t="str">
        <f t="shared" si="6"/>
        <v>DGD_DASH</v>
      </c>
      <c r="J48" t="str">
        <f t="shared" si="7"/>
        <v>DGD_XMR</v>
      </c>
      <c r="K48" t="str">
        <f t="shared" si="8"/>
        <v>DGD_ETC</v>
      </c>
      <c r="L48" t="str">
        <f t="shared" si="9"/>
        <v>DGD_POSW</v>
      </c>
      <c r="M48" t="str">
        <f t="shared" si="10"/>
        <v>DGD_USDT</v>
      </c>
      <c r="N48" t="str">
        <f t="shared" si="11"/>
        <v>DGD_ZEC</v>
      </c>
      <c r="O48" t="str">
        <f t="shared" si="12"/>
        <v>DGD_NXT</v>
      </c>
      <c r="P48" t="str">
        <f t="shared" si="13"/>
        <v>DGD_REP</v>
      </c>
      <c r="R48" t="str">
        <f t="shared" si="15"/>
        <v>BTC_DGD</v>
      </c>
      <c r="S48" t="str">
        <f t="shared" si="16"/>
        <v>USD_DGD</v>
      </c>
      <c r="T48" t="str">
        <f t="shared" si="17"/>
        <v>LTC_DGD</v>
      </c>
      <c r="U48" t="str">
        <f t="shared" si="18"/>
        <v>DOGE_DGD</v>
      </c>
      <c r="V48" t="str">
        <f t="shared" si="19"/>
        <v>ETH_DGD</v>
      </c>
      <c r="W48" t="str">
        <f t="shared" si="20"/>
        <v>EUR_DGD</v>
      </c>
      <c r="X48" t="str">
        <f t="shared" si="21"/>
        <v>RUR_DGD</v>
      </c>
      <c r="Y48" t="str">
        <f t="shared" si="22"/>
        <v>DASH_DGD</v>
      </c>
      <c r="Z48" t="str">
        <f t="shared" si="23"/>
        <v>XMR_DGD</v>
      </c>
      <c r="AA48" t="str">
        <f t="shared" si="24"/>
        <v>ETC_DGD</v>
      </c>
      <c r="AB48" t="str">
        <f t="shared" si="25"/>
        <v>POSW_DGD</v>
      </c>
      <c r="AC48" t="str">
        <f t="shared" si="26"/>
        <v>USDT_DGD</v>
      </c>
      <c r="AD48" t="str">
        <f t="shared" si="27"/>
        <v>ZEC_DGD</v>
      </c>
      <c r="AE48" t="str">
        <f t="shared" si="28"/>
        <v>NXT_DGD</v>
      </c>
      <c r="AF48" t="str">
        <f t="shared" si="29"/>
        <v>REP_DGD</v>
      </c>
    </row>
    <row r="49" spans="1:32" x14ac:dyDescent="0.25">
      <c r="A49" t="s">
        <v>2173</v>
      </c>
      <c r="B49" t="str">
        <f t="shared" si="14"/>
        <v>DIME_BTC</v>
      </c>
      <c r="C49" t="str">
        <f t="shared" si="0"/>
        <v>DIME_USD</v>
      </c>
      <c r="D49" t="str">
        <f t="shared" si="1"/>
        <v>DIME_LTC</v>
      </c>
      <c r="E49" t="str">
        <f t="shared" si="2"/>
        <v>DIME_DOGE</v>
      </c>
      <c r="F49" t="str">
        <f t="shared" si="3"/>
        <v>DIME_ETH</v>
      </c>
      <c r="G49" t="str">
        <f t="shared" si="4"/>
        <v>DIME_EUR</v>
      </c>
      <c r="H49" t="str">
        <f t="shared" si="5"/>
        <v>DIME_RUR</v>
      </c>
      <c r="I49" t="str">
        <f t="shared" si="6"/>
        <v>DIME_DASH</v>
      </c>
      <c r="J49" t="str">
        <f t="shared" si="7"/>
        <v>DIME_XMR</v>
      </c>
      <c r="K49" t="str">
        <f t="shared" si="8"/>
        <v>DIME_ETC</v>
      </c>
      <c r="L49" t="str">
        <f t="shared" si="9"/>
        <v>DIME_POSW</v>
      </c>
      <c r="M49" t="str">
        <f t="shared" si="10"/>
        <v>DIME_USDT</v>
      </c>
      <c r="N49" t="str">
        <f t="shared" si="11"/>
        <v>DIME_ZEC</v>
      </c>
      <c r="O49" t="str">
        <f t="shared" si="12"/>
        <v>DIME_NXT</v>
      </c>
      <c r="P49" t="str">
        <f t="shared" si="13"/>
        <v>DIME_REP</v>
      </c>
      <c r="R49" t="str">
        <f t="shared" si="15"/>
        <v>BTC_DIME</v>
      </c>
      <c r="S49" t="str">
        <f t="shared" si="16"/>
        <v>USD_DIME</v>
      </c>
      <c r="T49" t="str">
        <f t="shared" si="17"/>
        <v>LTC_DIME</v>
      </c>
      <c r="U49" t="str">
        <f t="shared" si="18"/>
        <v>DOGE_DIME</v>
      </c>
      <c r="V49" t="str">
        <f t="shared" si="19"/>
        <v>ETH_DIME</v>
      </c>
      <c r="W49" t="str">
        <f t="shared" si="20"/>
        <v>EUR_DIME</v>
      </c>
      <c r="X49" t="str">
        <f t="shared" si="21"/>
        <v>RUR_DIME</v>
      </c>
      <c r="Y49" t="str">
        <f t="shared" si="22"/>
        <v>DASH_DIME</v>
      </c>
      <c r="Z49" t="str">
        <f t="shared" si="23"/>
        <v>XMR_DIME</v>
      </c>
      <c r="AA49" t="str">
        <f t="shared" si="24"/>
        <v>ETC_DIME</v>
      </c>
      <c r="AB49" t="str">
        <f t="shared" si="25"/>
        <v>POSW_DIME</v>
      </c>
      <c r="AC49" t="str">
        <f t="shared" si="26"/>
        <v>USDT_DIME</v>
      </c>
      <c r="AD49" t="str">
        <f t="shared" si="27"/>
        <v>ZEC_DIME</v>
      </c>
      <c r="AE49" t="str">
        <f t="shared" si="28"/>
        <v>NXT_DIME</v>
      </c>
      <c r="AF49" t="str">
        <f t="shared" si="29"/>
        <v>REP_DIME</v>
      </c>
    </row>
    <row r="50" spans="1:32" x14ac:dyDescent="0.25">
      <c r="A50" t="s">
        <v>2103</v>
      </c>
      <c r="B50" t="str">
        <f t="shared" si="14"/>
        <v>DOGE_BTC</v>
      </c>
      <c r="C50" t="str">
        <f t="shared" si="0"/>
        <v>DOGE_USD</v>
      </c>
      <c r="D50" t="str">
        <f t="shared" si="1"/>
        <v>DOGE_LTC</v>
      </c>
      <c r="E50" t="str">
        <f t="shared" si="2"/>
        <v>DOGE_DOGE</v>
      </c>
      <c r="F50" t="str">
        <f t="shared" si="3"/>
        <v>DOGE_ETH</v>
      </c>
      <c r="G50" t="str">
        <f t="shared" si="4"/>
        <v>DOGE_EUR</v>
      </c>
      <c r="H50" t="str">
        <f t="shared" si="5"/>
        <v>DOGE_RUR</v>
      </c>
      <c r="I50" t="str">
        <f t="shared" si="6"/>
        <v>DOGE_DASH</v>
      </c>
      <c r="J50" t="str">
        <f t="shared" si="7"/>
        <v>DOGE_XMR</v>
      </c>
      <c r="K50" t="str">
        <f t="shared" si="8"/>
        <v>DOGE_ETC</v>
      </c>
      <c r="L50" t="str">
        <f t="shared" si="9"/>
        <v>DOGE_POSW</v>
      </c>
      <c r="M50" t="str">
        <f t="shared" si="10"/>
        <v>DOGE_USDT</v>
      </c>
      <c r="N50" t="str">
        <f t="shared" si="11"/>
        <v>DOGE_ZEC</v>
      </c>
      <c r="O50" t="str">
        <f t="shared" si="12"/>
        <v>DOGE_NXT</v>
      </c>
      <c r="P50" t="str">
        <f t="shared" si="13"/>
        <v>DOGE_REP</v>
      </c>
      <c r="R50" t="str">
        <f t="shared" si="15"/>
        <v>BTC_DOGE</v>
      </c>
      <c r="S50" t="str">
        <f t="shared" si="16"/>
        <v>USD_DOGE</v>
      </c>
      <c r="T50" t="str">
        <f t="shared" si="17"/>
        <v>LTC_DOGE</v>
      </c>
      <c r="U50" t="str">
        <f t="shared" si="18"/>
        <v>DOGE_DOGE</v>
      </c>
      <c r="V50" t="str">
        <f t="shared" si="19"/>
        <v>ETH_DOGE</v>
      </c>
      <c r="W50" t="str">
        <f t="shared" si="20"/>
        <v>EUR_DOGE</v>
      </c>
      <c r="X50" t="str">
        <f t="shared" si="21"/>
        <v>RUR_DOGE</v>
      </c>
      <c r="Y50" t="str">
        <f t="shared" si="22"/>
        <v>DASH_DOGE</v>
      </c>
      <c r="Z50" t="str">
        <f t="shared" si="23"/>
        <v>XMR_DOGE</v>
      </c>
      <c r="AA50" t="str">
        <f t="shared" si="24"/>
        <v>ETC_DOGE</v>
      </c>
      <c r="AB50" t="str">
        <f t="shared" si="25"/>
        <v>POSW_DOGE</v>
      </c>
      <c r="AC50" t="str">
        <f t="shared" si="26"/>
        <v>USDT_DOGE</v>
      </c>
      <c r="AD50" t="str">
        <f t="shared" si="27"/>
        <v>ZEC_DOGE</v>
      </c>
      <c r="AE50" t="str">
        <f t="shared" si="28"/>
        <v>NXT_DOGE</v>
      </c>
      <c r="AF50" t="str">
        <f t="shared" si="29"/>
        <v>REP_DOGE</v>
      </c>
    </row>
    <row r="51" spans="1:32" x14ac:dyDescent="0.25">
      <c r="A51" t="s">
        <v>2174</v>
      </c>
      <c r="B51" t="str">
        <f t="shared" si="14"/>
        <v>DRACO_BTC</v>
      </c>
      <c r="C51" t="str">
        <f t="shared" si="0"/>
        <v>DRACO_USD</v>
      </c>
      <c r="D51" t="str">
        <f t="shared" si="1"/>
        <v>DRACO_LTC</v>
      </c>
      <c r="E51" t="str">
        <f t="shared" si="2"/>
        <v>DRACO_DOGE</v>
      </c>
      <c r="F51" t="str">
        <f t="shared" si="3"/>
        <v>DRACO_ETH</v>
      </c>
      <c r="G51" t="str">
        <f t="shared" si="4"/>
        <v>DRACO_EUR</v>
      </c>
      <c r="H51" t="str">
        <f t="shared" si="5"/>
        <v>DRACO_RUR</v>
      </c>
      <c r="I51" t="str">
        <f t="shared" si="6"/>
        <v>DRACO_DASH</v>
      </c>
      <c r="J51" t="str">
        <f t="shared" si="7"/>
        <v>DRACO_XMR</v>
      </c>
      <c r="K51" t="str">
        <f t="shared" si="8"/>
        <v>DRACO_ETC</v>
      </c>
      <c r="L51" t="str">
        <f t="shared" si="9"/>
        <v>DRACO_POSW</v>
      </c>
      <c r="M51" t="str">
        <f t="shared" si="10"/>
        <v>DRACO_USDT</v>
      </c>
      <c r="N51" t="str">
        <f t="shared" si="11"/>
        <v>DRACO_ZEC</v>
      </c>
      <c r="O51" t="str">
        <f t="shared" si="12"/>
        <v>DRACO_NXT</v>
      </c>
      <c r="P51" t="str">
        <f t="shared" si="13"/>
        <v>DRACO_REP</v>
      </c>
      <c r="R51" t="str">
        <f t="shared" si="15"/>
        <v>BTC_DRACO</v>
      </c>
      <c r="S51" t="str">
        <f t="shared" si="16"/>
        <v>USD_DRACO</v>
      </c>
      <c r="T51" t="str">
        <f t="shared" si="17"/>
        <v>LTC_DRACO</v>
      </c>
      <c r="U51" t="str">
        <f t="shared" si="18"/>
        <v>DOGE_DRACO</v>
      </c>
      <c r="V51" t="str">
        <f t="shared" si="19"/>
        <v>ETH_DRACO</v>
      </c>
      <c r="W51" t="str">
        <f t="shared" si="20"/>
        <v>EUR_DRACO</v>
      </c>
      <c r="X51" t="str">
        <f t="shared" si="21"/>
        <v>RUR_DRACO</v>
      </c>
      <c r="Y51" t="str">
        <f t="shared" si="22"/>
        <v>DASH_DRACO</v>
      </c>
      <c r="Z51" t="str">
        <f t="shared" si="23"/>
        <v>XMR_DRACO</v>
      </c>
      <c r="AA51" t="str">
        <f t="shared" si="24"/>
        <v>ETC_DRACO</v>
      </c>
      <c r="AB51" t="str">
        <f t="shared" si="25"/>
        <v>POSW_DRACO</v>
      </c>
      <c r="AC51" t="str">
        <f t="shared" si="26"/>
        <v>USDT_DRACO</v>
      </c>
      <c r="AD51" t="str">
        <f t="shared" si="27"/>
        <v>ZEC_DRACO</v>
      </c>
      <c r="AE51" t="str">
        <f t="shared" si="28"/>
        <v>NXT_DRACO</v>
      </c>
      <c r="AF51" t="str">
        <f t="shared" si="29"/>
        <v>REP_DRACO</v>
      </c>
    </row>
    <row r="52" spans="1:32" x14ac:dyDescent="0.25">
      <c r="A52" t="s">
        <v>2175</v>
      </c>
      <c r="B52" t="str">
        <f t="shared" si="14"/>
        <v>DRZ_BTC</v>
      </c>
      <c r="C52" t="str">
        <f t="shared" si="0"/>
        <v>DRZ_USD</v>
      </c>
      <c r="D52" t="str">
        <f t="shared" si="1"/>
        <v>DRZ_LTC</v>
      </c>
      <c r="E52" t="str">
        <f t="shared" si="2"/>
        <v>DRZ_DOGE</v>
      </c>
      <c r="F52" t="str">
        <f t="shared" si="3"/>
        <v>DRZ_ETH</v>
      </c>
      <c r="G52" t="str">
        <f t="shared" si="4"/>
        <v>DRZ_EUR</v>
      </c>
      <c r="H52" t="str">
        <f t="shared" si="5"/>
        <v>DRZ_RUR</v>
      </c>
      <c r="I52" t="str">
        <f t="shared" si="6"/>
        <v>DRZ_DASH</v>
      </c>
      <c r="J52" t="str">
        <f t="shared" si="7"/>
        <v>DRZ_XMR</v>
      </c>
      <c r="K52" t="str">
        <f t="shared" si="8"/>
        <v>DRZ_ETC</v>
      </c>
      <c r="L52" t="str">
        <f t="shared" si="9"/>
        <v>DRZ_POSW</v>
      </c>
      <c r="M52" t="str">
        <f t="shared" si="10"/>
        <v>DRZ_USDT</v>
      </c>
      <c r="N52" t="str">
        <f t="shared" si="11"/>
        <v>DRZ_ZEC</v>
      </c>
      <c r="O52" t="str">
        <f t="shared" si="12"/>
        <v>DRZ_NXT</v>
      </c>
      <c r="P52" t="str">
        <f t="shared" si="13"/>
        <v>DRZ_REP</v>
      </c>
      <c r="R52" t="str">
        <f t="shared" si="15"/>
        <v>BTC_DRZ</v>
      </c>
      <c r="S52" t="str">
        <f t="shared" si="16"/>
        <v>USD_DRZ</v>
      </c>
      <c r="T52" t="str">
        <f t="shared" si="17"/>
        <v>LTC_DRZ</v>
      </c>
      <c r="U52" t="str">
        <f t="shared" si="18"/>
        <v>DOGE_DRZ</v>
      </c>
      <c r="V52" t="str">
        <f t="shared" si="19"/>
        <v>ETH_DRZ</v>
      </c>
      <c r="W52" t="str">
        <f t="shared" si="20"/>
        <v>EUR_DRZ</v>
      </c>
      <c r="X52" t="str">
        <f t="shared" si="21"/>
        <v>RUR_DRZ</v>
      </c>
      <c r="Y52" t="str">
        <f t="shared" si="22"/>
        <v>DASH_DRZ</v>
      </c>
      <c r="Z52" t="str">
        <f t="shared" si="23"/>
        <v>XMR_DRZ</v>
      </c>
      <c r="AA52" t="str">
        <f t="shared" si="24"/>
        <v>ETC_DRZ</v>
      </c>
      <c r="AB52" t="str">
        <f t="shared" si="25"/>
        <v>POSW_DRZ</v>
      </c>
      <c r="AC52" t="str">
        <f t="shared" si="26"/>
        <v>USDT_DRZ</v>
      </c>
      <c r="AD52" t="str">
        <f t="shared" si="27"/>
        <v>ZEC_DRZ</v>
      </c>
      <c r="AE52" t="str">
        <f t="shared" si="28"/>
        <v>NXT_DRZ</v>
      </c>
      <c r="AF52" t="str">
        <f t="shared" si="29"/>
        <v>REP_DRZ</v>
      </c>
    </row>
    <row r="53" spans="1:32" x14ac:dyDescent="0.25">
      <c r="A53" t="s">
        <v>2113</v>
      </c>
      <c r="B53" t="str">
        <f t="shared" si="14"/>
        <v>DSH_BTC</v>
      </c>
      <c r="C53" t="str">
        <f t="shared" si="0"/>
        <v>DSH_USD</v>
      </c>
      <c r="D53" t="str">
        <f t="shared" si="1"/>
        <v>DSH_LTC</v>
      </c>
      <c r="E53" t="str">
        <f t="shared" si="2"/>
        <v>DSH_DOGE</v>
      </c>
      <c r="F53" t="str">
        <f t="shared" si="3"/>
        <v>DSH_ETH</v>
      </c>
      <c r="G53" t="str">
        <f t="shared" si="4"/>
        <v>DSH_EUR</v>
      </c>
      <c r="H53" t="str">
        <f t="shared" si="5"/>
        <v>DSH_RUR</v>
      </c>
      <c r="I53" t="str">
        <f t="shared" si="6"/>
        <v>DSH_DASH</v>
      </c>
      <c r="J53" t="str">
        <f t="shared" si="7"/>
        <v>DSH_XMR</v>
      </c>
      <c r="K53" t="str">
        <f t="shared" si="8"/>
        <v>DSH_ETC</v>
      </c>
      <c r="L53" t="str">
        <f t="shared" si="9"/>
        <v>DSH_POSW</v>
      </c>
      <c r="M53" t="str">
        <f t="shared" si="10"/>
        <v>DSH_USDT</v>
      </c>
      <c r="N53" t="str">
        <f t="shared" si="11"/>
        <v>DSH_ZEC</v>
      </c>
      <c r="O53" t="str">
        <f t="shared" si="12"/>
        <v>DSH_NXT</v>
      </c>
      <c r="P53" t="str">
        <f t="shared" si="13"/>
        <v>DSH_REP</v>
      </c>
      <c r="R53" t="str">
        <f t="shared" si="15"/>
        <v>BTC_DSH</v>
      </c>
      <c r="S53" t="str">
        <f t="shared" si="16"/>
        <v>USD_DSH</v>
      </c>
      <c r="T53" t="str">
        <f t="shared" si="17"/>
        <v>LTC_DSH</v>
      </c>
      <c r="U53" t="str">
        <f t="shared" si="18"/>
        <v>DOGE_DSH</v>
      </c>
      <c r="V53" t="str">
        <f t="shared" si="19"/>
        <v>ETH_DSH</v>
      </c>
      <c r="W53" t="str">
        <f t="shared" si="20"/>
        <v>EUR_DSH</v>
      </c>
      <c r="X53" t="str">
        <f t="shared" si="21"/>
        <v>RUR_DSH</v>
      </c>
      <c r="Y53" t="str">
        <f t="shared" si="22"/>
        <v>DASH_DSH</v>
      </c>
      <c r="Z53" t="str">
        <f t="shared" si="23"/>
        <v>XMR_DSH</v>
      </c>
      <c r="AA53" t="str">
        <f t="shared" si="24"/>
        <v>ETC_DSH</v>
      </c>
      <c r="AB53" t="str">
        <f t="shared" si="25"/>
        <v>POSW_DSH</v>
      </c>
      <c r="AC53" t="str">
        <f t="shared" si="26"/>
        <v>USDT_DSH</v>
      </c>
      <c r="AD53" t="str">
        <f t="shared" si="27"/>
        <v>ZEC_DSH</v>
      </c>
      <c r="AE53" t="str">
        <f t="shared" si="28"/>
        <v>NXT_DSH</v>
      </c>
      <c r="AF53" t="str">
        <f t="shared" si="29"/>
        <v>REP_DSH</v>
      </c>
    </row>
    <row r="54" spans="1:32" x14ac:dyDescent="0.25">
      <c r="A54" t="s">
        <v>2176</v>
      </c>
      <c r="B54" t="str">
        <f t="shared" si="14"/>
        <v>ECN_BTC</v>
      </c>
      <c r="C54" t="str">
        <f t="shared" si="0"/>
        <v>ECN_USD</v>
      </c>
      <c r="D54" t="str">
        <f t="shared" si="1"/>
        <v>ECN_LTC</v>
      </c>
      <c r="E54" t="str">
        <f t="shared" si="2"/>
        <v>ECN_DOGE</v>
      </c>
      <c r="F54" t="str">
        <f t="shared" si="3"/>
        <v>ECN_ETH</v>
      </c>
      <c r="G54" t="str">
        <f t="shared" si="4"/>
        <v>ECN_EUR</v>
      </c>
      <c r="H54" t="str">
        <f t="shared" si="5"/>
        <v>ECN_RUR</v>
      </c>
      <c r="I54" t="str">
        <f t="shared" si="6"/>
        <v>ECN_DASH</v>
      </c>
      <c r="J54" t="str">
        <f t="shared" si="7"/>
        <v>ECN_XMR</v>
      </c>
      <c r="K54" t="str">
        <f t="shared" si="8"/>
        <v>ECN_ETC</v>
      </c>
      <c r="L54" t="str">
        <f t="shared" si="9"/>
        <v>ECN_POSW</v>
      </c>
      <c r="M54" t="str">
        <f t="shared" si="10"/>
        <v>ECN_USDT</v>
      </c>
      <c r="N54" t="str">
        <f t="shared" si="11"/>
        <v>ECN_ZEC</v>
      </c>
      <c r="O54" t="str">
        <f t="shared" si="12"/>
        <v>ECN_NXT</v>
      </c>
      <c r="P54" t="str">
        <f t="shared" si="13"/>
        <v>ECN_REP</v>
      </c>
      <c r="R54" t="str">
        <f t="shared" si="15"/>
        <v>BTC_ECN</v>
      </c>
      <c r="S54" t="str">
        <f t="shared" si="16"/>
        <v>USD_ECN</v>
      </c>
      <c r="T54" t="str">
        <f t="shared" si="17"/>
        <v>LTC_ECN</v>
      </c>
      <c r="U54" t="str">
        <f t="shared" si="18"/>
        <v>DOGE_ECN</v>
      </c>
      <c r="V54" t="str">
        <f t="shared" si="19"/>
        <v>ETH_ECN</v>
      </c>
      <c r="W54" t="str">
        <f t="shared" si="20"/>
        <v>EUR_ECN</v>
      </c>
      <c r="X54" t="str">
        <f t="shared" si="21"/>
        <v>RUR_ECN</v>
      </c>
      <c r="Y54" t="str">
        <f t="shared" si="22"/>
        <v>DASH_ECN</v>
      </c>
      <c r="Z54" t="str">
        <f t="shared" si="23"/>
        <v>XMR_ECN</v>
      </c>
      <c r="AA54" t="str">
        <f t="shared" si="24"/>
        <v>ETC_ECN</v>
      </c>
      <c r="AB54" t="str">
        <f t="shared" si="25"/>
        <v>POSW_ECN</v>
      </c>
      <c r="AC54" t="str">
        <f t="shared" si="26"/>
        <v>USDT_ECN</v>
      </c>
      <c r="AD54" t="str">
        <f t="shared" si="27"/>
        <v>ZEC_ECN</v>
      </c>
      <c r="AE54" t="str">
        <f t="shared" si="28"/>
        <v>NXT_ECN</v>
      </c>
      <c r="AF54" t="str">
        <f t="shared" si="29"/>
        <v>REP_ECN</v>
      </c>
    </row>
    <row r="55" spans="1:32" x14ac:dyDescent="0.25">
      <c r="A55" t="s">
        <v>2177</v>
      </c>
      <c r="B55" t="str">
        <f t="shared" si="14"/>
        <v>EGC_BTC</v>
      </c>
      <c r="C55" t="str">
        <f t="shared" si="0"/>
        <v>EGC_USD</v>
      </c>
      <c r="D55" t="str">
        <f t="shared" si="1"/>
        <v>EGC_LTC</v>
      </c>
      <c r="E55" t="str">
        <f t="shared" si="2"/>
        <v>EGC_DOGE</v>
      </c>
      <c r="F55" t="str">
        <f t="shared" si="3"/>
        <v>EGC_ETH</v>
      </c>
      <c r="G55" t="str">
        <f t="shared" si="4"/>
        <v>EGC_EUR</v>
      </c>
      <c r="H55" t="str">
        <f t="shared" si="5"/>
        <v>EGC_RUR</v>
      </c>
      <c r="I55" t="str">
        <f t="shared" si="6"/>
        <v>EGC_DASH</v>
      </c>
      <c r="J55" t="str">
        <f t="shared" si="7"/>
        <v>EGC_XMR</v>
      </c>
      <c r="K55" t="str">
        <f t="shared" si="8"/>
        <v>EGC_ETC</v>
      </c>
      <c r="L55" t="str">
        <f t="shared" si="9"/>
        <v>EGC_POSW</v>
      </c>
      <c r="M55" t="str">
        <f t="shared" si="10"/>
        <v>EGC_USDT</v>
      </c>
      <c r="N55" t="str">
        <f t="shared" si="11"/>
        <v>EGC_ZEC</v>
      </c>
      <c r="O55" t="str">
        <f t="shared" si="12"/>
        <v>EGC_NXT</v>
      </c>
      <c r="P55" t="str">
        <f t="shared" si="13"/>
        <v>EGC_REP</v>
      </c>
      <c r="R55" t="str">
        <f t="shared" si="15"/>
        <v>BTC_EGC</v>
      </c>
      <c r="S55" t="str">
        <f t="shared" si="16"/>
        <v>USD_EGC</v>
      </c>
      <c r="T55" t="str">
        <f t="shared" si="17"/>
        <v>LTC_EGC</v>
      </c>
      <c r="U55" t="str">
        <f t="shared" si="18"/>
        <v>DOGE_EGC</v>
      </c>
      <c r="V55" t="str">
        <f t="shared" si="19"/>
        <v>ETH_EGC</v>
      </c>
      <c r="W55" t="str">
        <f t="shared" si="20"/>
        <v>EUR_EGC</v>
      </c>
      <c r="X55" t="str">
        <f t="shared" si="21"/>
        <v>RUR_EGC</v>
      </c>
      <c r="Y55" t="str">
        <f t="shared" si="22"/>
        <v>DASH_EGC</v>
      </c>
      <c r="Z55" t="str">
        <f t="shared" si="23"/>
        <v>XMR_EGC</v>
      </c>
      <c r="AA55" t="str">
        <f t="shared" si="24"/>
        <v>ETC_EGC</v>
      </c>
      <c r="AB55" t="str">
        <f t="shared" si="25"/>
        <v>POSW_EGC</v>
      </c>
      <c r="AC55" t="str">
        <f t="shared" si="26"/>
        <v>USDT_EGC</v>
      </c>
      <c r="AD55" t="str">
        <f t="shared" si="27"/>
        <v>ZEC_EGC</v>
      </c>
      <c r="AE55" t="str">
        <f t="shared" si="28"/>
        <v>NXT_EGC</v>
      </c>
      <c r="AF55" t="str">
        <f t="shared" si="29"/>
        <v>REP_EGC</v>
      </c>
    </row>
    <row r="56" spans="1:32" x14ac:dyDescent="0.25">
      <c r="A56" t="s">
        <v>2178</v>
      </c>
      <c r="B56" t="str">
        <f t="shared" si="14"/>
        <v>EL_BTC</v>
      </c>
      <c r="C56" t="str">
        <f t="shared" si="0"/>
        <v>EL_USD</v>
      </c>
      <c r="D56" t="str">
        <f t="shared" si="1"/>
        <v>EL_LTC</v>
      </c>
      <c r="E56" t="str">
        <f t="shared" si="2"/>
        <v>EL_DOGE</v>
      </c>
      <c r="F56" t="str">
        <f t="shared" si="3"/>
        <v>EL_ETH</v>
      </c>
      <c r="G56" t="str">
        <f t="shared" si="4"/>
        <v>EL_EUR</v>
      </c>
      <c r="H56" t="str">
        <f t="shared" si="5"/>
        <v>EL_RUR</v>
      </c>
      <c r="I56" t="str">
        <f t="shared" si="6"/>
        <v>EL_DASH</v>
      </c>
      <c r="J56" t="str">
        <f t="shared" si="7"/>
        <v>EL_XMR</v>
      </c>
      <c r="K56" t="str">
        <f t="shared" si="8"/>
        <v>EL_ETC</v>
      </c>
      <c r="L56" t="str">
        <f t="shared" si="9"/>
        <v>EL_POSW</v>
      </c>
      <c r="M56" t="str">
        <f t="shared" si="10"/>
        <v>EL_USDT</v>
      </c>
      <c r="N56" t="str">
        <f t="shared" si="11"/>
        <v>EL_ZEC</v>
      </c>
      <c r="O56" t="str">
        <f t="shared" si="12"/>
        <v>EL_NXT</v>
      </c>
      <c r="P56" t="str">
        <f t="shared" si="13"/>
        <v>EL_REP</v>
      </c>
      <c r="R56" t="str">
        <f t="shared" si="15"/>
        <v>BTC_EL</v>
      </c>
      <c r="S56" t="str">
        <f t="shared" si="16"/>
        <v>USD_EL</v>
      </c>
      <c r="T56" t="str">
        <f t="shared" si="17"/>
        <v>LTC_EL</v>
      </c>
      <c r="U56" t="str">
        <f t="shared" si="18"/>
        <v>DOGE_EL</v>
      </c>
      <c r="V56" t="str">
        <f t="shared" si="19"/>
        <v>ETH_EL</v>
      </c>
      <c r="W56" t="str">
        <f t="shared" si="20"/>
        <v>EUR_EL</v>
      </c>
      <c r="X56" t="str">
        <f t="shared" si="21"/>
        <v>RUR_EL</v>
      </c>
      <c r="Y56" t="str">
        <f t="shared" si="22"/>
        <v>DASH_EL</v>
      </c>
      <c r="Z56" t="str">
        <f t="shared" si="23"/>
        <v>XMR_EL</v>
      </c>
      <c r="AA56" t="str">
        <f t="shared" si="24"/>
        <v>ETC_EL</v>
      </c>
      <c r="AB56" t="str">
        <f t="shared" si="25"/>
        <v>POSW_EL</v>
      </c>
      <c r="AC56" t="str">
        <f t="shared" si="26"/>
        <v>USDT_EL</v>
      </c>
      <c r="AD56" t="str">
        <f t="shared" si="27"/>
        <v>ZEC_EL</v>
      </c>
      <c r="AE56" t="str">
        <f t="shared" si="28"/>
        <v>NXT_EL</v>
      </c>
      <c r="AF56" t="str">
        <f t="shared" si="29"/>
        <v>REP_EL</v>
      </c>
    </row>
    <row r="57" spans="1:32" x14ac:dyDescent="0.25">
      <c r="A57" t="s">
        <v>2179</v>
      </c>
      <c r="B57" t="str">
        <f t="shared" si="14"/>
        <v>ELE_BTC</v>
      </c>
      <c r="C57" t="str">
        <f t="shared" si="0"/>
        <v>ELE_USD</v>
      </c>
      <c r="D57" t="str">
        <f t="shared" si="1"/>
        <v>ELE_LTC</v>
      </c>
      <c r="E57" t="str">
        <f t="shared" si="2"/>
        <v>ELE_DOGE</v>
      </c>
      <c r="F57" t="str">
        <f t="shared" si="3"/>
        <v>ELE_ETH</v>
      </c>
      <c r="G57" t="str">
        <f t="shared" si="4"/>
        <v>ELE_EUR</v>
      </c>
      <c r="H57" t="str">
        <f t="shared" si="5"/>
        <v>ELE_RUR</v>
      </c>
      <c r="I57" t="str">
        <f t="shared" si="6"/>
        <v>ELE_DASH</v>
      </c>
      <c r="J57" t="str">
        <f t="shared" si="7"/>
        <v>ELE_XMR</v>
      </c>
      <c r="K57" t="str">
        <f t="shared" si="8"/>
        <v>ELE_ETC</v>
      </c>
      <c r="L57" t="str">
        <f t="shared" si="9"/>
        <v>ELE_POSW</v>
      </c>
      <c r="M57" t="str">
        <f t="shared" si="10"/>
        <v>ELE_USDT</v>
      </c>
      <c r="N57" t="str">
        <f t="shared" si="11"/>
        <v>ELE_ZEC</v>
      </c>
      <c r="O57" t="str">
        <f t="shared" si="12"/>
        <v>ELE_NXT</v>
      </c>
      <c r="P57" t="str">
        <f t="shared" si="13"/>
        <v>ELE_REP</v>
      </c>
      <c r="R57" t="str">
        <f t="shared" si="15"/>
        <v>BTC_ELE</v>
      </c>
      <c r="S57" t="str">
        <f t="shared" si="16"/>
        <v>USD_ELE</v>
      </c>
      <c r="T57" t="str">
        <f t="shared" si="17"/>
        <v>LTC_ELE</v>
      </c>
      <c r="U57" t="str">
        <f t="shared" si="18"/>
        <v>DOGE_ELE</v>
      </c>
      <c r="V57" t="str">
        <f t="shared" si="19"/>
        <v>ETH_ELE</v>
      </c>
      <c r="W57" t="str">
        <f t="shared" si="20"/>
        <v>EUR_ELE</v>
      </c>
      <c r="X57" t="str">
        <f t="shared" si="21"/>
        <v>RUR_ELE</v>
      </c>
      <c r="Y57" t="str">
        <f t="shared" si="22"/>
        <v>DASH_ELE</v>
      </c>
      <c r="Z57" t="str">
        <f t="shared" si="23"/>
        <v>XMR_ELE</v>
      </c>
      <c r="AA57" t="str">
        <f t="shared" si="24"/>
        <v>ETC_ELE</v>
      </c>
      <c r="AB57" t="str">
        <f t="shared" si="25"/>
        <v>POSW_ELE</v>
      </c>
      <c r="AC57" t="str">
        <f t="shared" si="26"/>
        <v>USDT_ELE</v>
      </c>
      <c r="AD57" t="str">
        <f t="shared" si="27"/>
        <v>ZEC_ELE</v>
      </c>
      <c r="AE57" t="str">
        <f t="shared" si="28"/>
        <v>NXT_ELE</v>
      </c>
      <c r="AF57" t="str">
        <f t="shared" si="29"/>
        <v>REP_ELE</v>
      </c>
    </row>
    <row r="58" spans="1:32" x14ac:dyDescent="0.25">
      <c r="A58" t="s">
        <v>2114</v>
      </c>
      <c r="B58" t="str">
        <f t="shared" si="14"/>
        <v>EMC_BTC</v>
      </c>
      <c r="C58" t="str">
        <f t="shared" si="0"/>
        <v>EMC_USD</v>
      </c>
      <c r="D58" t="str">
        <f t="shared" si="1"/>
        <v>EMC_LTC</v>
      </c>
      <c r="E58" t="str">
        <f t="shared" si="2"/>
        <v>EMC_DOGE</v>
      </c>
      <c r="F58" t="str">
        <f t="shared" si="3"/>
        <v>EMC_ETH</v>
      </c>
      <c r="G58" t="str">
        <f t="shared" si="4"/>
        <v>EMC_EUR</v>
      </c>
      <c r="H58" t="str">
        <f t="shared" si="5"/>
        <v>EMC_RUR</v>
      </c>
      <c r="I58" t="str">
        <f t="shared" si="6"/>
        <v>EMC_DASH</v>
      </c>
      <c r="J58" t="str">
        <f t="shared" si="7"/>
        <v>EMC_XMR</v>
      </c>
      <c r="K58" t="str">
        <f t="shared" si="8"/>
        <v>EMC_ETC</v>
      </c>
      <c r="L58" t="str">
        <f t="shared" si="9"/>
        <v>EMC_POSW</v>
      </c>
      <c r="M58" t="str">
        <f t="shared" si="10"/>
        <v>EMC_USDT</v>
      </c>
      <c r="N58" t="str">
        <f t="shared" si="11"/>
        <v>EMC_ZEC</v>
      </c>
      <c r="O58" t="str">
        <f t="shared" si="12"/>
        <v>EMC_NXT</v>
      </c>
      <c r="P58" t="str">
        <f t="shared" si="13"/>
        <v>EMC_REP</v>
      </c>
      <c r="R58" t="str">
        <f t="shared" si="15"/>
        <v>BTC_EMC</v>
      </c>
      <c r="S58" t="str">
        <f t="shared" si="16"/>
        <v>USD_EMC</v>
      </c>
      <c r="T58" t="str">
        <f t="shared" si="17"/>
        <v>LTC_EMC</v>
      </c>
      <c r="U58" t="str">
        <f t="shared" si="18"/>
        <v>DOGE_EMC</v>
      </c>
      <c r="V58" t="str">
        <f t="shared" si="19"/>
        <v>ETH_EMC</v>
      </c>
      <c r="W58" t="str">
        <f t="shared" si="20"/>
        <v>EUR_EMC</v>
      </c>
      <c r="X58" t="str">
        <f t="shared" si="21"/>
        <v>RUR_EMC</v>
      </c>
      <c r="Y58" t="str">
        <f t="shared" si="22"/>
        <v>DASH_EMC</v>
      </c>
      <c r="Z58" t="str">
        <f t="shared" si="23"/>
        <v>XMR_EMC</v>
      </c>
      <c r="AA58" t="str">
        <f t="shared" si="24"/>
        <v>ETC_EMC</v>
      </c>
      <c r="AB58" t="str">
        <f t="shared" si="25"/>
        <v>POSW_EMC</v>
      </c>
      <c r="AC58" t="str">
        <f t="shared" si="26"/>
        <v>USDT_EMC</v>
      </c>
      <c r="AD58" t="str">
        <f t="shared" si="27"/>
        <v>ZEC_EMC</v>
      </c>
      <c r="AE58" t="str">
        <f t="shared" si="28"/>
        <v>NXT_EMC</v>
      </c>
      <c r="AF58" t="str">
        <f t="shared" si="29"/>
        <v>REP_EMC</v>
      </c>
    </row>
    <row r="59" spans="1:32" x14ac:dyDescent="0.25">
      <c r="A59" t="s">
        <v>2146</v>
      </c>
      <c r="B59" t="str">
        <f t="shared" si="14"/>
        <v>EMC2_BTC</v>
      </c>
      <c r="C59" t="str">
        <f t="shared" si="0"/>
        <v>EMC2_USD</v>
      </c>
      <c r="D59" t="str">
        <f t="shared" si="1"/>
        <v>EMC2_LTC</v>
      </c>
      <c r="E59" t="str">
        <f t="shared" si="2"/>
        <v>EMC2_DOGE</v>
      </c>
      <c r="F59" t="str">
        <f t="shared" si="3"/>
        <v>EMC2_ETH</v>
      </c>
      <c r="G59" t="str">
        <f t="shared" si="4"/>
        <v>EMC2_EUR</v>
      </c>
      <c r="H59" t="str">
        <f t="shared" si="5"/>
        <v>EMC2_RUR</v>
      </c>
      <c r="I59" t="str">
        <f t="shared" si="6"/>
        <v>EMC2_DASH</v>
      </c>
      <c r="J59" t="str">
        <f t="shared" si="7"/>
        <v>EMC2_XMR</v>
      </c>
      <c r="K59" t="str">
        <f t="shared" si="8"/>
        <v>EMC2_ETC</v>
      </c>
      <c r="L59" t="str">
        <f t="shared" si="9"/>
        <v>EMC2_POSW</v>
      </c>
      <c r="M59" t="str">
        <f t="shared" si="10"/>
        <v>EMC2_USDT</v>
      </c>
      <c r="N59" t="str">
        <f t="shared" si="11"/>
        <v>EMC2_ZEC</v>
      </c>
      <c r="O59" t="str">
        <f t="shared" si="12"/>
        <v>EMC2_NXT</v>
      </c>
      <c r="P59" t="str">
        <f t="shared" si="13"/>
        <v>EMC2_REP</v>
      </c>
      <c r="R59" t="str">
        <f t="shared" si="15"/>
        <v>BTC_EMC2</v>
      </c>
      <c r="S59" t="str">
        <f t="shared" si="16"/>
        <v>USD_EMC2</v>
      </c>
      <c r="T59" t="str">
        <f t="shared" si="17"/>
        <v>LTC_EMC2</v>
      </c>
      <c r="U59" t="str">
        <f t="shared" si="18"/>
        <v>DOGE_EMC2</v>
      </c>
      <c r="V59" t="str">
        <f t="shared" si="19"/>
        <v>ETH_EMC2</v>
      </c>
      <c r="W59" t="str">
        <f t="shared" si="20"/>
        <v>EUR_EMC2</v>
      </c>
      <c r="X59" t="str">
        <f t="shared" si="21"/>
        <v>RUR_EMC2</v>
      </c>
      <c r="Y59" t="str">
        <f t="shared" si="22"/>
        <v>DASH_EMC2</v>
      </c>
      <c r="Z59" t="str">
        <f t="shared" si="23"/>
        <v>XMR_EMC2</v>
      </c>
      <c r="AA59" t="str">
        <f t="shared" si="24"/>
        <v>ETC_EMC2</v>
      </c>
      <c r="AB59" t="str">
        <f t="shared" si="25"/>
        <v>POSW_EMC2</v>
      </c>
      <c r="AC59" t="str">
        <f t="shared" si="26"/>
        <v>USDT_EMC2</v>
      </c>
      <c r="AD59" t="str">
        <f t="shared" si="27"/>
        <v>ZEC_EMC2</v>
      </c>
      <c r="AE59" t="str">
        <f t="shared" si="28"/>
        <v>NXT_EMC2</v>
      </c>
      <c r="AF59" t="str">
        <f t="shared" si="29"/>
        <v>REP_EMC2</v>
      </c>
    </row>
    <row r="60" spans="1:32" x14ac:dyDescent="0.25">
      <c r="A60" t="s">
        <v>2180</v>
      </c>
      <c r="B60" t="str">
        <f t="shared" si="14"/>
        <v>ENT_BTC</v>
      </c>
      <c r="C60" t="str">
        <f t="shared" si="0"/>
        <v>ENT_USD</v>
      </c>
      <c r="D60" t="str">
        <f t="shared" si="1"/>
        <v>ENT_LTC</v>
      </c>
      <c r="E60" t="str">
        <f t="shared" si="2"/>
        <v>ENT_DOGE</v>
      </c>
      <c r="F60" t="str">
        <f t="shared" si="3"/>
        <v>ENT_ETH</v>
      </c>
      <c r="G60" t="str">
        <f t="shared" si="4"/>
        <v>ENT_EUR</v>
      </c>
      <c r="H60" t="str">
        <f t="shared" si="5"/>
        <v>ENT_RUR</v>
      </c>
      <c r="I60" t="str">
        <f t="shared" si="6"/>
        <v>ENT_DASH</v>
      </c>
      <c r="J60" t="str">
        <f t="shared" si="7"/>
        <v>ENT_XMR</v>
      </c>
      <c r="K60" t="str">
        <f t="shared" si="8"/>
        <v>ENT_ETC</v>
      </c>
      <c r="L60" t="str">
        <f t="shared" si="9"/>
        <v>ENT_POSW</v>
      </c>
      <c r="M60" t="str">
        <f t="shared" si="10"/>
        <v>ENT_USDT</v>
      </c>
      <c r="N60" t="str">
        <f t="shared" si="11"/>
        <v>ENT_ZEC</v>
      </c>
      <c r="O60" t="str">
        <f t="shared" si="12"/>
        <v>ENT_NXT</v>
      </c>
      <c r="P60" t="str">
        <f t="shared" si="13"/>
        <v>ENT_REP</v>
      </c>
      <c r="R60" t="str">
        <f t="shared" si="15"/>
        <v>BTC_ENT</v>
      </c>
      <c r="S60" t="str">
        <f t="shared" si="16"/>
        <v>USD_ENT</v>
      </c>
      <c r="T60" t="str">
        <f t="shared" si="17"/>
        <v>LTC_ENT</v>
      </c>
      <c r="U60" t="str">
        <f t="shared" si="18"/>
        <v>DOGE_ENT</v>
      </c>
      <c r="V60" t="str">
        <f t="shared" si="19"/>
        <v>ETH_ENT</v>
      </c>
      <c r="W60" t="str">
        <f t="shared" si="20"/>
        <v>EUR_ENT</v>
      </c>
      <c r="X60" t="str">
        <f t="shared" si="21"/>
        <v>RUR_ENT</v>
      </c>
      <c r="Y60" t="str">
        <f t="shared" si="22"/>
        <v>DASH_ENT</v>
      </c>
      <c r="Z60" t="str">
        <f t="shared" si="23"/>
        <v>XMR_ENT</v>
      </c>
      <c r="AA60" t="str">
        <f t="shared" si="24"/>
        <v>ETC_ENT</v>
      </c>
      <c r="AB60" t="str">
        <f t="shared" si="25"/>
        <v>POSW_ENT</v>
      </c>
      <c r="AC60" t="str">
        <f t="shared" si="26"/>
        <v>USDT_ENT</v>
      </c>
      <c r="AD60" t="str">
        <f t="shared" si="27"/>
        <v>ZEC_ENT</v>
      </c>
      <c r="AE60" t="str">
        <f t="shared" si="28"/>
        <v>NXT_ENT</v>
      </c>
      <c r="AF60" t="str">
        <f t="shared" si="29"/>
        <v>REP_ENT</v>
      </c>
    </row>
    <row r="61" spans="1:32" x14ac:dyDescent="0.25">
      <c r="A61" t="s">
        <v>2104</v>
      </c>
      <c r="B61" t="str">
        <f t="shared" si="14"/>
        <v>ETC_BTC</v>
      </c>
      <c r="C61" t="str">
        <f t="shared" si="0"/>
        <v>ETC_USD</v>
      </c>
      <c r="D61" t="str">
        <f t="shared" si="1"/>
        <v>ETC_LTC</v>
      </c>
      <c r="E61" t="str">
        <f t="shared" si="2"/>
        <v>ETC_DOGE</v>
      </c>
      <c r="F61" t="str">
        <f t="shared" si="3"/>
        <v>ETC_ETH</v>
      </c>
      <c r="G61" t="str">
        <f t="shared" si="4"/>
        <v>ETC_EUR</v>
      </c>
      <c r="H61" t="str">
        <f t="shared" si="5"/>
        <v>ETC_RUR</v>
      </c>
      <c r="I61" t="str">
        <f t="shared" si="6"/>
        <v>ETC_DASH</v>
      </c>
      <c r="J61" t="str">
        <f t="shared" si="7"/>
        <v>ETC_XMR</v>
      </c>
      <c r="K61" t="str">
        <f t="shared" si="8"/>
        <v>ETC_ETC</v>
      </c>
      <c r="L61" t="str">
        <f t="shared" si="9"/>
        <v>ETC_POSW</v>
      </c>
      <c r="M61" t="str">
        <f t="shared" si="10"/>
        <v>ETC_USDT</v>
      </c>
      <c r="N61" t="str">
        <f t="shared" si="11"/>
        <v>ETC_ZEC</v>
      </c>
      <c r="O61" t="str">
        <f t="shared" si="12"/>
        <v>ETC_NXT</v>
      </c>
      <c r="P61" t="str">
        <f t="shared" si="13"/>
        <v>ETC_REP</v>
      </c>
      <c r="R61" t="str">
        <f t="shared" si="15"/>
        <v>BTC_ETC</v>
      </c>
      <c r="S61" t="str">
        <f t="shared" si="16"/>
        <v>USD_ETC</v>
      </c>
      <c r="T61" t="str">
        <f t="shared" si="17"/>
        <v>LTC_ETC</v>
      </c>
      <c r="U61" t="str">
        <f t="shared" si="18"/>
        <v>DOGE_ETC</v>
      </c>
      <c r="V61" t="str">
        <f t="shared" si="19"/>
        <v>ETH_ETC</v>
      </c>
      <c r="W61" t="str">
        <f t="shared" si="20"/>
        <v>EUR_ETC</v>
      </c>
      <c r="X61" t="str">
        <f t="shared" si="21"/>
        <v>RUR_ETC</v>
      </c>
      <c r="Y61" t="str">
        <f t="shared" si="22"/>
        <v>DASH_ETC</v>
      </c>
      <c r="Z61" t="str">
        <f t="shared" si="23"/>
        <v>XMR_ETC</v>
      </c>
      <c r="AA61" t="str">
        <f t="shared" si="24"/>
        <v>ETC_ETC</v>
      </c>
      <c r="AB61" t="str">
        <f t="shared" si="25"/>
        <v>POSW_ETC</v>
      </c>
      <c r="AC61" t="str">
        <f t="shared" si="26"/>
        <v>USDT_ETC</v>
      </c>
      <c r="AD61" t="str">
        <f t="shared" si="27"/>
        <v>ZEC_ETC</v>
      </c>
      <c r="AE61" t="str">
        <f t="shared" si="28"/>
        <v>NXT_ETC</v>
      </c>
      <c r="AF61" t="str">
        <f t="shared" si="29"/>
        <v>REP_ETC</v>
      </c>
    </row>
    <row r="62" spans="1:32" x14ac:dyDescent="0.25">
      <c r="A62" t="s">
        <v>2099</v>
      </c>
      <c r="B62" t="str">
        <f t="shared" si="14"/>
        <v>ETH_BTC</v>
      </c>
      <c r="C62" t="str">
        <f t="shared" si="0"/>
        <v>ETH_USD</v>
      </c>
      <c r="D62" t="str">
        <f t="shared" si="1"/>
        <v>ETH_LTC</v>
      </c>
      <c r="E62" t="str">
        <f t="shared" si="2"/>
        <v>ETH_DOGE</v>
      </c>
      <c r="F62" t="str">
        <f t="shared" si="3"/>
        <v>ETH_ETH</v>
      </c>
      <c r="G62" t="str">
        <f t="shared" si="4"/>
        <v>ETH_EUR</v>
      </c>
      <c r="H62" t="str">
        <f t="shared" si="5"/>
        <v>ETH_RUR</v>
      </c>
      <c r="I62" t="str">
        <f t="shared" si="6"/>
        <v>ETH_DASH</v>
      </c>
      <c r="J62" t="str">
        <f t="shared" si="7"/>
        <v>ETH_XMR</v>
      </c>
      <c r="K62" t="str">
        <f t="shared" si="8"/>
        <v>ETH_ETC</v>
      </c>
      <c r="L62" t="str">
        <f t="shared" si="9"/>
        <v>ETH_POSW</v>
      </c>
      <c r="M62" t="str">
        <f t="shared" si="10"/>
        <v>ETH_USDT</v>
      </c>
      <c r="N62" t="str">
        <f t="shared" si="11"/>
        <v>ETH_ZEC</v>
      </c>
      <c r="O62" t="str">
        <f t="shared" si="12"/>
        <v>ETH_NXT</v>
      </c>
      <c r="P62" t="str">
        <f t="shared" si="13"/>
        <v>ETH_REP</v>
      </c>
      <c r="R62" t="str">
        <f t="shared" si="15"/>
        <v>BTC_ETH</v>
      </c>
      <c r="S62" t="str">
        <f t="shared" si="16"/>
        <v>USD_ETH</v>
      </c>
      <c r="T62" t="str">
        <f t="shared" si="17"/>
        <v>LTC_ETH</v>
      </c>
      <c r="U62" t="str">
        <f t="shared" si="18"/>
        <v>DOGE_ETH</v>
      </c>
      <c r="V62" t="str">
        <f t="shared" si="19"/>
        <v>ETH_ETH</v>
      </c>
      <c r="W62" t="str">
        <f t="shared" si="20"/>
        <v>EUR_ETH</v>
      </c>
      <c r="X62" t="str">
        <f t="shared" si="21"/>
        <v>RUR_ETH</v>
      </c>
      <c r="Y62" t="str">
        <f t="shared" si="22"/>
        <v>DASH_ETH</v>
      </c>
      <c r="Z62" t="str">
        <f t="shared" si="23"/>
        <v>XMR_ETH</v>
      </c>
      <c r="AA62" t="str">
        <f t="shared" si="24"/>
        <v>ETC_ETH</v>
      </c>
      <c r="AB62" t="str">
        <f t="shared" si="25"/>
        <v>POSW_ETH</v>
      </c>
      <c r="AC62" t="str">
        <f t="shared" si="26"/>
        <v>USDT_ETH</v>
      </c>
      <c r="AD62" t="str">
        <f t="shared" si="27"/>
        <v>ZEC_ETH</v>
      </c>
      <c r="AE62" t="str">
        <f t="shared" si="28"/>
        <v>NXT_ETH</v>
      </c>
      <c r="AF62" t="str">
        <f t="shared" si="29"/>
        <v>REP_ETH</v>
      </c>
    </row>
    <row r="63" spans="1:32" x14ac:dyDescent="0.25">
      <c r="A63" t="s">
        <v>2105</v>
      </c>
      <c r="B63" t="str">
        <f t="shared" si="14"/>
        <v>EUR_BTC</v>
      </c>
      <c r="C63" t="str">
        <f t="shared" si="0"/>
        <v>EUR_USD</v>
      </c>
      <c r="D63" t="str">
        <f t="shared" si="1"/>
        <v>EUR_LTC</v>
      </c>
      <c r="E63" t="str">
        <f t="shared" si="2"/>
        <v>EUR_DOGE</v>
      </c>
      <c r="F63" t="str">
        <f t="shared" si="3"/>
        <v>EUR_ETH</v>
      </c>
      <c r="G63" t="str">
        <f t="shared" si="4"/>
        <v>EUR_EUR</v>
      </c>
      <c r="H63" t="str">
        <f t="shared" si="5"/>
        <v>EUR_RUR</v>
      </c>
      <c r="I63" t="str">
        <f t="shared" si="6"/>
        <v>EUR_DASH</v>
      </c>
      <c r="J63" t="str">
        <f t="shared" si="7"/>
        <v>EUR_XMR</v>
      </c>
      <c r="K63" t="str">
        <f t="shared" si="8"/>
        <v>EUR_ETC</v>
      </c>
      <c r="L63" t="str">
        <f t="shared" si="9"/>
        <v>EUR_POSW</v>
      </c>
      <c r="M63" t="str">
        <f t="shared" si="10"/>
        <v>EUR_USDT</v>
      </c>
      <c r="N63" t="str">
        <f t="shared" si="11"/>
        <v>EUR_ZEC</v>
      </c>
      <c r="O63" t="str">
        <f t="shared" si="12"/>
        <v>EUR_NXT</v>
      </c>
      <c r="P63" t="str">
        <f t="shared" si="13"/>
        <v>EUR_REP</v>
      </c>
      <c r="R63" t="str">
        <f t="shared" si="15"/>
        <v>BTC_EUR</v>
      </c>
      <c r="S63" t="str">
        <f t="shared" si="16"/>
        <v>USD_EUR</v>
      </c>
      <c r="T63" t="str">
        <f t="shared" si="17"/>
        <v>LTC_EUR</v>
      </c>
      <c r="U63" t="str">
        <f t="shared" si="18"/>
        <v>DOGE_EUR</v>
      </c>
      <c r="V63" t="str">
        <f t="shared" si="19"/>
        <v>ETH_EUR</v>
      </c>
      <c r="W63" t="str">
        <f t="shared" si="20"/>
        <v>EUR_EUR</v>
      </c>
      <c r="X63" t="str">
        <f t="shared" si="21"/>
        <v>RUR_EUR</v>
      </c>
      <c r="Y63" t="str">
        <f t="shared" si="22"/>
        <v>DASH_EUR</v>
      </c>
      <c r="Z63" t="str">
        <f t="shared" si="23"/>
        <v>XMR_EUR</v>
      </c>
      <c r="AA63" t="str">
        <f t="shared" si="24"/>
        <v>ETC_EUR</v>
      </c>
      <c r="AB63" t="str">
        <f t="shared" si="25"/>
        <v>POSW_EUR</v>
      </c>
      <c r="AC63" t="str">
        <f t="shared" si="26"/>
        <v>USDT_EUR</v>
      </c>
      <c r="AD63" t="str">
        <f t="shared" si="27"/>
        <v>ZEC_EUR</v>
      </c>
      <c r="AE63" t="str">
        <f t="shared" si="28"/>
        <v>NXT_EUR</v>
      </c>
      <c r="AF63" t="str">
        <f t="shared" si="29"/>
        <v>REP_EUR</v>
      </c>
    </row>
    <row r="64" spans="1:32" x14ac:dyDescent="0.25">
      <c r="A64" t="s">
        <v>2389</v>
      </c>
      <c r="B64" t="str">
        <f t="shared" si="14"/>
        <v>EXP_BTC</v>
      </c>
      <c r="C64" t="str">
        <f t="shared" si="0"/>
        <v>EXP_USD</v>
      </c>
      <c r="D64" t="str">
        <f t="shared" si="1"/>
        <v>EXP_LTC</v>
      </c>
      <c r="E64" t="str">
        <f t="shared" si="2"/>
        <v>EXP_DOGE</v>
      </c>
      <c r="F64" t="str">
        <f t="shared" si="3"/>
        <v>EXP_ETH</v>
      </c>
      <c r="G64" t="str">
        <f t="shared" si="4"/>
        <v>EXP_EUR</v>
      </c>
      <c r="H64" t="str">
        <f t="shared" si="5"/>
        <v>EXP_RUR</v>
      </c>
      <c r="I64" t="str">
        <f t="shared" si="6"/>
        <v>EXP_DASH</v>
      </c>
      <c r="J64" t="str">
        <f t="shared" si="7"/>
        <v>EXP_XMR</v>
      </c>
      <c r="K64" t="str">
        <f t="shared" si="8"/>
        <v>EXP_ETC</v>
      </c>
      <c r="L64" t="str">
        <f t="shared" si="9"/>
        <v>EXP_POSW</v>
      </c>
      <c r="M64" t="str">
        <f t="shared" si="10"/>
        <v>EXP_USDT</v>
      </c>
      <c r="N64" t="str">
        <f t="shared" si="11"/>
        <v>EXP_ZEC</v>
      </c>
      <c r="O64" t="str">
        <f t="shared" si="12"/>
        <v>EXP_NXT</v>
      </c>
      <c r="P64" t="str">
        <f t="shared" si="13"/>
        <v>EXP_REP</v>
      </c>
      <c r="R64" t="str">
        <f t="shared" si="15"/>
        <v>BTC_EXP</v>
      </c>
      <c r="S64" t="str">
        <f t="shared" si="16"/>
        <v>USD_EXP</v>
      </c>
      <c r="T64" t="str">
        <f t="shared" si="17"/>
        <v>LTC_EXP</v>
      </c>
      <c r="U64" t="str">
        <f t="shared" si="18"/>
        <v>DOGE_EXP</v>
      </c>
      <c r="V64" t="str">
        <f t="shared" si="19"/>
        <v>ETH_EXP</v>
      </c>
      <c r="W64" t="str">
        <f t="shared" si="20"/>
        <v>EUR_EXP</v>
      </c>
      <c r="X64" t="str">
        <f t="shared" si="21"/>
        <v>RUR_EXP</v>
      </c>
      <c r="Y64" t="str">
        <f t="shared" si="22"/>
        <v>DASH_EXP</v>
      </c>
      <c r="Z64" t="str">
        <f t="shared" si="23"/>
        <v>XMR_EXP</v>
      </c>
      <c r="AA64" t="str">
        <f t="shared" si="24"/>
        <v>ETC_EXP</v>
      </c>
      <c r="AB64" t="str">
        <f t="shared" si="25"/>
        <v>POSW_EXP</v>
      </c>
      <c r="AC64" t="str">
        <f t="shared" si="26"/>
        <v>USDT_EXP</v>
      </c>
      <c r="AD64" t="str">
        <f t="shared" si="27"/>
        <v>ZEC_EXP</v>
      </c>
      <c r="AE64" t="str">
        <f t="shared" si="28"/>
        <v>NXT_EXP</v>
      </c>
      <c r="AF64" t="str">
        <f t="shared" si="29"/>
        <v>REP_EXP</v>
      </c>
    </row>
    <row r="65" spans="1:32" x14ac:dyDescent="0.25">
      <c r="A65" t="s">
        <v>2147</v>
      </c>
      <c r="B65" t="str">
        <f t="shared" si="14"/>
        <v>FCT_BTC</v>
      </c>
      <c r="C65" t="str">
        <f t="shared" si="0"/>
        <v>FCT_USD</v>
      </c>
      <c r="D65" t="str">
        <f t="shared" si="1"/>
        <v>FCT_LTC</v>
      </c>
      <c r="E65" t="str">
        <f t="shared" si="2"/>
        <v>FCT_DOGE</v>
      </c>
      <c r="F65" t="str">
        <f t="shared" si="3"/>
        <v>FCT_ETH</v>
      </c>
      <c r="G65" t="str">
        <f t="shared" si="4"/>
        <v>FCT_EUR</v>
      </c>
      <c r="H65" t="str">
        <f t="shared" si="5"/>
        <v>FCT_RUR</v>
      </c>
      <c r="I65" t="str">
        <f t="shared" si="6"/>
        <v>FCT_DASH</v>
      </c>
      <c r="J65" t="str">
        <f t="shared" si="7"/>
        <v>FCT_XMR</v>
      </c>
      <c r="K65" t="str">
        <f t="shared" si="8"/>
        <v>FCT_ETC</v>
      </c>
      <c r="L65" t="str">
        <f t="shared" si="9"/>
        <v>FCT_POSW</v>
      </c>
      <c r="M65" t="str">
        <f t="shared" si="10"/>
        <v>FCT_USDT</v>
      </c>
      <c r="N65" t="str">
        <f t="shared" si="11"/>
        <v>FCT_ZEC</v>
      </c>
      <c r="O65" t="str">
        <f t="shared" si="12"/>
        <v>FCT_NXT</v>
      </c>
      <c r="P65" t="str">
        <f t="shared" si="13"/>
        <v>FCT_REP</v>
      </c>
      <c r="R65" t="str">
        <f t="shared" si="15"/>
        <v>BTC_FCT</v>
      </c>
      <c r="S65" t="str">
        <f t="shared" si="16"/>
        <v>USD_FCT</v>
      </c>
      <c r="T65" t="str">
        <f t="shared" si="17"/>
        <v>LTC_FCT</v>
      </c>
      <c r="U65" t="str">
        <f t="shared" si="18"/>
        <v>DOGE_FCT</v>
      </c>
      <c r="V65" t="str">
        <f t="shared" si="19"/>
        <v>ETH_FCT</v>
      </c>
      <c r="W65" t="str">
        <f t="shared" si="20"/>
        <v>EUR_FCT</v>
      </c>
      <c r="X65" t="str">
        <f t="shared" si="21"/>
        <v>RUR_FCT</v>
      </c>
      <c r="Y65" t="str">
        <f t="shared" si="22"/>
        <v>DASH_FCT</v>
      </c>
      <c r="Z65" t="str">
        <f t="shared" si="23"/>
        <v>XMR_FCT</v>
      </c>
      <c r="AA65" t="str">
        <f t="shared" si="24"/>
        <v>ETC_FCT</v>
      </c>
      <c r="AB65" t="str">
        <f t="shared" si="25"/>
        <v>POSW_FCT</v>
      </c>
      <c r="AC65" t="str">
        <f t="shared" si="26"/>
        <v>USDT_FCT</v>
      </c>
      <c r="AD65" t="str">
        <f t="shared" si="27"/>
        <v>ZEC_FCT</v>
      </c>
      <c r="AE65" t="str">
        <f t="shared" si="28"/>
        <v>NXT_FCT</v>
      </c>
      <c r="AF65" t="str">
        <f t="shared" si="29"/>
        <v>REP_FCT</v>
      </c>
    </row>
    <row r="66" spans="1:32" x14ac:dyDescent="0.25">
      <c r="A66" t="s">
        <v>2181</v>
      </c>
      <c r="B66" t="str">
        <f t="shared" si="14"/>
        <v>FJC_BTC</v>
      </c>
      <c r="C66" t="str">
        <f t="shared" si="0"/>
        <v>FJC_USD</v>
      </c>
      <c r="D66" t="str">
        <f t="shared" si="1"/>
        <v>FJC_LTC</v>
      </c>
      <c r="E66" t="str">
        <f t="shared" si="2"/>
        <v>FJC_DOGE</v>
      </c>
      <c r="F66" t="str">
        <f t="shared" si="3"/>
        <v>FJC_ETH</v>
      </c>
      <c r="G66" t="str">
        <f t="shared" si="4"/>
        <v>FJC_EUR</v>
      </c>
      <c r="H66" t="str">
        <f t="shared" si="5"/>
        <v>FJC_RUR</v>
      </c>
      <c r="I66" t="str">
        <f t="shared" si="6"/>
        <v>FJC_DASH</v>
      </c>
      <c r="J66" t="str">
        <f t="shared" si="7"/>
        <v>FJC_XMR</v>
      </c>
      <c r="K66" t="str">
        <f t="shared" si="8"/>
        <v>FJC_ETC</v>
      </c>
      <c r="L66" t="str">
        <f t="shared" si="9"/>
        <v>FJC_POSW</v>
      </c>
      <c r="M66" t="str">
        <f t="shared" si="10"/>
        <v>FJC_USDT</v>
      </c>
      <c r="N66" t="str">
        <f t="shared" si="11"/>
        <v>FJC_ZEC</v>
      </c>
      <c r="O66" t="str">
        <f t="shared" si="12"/>
        <v>FJC_NXT</v>
      </c>
      <c r="P66" t="str">
        <f t="shared" si="13"/>
        <v>FJC_REP</v>
      </c>
      <c r="R66" t="str">
        <f t="shared" si="15"/>
        <v>BTC_FJC</v>
      </c>
      <c r="S66" t="str">
        <f t="shared" si="16"/>
        <v>USD_FJC</v>
      </c>
      <c r="T66" t="str">
        <f t="shared" si="17"/>
        <v>LTC_FJC</v>
      </c>
      <c r="U66" t="str">
        <f t="shared" si="18"/>
        <v>DOGE_FJC</v>
      </c>
      <c r="V66" t="str">
        <f t="shared" si="19"/>
        <v>ETH_FJC</v>
      </c>
      <c r="W66" t="str">
        <f t="shared" si="20"/>
        <v>EUR_FJC</v>
      </c>
      <c r="X66" t="str">
        <f t="shared" si="21"/>
        <v>RUR_FJC</v>
      </c>
      <c r="Y66" t="str">
        <f t="shared" si="22"/>
        <v>DASH_FJC</v>
      </c>
      <c r="Z66" t="str">
        <f t="shared" si="23"/>
        <v>XMR_FJC</v>
      </c>
      <c r="AA66" t="str">
        <f t="shared" si="24"/>
        <v>ETC_FJC</v>
      </c>
      <c r="AB66" t="str">
        <f t="shared" si="25"/>
        <v>POSW_FJC</v>
      </c>
      <c r="AC66" t="str">
        <f t="shared" si="26"/>
        <v>USDT_FJC</v>
      </c>
      <c r="AD66" t="str">
        <f t="shared" si="27"/>
        <v>ZEC_FJC</v>
      </c>
      <c r="AE66" t="str">
        <f t="shared" si="28"/>
        <v>NXT_FJC</v>
      </c>
      <c r="AF66" t="str">
        <f t="shared" si="29"/>
        <v>REP_FJC</v>
      </c>
    </row>
    <row r="67" spans="1:32" x14ac:dyDescent="0.25">
      <c r="A67" t="s">
        <v>2182</v>
      </c>
      <c r="B67" t="str">
        <f t="shared" si="14"/>
        <v>FRST_BTC</v>
      </c>
      <c r="C67" t="str">
        <f t="shared" ref="C67:C130" si="30">CONCATENATE(A67,"_",$C$1)</f>
        <v>FRST_USD</v>
      </c>
      <c r="D67" t="str">
        <f t="shared" ref="D67:D130" si="31">CONCATENATE(A67,"_",$D$1)</f>
        <v>FRST_LTC</v>
      </c>
      <c r="E67" t="str">
        <f t="shared" ref="E67:E130" si="32">CONCATENATE(A67,"_",$E$1)</f>
        <v>FRST_DOGE</v>
      </c>
      <c r="F67" t="str">
        <f t="shared" ref="F67:F130" si="33">CONCATENATE(A67,"_",$F$1)</f>
        <v>FRST_ETH</v>
      </c>
      <c r="G67" t="str">
        <f t="shared" ref="G67:G130" si="34">CONCATENATE(A67,"_",$G$1)</f>
        <v>FRST_EUR</v>
      </c>
      <c r="H67" t="str">
        <f t="shared" ref="H67:H130" si="35">CONCATENATE(A67,"_",$H$1)</f>
        <v>FRST_RUR</v>
      </c>
      <c r="I67" t="str">
        <f t="shared" ref="I67:I130" si="36">CONCATENATE(A67,"_",$I$1)</f>
        <v>FRST_DASH</v>
      </c>
      <c r="J67" t="str">
        <f t="shared" ref="J67:J130" si="37">CONCATENATE(A67,"_",$J$1)</f>
        <v>FRST_XMR</v>
      </c>
      <c r="K67" t="str">
        <f t="shared" ref="K67:K130" si="38">CONCATENATE(A67,"_",$K$1)</f>
        <v>FRST_ETC</v>
      </c>
      <c r="L67" t="str">
        <f t="shared" ref="L67:L130" si="39">CONCATENATE(A67,"_",$L$1)</f>
        <v>FRST_POSW</v>
      </c>
      <c r="M67" t="str">
        <f t="shared" ref="M67:M130" si="40">CONCATENATE(A67,"_",$M$1)</f>
        <v>FRST_USDT</v>
      </c>
      <c r="N67" t="str">
        <f t="shared" ref="N67:N130" si="41">CONCATENATE(A67,"_",$N$1)</f>
        <v>FRST_ZEC</v>
      </c>
      <c r="O67" t="str">
        <f t="shared" ref="O67:O130" si="42">CONCATENATE(A67,"_",$O$1)</f>
        <v>FRST_NXT</v>
      </c>
      <c r="P67" t="str">
        <f t="shared" ref="P67:P130" si="43">CONCATENATE(A67,"_",$P$1)</f>
        <v>FRST_REP</v>
      </c>
      <c r="R67" t="str">
        <f t="shared" si="15"/>
        <v>BTC_FRST</v>
      </c>
      <c r="S67" t="str">
        <f t="shared" si="16"/>
        <v>USD_FRST</v>
      </c>
      <c r="T67" t="str">
        <f t="shared" si="17"/>
        <v>LTC_FRST</v>
      </c>
      <c r="U67" t="str">
        <f t="shared" si="18"/>
        <v>DOGE_FRST</v>
      </c>
      <c r="V67" t="str">
        <f t="shared" si="19"/>
        <v>ETH_FRST</v>
      </c>
      <c r="W67" t="str">
        <f t="shared" si="20"/>
        <v>EUR_FRST</v>
      </c>
      <c r="X67" t="str">
        <f t="shared" si="21"/>
        <v>RUR_FRST</v>
      </c>
      <c r="Y67" t="str">
        <f t="shared" si="22"/>
        <v>DASH_FRST</v>
      </c>
      <c r="Z67" t="str">
        <f t="shared" si="23"/>
        <v>XMR_FRST</v>
      </c>
      <c r="AA67" t="str">
        <f t="shared" si="24"/>
        <v>ETC_FRST</v>
      </c>
      <c r="AB67" t="str">
        <f t="shared" si="25"/>
        <v>POSW_FRST</v>
      </c>
      <c r="AC67" t="str">
        <f t="shared" si="26"/>
        <v>USDT_FRST</v>
      </c>
      <c r="AD67" t="str">
        <f t="shared" si="27"/>
        <v>ZEC_FRST</v>
      </c>
      <c r="AE67" t="str">
        <f t="shared" si="28"/>
        <v>NXT_FRST</v>
      </c>
      <c r="AF67" t="str">
        <f t="shared" si="29"/>
        <v>REP_FRST</v>
      </c>
    </row>
    <row r="68" spans="1:32" x14ac:dyDescent="0.25">
      <c r="A68" t="s">
        <v>2183</v>
      </c>
      <c r="B68" t="str">
        <f t="shared" ref="B68:B131" si="44">CONCATENATE(A68,"_",$B$1)</f>
        <v>GAME_BTC</v>
      </c>
      <c r="C68" t="str">
        <f t="shared" si="30"/>
        <v>GAME_USD</v>
      </c>
      <c r="D68" t="str">
        <f t="shared" si="31"/>
        <v>GAME_LTC</v>
      </c>
      <c r="E68" t="str">
        <f t="shared" si="32"/>
        <v>GAME_DOGE</v>
      </c>
      <c r="F68" t="str">
        <f t="shared" si="33"/>
        <v>GAME_ETH</v>
      </c>
      <c r="G68" t="str">
        <f t="shared" si="34"/>
        <v>GAME_EUR</v>
      </c>
      <c r="H68" t="str">
        <f t="shared" si="35"/>
        <v>GAME_RUR</v>
      </c>
      <c r="I68" t="str">
        <f t="shared" si="36"/>
        <v>GAME_DASH</v>
      </c>
      <c r="J68" t="str">
        <f t="shared" si="37"/>
        <v>GAME_XMR</v>
      </c>
      <c r="K68" t="str">
        <f t="shared" si="38"/>
        <v>GAME_ETC</v>
      </c>
      <c r="L68" t="str">
        <f t="shared" si="39"/>
        <v>GAME_POSW</v>
      </c>
      <c r="M68" t="str">
        <f t="shared" si="40"/>
        <v>GAME_USDT</v>
      </c>
      <c r="N68" t="str">
        <f t="shared" si="41"/>
        <v>GAME_ZEC</v>
      </c>
      <c r="O68" t="str">
        <f t="shared" si="42"/>
        <v>GAME_NXT</v>
      </c>
      <c r="P68" t="str">
        <f t="shared" si="43"/>
        <v>GAME_REP</v>
      </c>
      <c r="R68" t="str">
        <f t="shared" ref="R68:R131" si="45">CONCATENATE($B$1,"_",A68)</f>
        <v>BTC_GAME</v>
      </c>
      <c r="S68" t="str">
        <f t="shared" ref="S68:S131" si="46">CONCATENATE($C$1,"_",A68)</f>
        <v>USD_GAME</v>
      </c>
      <c r="T68" t="str">
        <f t="shared" ref="T68:T131" si="47">CONCATENATE($D$1,"_",A68)</f>
        <v>LTC_GAME</v>
      </c>
      <c r="U68" t="str">
        <f t="shared" ref="U68:U131" si="48">CONCATENATE($E$1,"_",A68)</f>
        <v>DOGE_GAME</v>
      </c>
      <c r="V68" t="str">
        <f t="shared" ref="V68:V131" si="49">CONCATENATE($F$1,"_",A68)</f>
        <v>ETH_GAME</v>
      </c>
      <c r="W68" t="str">
        <f t="shared" ref="W68:W131" si="50">CONCATENATE($G$1,"_",A68)</f>
        <v>EUR_GAME</v>
      </c>
      <c r="X68" t="str">
        <f t="shared" ref="X68:X131" si="51">CONCATENATE($H$1,"_",A68)</f>
        <v>RUR_GAME</v>
      </c>
      <c r="Y68" t="str">
        <f t="shared" ref="Y68:Y131" si="52">CONCATENATE($I$1,"_",A68)</f>
        <v>DASH_GAME</v>
      </c>
      <c r="Z68" t="str">
        <f t="shared" ref="Z68:Z131" si="53">CONCATENATE($J$1,"_",A68)</f>
        <v>XMR_GAME</v>
      </c>
      <c r="AA68" t="str">
        <f t="shared" ref="AA68:AA131" si="54">CONCATENATE($K$1,"_",A68)</f>
        <v>ETC_GAME</v>
      </c>
      <c r="AB68" t="str">
        <f t="shared" ref="AB68:AB131" si="55">CONCATENATE($L$1,"_",A68)</f>
        <v>POSW_GAME</v>
      </c>
      <c r="AC68" t="str">
        <f t="shared" ref="AC68:AC131" si="56">CONCATENATE($M$1,"_",A68)</f>
        <v>USDT_GAME</v>
      </c>
      <c r="AD68" t="str">
        <f t="shared" ref="AD68:AD131" si="57">CONCATENATE($N$1,"_",A68)</f>
        <v>ZEC_GAME</v>
      </c>
      <c r="AE68" t="str">
        <f t="shared" ref="AE68:AE131" si="58">CONCATENATE($O$1,"_",A68)</f>
        <v>NXT_GAME</v>
      </c>
      <c r="AF68" t="str">
        <f t="shared" ref="AF68:AF131" si="59">CONCATENATE($P$1,"_",A68)</f>
        <v>REP_GAME</v>
      </c>
    </row>
    <row r="69" spans="1:32" x14ac:dyDescent="0.25">
      <c r="A69" t="s">
        <v>2115</v>
      </c>
      <c r="B69" t="str">
        <f t="shared" si="44"/>
        <v>GB_BTC</v>
      </c>
      <c r="C69" t="str">
        <f t="shared" si="30"/>
        <v>GB_USD</v>
      </c>
      <c r="D69" t="str">
        <f t="shared" si="31"/>
        <v>GB_LTC</v>
      </c>
      <c r="E69" t="str">
        <f t="shared" si="32"/>
        <v>GB_DOGE</v>
      </c>
      <c r="F69" t="str">
        <f t="shared" si="33"/>
        <v>GB_ETH</v>
      </c>
      <c r="G69" t="str">
        <f t="shared" si="34"/>
        <v>GB_EUR</v>
      </c>
      <c r="H69" t="str">
        <f t="shared" si="35"/>
        <v>GB_RUR</v>
      </c>
      <c r="I69" t="str">
        <f t="shared" si="36"/>
        <v>GB_DASH</v>
      </c>
      <c r="J69" t="str">
        <f t="shared" si="37"/>
        <v>GB_XMR</v>
      </c>
      <c r="K69" t="str">
        <f t="shared" si="38"/>
        <v>GB_ETC</v>
      </c>
      <c r="L69" t="str">
        <f t="shared" si="39"/>
        <v>GB_POSW</v>
      </c>
      <c r="M69" t="str">
        <f t="shared" si="40"/>
        <v>GB_USDT</v>
      </c>
      <c r="N69" t="str">
        <f t="shared" si="41"/>
        <v>GB_ZEC</v>
      </c>
      <c r="O69" t="str">
        <f t="shared" si="42"/>
        <v>GB_NXT</v>
      </c>
      <c r="P69" t="str">
        <f t="shared" si="43"/>
        <v>GB_REP</v>
      </c>
      <c r="R69" t="str">
        <f t="shared" si="45"/>
        <v>BTC_GB</v>
      </c>
      <c r="S69" t="str">
        <f t="shared" si="46"/>
        <v>USD_GB</v>
      </c>
      <c r="T69" t="str">
        <f t="shared" si="47"/>
        <v>LTC_GB</v>
      </c>
      <c r="U69" t="str">
        <f t="shared" si="48"/>
        <v>DOGE_GB</v>
      </c>
      <c r="V69" t="str">
        <f t="shared" si="49"/>
        <v>ETH_GB</v>
      </c>
      <c r="W69" t="str">
        <f t="shared" si="50"/>
        <v>EUR_GB</v>
      </c>
      <c r="X69" t="str">
        <f t="shared" si="51"/>
        <v>RUR_GB</v>
      </c>
      <c r="Y69" t="str">
        <f t="shared" si="52"/>
        <v>DASH_GB</v>
      </c>
      <c r="Z69" t="str">
        <f t="shared" si="53"/>
        <v>XMR_GB</v>
      </c>
      <c r="AA69" t="str">
        <f t="shared" si="54"/>
        <v>ETC_GB</v>
      </c>
      <c r="AB69" t="str">
        <f t="shared" si="55"/>
        <v>POSW_GB</v>
      </c>
      <c r="AC69" t="str">
        <f t="shared" si="56"/>
        <v>USDT_GB</v>
      </c>
      <c r="AD69" t="str">
        <f t="shared" si="57"/>
        <v>ZEC_GB</v>
      </c>
      <c r="AE69" t="str">
        <f t="shared" si="58"/>
        <v>NXT_GB</v>
      </c>
      <c r="AF69" t="str">
        <f t="shared" si="59"/>
        <v>REP_GB</v>
      </c>
    </row>
    <row r="70" spans="1:32" x14ac:dyDescent="0.25">
      <c r="A70" t="s">
        <v>2398</v>
      </c>
      <c r="B70" t="str">
        <f t="shared" si="44"/>
        <v>GCR_BTC</v>
      </c>
      <c r="C70" t="str">
        <f t="shared" si="30"/>
        <v>GCR_USD</v>
      </c>
      <c r="D70" t="str">
        <f t="shared" si="31"/>
        <v>GCR_LTC</v>
      </c>
      <c r="E70" t="str">
        <f t="shared" si="32"/>
        <v>GCR_DOGE</v>
      </c>
      <c r="F70" t="str">
        <f t="shared" si="33"/>
        <v>GCR_ETH</v>
      </c>
      <c r="G70" t="str">
        <f t="shared" si="34"/>
        <v>GCR_EUR</v>
      </c>
      <c r="H70" t="str">
        <f t="shared" si="35"/>
        <v>GCR_RUR</v>
      </c>
      <c r="I70" t="str">
        <f t="shared" si="36"/>
        <v>GCR_DASH</v>
      </c>
      <c r="J70" t="str">
        <f t="shared" si="37"/>
        <v>GCR_XMR</v>
      </c>
      <c r="K70" t="str">
        <f t="shared" si="38"/>
        <v>GCR_ETC</v>
      </c>
      <c r="L70" t="str">
        <f t="shared" si="39"/>
        <v>GCR_POSW</v>
      </c>
      <c r="M70" t="str">
        <f t="shared" si="40"/>
        <v>GCR_USDT</v>
      </c>
      <c r="N70" t="str">
        <f t="shared" si="41"/>
        <v>GCR_ZEC</v>
      </c>
      <c r="O70" t="str">
        <f t="shared" si="42"/>
        <v>GCR_NXT</v>
      </c>
      <c r="P70" t="str">
        <f t="shared" si="43"/>
        <v>GCR_REP</v>
      </c>
      <c r="R70" t="str">
        <f t="shared" si="45"/>
        <v>BTC_GCR</v>
      </c>
      <c r="S70" t="str">
        <f t="shared" si="46"/>
        <v>USD_GCR</v>
      </c>
      <c r="T70" t="str">
        <f t="shared" si="47"/>
        <v>LTC_GCR</v>
      </c>
      <c r="U70" t="str">
        <f t="shared" si="48"/>
        <v>DOGE_GCR</v>
      </c>
      <c r="V70" t="str">
        <f t="shared" si="49"/>
        <v>ETH_GCR</v>
      </c>
      <c r="W70" t="str">
        <f t="shared" si="50"/>
        <v>EUR_GCR</v>
      </c>
      <c r="X70" t="str">
        <f t="shared" si="51"/>
        <v>RUR_GCR</v>
      </c>
      <c r="Y70" t="str">
        <f t="shared" si="52"/>
        <v>DASH_GCR</v>
      </c>
      <c r="Z70" t="str">
        <f t="shared" si="53"/>
        <v>XMR_GCR</v>
      </c>
      <c r="AA70" t="str">
        <f t="shared" si="54"/>
        <v>ETC_GCR</v>
      </c>
      <c r="AB70" t="str">
        <f t="shared" si="55"/>
        <v>POSW_GCR</v>
      </c>
      <c r="AC70" t="str">
        <f t="shared" si="56"/>
        <v>USDT_GCR</v>
      </c>
      <c r="AD70" t="str">
        <f t="shared" si="57"/>
        <v>ZEC_GCR</v>
      </c>
      <c r="AE70" t="str">
        <f t="shared" si="58"/>
        <v>NXT_GCR</v>
      </c>
      <c r="AF70" t="str">
        <f t="shared" si="59"/>
        <v>REP_GCR</v>
      </c>
    </row>
    <row r="71" spans="1:32" x14ac:dyDescent="0.25">
      <c r="A71" t="s">
        <v>2399</v>
      </c>
      <c r="B71" t="str">
        <f t="shared" si="44"/>
        <v>GEO_BTC</v>
      </c>
      <c r="C71" t="str">
        <f t="shared" si="30"/>
        <v>GEO_USD</v>
      </c>
      <c r="D71" t="str">
        <f t="shared" si="31"/>
        <v>GEO_LTC</v>
      </c>
      <c r="E71" t="str">
        <f t="shared" si="32"/>
        <v>GEO_DOGE</v>
      </c>
      <c r="F71" t="str">
        <f t="shared" si="33"/>
        <v>GEO_ETH</v>
      </c>
      <c r="G71" t="str">
        <f t="shared" si="34"/>
        <v>GEO_EUR</v>
      </c>
      <c r="H71" t="str">
        <f t="shared" si="35"/>
        <v>GEO_RUR</v>
      </c>
      <c r="I71" t="str">
        <f t="shared" si="36"/>
        <v>GEO_DASH</v>
      </c>
      <c r="J71" t="str">
        <f t="shared" si="37"/>
        <v>GEO_XMR</v>
      </c>
      <c r="K71" t="str">
        <f t="shared" si="38"/>
        <v>GEO_ETC</v>
      </c>
      <c r="L71" t="str">
        <f t="shared" si="39"/>
        <v>GEO_POSW</v>
      </c>
      <c r="M71" t="str">
        <f t="shared" si="40"/>
        <v>GEO_USDT</v>
      </c>
      <c r="N71" t="str">
        <f t="shared" si="41"/>
        <v>GEO_ZEC</v>
      </c>
      <c r="O71" t="str">
        <f t="shared" si="42"/>
        <v>GEO_NXT</v>
      </c>
      <c r="P71" t="str">
        <f t="shared" si="43"/>
        <v>GEO_REP</v>
      </c>
      <c r="R71" t="str">
        <f t="shared" si="45"/>
        <v>BTC_GEO</v>
      </c>
      <c r="S71" t="str">
        <f t="shared" si="46"/>
        <v>USD_GEO</v>
      </c>
      <c r="T71" t="str">
        <f t="shared" si="47"/>
        <v>LTC_GEO</v>
      </c>
      <c r="U71" t="str">
        <f t="shared" si="48"/>
        <v>DOGE_GEO</v>
      </c>
      <c r="V71" t="str">
        <f t="shared" si="49"/>
        <v>ETH_GEO</v>
      </c>
      <c r="W71" t="str">
        <f t="shared" si="50"/>
        <v>EUR_GEO</v>
      </c>
      <c r="X71" t="str">
        <f t="shared" si="51"/>
        <v>RUR_GEO</v>
      </c>
      <c r="Y71" t="str">
        <f t="shared" si="52"/>
        <v>DASH_GEO</v>
      </c>
      <c r="Z71" t="str">
        <f t="shared" si="53"/>
        <v>XMR_GEO</v>
      </c>
      <c r="AA71" t="str">
        <f t="shared" si="54"/>
        <v>ETC_GEO</v>
      </c>
      <c r="AB71" t="str">
        <f t="shared" si="55"/>
        <v>POSW_GEO</v>
      </c>
      <c r="AC71" t="str">
        <f t="shared" si="56"/>
        <v>USDT_GEO</v>
      </c>
      <c r="AD71" t="str">
        <f t="shared" si="57"/>
        <v>ZEC_GEO</v>
      </c>
      <c r="AE71" t="str">
        <f t="shared" si="58"/>
        <v>NXT_GEO</v>
      </c>
      <c r="AF71" t="str">
        <f t="shared" si="59"/>
        <v>REP_GEO</v>
      </c>
    </row>
    <row r="72" spans="1:32" x14ac:dyDescent="0.25">
      <c r="A72" t="s">
        <v>2184</v>
      </c>
      <c r="B72" t="str">
        <f t="shared" si="44"/>
        <v>GHS_BTC</v>
      </c>
      <c r="C72" t="str">
        <f t="shared" si="30"/>
        <v>GHS_USD</v>
      </c>
      <c r="D72" t="str">
        <f t="shared" si="31"/>
        <v>GHS_LTC</v>
      </c>
      <c r="E72" t="str">
        <f t="shared" si="32"/>
        <v>GHS_DOGE</v>
      </c>
      <c r="F72" t="str">
        <f t="shared" si="33"/>
        <v>GHS_ETH</v>
      </c>
      <c r="G72" t="str">
        <f t="shared" si="34"/>
        <v>GHS_EUR</v>
      </c>
      <c r="H72" t="str">
        <f t="shared" si="35"/>
        <v>GHS_RUR</v>
      </c>
      <c r="I72" t="str">
        <f t="shared" si="36"/>
        <v>GHS_DASH</v>
      </c>
      <c r="J72" t="str">
        <f t="shared" si="37"/>
        <v>GHS_XMR</v>
      </c>
      <c r="K72" t="str">
        <f t="shared" si="38"/>
        <v>GHS_ETC</v>
      </c>
      <c r="L72" t="str">
        <f t="shared" si="39"/>
        <v>GHS_POSW</v>
      </c>
      <c r="M72" t="str">
        <f t="shared" si="40"/>
        <v>GHS_USDT</v>
      </c>
      <c r="N72" t="str">
        <f t="shared" si="41"/>
        <v>GHS_ZEC</v>
      </c>
      <c r="O72" t="str">
        <f t="shared" si="42"/>
        <v>GHS_NXT</v>
      </c>
      <c r="P72" t="str">
        <f t="shared" si="43"/>
        <v>GHS_REP</v>
      </c>
      <c r="R72" t="str">
        <f t="shared" si="45"/>
        <v>BTC_GHS</v>
      </c>
      <c r="S72" t="str">
        <f t="shared" si="46"/>
        <v>USD_GHS</v>
      </c>
      <c r="T72" t="str">
        <f t="shared" si="47"/>
        <v>LTC_GHS</v>
      </c>
      <c r="U72" t="str">
        <f t="shared" si="48"/>
        <v>DOGE_GHS</v>
      </c>
      <c r="V72" t="str">
        <f t="shared" si="49"/>
        <v>ETH_GHS</v>
      </c>
      <c r="W72" t="str">
        <f t="shared" si="50"/>
        <v>EUR_GHS</v>
      </c>
      <c r="X72" t="str">
        <f t="shared" si="51"/>
        <v>RUR_GHS</v>
      </c>
      <c r="Y72" t="str">
        <f t="shared" si="52"/>
        <v>DASH_GHS</v>
      </c>
      <c r="Z72" t="str">
        <f t="shared" si="53"/>
        <v>XMR_GHS</v>
      </c>
      <c r="AA72" t="str">
        <f t="shared" si="54"/>
        <v>ETC_GHS</v>
      </c>
      <c r="AB72" t="str">
        <f t="shared" si="55"/>
        <v>POSW_GHS</v>
      </c>
      <c r="AC72" t="str">
        <f t="shared" si="56"/>
        <v>USDT_GHS</v>
      </c>
      <c r="AD72" t="str">
        <f t="shared" si="57"/>
        <v>ZEC_GHS</v>
      </c>
      <c r="AE72" t="str">
        <f t="shared" si="58"/>
        <v>NXT_GHS</v>
      </c>
      <c r="AF72" t="str">
        <f t="shared" si="59"/>
        <v>REP_GHS</v>
      </c>
    </row>
    <row r="73" spans="1:32" x14ac:dyDescent="0.25">
      <c r="A73" t="s">
        <v>2400</v>
      </c>
      <c r="B73" t="str">
        <f t="shared" si="44"/>
        <v>GLD_BTC</v>
      </c>
      <c r="C73" t="str">
        <f t="shared" si="30"/>
        <v>GLD_USD</v>
      </c>
      <c r="D73" t="str">
        <f t="shared" si="31"/>
        <v>GLD_LTC</v>
      </c>
      <c r="E73" t="str">
        <f t="shared" si="32"/>
        <v>GLD_DOGE</v>
      </c>
      <c r="F73" t="str">
        <f t="shared" si="33"/>
        <v>GLD_ETH</v>
      </c>
      <c r="G73" t="str">
        <f t="shared" si="34"/>
        <v>GLD_EUR</v>
      </c>
      <c r="H73" t="str">
        <f t="shared" si="35"/>
        <v>GLD_RUR</v>
      </c>
      <c r="I73" t="str">
        <f t="shared" si="36"/>
        <v>GLD_DASH</v>
      </c>
      <c r="J73" t="str">
        <f t="shared" si="37"/>
        <v>GLD_XMR</v>
      </c>
      <c r="K73" t="str">
        <f t="shared" si="38"/>
        <v>GLD_ETC</v>
      </c>
      <c r="L73" t="str">
        <f t="shared" si="39"/>
        <v>GLD_POSW</v>
      </c>
      <c r="M73" t="str">
        <f t="shared" si="40"/>
        <v>GLD_USDT</v>
      </c>
      <c r="N73" t="str">
        <f t="shared" si="41"/>
        <v>GLD_ZEC</v>
      </c>
      <c r="O73" t="str">
        <f t="shared" si="42"/>
        <v>GLD_NXT</v>
      </c>
      <c r="P73" t="str">
        <f t="shared" si="43"/>
        <v>GLD_REP</v>
      </c>
      <c r="R73" t="str">
        <f t="shared" si="45"/>
        <v>BTC_GLD</v>
      </c>
      <c r="S73" t="str">
        <f t="shared" si="46"/>
        <v>USD_GLD</v>
      </c>
      <c r="T73" t="str">
        <f t="shared" si="47"/>
        <v>LTC_GLD</v>
      </c>
      <c r="U73" t="str">
        <f t="shared" si="48"/>
        <v>DOGE_GLD</v>
      </c>
      <c r="V73" t="str">
        <f t="shared" si="49"/>
        <v>ETH_GLD</v>
      </c>
      <c r="W73" t="str">
        <f t="shared" si="50"/>
        <v>EUR_GLD</v>
      </c>
      <c r="X73" t="str">
        <f t="shared" si="51"/>
        <v>RUR_GLD</v>
      </c>
      <c r="Y73" t="str">
        <f t="shared" si="52"/>
        <v>DASH_GLD</v>
      </c>
      <c r="Z73" t="str">
        <f t="shared" si="53"/>
        <v>XMR_GLD</v>
      </c>
      <c r="AA73" t="str">
        <f t="shared" si="54"/>
        <v>ETC_GLD</v>
      </c>
      <c r="AB73" t="str">
        <f t="shared" si="55"/>
        <v>POSW_GLD</v>
      </c>
      <c r="AC73" t="str">
        <f t="shared" si="56"/>
        <v>USDT_GLD</v>
      </c>
      <c r="AD73" t="str">
        <f t="shared" si="57"/>
        <v>ZEC_GLD</v>
      </c>
      <c r="AE73" t="str">
        <f t="shared" si="58"/>
        <v>NXT_GLD</v>
      </c>
      <c r="AF73" t="str">
        <f t="shared" si="59"/>
        <v>REP_GLD</v>
      </c>
    </row>
    <row r="74" spans="1:32" x14ac:dyDescent="0.25">
      <c r="A74" t="s">
        <v>2148</v>
      </c>
      <c r="B74" t="str">
        <f t="shared" si="44"/>
        <v>GNO_BTC</v>
      </c>
      <c r="C74" t="str">
        <f t="shared" si="30"/>
        <v>GNO_USD</v>
      </c>
      <c r="D74" t="str">
        <f t="shared" si="31"/>
        <v>GNO_LTC</v>
      </c>
      <c r="E74" t="str">
        <f t="shared" si="32"/>
        <v>GNO_DOGE</v>
      </c>
      <c r="F74" t="str">
        <f t="shared" si="33"/>
        <v>GNO_ETH</v>
      </c>
      <c r="G74" t="str">
        <f t="shared" si="34"/>
        <v>GNO_EUR</v>
      </c>
      <c r="H74" t="str">
        <f t="shared" si="35"/>
        <v>GNO_RUR</v>
      </c>
      <c r="I74" t="str">
        <f t="shared" si="36"/>
        <v>GNO_DASH</v>
      </c>
      <c r="J74" t="str">
        <f t="shared" si="37"/>
        <v>GNO_XMR</v>
      </c>
      <c r="K74" t="str">
        <f t="shared" si="38"/>
        <v>GNO_ETC</v>
      </c>
      <c r="L74" t="str">
        <f t="shared" si="39"/>
        <v>GNO_POSW</v>
      </c>
      <c r="M74" t="str">
        <f t="shared" si="40"/>
        <v>GNO_USDT</v>
      </c>
      <c r="N74" t="str">
        <f t="shared" si="41"/>
        <v>GNO_ZEC</v>
      </c>
      <c r="O74" t="str">
        <f t="shared" si="42"/>
        <v>GNO_NXT</v>
      </c>
      <c r="P74" t="str">
        <f t="shared" si="43"/>
        <v>GNO_REP</v>
      </c>
      <c r="R74" t="str">
        <f t="shared" si="45"/>
        <v>BTC_GNO</v>
      </c>
      <c r="S74" t="str">
        <f t="shared" si="46"/>
        <v>USD_GNO</v>
      </c>
      <c r="T74" t="str">
        <f t="shared" si="47"/>
        <v>LTC_GNO</v>
      </c>
      <c r="U74" t="str">
        <f t="shared" si="48"/>
        <v>DOGE_GNO</v>
      </c>
      <c r="V74" t="str">
        <f t="shared" si="49"/>
        <v>ETH_GNO</v>
      </c>
      <c r="W74" t="str">
        <f t="shared" si="50"/>
        <v>EUR_GNO</v>
      </c>
      <c r="X74" t="str">
        <f t="shared" si="51"/>
        <v>RUR_GNO</v>
      </c>
      <c r="Y74" t="str">
        <f t="shared" si="52"/>
        <v>DASH_GNO</v>
      </c>
      <c r="Z74" t="str">
        <f t="shared" si="53"/>
        <v>XMR_GNO</v>
      </c>
      <c r="AA74" t="str">
        <f t="shared" si="54"/>
        <v>ETC_GNO</v>
      </c>
      <c r="AB74" t="str">
        <f t="shared" si="55"/>
        <v>POSW_GNO</v>
      </c>
      <c r="AC74" t="str">
        <f t="shared" si="56"/>
        <v>USDT_GNO</v>
      </c>
      <c r="AD74" t="str">
        <f t="shared" si="57"/>
        <v>ZEC_GNO</v>
      </c>
      <c r="AE74" t="str">
        <f t="shared" si="58"/>
        <v>NXT_GNO</v>
      </c>
      <c r="AF74" t="str">
        <f t="shared" si="59"/>
        <v>REP_GNO</v>
      </c>
    </row>
    <row r="75" spans="1:32" x14ac:dyDescent="0.25">
      <c r="A75" t="s">
        <v>2149</v>
      </c>
      <c r="B75" t="str">
        <f t="shared" si="44"/>
        <v>GNT_BTC</v>
      </c>
      <c r="C75" t="str">
        <f t="shared" si="30"/>
        <v>GNT_USD</v>
      </c>
      <c r="D75" t="str">
        <f t="shared" si="31"/>
        <v>GNT_LTC</v>
      </c>
      <c r="E75" t="str">
        <f t="shared" si="32"/>
        <v>GNT_DOGE</v>
      </c>
      <c r="F75" t="str">
        <f t="shared" si="33"/>
        <v>GNT_ETH</v>
      </c>
      <c r="G75" t="str">
        <f t="shared" si="34"/>
        <v>GNT_EUR</v>
      </c>
      <c r="H75" t="str">
        <f t="shared" si="35"/>
        <v>GNT_RUR</v>
      </c>
      <c r="I75" t="str">
        <f t="shared" si="36"/>
        <v>GNT_DASH</v>
      </c>
      <c r="J75" t="str">
        <f t="shared" si="37"/>
        <v>GNT_XMR</v>
      </c>
      <c r="K75" t="str">
        <f t="shared" si="38"/>
        <v>GNT_ETC</v>
      </c>
      <c r="L75" t="str">
        <f t="shared" si="39"/>
        <v>GNT_POSW</v>
      </c>
      <c r="M75" t="str">
        <f t="shared" si="40"/>
        <v>GNT_USDT</v>
      </c>
      <c r="N75" t="str">
        <f t="shared" si="41"/>
        <v>GNT_ZEC</v>
      </c>
      <c r="O75" t="str">
        <f t="shared" si="42"/>
        <v>GNT_NXT</v>
      </c>
      <c r="P75" t="str">
        <f t="shared" si="43"/>
        <v>GNT_REP</v>
      </c>
      <c r="R75" t="str">
        <f t="shared" si="45"/>
        <v>BTC_GNT</v>
      </c>
      <c r="S75" t="str">
        <f t="shared" si="46"/>
        <v>USD_GNT</v>
      </c>
      <c r="T75" t="str">
        <f t="shared" si="47"/>
        <v>LTC_GNT</v>
      </c>
      <c r="U75" t="str">
        <f t="shared" si="48"/>
        <v>DOGE_GNT</v>
      </c>
      <c r="V75" t="str">
        <f t="shared" si="49"/>
        <v>ETH_GNT</v>
      </c>
      <c r="W75" t="str">
        <f t="shared" si="50"/>
        <v>EUR_GNT</v>
      </c>
      <c r="X75" t="str">
        <f t="shared" si="51"/>
        <v>RUR_GNT</v>
      </c>
      <c r="Y75" t="str">
        <f t="shared" si="52"/>
        <v>DASH_GNT</v>
      </c>
      <c r="Z75" t="str">
        <f t="shared" si="53"/>
        <v>XMR_GNT</v>
      </c>
      <c r="AA75" t="str">
        <f t="shared" si="54"/>
        <v>ETC_GNT</v>
      </c>
      <c r="AB75" t="str">
        <f t="shared" si="55"/>
        <v>POSW_GNT</v>
      </c>
      <c r="AC75" t="str">
        <f t="shared" si="56"/>
        <v>USDT_GNT</v>
      </c>
      <c r="AD75" t="str">
        <f t="shared" si="57"/>
        <v>ZEC_GNT</v>
      </c>
      <c r="AE75" t="str">
        <f t="shared" si="58"/>
        <v>NXT_GNT</v>
      </c>
      <c r="AF75" t="str">
        <f t="shared" si="59"/>
        <v>REP_GNT</v>
      </c>
    </row>
    <row r="76" spans="1:32" x14ac:dyDescent="0.25">
      <c r="A76" t="s">
        <v>2401</v>
      </c>
      <c r="B76" t="str">
        <f t="shared" si="44"/>
        <v>GOLOS_BTC</v>
      </c>
      <c r="C76" t="str">
        <f t="shared" si="30"/>
        <v>GOLOS_USD</v>
      </c>
      <c r="D76" t="str">
        <f t="shared" si="31"/>
        <v>GOLOS_LTC</v>
      </c>
      <c r="E76" t="str">
        <f t="shared" si="32"/>
        <v>GOLOS_DOGE</v>
      </c>
      <c r="F76" t="str">
        <f t="shared" si="33"/>
        <v>GOLOS_ETH</v>
      </c>
      <c r="G76" t="str">
        <f t="shared" si="34"/>
        <v>GOLOS_EUR</v>
      </c>
      <c r="H76" t="str">
        <f t="shared" si="35"/>
        <v>GOLOS_RUR</v>
      </c>
      <c r="I76" t="str">
        <f t="shared" si="36"/>
        <v>GOLOS_DASH</v>
      </c>
      <c r="J76" t="str">
        <f t="shared" si="37"/>
        <v>GOLOS_XMR</v>
      </c>
      <c r="K76" t="str">
        <f t="shared" si="38"/>
        <v>GOLOS_ETC</v>
      </c>
      <c r="L76" t="str">
        <f t="shared" si="39"/>
        <v>GOLOS_POSW</v>
      </c>
      <c r="M76" t="str">
        <f t="shared" si="40"/>
        <v>GOLOS_USDT</v>
      </c>
      <c r="N76" t="str">
        <f t="shared" si="41"/>
        <v>GOLOS_ZEC</v>
      </c>
      <c r="O76" t="str">
        <f t="shared" si="42"/>
        <v>GOLOS_NXT</v>
      </c>
      <c r="P76" t="str">
        <f t="shared" si="43"/>
        <v>GOLOS_REP</v>
      </c>
      <c r="R76" t="str">
        <f t="shared" si="45"/>
        <v>BTC_GOLOS</v>
      </c>
      <c r="S76" t="str">
        <f t="shared" si="46"/>
        <v>USD_GOLOS</v>
      </c>
      <c r="T76" t="str">
        <f t="shared" si="47"/>
        <v>LTC_GOLOS</v>
      </c>
      <c r="U76" t="str">
        <f t="shared" si="48"/>
        <v>DOGE_GOLOS</v>
      </c>
      <c r="V76" t="str">
        <f t="shared" si="49"/>
        <v>ETH_GOLOS</v>
      </c>
      <c r="W76" t="str">
        <f t="shared" si="50"/>
        <v>EUR_GOLOS</v>
      </c>
      <c r="X76" t="str">
        <f t="shared" si="51"/>
        <v>RUR_GOLOS</v>
      </c>
      <c r="Y76" t="str">
        <f t="shared" si="52"/>
        <v>DASH_GOLOS</v>
      </c>
      <c r="Z76" t="str">
        <f t="shared" si="53"/>
        <v>XMR_GOLOS</v>
      </c>
      <c r="AA76" t="str">
        <f t="shared" si="54"/>
        <v>ETC_GOLOS</v>
      </c>
      <c r="AB76" t="str">
        <f t="shared" si="55"/>
        <v>POSW_GOLOS</v>
      </c>
      <c r="AC76" t="str">
        <f t="shared" si="56"/>
        <v>USDT_GOLOS</v>
      </c>
      <c r="AD76" t="str">
        <f t="shared" si="57"/>
        <v>ZEC_GOLOS</v>
      </c>
      <c r="AE76" t="str">
        <f t="shared" si="58"/>
        <v>NXT_GOLOS</v>
      </c>
      <c r="AF76" t="str">
        <f t="shared" si="59"/>
        <v>REP_GOLOS</v>
      </c>
    </row>
    <row r="77" spans="1:32" x14ac:dyDescent="0.25">
      <c r="A77" t="s">
        <v>2150</v>
      </c>
      <c r="B77" t="str">
        <f t="shared" si="44"/>
        <v>GRC_BTC</v>
      </c>
      <c r="C77" t="str">
        <f t="shared" si="30"/>
        <v>GRC_USD</v>
      </c>
      <c r="D77" t="str">
        <f t="shared" si="31"/>
        <v>GRC_LTC</v>
      </c>
      <c r="E77" t="str">
        <f t="shared" si="32"/>
        <v>GRC_DOGE</v>
      </c>
      <c r="F77" t="str">
        <f t="shared" si="33"/>
        <v>GRC_ETH</v>
      </c>
      <c r="G77" t="str">
        <f t="shared" si="34"/>
        <v>GRC_EUR</v>
      </c>
      <c r="H77" t="str">
        <f t="shared" si="35"/>
        <v>GRC_RUR</v>
      </c>
      <c r="I77" t="str">
        <f t="shared" si="36"/>
        <v>GRC_DASH</v>
      </c>
      <c r="J77" t="str">
        <f t="shared" si="37"/>
        <v>GRC_XMR</v>
      </c>
      <c r="K77" t="str">
        <f t="shared" si="38"/>
        <v>GRC_ETC</v>
      </c>
      <c r="L77" t="str">
        <f t="shared" si="39"/>
        <v>GRC_POSW</v>
      </c>
      <c r="M77" t="str">
        <f t="shared" si="40"/>
        <v>GRC_USDT</v>
      </c>
      <c r="N77" t="str">
        <f t="shared" si="41"/>
        <v>GRC_ZEC</v>
      </c>
      <c r="O77" t="str">
        <f t="shared" si="42"/>
        <v>GRC_NXT</v>
      </c>
      <c r="P77" t="str">
        <f t="shared" si="43"/>
        <v>GRC_REP</v>
      </c>
      <c r="R77" t="str">
        <f t="shared" si="45"/>
        <v>BTC_GRC</v>
      </c>
      <c r="S77" t="str">
        <f t="shared" si="46"/>
        <v>USD_GRC</v>
      </c>
      <c r="T77" t="str">
        <f t="shared" si="47"/>
        <v>LTC_GRC</v>
      </c>
      <c r="U77" t="str">
        <f t="shared" si="48"/>
        <v>DOGE_GRC</v>
      </c>
      <c r="V77" t="str">
        <f t="shared" si="49"/>
        <v>ETH_GRC</v>
      </c>
      <c r="W77" t="str">
        <f t="shared" si="50"/>
        <v>EUR_GRC</v>
      </c>
      <c r="X77" t="str">
        <f t="shared" si="51"/>
        <v>RUR_GRC</v>
      </c>
      <c r="Y77" t="str">
        <f t="shared" si="52"/>
        <v>DASH_GRC</v>
      </c>
      <c r="Z77" t="str">
        <f t="shared" si="53"/>
        <v>XMR_GRC</v>
      </c>
      <c r="AA77" t="str">
        <f t="shared" si="54"/>
        <v>ETC_GRC</v>
      </c>
      <c r="AB77" t="str">
        <f t="shared" si="55"/>
        <v>POSW_GRC</v>
      </c>
      <c r="AC77" t="str">
        <f t="shared" si="56"/>
        <v>USDT_GRC</v>
      </c>
      <c r="AD77" t="str">
        <f t="shared" si="57"/>
        <v>ZEC_GRC</v>
      </c>
      <c r="AE77" t="str">
        <f t="shared" si="58"/>
        <v>NXT_GRC</v>
      </c>
      <c r="AF77" t="str">
        <f t="shared" si="59"/>
        <v>REP_GRC</v>
      </c>
    </row>
    <row r="78" spans="1:32" x14ac:dyDescent="0.25">
      <c r="A78" t="s">
        <v>2185</v>
      </c>
      <c r="B78" t="str">
        <f t="shared" si="44"/>
        <v>GUP_BTC</v>
      </c>
      <c r="C78" t="str">
        <f t="shared" si="30"/>
        <v>GUP_USD</v>
      </c>
      <c r="D78" t="str">
        <f t="shared" si="31"/>
        <v>GUP_LTC</v>
      </c>
      <c r="E78" t="str">
        <f t="shared" si="32"/>
        <v>GUP_DOGE</v>
      </c>
      <c r="F78" t="str">
        <f t="shared" si="33"/>
        <v>GUP_ETH</v>
      </c>
      <c r="G78" t="str">
        <f t="shared" si="34"/>
        <v>GUP_EUR</v>
      </c>
      <c r="H78" t="str">
        <f t="shared" si="35"/>
        <v>GUP_RUR</v>
      </c>
      <c r="I78" t="str">
        <f t="shared" si="36"/>
        <v>GUP_DASH</v>
      </c>
      <c r="J78" t="str">
        <f t="shared" si="37"/>
        <v>GUP_XMR</v>
      </c>
      <c r="K78" t="str">
        <f t="shared" si="38"/>
        <v>GUP_ETC</v>
      </c>
      <c r="L78" t="str">
        <f t="shared" si="39"/>
        <v>GUP_POSW</v>
      </c>
      <c r="M78" t="str">
        <f t="shared" si="40"/>
        <v>GUP_USDT</v>
      </c>
      <c r="N78" t="str">
        <f t="shared" si="41"/>
        <v>GUP_ZEC</v>
      </c>
      <c r="O78" t="str">
        <f t="shared" si="42"/>
        <v>GUP_NXT</v>
      </c>
      <c r="P78" t="str">
        <f t="shared" si="43"/>
        <v>GUP_REP</v>
      </c>
      <c r="R78" t="str">
        <f t="shared" si="45"/>
        <v>BTC_GUP</v>
      </c>
      <c r="S78" t="str">
        <f t="shared" si="46"/>
        <v>USD_GUP</v>
      </c>
      <c r="T78" t="str">
        <f t="shared" si="47"/>
        <v>LTC_GUP</v>
      </c>
      <c r="U78" t="str">
        <f t="shared" si="48"/>
        <v>DOGE_GUP</v>
      </c>
      <c r="V78" t="str">
        <f t="shared" si="49"/>
        <v>ETH_GUP</v>
      </c>
      <c r="W78" t="str">
        <f t="shared" si="50"/>
        <v>EUR_GUP</v>
      </c>
      <c r="X78" t="str">
        <f t="shared" si="51"/>
        <v>RUR_GUP</v>
      </c>
      <c r="Y78" t="str">
        <f t="shared" si="52"/>
        <v>DASH_GUP</v>
      </c>
      <c r="Z78" t="str">
        <f t="shared" si="53"/>
        <v>XMR_GUP</v>
      </c>
      <c r="AA78" t="str">
        <f t="shared" si="54"/>
        <v>ETC_GUP</v>
      </c>
      <c r="AB78" t="str">
        <f t="shared" si="55"/>
        <v>POSW_GUP</v>
      </c>
      <c r="AC78" t="str">
        <f t="shared" si="56"/>
        <v>USDT_GUP</v>
      </c>
      <c r="AD78" t="str">
        <f t="shared" si="57"/>
        <v>ZEC_GUP</v>
      </c>
      <c r="AE78" t="str">
        <f t="shared" si="58"/>
        <v>NXT_GUP</v>
      </c>
      <c r="AF78" t="str">
        <f t="shared" si="59"/>
        <v>REP_GUP</v>
      </c>
    </row>
    <row r="79" spans="1:32" x14ac:dyDescent="0.25">
      <c r="A79" t="s">
        <v>2186</v>
      </c>
      <c r="B79" t="str">
        <f t="shared" si="44"/>
        <v>HCC_BTC</v>
      </c>
      <c r="C79" t="str">
        <f t="shared" si="30"/>
        <v>HCC_USD</v>
      </c>
      <c r="D79" t="str">
        <f t="shared" si="31"/>
        <v>HCC_LTC</v>
      </c>
      <c r="E79" t="str">
        <f t="shared" si="32"/>
        <v>HCC_DOGE</v>
      </c>
      <c r="F79" t="str">
        <f t="shared" si="33"/>
        <v>HCC_ETH</v>
      </c>
      <c r="G79" t="str">
        <f t="shared" si="34"/>
        <v>HCC_EUR</v>
      </c>
      <c r="H79" t="str">
        <f t="shared" si="35"/>
        <v>HCC_RUR</v>
      </c>
      <c r="I79" t="str">
        <f t="shared" si="36"/>
        <v>HCC_DASH</v>
      </c>
      <c r="J79" t="str">
        <f t="shared" si="37"/>
        <v>HCC_XMR</v>
      </c>
      <c r="K79" t="str">
        <f t="shared" si="38"/>
        <v>HCC_ETC</v>
      </c>
      <c r="L79" t="str">
        <f t="shared" si="39"/>
        <v>HCC_POSW</v>
      </c>
      <c r="M79" t="str">
        <f t="shared" si="40"/>
        <v>HCC_USDT</v>
      </c>
      <c r="N79" t="str">
        <f t="shared" si="41"/>
        <v>HCC_ZEC</v>
      </c>
      <c r="O79" t="str">
        <f t="shared" si="42"/>
        <v>HCC_NXT</v>
      </c>
      <c r="P79" t="str">
        <f t="shared" si="43"/>
        <v>HCC_REP</v>
      </c>
      <c r="R79" t="str">
        <f t="shared" si="45"/>
        <v>BTC_HCC</v>
      </c>
      <c r="S79" t="str">
        <f t="shared" si="46"/>
        <v>USD_HCC</v>
      </c>
      <c r="T79" t="str">
        <f t="shared" si="47"/>
        <v>LTC_HCC</v>
      </c>
      <c r="U79" t="str">
        <f t="shared" si="48"/>
        <v>DOGE_HCC</v>
      </c>
      <c r="V79" t="str">
        <f t="shared" si="49"/>
        <v>ETH_HCC</v>
      </c>
      <c r="W79" t="str">
        <f t="shared" si="50"/>
        <v>EUR_HCC</v>
      </c>
      <c r="X79" t="str">
        <f t="shared" si="51"/>
        <v>RUR_HCC</v>
      </c>
      <c r="Y79" t="str">
        <f t="shared" si="52"/>
        <v>DASH_HCC</v>
      </c>
      <c r="Z79" t="str">
        <f t="shared" si="53"/>
        <v>XMR_HCC</v>
      </c>
      <c r="AA79" t="str">
        <f t="shared" si="54"/>
        <v>ETC_HCC</v>
      </c>
      <c r="AB79" t="str">
        <f t="shared" si="55"/>
        <v>POSW_HCC</v>
      </c>
      <c r="AC79" t="str">
        <f t="shared" si="56"/>
        <v>USDT_HCC</v>
      </c>
      <c r="AD79" t="str">
        <f t="shared" si="57"/>
        <v>ZEC_HCC</v>
      </c>
      <c r="AE79" t="str">
        <f t="shared" si="58"/>
        <v>NXT_HCC</v>
      </c>
      <c r="AF79" t="str">
        <f t="shared" si="59"/>
        <v>REP_HCC</v>
      </c>
    </row>
    <row r="80" spans="1:32" x14ac:dyDescent="0.25">
      <c r="A80" t="s">
        <v>2187</v>
      </c>
      <c r="B80" t="str">
        <f t="shared" si="44"/>
        <v>HXX_BTC</v>
      </c>
      <c r="C80" t="str">
        <f t="shared" si="30"/>
        <v>HXX_USD</v>
      </c>
      <c r="D80" t="str">
        <f t="shared" si="31"/>
        <v>HXX_LTC</v>
      </c>
      <c r="E80" t="str">
        <f t="shared" si="32"/>
        <v>HXX_DOGE</v>
      </c>
      <c r="F80" t="str">
        <f t="shared" si="33"/>
        <v>HXX_ETH</v>
      </c>
      <c r="G80" t="str">
        <f t="shared" si="34"/>
        <v>HXX_EUR</v>
      </c>
      <c r="H80" t="str">
        <f t="shared" si="35"/>
        <v>HXX_RUR</v>
      </c>
      <c r="I80" t="str">
        <f t="shared" si="36"/>
        <v>HXX_DASH</v>
      </c>
      <c r="J80" t="str">
        <f t="shared" si="37"/>
        <v>HXX_XMR</v>
      </c>
      <c r="K80" t="str">
        <f t="shared" si="38"/>
        <v>HXX_ETC</v>
      </c>
      <c r="L80" t="str">
        <f t="shared" si="39"/>
        <v>HXX_POSW</v>
      </c>
      <c r="M80" t="str">
        <f t="shared" si="40"/>
        <v>HXX_USDT</v>
      </c>
      <c r="N80" t="str">
        <f t="shared" si="41"/>
        <v>HXX_ZEC</v>
      </c>
      <c r="O80" t="str">
        <f t="shared" si="42"/>
        <v>HXX_NXT</v>
      </c>
      <c r="P80" t="str">
        <f t="shared" si="43"/>
        <v>HXX_REP</v>
      </c>
      <c r="R80" t="str">
        <f t="shared" si="45"/>
        <v>BTC_HXX</v>
      </c>
      <c r="S80" t="str">
        <f t="shared" si="46"/>
        <v>USD_HXX</v>
      </c>
      <c r="T80" t="str">
        <f t="shared" si="47"/>
        <v>LTC_HXX</v>
      </c>
      <c r="U80" t="str">
        <f t="shared" si="48"/>
        <v>DOGE_HXX</v>
      </c>
      <c r="V80" t="str">
        <f t="shared" si="49"/>
        <v>ETH_HXX</v>
      </c>
      <c r="W80" t="str">
        <f t="shared" si="50"/>
        <v>EUR_HXX</v>
      </c>
      <c r="X80" t="str">
        <f t="shared" si="51"/>
        <v>RUR_HXX</v>
      </c>
      <c r="Y80" t="str">
        <f t="shared" si="52"/>
        <v>DASH_HXX</v>
      </c>
      <c r="Z80" t="str">
        <f t="shared" si="53"/>
        <v>XMR_HXX</v>
      </c>
      <c r="AA80" t="str">
        <f t="shared" si="54"/>
        <v>ETC_HXX</v>
      </c>
      <c r="AB80" t="str">
        <f t="shared" si="55"/>
        <v>POSW_HXX</v>
      </c>
      <c r="AC80" t="str">
        <f t="shared" si="56"/>
        <v>USDT_HXX</v>
      </c>
      <c r="AD80" t="str">
        <f t="shared" si="57"/>
        <v>ZEC_HXX</v>
      </c>
      <c r="AE80" t="str">
        <f t="shared" si="58"/>
        <v>NXT_HXX</v>
      </c>
      <c r="AF80" t="str">
        <f t="shared" si="59"/>
        <v>REP_HXX</v>
      </c>
    </row>
    <row r="81" spans="1:32" x14ac:dyDescent="0.25">
      <c r="A81" t="s">
        <v>2106</v>
      </c>
      <c r="B81" t="str">
        <f t="shared" si="44"/>
        <v>ICN_BTC</v>
      </c>
      <c r="C81" t="str">
        <f t="shared" si="30"/>
        <v>ICN_USD</v>
      </c>
      <c r="D81" t="str">
        <f t="shared" si="31"/>
        <v>ICN_LTC</v>
      </c>
      <c r="E81" t="str">
        <f t="shared" si="32"/>
        <v>ICN_DOGE</v>
      </c>
      <c r="F81" t="str">
        <f t="shared" si="33"/>
        <v>ICN_ETH</v>
      </c>
      <c r="G81" t="str">
        <f t="shared" si="34"/>
        <v>ICN_EUR</v>
      </c>
      <c r="H81" t="str">
        <f t="shared" si="35"/>
        <v>ICN_RUR</v>
      </c>
      <c r="I81" t="str">
        <f t="shared" si="36"/>
        <v>ICN_DASH</v>
      </c>
      <c r="J81" t="str">
        <f t="shared" si="37"/>
        <v>ICN_XMR</v>
      </c>
      <c r="K81" t="str">
        <f t="shared" si="38"/>
        <v>ICN_ETC</v>
      </c>
      <c r="L81" t="str">
        <f t="shared" si="39"/>
        <v>ICN_POSW</v>
      </c>
      <c r="M81" t="str">
        <f t="shared" si="40"/>
        <v>ICN_USDT</v>
      </c>
      <c r="N81" t="str">
        <f t="shared" si="41"/>
        <v>ICN_ZEC</v>
      </c>
      <c r="O81" t="str">
        <f t="shared" si="42"/>
        <v>ICN_NXT</v>
      </c>
      <c r="P81" t="str">
        <f t="shared" si="43"/>
        <v>ICN_REP</v>
      </c>
      <c r="R81" t="str">
        <f t="shared" si="45"/>
        <v>BTC_ICN</v>
      </c>
      <c r="S81" t="str">
        <f t="shared" si="46"/>
        <v>USD_ICN</v>
      </c>
      <c r="T81" t="str">
        <f t="shared" si="47"/>
        <v>LTC_ICN</v>
      </c>
      <c r="U81" t="str">
        <f t="shared" si="48"/>
        <v>DOGE_ICN</v>
      </c>
      <c r="V81" t="str">
        <f t="shared" si="49"/>
        <v>ETH_ICN</v>
      </c>
      <c r="W81" t="str">
        <f t="shared" si="50"/>
        <v>EUR_ICN</v>
      </c>
      <c r="X81" t="str">
        <f t="shared" si="51"/>
        <v>RUR_ICN</v>
      </c>
      <c r="Y81" t="str">
        <f t="shared" si="52"/>
        <v>DASH_ICN</v>
      </c>
      <c r="Z81" t="str">
        <f t="shared" si="53"/>
        <v>XMR_ICN</v>
      </c>
      <c r="AA81" t="str">
        <f t="shared" si="54"/>
        <v>ETC_ICN</v>
      </c>
      <c r="AB81" t="str">
        <f t="shared" si="55"/>
        <v>POSW_ICN</v>
      </c>
      <c r="AC81" t="str">
        <f t="shared" si="56"/>
        <v>USDT_ICN</v>
      </c>
      <c r="AD81" t="str">
        <f t="shared" si="57"/>
        <v>ZEC_ICN</v>
      </c>
      <c r="AE81" t="str">
        <f t="shared" si="58"/>
        <v>NXT_ICN</v>
      </c>
      <c r="AF81" t="str">
        <f t="shared" si="59"/>
        <v>REP_ICN</v>
      </c>
    </row>
    <row r="82" spans="1:32" x14ac:dyDescent="0.25">
      <c r="A82" t="s">
        <v>2409</v>
      </c>
      <c r="B82" t="str">
        <f t="shared" si="44"/>
        <v>INCNT_BTC</v>
      </c>
      <c r="C82" t="str">
        <f t="shared" si="30"/>
        <v>INCNT_USD</v>
      </c>
      <c r="D82" t="str">
        <f t="shared" si="31"/>
        <v>INCNT_LTC</v>
      </c>
      <c r="E82" t="str">
        <f t="shared" si="32"/>
        <v>INCNT_DOGE</v>
      </c>
      <c r="F82" t="str">
        <f t="shared" si="33"/>
        <v>INCNT_ETH</v>
      </c>
      <c r="G82" t="str">
        <f t="shared" si="34"/>
        <v>INCNT_EUR</v>
      </c>
      <c r="H82" t="str">
        <f t="shared" si="35"/>
        <v>INCNT_RUR</v>
      </c>
      <c r="I82" t="str">
        <f t="shared" si="36"/>
        <v>INCNT_DASH</v>
      </c>
      <c r="J82" t="str">
        <f t="shared" si="37"/>
        <v>INCNT_XMR</v>
      </c>
      <c r="K82" t="str">
        <f t="shared" si="38"/>
        <v>INCNT_ETC</v>
      </c>
      <c r="L82" t="str">
        <f t="shared" si="39"/>
        <v>INCNT_POSW</v>
      </c>
      <c r="M82" t="str">
        <f t="shared" si="40"/>
        <v>INCNT_USDT</v>
      </c>
      <c r="N82" t="str">
        <f t="shared" si="41"/>
        <v>INCNT_ZEC</v>
      </c>
      <c r="O82" t="str">
        <f t="shared" si="42"/>
        <v>INCNT_NXT</v>
      </c>
      <c r="P82" t="str">
        <f t="shared" si="43"/>
        <v>INCNT_REP</v>
      </c>
      <c r="R82" t="str">
        <f t="shared" si="45"/>
        <v>BTC_INCNT</v>
      </c>
      <c r="S82" t="str">
        <f t="shared" si="46"/>
        <v>USD_INCNT</v>
      </c>
      <c r="T82" t="str">
        <f t="shared" si="47"/>
        <v>LTC_INCNT</v>
      </c>
      <c r="U82" t="str">
        <f t="shared" si="48"/>
        <v>DOGE_INCNT</v>
      </c>
      <c r="V82" t="str">
        <f t="shared" si="49"/>
        <v>ETH_INCNT</v>
      </c>
      <c r="W82" t="str">
        <f t="shared" si="50"/>
        <v>EUR_INCNT</v>
      </c>
      <c r="X82" t="str">
        <f t="shared" si="51"/>
        <v>RUR_INCNT</v>
      </c>
      <c r="Y82" t="str">
        <f t="shared" si="52"/>
        <v>DASH_INCNT</v>
      </c>
      <c r="Z82" t="str">
        <f t="shared" si="53"/>
        <v>XMR_INCNT</v>
      </c>
      <c r="AA82" t="str">
        <f t="shared" si="54"/>
        <v>ETC_INCNT</v>
      </c>
      <c r="AB82" t="str">
        <f t="shared" si="55"/>
        <v>POSW_INCNT</v>
      </c>
      <c r="AC82" t="str">
        <f t="shared" si="56"/>
        <v>USDT_INCNT</v>
      </c>
      <c r="AD82" t="str">
        <f t="shared" si="57"/>
        <v>ZEC_INCNT</v>
      </c>
      <c r="AE82" t="str">
        <f t="shared" si="58"/>
        <v>NXT_INCNT</v>
      </c>
      <c r="AF82" t="str">
        <f t="shared" si="59"/>
        <v>REP_INCNT</v>
      </c>
    </row>
    <row r="83" spans="1:32" x14ac:dyDescent="0.25">
      <c r="A83" t="s">
        <v>2410</v>
      </c>
      <c r="B83" t="str">
        <f t="shared" si="44"/>
        <v>INFX_BTC</v>
      </c>
      <c r="C83" t="str">
        <f t="shared" si="30"/>
        <v>INFX_USD</v>
      </c>
      <c r="D83" t="str">
        <f t="shared" si="31"/>
        <v>INFX_LTC</v>
      </c>
      <c r="E83" t="str">
        <f t="shared" si="32"/>
        <v>INFX_DOGE</v>
      </c>
      <c r="F83" t="str">
        <f t="shared" si="33"/>
        <v>INFX_ETH</v>
      </c>
      <c r="G83" t="str">
        <f t="shared" si="34"/>
        <v>INFX_EUR</v>
      </c>
      <c r="H83" t="str">
        <f t="shared" si="35"/>
        <v>INFX_RUR</v>
      </c>
      <c r="I83" t="str">
        <f t="shared" si="36"/>
        <v>INFX_DASH</v>
      </c>
      <c r="J83" t="str">
        <f t="shared" si="37"/>
        <v>INFX_XMR</v>
      </c>
      <c r="K83" t="str">
        <f t="shared" si="38"/>
        <v>INFX_ETC</v>
      </c>
      <c r="L83" t="str">
        <f t="shared" si="39"/>
        <v>INFX_POSW</v>
      </c>
      <c r="M83" t="str">
        <f t="shared" si="40"/>
        <v>INFX_USDT</v>
      </c>
      <c r="N83" t="str">
        <f t="shared" si="41"/>
        <v>INFX_ZEC</v>
      </c>
      <c r="O83" t="str">
        <f t="shared" si="42"/>
        <v>INFX_NXT</v>
      </c>
      <c r="P83" t="str">
        <f t="shared" si="43"/>
        <v>INFX_REP</v>
      </c>
      <c r="R83" t="str">
        <f t="shared" si="45"/>
        <v>BTC_INFX</v>
      </c>
      <c r="S83" t="str">
        <f t="shared" si="46"/>
        <v>USD_INFX</v>
      </c>
      <c r="T83" t="str">
        <f t="shared" si="47"/>
        <v>LTC_INFX</v>
      </c>
      <c r="U83" t="str">
        <f t="shared" si="48"/>
        <v>DOGE_INFX</v>
      </c>
      <c r="V83" t="str">
        <f t="shared" si="49"/>
        <v>ETH_INFX</v>
      </c>
      <c r="W83" t="str">
        <f t="shared" si="50"/>
        <v>EUR_INFX</v>
      </c>
      <c r="X83" t="str">
        <f t="shared" si="51"/>
        <v>RUR_INFX</v>
      </c>
      <c r="Y83" t="str">
        <f t="shared" si="52"/>
        <v>DASH_INFX</v>
      </c>
      <c r="Z83" t="str">
        <f t="shared" si="53"/>
        <v>XMR_INFX</v>
      </c>
      <c r="AA83" t="str">
        <f t="shared" si="54"/>
        <v>ETC_INFX</v>
      </c>
      <c r="AB83" t="str">
        <f t="shared" si="55"/>
        <v>POSW_INFX</v>
      </c>
      <c r="AC83" t="str">
        <f t="shared" si="56"/>
        <v>USDT_INFX</v>
      </c>
      <c r="AD83" t="str">
        <f t="shared" si="57"/>
        <v>ZEC_INFX</v>
      </c>
      <c r="AE83" t="str">
        <f t="shared" si="58"/>
        <v>NXT_INFX</v>
      </c>
      <c r="AF83" t="str">
        <f t="shared" si="59"/>
        <v>REP_INFX</v>
      </c>
    </row>
    <row r="84" spans="1:32" x14ac:dyDescent="0.25">
      <c r="A84" t="s">
        <v>2411</v>
      </c>
      <c r="B84" t="str">
        <f t="shared" si="44"/>
        <v>IOC_BTC</v>
      </c>
      <c r="C84" t="str">
        <f t="shared" si="30"/>
        <v>IOC_USD</v>
      </c>
      <c r="D84" t="str">
        <f t="shared" si="31"/>
        <v>IOC_LTC</v>
      </c>
      <c r="E84" t="str">
        <f t="shared" si="32"/>
        <v>IOC_DOGE</v>
      </c>
      <c r="F84" t="str">
        <f t="shared" si="33"/>
        <v>IOC_ETH</v>
      </c>
      <c r="G84" t="str">
        <f t="shared" si="34"/>
        <v>IOC_EUR</v>
      </c>
      <c r="H84" t="str">
        <f t="shared" si="35"/>
        <v>IOC_RUR</v>
      </c>
      <c r="I84" t="str">
        <f t="shared" si="36"/>
        <v>IOC_DASH</v>
      </c>
      <c r="J84" t="str">
        <f t="shared" si="37"/>
        <v>IOC_XMR</v>
      </c>
      <c r="K84" t="str">
        <f t="shared" si="38"/>
        <v>IOC_ETC</v>
      </c>
      <c r="L84" t="str">
        <f t="shared" si="39"/>
        <v>IOC_POSW</v>
      </c>
      <c r="M84" t="str">
        <f t="shared" si="40"/>
        <v>IOC_USDT</v>
      </c>
      <c r="N84" t="str">
        <f t="shared" si="41"/>
        <v>IOC_ZEC</v>
      </c>
      <c r="O84" t="str">
        <f t="shared" si="42"/>
        <v>IOC_NXT</v>
      </c>
      <c r="P84" t="str">
        <f t="shared" si="43"/>
        <v>IOC_REP</v>
      </c>
      <c r="R84" t="str">
        <f t="shared" si="45"/>
        <v>BTC_IOC</v>
      </c>
      <c r="S84" t="str">
        <f t="shared" si="46"/>
        <v>USD_IOC</v>
      </c>
      <c r="T84" t="str">
        <f t="shared" si="47"/>
        <v>LTC_IOC</v>
      </c>
      <c r="U84" t="str">
        <f t="shared" si="48"/>
        <v>DOGE_IOC</v>
      </c>
      <c r="V84" t="str">
        <f t="shared" si="49"/>
        <v>ETH_IOC</v>
      </c>
      <c r="W84" t="str">
        <f t="shared" si="50"/>
        <v>EUR_IOC</v>
      </c>
      <c r="X84" t="str">
        <f t="shared" si="51"/>
        <v>RUR_IOC</v>
      </c>
      <c r="Y84" t="str">
        <f t="shared" si="52"/>
        <v>DASH_IOC</v>
      </c>
      <c r="Z84" t="str">
        <f t="shared" si="53"/>
        <v>XMR_IOC</v>
      </c>
      <c r="AA84" t="str">
        <f t="shared" si="54"/>
        <v>ETC_IOC</v>
      </c>
      <c r="AB84" t="str">
        <f t="shared" si="55"/>
        <v>POSW_IOC</v>
      </c>
      <c r="AC84" t="str">
        <f t="shared" si="56"/>
        <v>USDT_IOC</v>
      </c>
      <c r="AD84" t="str">
        <f t="shared" si="57"/>
        <v>ZEC_IOC</v>
      </c>
      <c r="AE84" t="str">
        <f t="shared" si="58"/>
        <v>NXT_IOC</v>
      </c>
      <c r="AF84" t="str">
        <f t="shared" si="59"/>
        <v>REP_IOC</v>
      </c>
    </row>
    <row r="85" spans="1:32" x14ac:dyDescent="0.25">
      <c r="A85" t="s">
        <v>2412</v>
      </c>
      <c r="B85" t="str">
        <f t="shared" si="44"/>
        <v>ION_BTC</v>
      </c>
      <c r="C85" t="str">
        <f t="shared" si="30"/>
        <v>ION_USD</v>
      </c>
      <c r="D85" t="str">
        <f t="shared" si="31"/>
        <v>ION_LTC</v>
      </c>
      <c r="E85" t="str">
        <f t="shared" si="32"/>
        <v>ION_DOGE</v>
      </c>
      <c r="F85" t="str">
        <f t="shared" si="33"/>
        <v>ION_ETH</v>
      </c>
      <c r="G85" t="str">
        <f t="shared" si="34"/>
        <v>ION_EUR</v>
      </c>
      <c r="H85" t="str">
        <f t="shared" si="35"/>
        <v>ION_RUR</v>
      </c>
      <c r="I85" t="str">
        <f t="shared" si="36"/>
        <v>ION_DASH</v>
      </c>
      <c r="J85" t="str">
        <f t="shared" si="37"/>
        <v>ION_XMR</v>
      </c>
      <c r="K85" t="str">
        <f t="shared" si="38"/>
        <v>ION_ETC</v>
      </c>
      <c r="L85" t="str">
        <f t="shared" si="39"/>
        <v>ION_POSW</v>
      </c>
      <c r="M85" t="str">
        <f t="shared" si="40"/>
        <v>ION_USDT</v>
      </c>
      <c r="N85" t="str">
        <f t="shared" si="41"/>
        <v>ION_ZEC</v>
      </c>
      <c r="O85" t="str">
        <f t="shared" si="42"/>
        <v>ION_NXT</v>
      </c>
      <c r="P85" t="str">
        <f t="shared" si="43"/>
        <v>ION_REP</v>
      </c>
      <c r="R85" t="str">
        <f t="shared" si="45"/>
        <v>BTC_ION</v>
      </c>
      <c r="S85" t="str">
        <f t="shared" si="46"/>
        <v>USD_ION</v>
      </c>
      <c r="T85" t="str">
        <f t="shared" si="47"/>
        <v>LTC_ION</v>
      </c>
      <c r="U85" t="str">
        <f t="shared" si="48"/>
        <v>DOGE_ION</v>
      </c>
      <c r="V85" t="str">
        <f t="shared" si="49"/>
        <v>ETH_ION</v>
      </c>
      <c r="W85" t="str">
        <f t="shared" si="50"/>
        <v>EUR_ION</v>
      </c>
      <c r="X85" t="str">
        <f t="shared" si="51"/>
        <v>RUR_ION</v>
      </c>
      <c r="Y85" t="str">
        <f t="shared" si="52"/>
        <v>DASH_ION</v>
      </c>
      <c r="Z85" t="str">
        <f t="shared" si="53"/>
        <v>XMR_ION</v>
      </c>
      <c r="AA85" t="str">
        <f t="shared" si="54"/>
        <v>ETC_ION</v>
      </c>
      <c r="AB85" t="str">
        <f t="shared" si="55"/>
        <v>POSW_ION</v>
      </c>
      <c r="AC85" t="str">
        <f t="shared" si="56"/>
        <v>USDT_ION</v>
      </c>
      <c r="AD85" t="str">
        <f t="shared" si="57"/>
        <v>ZEC_ION</v>
      </c>
      <c r="AE85" t="str">
        <f t="shared" si="58"/>
        <v>NXT_ION</v>
      </c>
      <c r="AF85" t="str">
        <f t="shared" si="59"/>
        <v>REP_ION</v>
      </c>
    </row>
    <row r="86" spans="1:32" x14ac:dyDescent="0.25">
      <c r="A86" t="s">
        <v>2413</v>
      </c>
      <c r="B86" t="str">
        <f t="shared" si="44"/>
        <v>IOP_BTC</v>
      </c>
      <c r="C86" t="str">
        <f t="shared" si="30"/>
        <v>IOP_USD</v>
      </c>
      <c r="D86" t="str">
        <f t="shared" si="31"/>
        <v>IOP_LTC</v>
      </c>
      <c r="E86" t="str">
        <f t="shared" si="32"/>
        <v>IOP_DOGE</v>
      </c>
      <c r="F86" t="str">
        <f t="shared" si="33"/>
        <v>IOP_ETH</v>
      </c>
      <c r="G86" t="str">
        <f t="shared" si="34"/>
        <v>IOP_EUR</v>
      </c>
      <c r="H86" t="str">
        <f t="shared" si="35"/>
        <v>IOP_RUR</v>
      </c>
      <c r="I86" t="str">
        <f t="shared" si="36"/>
        <v>IOP_DASH</v>
      </c>
      <c r="J86" t="str">
        <f t="shared" si="37"/>
        <v>IOP_XMR</v>
      </c>
      <c r="K86" t="str">
        <f t="shared" si="38"/>
        <v>IOP_ETC</v>
      </c>
      <c r="L86" t="str">
        <f t="shared" si="39"/>
        <v>IOP_POSW</v>
      </c>
      <c r="M86" t="str">
        <f t="shared" si="40"/>
        <v>IOP_USDT</v>
      </c>
      <c r="N86" t="str">
        <f t="shared" si="41"/>
        <v>IOP_ZEC</v>
      </c>
      <c r="O86" t="str">
        <f t="shared" si="42"/>
        <v>IOP_NXT</v>
      </c>
      <c r="P86" t="str">
        <f t="shared" si="43"/>
        <v>IOP_REP</v>
      </c>
      <c r="R86" t="str">
        <f t="shared" si="45"/>
        <v>BTC_IOP</v>
      </c>
      <c r="S86" t="str">
        <f t="shared" si="46"/>
        <v>USD_IOP</v>
      </c>
      <c r="T86" t="str">
        <f t="shared" si="47"/>
        <v>LTC_IOP</v>
      </c>
      <c r="U86" t="str">
        <f t="shared" si="48"/>
        <v>DOGE_IOP</v>
      </c>
      <c r="V86" t="str">
        <f t="shared" si="49"/>
        <v>ETH_IOP</v>
      </c>
      <c r="W86" t="str">
        <f t="shared" si="50"/>
        <v>EUR_IOP</v>
      </c>
      <c r="X86" t="str">
        <f t="shared" si="51"/>
        <v>RUR_IOP</v>
      </c>
      <c r="Y86" t="str">
        <f t="shared" si="52"/>
        <v>DASH_IOP</v>
      </c>
      <c r="Z86" t="str">
        <f t="shared" si="53"/>
        <v>XMR_IOP</v>
      </c>
      <c r="AA86" t="str">
        <f t="shared" si="54"/>
        <v>ETC_IOP</v>
      </c>
      <c r="AB86" t="str">
        <f t="shared" si="55"/>
        <v>POSW_IOP</v>
      </c>
      <c r="AC86" t="str">
        <f t="shared" si="56"/>
        <v>USDT_IOP</v>
      </c>
      <c r="AD86" t="str">
        <f t="shared" si="57"/>
        <v>ZEC_IOP</v>
      </c>
      <c r="AE86" t="str">
        <f t="shared" si="58"/>
        <v>NXT_IOP</v>
      </c>
      <c r="AF86" t="str">
        <f t="shared" si="59"/>
        <v>REP_IOP</v>
      </c>
    </row>
    <row r="87" spans="1:32" x14ac:dyDescent="0.25">
      <c r="A87" t="s">
        <v>2188</v>
      </c>
      <c r="B87" t="str">
        <f t="shared" si="44"/>
        <v>ISL_BTC</v>
      </c>
      <c r="C87" t="str">
        <f t="shared" si="30"/>
        <v>ISL_USD</v>
      </c>
      <c r="D87" t="str">
        <f t="shared" si="31"/>
        <v>ISL_LTC</v>
      </c>
      <c r="E87" t="str">
        <f t="shared" si="32"/>
        <v>ISL_DOGE</v>
      </c>
      <c r="F87" t="str">
        <f t="shared" si="33"/>
        <v>ISL_ETH</v>
      </c>
      <c r="G87" t="str">
        <f t="shared" si="34"/>
        <v>ISL_EUR</v>
      </c>
      <c r="H87" t="str">
        <f t="shared" si="35"/>
        <v>ISL_RUR</v>
      </c>
      <c r="I87" t="str">
        <f t="shared" si="36"/>
        <v>ISL_DASH</v>
      </c>
      <c r="J87" t="str">
        <f t="shared" si="37"/>
        <v>ISL_XMR</v>
      </c>
      <c r="K87" t="str">
        <f t="shared" si="38"/>
        <v>ISL_ETC</v>
      </c>
      <c r="L87" t="str">
        <f t="shared" si="39"/>
        <v>ISL_POSW</v>
      </c>
      <c r="M87" t="str">
        <f t="shared" si="40"/>
        <v>ISL_USDT</v>
      </c>
      <c r="N87" t="str">
        <f t="shared" si="41"/>
        <v>ISL_ZEC</v>
      </c>
      <c r="O87" t="str">
        <f t="shared" si="42"/>
        <v>ISL_NXT</v>
      </c>
      <c r="P87" t="str">
        <f t="shared" si="43"/>
        <v>ISL_REP</v>
      </c>
      <c r="R87" t="str">
        <f t="shared" si="45"/>
        <v>BTC_ISL</v>
      </c>
      <c r="S87" t="str">
        <f t="shared" si="46"/>
        <v>USD_ISL</v>
      </c>
      <c r="T87" t="str">
        <f t="shared" si="47"/>
        <v>LTC_ISL</v>
      </c>
      <c r="U87" t="str">
        <f t="shared" si="48"/>
        <v>DOGE_ISL</v>
      </c>
      <c r="V87" t="str">
        <f t="shared" si="49"/>
        <v>ETH_ISL</v>
      </c>
      <c r="W87" t="str">
        <f t="shared" si="50"/>
        <v>EUR_ISL</v>
      </c>
      <c r="X87" t="str">
        <f t="shared" si="51"/>
        <v>RUR_ISL</v>
      </c>
      <c r="Y87" t="str">
        <f t="shared" si="52"/>
        <v>DASH_ISL</v>
      </c>
      <c r="Z87" t="str">
        <f t="shared" si="53"/>
        <v>XMR_ISL</v>
      </c>
      <c r="AA87" t="str">
        <f t="shared" si="54"/>
        <v>ETC_ISL</v>
      </c>
      <c r="AB87" t="str">
        <f t="shared" si="55"/>
        <v>POSW_ISL</v>
      </c>
      <c r="AC87" t="str">
        <f t="shared" si="56"/>
        <v>USDT_ISL</v>
      </c>
      <c r="AD87" t="str">
        <f t="shared" si="57"/>
        <v>ZEC_ISL</v>
      </c>
      <c r="AE87" t="str">
        <f t="shared" si="58"/>
        <v>NXT_ISL</v>
      </c>
      <c r="AF87" t="str">
        <f t="shared" si="59"/>
        <v>REP_ISL</v>
      </c>
    </row>
    <row r="88" spans="1:32" x14ac:dyDescent="0.25">
      <c r="A88" t="s">
        <v>2116</v>
      </c>
      <c r="B88" t="str">
        <f t="shared" si="44"/>
        <v>ITI_BTC</v>
      </c>
      <c r="C88" t="str">
        <f t="shared" si="30"/>
        <v>ITI_USD</v>
      </c>
      <c r="D88" t="str">
        <f t="shared" si="31"/>
        <v>ITI_LTC</v>
      </c>
      <c r="E88" t="str">
        <f t="shared" si="32"/>
        <v>ITI_DOGE</v>
      </c>
      <c r="F88" t="str">
        <f t="shared" si="33"/>
        <v>ITI_ETH</v>
      </c>
      <c r="G88" t="str">
        <f t="shared" si="34"/>
        <v>ITI_EUR</v>
      </c>
      <c r="H88" t="str">
        <f t="shared" si="35"/>
        <v>ITI_RUR</v>
      </c>
      <c r="I88" t="str">
        <f t="shared" si="36"/>
        <v>ITI_DASH</v>
      </c>
      <c r="J88" t="str">
        <f t="shared" si="37"/>
        <v>ITI_XMR</v>
      </c>
      <c r="K88" t="str">
        <f t="shared" si="38"/>
        <v>ITI_ETC</v>
      </c>
      <c r="L88" t="str">
        <f t="shared" si="39"/>
        <v>ITI_POSW</v>
      </c>
      <c r="M88" t="str">
        <f t="shared" si="40"/>
        <v>ITI_USDT</v>
      </c>
      <c r="N88" t="str">
        <f t="shared" si="41"/>
        <v>ITI_ZEC</v>
      </c>
      <c r="O88" t="str">
        <f t="shared" si="42"/>
        <v>ITI_NXT</v>
      </c>
      <c r="P88" t="str">
        <f t="shared" si="43"/>
        <v>ITI_REP</v>
      </c>
      <c r="R88" t="str">
        <f t="shared" si="45"/>
        <v>BTC_ITI</v>
      </c>
      <c r="S88" t="str">
        <f t="shared" si="46"/>
        <v>USD_ITI</v>
      </c>
      <c r="T88" t="str">
        <f t="shared" si="47"/>
        <v>LTC_ITI</v>
      </c>
      <c r="U88" t="str">
        <f t="shared" si="48"/>
        <v>DOGE_ITI</v>
      </c>
      <c r="V88" t="str">
        <f t="shared" si="49"/>
        <v>ETH_ITI</v>
      </c>
      <c r="W88" t="str">
        <f t="shared" si="50"/>
        <v>EUR_ITI</v>
      </c>
      <c r="X88" t="str">
        <f t="shared" si="51"/>
        <v>RUR_ITI</v>
      </c>
      <c r="Y88" t="str">
        <f t="shared" si="52"/>
        <v>DASH_ITI</v>
      </c>
      <c r="Z88" t="str">
        <f t="shared" si="53"/>
        <v>XMR_ITI</v>
      </c>
      <c r="AA88" t="str">
        <f t="shared" si="54"/>
        <v>ETC_ITI</v>
      </c>
      <c r="AB88" t="str">
        <f t="shared" si="55"/>
        <v>POSW_ITI</v>
      </c>
      <c r="AC88" t="str">
        <f t="shared" si="56"/>
        <v>USDT_ITI</v>
      </c>
      <c r="AD88" t="str">
        <f t="shared" si="57"/>
        <v>ZEC_ITI</v>
      </c>
      <c r="AE88" t="str">
        <f t="shared" si="58"/>
        <v>NXT_ITI</v>
      </c>
      <c r="AF88" t="str">
        <f t="shared" si="59"/>
        <v>REP_ITI</v>
      </c>
    </row>
    <row r="89" spans="1:32" x14ac:dyDescent="0.25">
      <c r="A89" t="s">
        <v>2415</v>
      </c>
      <c r="B89" t="str">
        <f t="shared" si="44"/>
        <v>JWL_BTC</v>
      </c>
      <c r="C89" t="str">
        <f t="shared" si="30"/>
        <v>JWL_USD</v>
      </c>
      <c r="D89" t="str">
        <f t="shared" si="31"/>
        <v>JWL_LTC</v>
      </c>
      <c r="E89" t="str">
        <f t="shared" si="32"/>
        <v>JWL_DOGE</v>
      </c>
      <c r="F89" t="str">
        <f t="shared" si="33"/>
        <v>JWL_ETH</v>
      </c>
      <c r="G89" t="str">
        <f t="shared" si="34"/>
        <v>JWL_EUR</v>
      </c>
      <c r="H89" t="str">
        <f t="shared" si="35"/>
        <v>JWL_RUR</v>
      </c>
      <c r="I89" t="str">
        <f t="shared" si="36"/>
        <v>JWL_DASH</v>
      </c>
      <c r="J89" t="str">
        <f t="shared" si="37"/>
        <v>JWL_XMR</v>
      </c>
      <c r="K89" t="str">
        <f t="shared" si="38"/>
        <v>JWL_ETC</v>
      </c>
      <c r="L89" t="str">
        <f t="shared" si="39"/>
        <v>JWL_POSW</v>
      </c>
      <c r="M89" t="str">
        <f t="shared" si="40"/>
        <v>JWL_USDT</v>
      </c>
      <c r="N89" t="str">
        <f t="shared" si="41"/>
        <v>JWL_ZEC</v>
      </c>
      <c r="O89" t="str">
        <f t="shared" si="42"/>
        <v>JWL_NXT</v>
      </c>
      <c r="P89" t="str">
        <f t="shared" si="43"/>
        <v>JWL_REP</v>
      </c>
      <c r="R89" t="str">
        <f t="shared" si="45"/>
        <v>BTC_JWL</v>
      </c>
      <c r="S89" t="str">
        <f t="shared" si="46"/>
        <v>USD_JWL</v>
      </c>
      <c r="T89" t="str">
        <f t="shared" si="47"/>
        <v>LTC_JWL</v>
      </c>
      <c r="U89" t="str">
        <f t="shared" si="48"/>
        <v>DOGE_JWL</v>
      </c>
      <c r="V89" t="str">
        <f t="shared" si="49"/>
        <v>ETH_JWL</v>
      </c>
      <c r="W89" t="str">
        <f t="shared" si="50"/>
        <v>EUR_JWL</v>
      </c>
      <c r="X89" t="str">
        <f t="shared" si="51"/>
        <v>RUR_JWL</v>
      </c>
      <c r="Y89" t="str">
        <f t="shared" si="52"/>
        <v>DASH_JWL</v>
      </c>
      <c r="Z89" t="str">
        <f t="shared" si="53"/>
        <v>XMR_JWL</v>
      </c>
      <c r="AA89" t="str">
        <f t="shared" si="54"/>
        <v>ETC_JWL</v>
      </c>
      <c r="AB89" t="str">
        <f t="shared" si="55"/>
        <v>POSW_JWL</v>
      </c>
      <c r="AC89" t="str">
        <f t="shared" si="56"/>
        <v>USDT_JWL</v>
      </c>
      <c r="AD89" t="str">
        <f t="shared" si="57"/>
        <v>ZEC_JWL</v>
      </c>
      <c r="AE89" t="str">
        <f t="shared" si="58"/>
        <v>NXT_JWL</v>
      </c>
      <c r="AF89" t="str">
        <f t="shared" si="59"/>
        <v>REP_JWL</v>
      </c>
    </row>
    <row r="90" spans="1:32" x14ac:dyDescent="0.25">
      <c r="A90" t="s">
        <v>2189</v>
      </c>
      <c r="B90" t="str">
        <f t="shared" si="44"/>
        <v>KC_BTC</v>
      </c>
      <c r="C90" t="str">
        <f t="shared" si="30"/>
        <v>KC_USD</v>
      </c>
      <c r="D90" t="str">
        <f t="shared" si="31"/>
        <v>KC_LTC</v>
      </c>
      <c r="E90" t="str">
        <f t="shared" si="32"/>
        <v>KC_DOGE</v>
      </c>
      <c r="F90" t="str">
        <f t="shared" si="33"/>
        <v>KC_ETH</v>
      </c>
      <c r="G90" t="str">
        <f t="shared" si="34"/>
        <v>KC_EUR</v>
      </c>
      <c r="H90" t="str">
        <f t="shared" si="35"/>
        <v>KC_RUR</v>
      </c>
      <c r="I90" t="str">
        <f t="shared" si="36"/>
        <v>KC_DASH</v>
      </c>
      <c r="J90" t="str">
        <f t="shared" si="37"/>
        <v>KC_XMR</v>
      </c>
      <c r="K90" t="str">
        <f t="shared" si="38"/>
        <v>KC_ETC</v>
      </c>
      <c r="L90" t="str">
        <f t="shared" si="39"/>
        <v>KC_POSW</v>
      </c>
      <c r="M90" t="str">
        <f t="shared" si="40"/>
        <v>KC_USDT</v>
      </c>
      <c r="N90" t="str">
        <f t="shared" si="41"/>
        <v>KC_ZEC</v>
      </c>
      <c r="O90" t="str">
        <f t="shared" si="42"/>
        <v>KC_NXT</v>
      </c>
      <c r="P90" t="str">
        <f t="shared" si="43"/>
        <v>KC_REP</v>
      </c>
      <c r="R90" t="str">
        <f t="shared" si="45"/>
        <v>BTC_KC</v>
      </c>
      <c r="S90" t="str">
        <f t="shared" si="46"/>
        <v>USD_KC</v>
      </c>
      <c r="T90" t="str">
        <f t="shared" si="47"/>
        <v>LTC_KC</v>
      </c>
      <c r="U90" t="str">
        <f t="shared" si="48"/>
        <v>DOGE_KC</v>
      </c>
      <c r="V90" t="str">
        <f t="shared" si="49"/>
        <v>ETH_KC</v>
      </c>
      <c r="W90" t="str">
        <f t="shared" si="50"/>
        <v>EUR_KC</v>
      </c>
      <c r="X90" t="str">
        <f t="shared" si="51"/>
        <v>RUR_KC</v>
      </c>
      <c r="Y90" t="str">
        <f t="shared" si="52"/>
        <v>DASH_KC</v>
      </c>
      <c r="Z90" t="str">
        <f t="shared" si="53"/>
        <v>XMR_KC</v>
      </c>
      <c r="AA90" t="str">
        <f t="shared" si="54"/>
        <v>ETC_KC</v>
      </c>
      <c r="AB90" t="str">
        <f t="shared" si="55"/>
        <v>POSW_KC</v>
      </c>
      <c r="AC90" t="str">
        <f t="shared" si="56"/>
        <v>USDT_KC</v>
      </c>
      <c r="AD90" t="str">
        <f t="shared" si="57"/>
        <v>ZEC_KC</v>
      </c>
      <c r="AE90" t="str">
        <f t="shared" si="58"/>
        <v>NXT_KC</v>
      </c>
      <c r="AF90" t="str">
        <f t="shared" si="59"/>
        <v>REP_KC</v>
      </c>
    </row>
    <row r="91" spans="1:32" x14ac:dyDescent="0.25">
      <c r="A91" t="s">
        <v>2151</v>
      </c>
      <c r="B91" t="str">
        <f t="shared" si="44"/>
        <v>LBC_BTC</v>
      </c>
      <c r="C91" t="str">
        <f t="shared" si="30"/>
        <v>LBC_USD</v>
      </c>
      <c r="D91" t="str">
        <f t="shared" si="31"/>
        <v>LBC_LTC</v>
      </c>
      <c r="E91" t="str">
        <f t="shared" si="32"/>
        <v>LBC_DOGE</v>
      </c>
      <c r="F91" t="str">
        <f t="shared" si="33"/>
        <v>LBC_ETH</v>
      </c>
      <c r="G91" t="str">
        <f t="shared" si="34"/>
        <v>LBC_EUR</v>
      </c>
      <c r="H91" t="str">
        <f t="shared" si="35"/>
        <v>LBC_RUR</v>
      </c>
      <c r="I91" t="str">
        <f t="shared" si="36"/>
        <v>LBC_DASH</v>
      </c>
      <c r="J91" t="str">
        <f t="shared" si="37"/>
        <v>LBC_XMR</v>
      </c>
      <c r="K91" t="str">
        <f t="shared" si="38"/>
        <v>LBC_ETC</v>
      </c>
      <c r="L91" t="str">
        <f t="shared" si="39"/>
        <v>LBC_POSW</v>
      </c>
      <c r="M91" t="str">
        <f t="shared" si="40"/>
        <v>LBC_USDT</v>
      </c>
      <c r="N91" t="str">
        <f t="shared" si="41"/>
        <v>LBC_ZEC</v>
      </c>
      <c r="O91" t="str">
        <f t="shared" si="42"/>
        <v>LBC_NXT</v>
      </c>
      <c r="P91" t="str">
        <f t="shared" si="43"/>
        <v>LBC_REP</v>
      </c>
      <c r="R91" t="str">
        <f t="shared" si="45"/>
        <v>BTC_LBC</v>
      </c>
      <c r="S91" t="str">
        <f t="shared" si="46"/>
        <v>USD_LBC</v>
      </c>
      <c r="T91" t="str">
        <f t="shared" si="47"/>
        <v>LTC_LBC</v>
      </c>
      <c r="U91" t="str">
        <f t="shared" si="48"/>
        <v>DOGE_LBC</v>
      </c>
      <c r="V91" t="str">
        <f t="shared" si="49"/>
        <v>ETH_LBC</v>
      </c>
      <c r="W91" t="str">
        <f t="shared" si="50"/>
        <v>EUR_LBC</v>
      </c>
      <c r="X91" t="str">
        <f t="shared" si="51"/>
        <v>RUR_LBC</v>
      </c>
      <c r="Y91" t="str">
        <f t="shared" si="52"/>
        <v>DASH_LBC</v>
      </c>
      <c r="Z91" t="str">
        <f t="shared" si="53"/>
        <v>XMR_LBC</v>
      </c>
      <c r="AA91" t="str">
        <f t="shared" si="54"/>
        <v>ETC_LBC</v>
      </c>
      <c r="AB91" t="str">
        <f t="shared" si="55"/>
        <v>POSW_LBC</v>
      </c>
      <c r="AC91" t="str">
        <f t="shared" si="56"/>
        <v>USDT_LBC</v>
      </c>
      <c r="AD91" t="str">
        <f t="shared" si="57"/>
        <v>ZEC_LBC</v>
      </c>
      <c r="AE91" t="str">
        <f t="shared" si="58"/>
        <v>NXT_LBC</v>
      </c>
      <c r="AF91" t="str">
        <f t="shared" si="59"/>
        <v>REP_LBC</v>
      </c>
    </row>
    <row r="92" spans="1:32" x14ac:dyDescent="0.25">
      <c r="A92" t="s">
        <v>2190</v>
      </c>
      <c r="B92" t="str">
        <f t="shared" si="44"/>
        <v>LEO_BTC</v>
      </c>
      <c r="C92" t="str">
        <f t="shared" si="30"/>
        <v>LEO_USD</v>
      </c>
      <c r="D92" t="str">
        <f t="shared" si="31"/>
        <v>LEO_LTC</v>
      </c>
      <c r="E92" t="str">
        <f t="shared" si="32"/>
        <v>LEO_DOGE</v>
      </c>
      <c r="F92" t="str">
        <f t="shared" si="33"/>
        <v>LEO_ETH</v>
      </c>
      <c r="G92" t="str">
        <f t="shared" si="34"/>
        <v>LEO_EUR</v>
      </c>
      <c r="H92" t="str">
        <f t="shared" si="35"/>
        <v>LEO_RUR</v>
      </c>
      <c r="I92" t="str">
        <f t="shared" si="36"/>
        <v>LEO_DASH</v>
      </c>
      <c r="J92" t="str">
        <f t="shared" si="37"/>
        <v>LEO_XMR</v>
      </c>
      <c r="K92" t="str">
        <f t="shared" si="38"/>
        <v>LEO_ETC</v>
      </c>
      <c r="L92" t="str">
        <f t="shared" si="39"/>
        <v>LEO_POSW</v>
      </c>
      <c r="M92" t="str">
        <f t="shared" si="40"/>
        <v>LEO_USDT</v>
      </c>
      <c r="N92" t="str">
        <f t="shared" si="41"/>
        <v>LEO_ZEC</v>
      </c>
      <c r="O92" t="str">
        <f t="shared" si="42"/>
        <v>LEO_NXT</v>
      </c>
      <c r="P92" t="str">
        <f t="shared" si="43"/>
        <v>LEO_REP</v>
      </c>
      <c r="R92" t="str">
        <f t="shared" si="45"/>
        <v>BTC_LEO</v>
      </c>
      <c r="S92" t="str">
        <f t="shared" si="46"/>
        <v>USD_LEO</v>
      </c>
      <c r="T92" t="str">
        <f t="shared" si="47"/>
        <v>LTC_LEO</v>
      </c>
      <c r="U92" t="str">
        <f t="shared" si="48"/>
        <v>DOGE_LEO</v>
      </c>
      <c r="V92" t="str">
        <f t="shared" si="49"/>
        <v>ETH_LEO</v>
      </c>
      <c r="W92" t="str">
        <f t="shared" si="50"/>
        <v>EUR_LEO</v>
      </c>
      <c r="X92" t="str">
        <f t="shared" si="51"/>
        <v>RUR_LEO</v>
      </c>
      <c r="Y92" t="str">
        <f t="shared" si="52"/>
        <v>DASH_LEO</v>
      </c>
      <c r="Z92" t="str">
        <f t="shared" si="53"/>
        <v>XMR_LEO</v>
      </c>
      <c r="AA92" t="str">
        <f t="shared" si="54"/>
        <v>ETC_LEO</v>
      </c>
      <c r="AB92" t="str">
        <f t="shared" si="55"/>
        <v>POSW_LEO</v>
      </c>
      <c r="AC92" t="str">
        <f t="shared" si="56"/>
        <v>USDT_LEO</v>
      </c>
      <c r="AD92" t="str">
        <f t="shared" si="57"/>
        <v>ZEC_LEO</v>
      </c>
      <c r="AE92" t="str">
        <f t="shared" si="58"/>
        <v>NXT_LEO</v>
      </c>
      <c r="AF92" t="str">
        <f t="shared" si="59"/>
        <v>REP_LEO</v>
      </c>
    </row>
    <row r="93" spans="1:32" x14ac:dyDescent="0.25">
      <c r="A93" t="s">
        <v>2191</v>
      </c>
      <c r="B93" t="str">
        <f t="shared" si="44"/>
        <v>LEPEN_BTC</v>
      </c>
      <c r="C93" t="str">
        <f t="shared" si="30"/>
        <v>LEPEN_USD</v>
      </c>
      <c r="D93" t="str">
        <f t="shared" si="31"/>
        <v>LEPEN_LTC</v>
      </c>
      <c r="E93" t="str">
        <f t="shared" si="32"/>
        <v>LEPEN_DOGE</v>
      </c>
      <c r="F93" t="str">
        <f t="shared" si="33"/>
        <v>LEPEN_ETH</v>
      </c>
      <c r="G93" t="str">
        <f t="shared" si="34"/>
        <v>LEPEN_EUR</v>
      </c>
      <c r="H93" t="str">
        <f t="shared" si="35"/>
        <v>LEPEN_RUR</v>
      </c>
      <c r="I93" t="str">
        <f t="shared" si="36"/>
        <v>LEPEN_DASH</v>
      </c>
      <c r="J93" t="str">
        <f t="shared" si="37"/>
        <v>LEPEN_XMR</v>
      </c>
      <c r="K93" t="str">
        <f t="shared" si="38"/>
        <v>LEPEN_ETC</v>
      </c>
      <c r="L93" t="str">
        <f t="shared" si="39"/>
        <v>LEPEN_POSW</v>
      </c>
      <c r="M93" t="str">
        <f t="shared" si="40"/>
        <v>LEPEN_USDT</v>
      </c>
      <c r="N93" t="str">
        <f t="shared" si="41"/>
        <v>LEPEN_ZEC</v>
      </c>
      <c r="O93" t="str">
        <f t="shared" si="42"/>
        <v>LEPEN_NXT</v>
      </c>
      <c r="P93" t="str">
        <f t="shared" si="43"/>
        <v>LEPEN_REP</v>
      </c>
      <c r="R93" t="str">
        <f t="shared" si="45"/>
        <v>BTC_LEPEN</v>
      </c>
      <c r="S93" t="str">
        <f t="shared" si="46"/>
        <v>USD_LEPEN</v>
      </c>
      <c r="T93" t="str">
        <f t="shared" si="47"/>
        <v>LTC_LEPEN</v>
      </c>
      <c r="U93" t="str">
        <f t="shared" si="48"/>
        <v>DOGE_LEPEN</v>
      </c>
      <c r="V93" t="str">
        <f t="shared" si="49"/>
        <v>ETH_LEPEN</v>
      </c>
      <c r="W93" t="str">
        <f t="shared" si="50"/>
        <v>EUR_LEPEN</v>
      </c>
      <c r="X93" t="str">
        <f t="shared" si="51"/>
        <v>RUR_LEPEN</v>
      </c>
      <c r="Y93" t="str">
        <f t="shared" si="52"/>
        <v>DASH_LEPEN</v>
      </c>
      <c r="Z93" t="str">
        <f t="shared" si="53"/>
        <v>XMR_LEPEN</v>
      </c>
      <c r="AA93" t="str">
        <f t="shared" si="54"/>
        <v>ETC_LEPEN</v>
      </c>
      <c r="AB93" t="str">
        <f t="shared" si="55"/>
        <v>POSW_LEPEN</v>
      </c>
      <c r="AC93" t="str">
        <f t="shared" si="56"/>
        <v>USDT_LEPEN</v>
      </c>
      <c r="AD93" t="str">
        <f t="shared" si="57"/>
        <v>ZEC_LEPEN</v>
      </c>
      <c r="AE93" t="str">
        <f t="shared" si="58"/>
        <v>NXT_LEPEN</v>
      </c>
      <c r="AF93" t="str">
        <f t="shared" si="59"/>
        <v>REP_LEPEN</v>
      </c>
    </row>
    <row r="94" spans="1:32" x14ac:dyDescent="0.25">
      <c r="A94" t="s">
        <v>2117</v>
      </c>
      <c r="B94" t="str">
        <f t="shared" si="44"/>
        <v>LSK_BTC</v>
      </c>
      <c r="C94" t="str">
        <f t="shared" si="30"/>
        <v>LSK_USD</v>
      </c>
      <c r="D94" t="str">
        <f t="shared" si="31"/>
        <v>LSK_LTC</v>
      </c>
      <c r="E94" t="str">
        <f t="shared" si="32"/>
        <v>LSK_DOGE</v>
      </c>
      <c r="F94" t="str">
        <f t="shared" si="33"/>
        <v>LSK_ETH</v>
      </c>
      <c r="G94" t="str">
        <f t="shared" si="34"/>
        <v>LSK_EUR</v>
      </c>
      <c r="H94" t="str">
        <f t="shared" si="35"/>
        <v>LSK_RUR</v>
      </c>
      <c r="I94" t="str">
        <f t="shared" si="36"/>
        <v>LSK_DASH</v>
      </c>
      <c r="J94" t="str">
        <f t="shared" si="37"/>
        <v>LSK_XMR</v>
      </c>
      <c r="K94" t="str">
        <f t="shared" si="38"/>
        <v>LSK_ETC</v>
      </c>
      <c r="L94" t="str">
        <f t="shared" si="39"/>
        <v>LSK_POSW</v>
      </c>
      <c r="M94" t="str">
        <f t="shared" si="40"/>
        <v>LSK_USDT</v>
      </c>
      <c r="N94" t="str">
        <f t="shared" si="41"/>
        <v>LSK_ZEC</v>
      </c>
      <c r="O94" t="str">
        <f t="shared" si="42"/>
        <v>LSK_NXT</v>
      </c>
      <c r="P94" t="str">
        <f t="shared" si="43"/>
        <v>LSK_REP</v>
      </c>
      <c r="R94" t="str">
        <f t="shared" si="45"/>
        <v>BTC_LSK</v>
      </c>
      <c r="S94" t="str">
        <f t="shared" si="46"/>
        <v>USD_LSK</v>
      </c>
      <c r="T94" t="str">
        <f t="shared" si="47"/>
        <v>LTC_LSK</v>
      </c>
      <c r="U94" t="str">
        <f t="shared" si="48"/>
        <v>DOGE_LSK</v>
      </c>
      <c r="V94" t="str">
        <f t="shared" si="49"/>
        <v>ETH_LSK</v>
      </c>
      <c r="W94" t="str">
        <f t="shared" si="50"/>
        <v>EUR_LSK</v>
      </c>
      <c r="X94" t="str">
        <f t="shared" si="51"/>
        <v>RUR_LSK</v>
      </c>
      <c r="Y94" t="str">
        <f t="shared" si="52"/>
        <v>DASH_LSK</v>
      </c>
      <c r="Z94" t="str">
        <f t="shared" si="53"/>
        <v>XMR_LSK</v>
      </c>
      <c r="AA94" t="str">
        <f t="shared" si="54"/>
        <v>ETC_LSK</v>
      </c>
      <c r="AB94" t="str">
        <f t="shared" si="55"/>
        <v>POSW_LSK</v>
      </c>
      <c r="AC94" t="str">
        <f t="shared" si="56"/>
        <v>USDT_LSK</v>
      </c>
      <c r="AD94" t="str">
        <f t="shared" si="57"/>
        <v>ZEC_LSK</v>
      </c>
      <c r="AE94" t="str">
        <f t="shared" si="58"/>
        <v>NXT_LSK</v>
      </c>
      <c r="AF94" t="str">
        <f t="shared" si="59"/>
        <v>REP_LSK</v>
      </c>
    </row>
    <row r="95" spans="1:32" x14ac:dyDescent="0.25">
      <c r="A95" t="s">
        <v>2101</v>
      </c>
      <c r="B95" t="str">
        <f t="shared" si="44"/>
        <v>LTC_BTC</v>
      </c>
      <c r="C95" t="str">
        <f t="shared" si="30"/>
        <v>LTC_USD</v>
      </c>
      <c r="D95" t="str">
        <f t="shared" si="31"/>
        <v>LTC_LTC</v>
      </c>
      <c r="E95" t="str">
        <f t="shared" si="32"/>
        <v>LTC_DOGE</v>
      </c>
      <c r="F95" t="str">
        <f t="shared" si="33"/>
        <v>LTC_ETH</v>
      </c>
      <c r="G95" t="str">
        <f t="shared" si="34"/>
        <v>LTC_EUR</v>
      </c>
      <c r="H95" t="str">
        <f t="shared" si="35"/>
        <v>LTC_RUR</v>
      </c>
      <c r="I95" t="str">
        <f t="shared" si="36"/>
        <v>LTC_DASH</v>
      </c>
      <c r="J95" t="str">
        <f t="shared" si="37"/>
        <v>LTC_XMR</v>
      </c>
      <c r="K95" t="str">
        <f t="shared" si="38"/>
        <v>LTC_ETC</v>
      </c>
      <c r="L95" t="str">
        <f t="shared" si="39"/>
        <v>LTC_POSW</v>
      </c>
      <c r="M95" t="str">
        <f t="shared" si="40"/>
        <v>LTC_USDT</v>
      </c>
      <c r="N95" t="str">
        <f t="shared" si="41"/>
        <v>LTC_ZEC</v>
      </c>
      <c r="O95" t="str">
        <f t="shared" si="42"/>
        <v>LTC_NXT</v>
      </c>
      <c r="P95" t="str">
        <f t="shared" si="43"/>
        <v>LTC_REP</v>
      </c>
      <c r="R95" t="str">
        <f t="shared" si="45"/>
        <v>BTC_LTC</v>
      </c>
      <c r="S95" t="str">
        <f t="shared" si="46"/>
        <v>USD_LTC</v>
      </c>
      <c r="T95" t="str">
        <f t="shared" si="47"/>
        <v>LTC_LTC</v>
      </c>
      <c r="U95" t="str">
        <f t="shared" si="48"/>
        <v>DOGE_LTC</v>
      </c>
      <c r="V95" t="str">
        <f t="shared" si="49"/>
        <v>ETH_LTC</v>
      </c>
      <c r="W95" t="str">
        <f t="shared" si="50"/>
        <v>EUR_LTC</v>
      </c>
      <c r="X95" t="str">
        <f t="shared" si="51"/>
        <v>RUR_LTC</v>
      </c>
      <c r="Y95" t="str">
        <f t="shared" si="52"/>
        <v>DASH_LTC</v>
      </c>
      <c r="Z95" t="str">
        <f t="shared" si="53"/>
        <v>XMR_LTC</v>
      </c>
      <c r="AA95" t="str">
        <f t="shared" si="54"/>
        <v>ETC_LTC</v>
      </c>
      <c r="AB95" t="str">
        <f t="shared" si="55"/>
        <v>POSW_LTC</v>
      </c>
      <c r="AC95" t="str">
        <f t="shared" si="56"/>
        <v>USDT_LTC</v>
      </c>
      <c r="AD95" t="str">
        <f t="shared" si="57"/>
        <v>ZEC_LTC</v>
      </c>
      <c r="AE95" t="str">
        <f t="shared" si="58"/>
        <v>NXT_LTC</v>
      </c>
      <c r="AF95" t="str">
        <f t="shared" si="59"/>
        <v>REP_LTC</v>
      </c>
    </row>
    <row r="96" spans="1:32" x14ac:dyDescent="0.25">
      <c r="A96" t="s">
        <v>2192</v>
      </c>
      <c r="B96" t="str">
        <f t="shared" si="44"/>
        <v>LTCR_BTC</v>
      </c>
      <c r="C96" t="str">
        <f t="shared" si="30"/>
        <v>LTCR_USD</v>
      </c>
      <c r="D96" t="str">
        <f t="shared" si="31"/>
        <v>LTCR_LTC</v>
      </c>
      <c r="E96" t="str">
        <f t="shared" si="32"/>
        <v>LTCR_DOGE</v>
      </c>
      <c r="F96" t="str">
        <f t="shared" si="33"/>
        <v>LTCR_ETH</v>
      </c>
      <c r="G96" t="str">
        <f t="shared" si="34"/>
        <v>LTCR_EUR</v>
      </c>
      <c r="H96" t="str">
        <f t="shared" si="35"/>
        <v>LTCR_RUR</v>
      </c>
      <c r="I96" t="str">
        <f t="shared" si="36"/>
        <v>LTCR_DASH</v>
      </c>
      <c r="J96" t="str">
        <f t="shared" si="37"/>
        <v>LTCR_XMR</v>
      </c>
      <c r="K96" t="str">
        <f t="shared" si="38"/>
        <v>LTCR_ETC</v>
      </c>
      <c r="L96" t="str">
        <f t="shared" si="39"/>
        <v>LTCR_POSW</v>
      </c>
      <c r="M96" t="str">
        <f t="shared" si="40"/>
        <v>LTCR_USDT</v>
      </c>
      <c r="N96" t="str">
        <f t="shared" si="41"/>
        <v>LTCR_ZEC</v>
      </c>
      <c r="O96" t="str">
        <f t="shared" si="42"/>
        <v>LTCR_NXT</v>
      </c>
      <c r="P96" t="str">
        <f t="shared" si="43"/>
        <v>LTCR_REP</v>
      </c>
      <c r="R96" t="str">
        <f t="shared" si="45"/>
        <v>BTC_LTCR</v>
      </c>
      <c r="S96" t="str">
        <f t="shared" si="46"/>
        <v>USD_LTCR</v>
      </c>
      <c r="T96" t="str">
        <f t="shared" si="47"/>
        <v>LTC_LTCR</v>
      </c>
      <c r="U96" t="str">
        <f t="shared" si="48"/>
        <v>DOGE_LTCR</v>
      </c>
      <c r="V96" t="str">
        <f t="shared" si="49"/>
        <v>ETH_LTCR</v>
      </c>
      <c r="W96" t="str">
        <f t="shared" si="50"/>
        <v>EUR_LTCR</v>
      </c>
      <c r="X96" t="str">
        <f t="shared" si="51"/>
        <v>RUR_LTCR</v>
      </c>
      <c r="Y96" t="str">
        <f t="shared" si="52"/>
        <v>DASH_LTCR</v>
      </c>
      <c r="Z96" t="str">
        <f t="shared" si="53"/>
        <v>XMR_LTCR</v>
      </c>
      <c r="AA96" t="str">
        <f t="shared" si="54"/>
        <v>ETC_LTCR</v>
      </c>
      <c r="AB96" t="str">
        <f t="shared" si="55"/>
        <v>POSW_LTCR</v>
      </c>
      <c r="AC96" t="str">
        <f t="shared" si="56"/>
        <v>USDT_LTCR</v>
      </c>
      <c r="AD96" t="str">
        <f t="shared" si="57"/>
        <v>ZEC_LTCR</v>
      </c>
      <c r="AE96" t="str">
        <f t="shared" si="58"/>
        <v>NXT_LTCR</v>
      </c>
      <c r="AF96" t="str">
        <f t="shared" si="59"/>
        <v>REP_LTCR</v>
      </c>
    </row>
    <row r="97" spans="1:32" x14ac:dyDescent="0.25">
      <c r="A97" t="s">
        <v>2193</v>
      </c>
      <c r="B97" t="str">
        <f t="shared" si="44"/>
        <v>LTS_BTC</v>
      </c>
      <c r="C97" t="str">
        <f t="shared" si="30"/>
        <v>LTS_USD</v>
      </c>
      <c r="D97" t="str">
        <f t="shared" si="31"/>
        <v>LTS_LTC</v>
      </c>
      <c r="E97" t="str">
        <f t="shared" si="32"/>
        <v>LTS_DOGE</v>
      </c>
      <c r="F97" t="str">
        <f t="shared" si="33"/>
        <v>LTS_ETH</v>
      </c>
      <c r="G97" t="str">
        <f t="shared" si="34"/>
        <v>LTS_EUR</v>
      </c>
      <c r="H97" t="str">
        <f t="shared" si="35"/>
        <v>LTS_RUR</v>
      </c>
      <c r="I97" t="str">
        <f t="shared" si="36"/>
        <v>LTS_DASH</v>
      </c>
      <c r="J97" t="str">
        <f t="shared" si="37"/>
        <v>LTS_XMR</v>
      </c>
      <c r="K97" t="str">
        <f t="shared" si="38"/>
        <v>LTS_ETC</v>
      </c>
      <c r="L97" t="str">
        <f t="shared" si="39"/>
        <v>LTS_POSW</v>
      </c>
      <c r="M97" t="str">
        <f t="shared" si="40"/>
        <v>LTS_USDT</v>
      </c>
      <c r="N97" t="str">
        <f t="shared" si="41"/>
        <v>LTS_ZEC</v>
      </c>
      <c r="O97" t="str">
        <f t="shared" si="42"/>
        <v>LTS_NXT</v>
      </c>
      <c r="P97" t="str">
        <f t="shared" si="43"/>
        <v>LTS_REP</v>
      </c>
      <c r="R97" t="str">
        <f t="shared" si="45"/>
        <v>BTC_LTS</v>
      </c>
      <c r="S97" t="str">
        <f t="shared" si="46"/>
        <v>USD_LTS</v>
      </c>
      <c r="T97" t="str">
        <f t="shared" si="47"/>
        <v>LTC_LTS</v>
      </c>
      <c r="U97" t="str">
        <f t="shared" si="48"/>
        <v>DOGE_LTS</v>
      </c>
      <c r="V97" t="str">
        <f t="shared" si="49"/>
        <v>ETH_LTS</v>
      </c>
      <c r="W97" t="str">
        <f t="shared" si="50"/>
        <v>EUR_LTS</v>
      </c>
      <c r="X97" t="str">
        <f t="shared" si="51"/>
        <v>RUR_LTS</v>
      </c>
      <c r="Y97" t="str">
        <f t="shared" si="52"/>
        <v>DASH_LTS</v>
      </c>
      <c r="Z97" t="str">
        <f t="shared" si="53"/>
        <v>XMR_LTS</v>
      </c>
      <c r="AA97" t="str">
        <f t="shared" si="54"/>
        <v>ETC_LTS</v>
      </c>
      <c r="AB97" t="str">
        <f t="shared" si="55"/>
        <v>POSW_LTS</v>
      </c>
      <c r="AC97" t="str">
        <f t="shared" si="56"/>
        <v>USDT_LTS</v>
      </c>
      <c r="AD97" t="str">
        <f t="shared" si="57"/>
        <v>ZEC_LTS</v>
      </c>
      <c r="AE97" t="str">
        <f t="shared" si="58"/>
        <v>NXT_LTS</v>
      </c>
      <c r="AF97" t="str">
        <f t="shared" si="59"/>
        <v>REP_LTS</v>
      </c>
    </row>
    <row r="98" spans="1:32" x14ac:dyDescent="0.25">
      <c r="A98" t="s">
        <v>2195</v>
      </c>
      <c r="B98" t="str">
        <f t="shared" si="44"/>
        <v>LUN_BTC</v>
      </c>
      <c r="C98" t="str">
        <f t="shared" si="30"/>
        <v>LUN_USD</v>
      </c>
      <c r="D98" t="str">
        <f t="shared" si="31"/>
        <v>LUN_LTC</v>
      </c>
      <c r="E98" t="str">
        <f t="shared" si="32"/>
        <v>LUN_DOGE</v>
      </c>
      <c r="F98" t="str">
        <f t="shared" si="33"/>
        <v>LUN_ETH</v>
      </c>
      <c r="G98" t="str">
        <f t="shared" si="34"/>
        <v>LUN_EUR</v>
      </c>
      <c r="H98" t="str">
        <f t="shared" si="35"/>
        <v>LUN_RUR</v>
      </c>
      <c r="I98" t="str">
        <f t="shared" si="36"/>
        <v>LUN_DASH</v>
      </c>
      <c r="J98" t="str">
        <f t="shared" si="37"/>
        <v>LUN_XMR</v>
      </c>
      <c r="K98" t="str">
        <f t="shared" si="38"/>
        <v>LUN_ETC</v>
      </c>
      <c r="L98" t="str">
        <f t="shared" si="39"/>
        <v>LUN_POSW</v>
      </c>
      <c r="M98" t="str">
        <f t="shared" si="40"/>
        <v>LUN_USDT</v>
      </c>
      <c r="N98" t="str">
        <f t="shared" si="41"/>
        <v>LUN_ZEC</v>
      </c>
      <c r="O98" t="str">
        <f t="shared" si="42"/>
        <v>LUN_NXT</v>
      </c>
      <c r="P98" t="str">
        <f t="shared" si="43"/>
        <v>LUN_REP</v>
      </c>
      <c r="R98" t="str">
        <f t="shared" si="45"/>
        <v>BTC_LUN</v>
      </c>
      <c r="S98" t="str">
        <f t="shared" si="46"/>
        <v>USD_LUN</v>
      </c>
      <c r="T98" t="str">
        <f t="shared" si="47"/>
        <v>LTC_LUN</v>
      </c>
      <c r="U98" t="str">
        <f t="shared" si="48"/>
        <v>DOGE_LUN</v>
      </c>
      <c r="V98" t="str">
        <f t="shared" si="49"/>
        <v>ETH_LUN</v>
      </c>
      <c r="W98" t="str">
        <f t="shared" si="50"/>
        <v>EUR_LUN</v>
      </c>
      <c r="X98" t="str">
        <f t="shared" si="51"/>
        <v>RUR_LUN</v>
      </c>
      <c r="Y98" t="str">
        <f t="shared" si="52"/>
        <v>DASH_LUN</v>
      </c>
      <c r="Z98" t="str">
        <f t="shared" si="53"/>
        <v>XMR_LUN</v>
      </c>
      <c r="AA98" t="str">
        <f t="shared" si="54"/>
        <v>ETC_LUN</v>
      </c>
      <c r="AB98" t="str">
        <f t="shared" si="55"/>
        <v>POSW_LUN</v>
      </c>
      <c r="AC98" t="str">
        <f t="shared" si="56"/>
        <v>USDT_LUN</v>
      </c>
      <c r="AD98" t="str">
        <f t="shared" si="57"/>
        <v>ZEC_LUN</v>
      </c>
      <c r="AE98" t="str">
        <f t="shared" si="58"/>
        <v>NXT_LUN</v>
      </c>
      <c r="AF98" t="str">
        <f t="shared" si="59"/>
        <v>REP_LUN</v>
      </c>
    </row>
    <row r="99" spans="1:32" x14ac:dyDescent="0.25">
      <c r="A99" t="s">
        <v>2194</v>
      </c>
      <c r="B99" t="str">
        <f t="shared" si="44"/>
        <v>LUNA_BTC</v>
      </c>
      <c r="C99" t="str">
        <f t="shared" si="30"/>
        <v>LUNA_USD</v>
      </c>
      <c r="D99" t="str">
        <f t="shared" si="31"/>
        <v>LUNA_LTC</v>
      </c>
      <c r="E99" t="str">
        <f t="shared" si="32"/>
        <v>LUNA_DOGE</v>
      </c>
      <c r="F99" t="str">
        <f t="shared" si="33"/>
        <v>LUNA_ETH</v>
      </c>
      <c r="G99" t="str">
        <f t="shared" si="34"/>
        <v>LUNA_EUR</v>
      </c>
      <c r="H99" t="str">
        <f t="shared" si="35"/>
        <v>LUNA_RUR</v>
      </c>
      <c r="I99" t="str">
        <f t="shared" si="36"/>
        <v>LUNA_DASH</v>
      </c>
      <c r="J99" t="str">
        <f t="shared" si="37"/>
        <v>LUNA_XMR</v>
      </c>
      <c r="K99" t="str">
        <f t="shared" si="38"/>
        <v>LUNA_ETC</v>
      </c>
      <c r="L99" t="str">
        <f t="shared" si="39"/>
        <v>LUNA_POSW</v>
      </c>
      <c r="M99" t="str">
        <f t="shared" si="40"/>
        <v>LUNA_USDT</v>
      </c>
      <c r="N99" t="str">
        <f t="shared" si="41"/>
        <v>LUNA_ZEC</v>
      </c>
      <c r="O99" t="str">
        <f t="shared" si="42"/>
        <v>LUNA_NXT</v>
      </c>
      <c r="P99" t="str">
        <f t="shared" si="43"/>
        <v>LUNA_REP</v>
      </c>
      <c r="R99" t="str">
        <f t="shared" si="45"/>
        <v>BTC_LUNA</v>
      </c>
      <c r="S99" t="str">
        <f t="shared" si="46"/>
        <v>USD_LUNA</v>
      </c>
      <c r="T99" t="str">
        <f t="shared" si="47"/>
        <v>LTC_LUNA</v>
      </c>
      <c r="U99" t="str">
        <f t="shared" si="48"/>
        <v>DOGE_LUNA</v>
      </c>
      <c r="V99" t="str">
        <f t="shared" si="49"/>
        <v>ETH_LUNA</v>
      </c>
      <c r="W99" t="str">
        <f t="shared" si="50"/>
        <v>EUR_LUNA</v>
      </c>
      <c r="X99" t="str">
        <f t="shared" si="51"/>
        <v>RUR_LUNA</v>
      </c>
      <c r="Y99" t="str">
        <f t="shared" si="52"/>
        <v>DASH_LUNA</v>
      </c>
      <c r="Z99" t="str">
        <f t="shared" si="53"/>
        <v>XMR_LUNA</v>
      </c>
      <c r="AA99" t="str">
        <f t="shared" si="54"/>
        <v>ETC_LUNA</v>
      </c>
      <c r="AB99" t="str">
        <f t="shared" si="55"/>
        <v>POSW_LUNA</v>
      </c>
      <c r="AC99" t="str">
        <f t="shared" si="56"/>
        <v>USDT_LUNA</v>
      </c>
      <c r="AD99" t="str">
        <f t="shared" si="57"/>
        <v>ZEC_LUNA</v>
      </c>
      <c r="AE99" t="str">
        <f t="shared" si="58"/>
        <v>NXT_LUNA</v>
      </c>
      <c r="AF99" t="str">
        <f t="shared" si="59"/>
        <v>REP_LUNA</v>
      </c>
    </row>
    <row r="100" spans="1:32" x14ac:dyDescent="0.25">
      <c r="A100" t="s">
        <v>2152</v>
      </c>
      <c r="B100" t="str">
        <f t="shared" si="44"/>
        <v>MAID_BTC</v>
      </c>
      <c r="C100" t="str">
        <f t="shared" si="30"/>
        <v>MAID_USD</v>
      </c>
      <c r="D100" t="str">
        <f t="shared" si="31"/>
        <v>MAID_LTC</v>
      </c>
      <c r="E100" t="str">
        <f t="shared" si="32"/>
        <v>MAID_DOGE</v>
      </c>
      <c r="F100" t="str">
        <f t="shared" si="33"/>
        <v>MAID_ETH</v>
      </c>
      <c r="G100" t="str">
        <f t="shared" si="34"/>
        <v>MAID_EUR</v>
      </c>
      <c r="H100" t="str">
        <f t="shared" si="35"/>
        <v>MAID_RUR</v>
      </c>
      <c r="I100" t="str">
        <f t="shared" si="36"/>
        <v>MAID_DASH</v>
      </c>
      <c r="J100" t="str">
        <f t="shared" si="37"/>
        <v>MAID_XMR</v>
      </c>
      <c r="K100" t="str">
        <f t="shared" si="38"/>
        <v>MAID_ETC</v>
      </c>
      <c r="L100" t="str">
        <f t="shared" si="39"/>
        <v>MAID_POSW</v>
      </c>
      <c r="M100" t="str">
        <f t="shared" si="40"/>
        <v>MAID_USDT</v>
      </c>
      <c r="N100" t="str">
        <f t="shared" si="41"/>
        <v>MAID_ZEC</v>
      </c>
      <c r="O100" t="str">
        <f t="shared" si="42"/>
        <v>MAID_NXT</v>
      </c>
      <c r="P100" t="str">
        <f t="shared" si="43"/>
        <v>MAID_REP</v>
      </c>
      <c r="R100" t="str">
        <f t="shared" si="45"/>
        <v>BTC_MAID</v>
      </c>
      <c r="S100" t="str">
        <f t="shared" si="46"/>
        <v>USD_MAID</v>
      </c>
      <c r="T100" t="str">
        <f t="shared" si="47"/>
        <v>LTC_MAID</v>
      </c>
      <c r="U100" t="str">
        <f t="shared" si="48"/>
        <v>DOGE_MAID</v>
      </c>
      <c r="V100" t="str">
        <f t="shared" si="49"/>
        <v>ETH_MAID</v>
      </c>
      <c r="W100" t="str">
        <f t="shared" si="50"/>
        <v>EUR_MAID</v>
      </c>
      <c r="X100" t="str">
        <f t="shared" si="51"/>
        <v>RUR_MAID</v>
      </c>
      <c r="Y100" t="str">
        <f t="shared" si="52"/>
        <v>DASH_MAID</v>
      </c>
      <c r="Z100" t="str">
        <f t="shared" si="53"/>
        <v>XMR_MAID</v>
      </c>
      <c r="AA100" t="str">
        <f t="shared" si="54"/>
        <v>ETC_MAID</v>
      </c>
      <c r="AB100" t="str">
        <f t="shared" si="55"/>
        <v>POSW_MAID</v>
      </c>
      <c r="AC100" t="str">
        <f t="shared" si="56"/>
        <v>USDT_MAID</v>
      </c>
      <c r="AD100" t="str">
        <f t="shared" si="57"/>
        <v>ZEC_MAID</v>
      </c>
      <c r="AE100" t="str">
        <f t="shared" si="58"/>
        <v>NXT_MAID</v>
      </c>
      <c r="AF100" t="str">
        <f t="shared" si="59"/>
        <v>REP_MAID</v>
      </c>
    </row>
    <row r="101" spans="1:32" x14ac:dyDescent="0.25">
      <c r="A101" t="s">
        <v>2422</v>
      </c>
      <c r="B101" t="str">
        <f t="shared" si="44"/>
        <v>MLN_BTC</v>
      </c>
      <c r="C101" t="str">
        <f t="shared" si="30"/>
        <v>MLN_USD</v>
      </c>
      <c r="D101" t="str">
        <f t="shared" si="31"/>
        <v>MLN_LTC</v>
      </c>
      <c r="E101" t="str">
        <f t="shared" si="32"/>
        <v>MLN_DOGE</v>
      </c>
      <c r="F101" t="str">
        <f t="shared" si="33"/>
        <v>MLN_ETH</v>
      </c>
      <c r="G101" t="str">
        <f t="shared" si="34"/>
        <v>MLN_EUR</v>
      </c>
      <c r="H101" t="str">
        <f t="shared" si="35"/>
        <v>MLN_RUR</v>
      </c>
      <c r="I101" t="str">
        <f t="shared" si="36"/>
        <v>MLN_DASH</v>
      </c>
      <c r="J101" t="str">
        <f t="shared" si="37"/>
        <v>MLN_XMR</v>
      </c>
      <c r="K101" t="str">
        <f t="shared" si="38"/>
        <v>MLN_ETC</v>
      </c>
      <c r="L101" t="str">
        <f t="shared" si="39"/>
        <v>MLN_POSW</v>
      </c>
      <c r="M101" t="str">
        <f t="shared" si="40"/>
        <v>MLN_USDT</v>
      </c>
      <c r="N101" t="str">
        <f t="shared" si="41"/>
        <v>MLN_ZEC</v>
      </c>
      <c r="O101" t="str">
        <f t="shared" si="42"/>
        <v>MLN_NXT</v>
      </c>
      <c r="P101" t="str">
        <f t="shared" si="43"/>
        <v>MLN_REP</v>
      </c>
      <c r="R101" t="str">
        <f t="shared" si="45"/>
        <v>BTC_MLN</v>
      </c>
      <c r="S101" t="str">
        <f t="shared" si="46"/>
        <v>USD_MLN</v>
      </c>
      <c r="T101" t="str">
        <f t="shared" si="47"/>
        <v>LTC_MLN</v>
      </c>
      <c r="U101" t="str">
        <f t="shared" si="48"/>
        <v>DOGE_MLN</v>
      </c>
      <c r="V101" t="str">
        <f t="shared" si="49"/>
        <v>ETH_MLN</v>
      </c>
      <c r="W101" t="str">
        <f t="shared" si="50"/>
        <v>EUR_MLN</v>
      </c>
      <c r="X101" t="str">
        <f t="shared" si="51"/>
        <v>RUR_MLN</v>
      </c>
      <c r="Y101" t="str">
        <f t="shared" si="52"/>
        <v>DASH_MLN</v>
      </c>
      <c r="Z101" t="str">
        <f t="shared" si="53"/>
        <v>XMR_MLN</v>
      </c>
      <c r="AA101" t="str">
        <f t="shared" si="54"/>
        <v>ETC_MLN</v>
      </c>
      <c r="AB101" t="str">
        <f t="shared" si="55"/>
        <v>POSW_MLN</v>
      </c>
      <c r="AC101" t="str">
        <f t="shared" si="56"/>
        <v>USDT_MLN</v>
      </c>
      <c r="AD101" t="str">
        <f t="shared" si="57"/>
        <v>ZEC_MLN</v>
      </c>
      <c r="AE101" t="str">
        <f t="shared" si="58"/>
        <v>NXT_MLN</v>
      </c>
      <c r="AF101" t="str">
        <f t="shared" si="59"/>
        <v>REP_MLN</v>
      </c>
    </row>
    <row r="102" spans="1:32" x14ac:dyDescent="0.25">
      <c r="A102" t="s">
        <v>2118</v>
      </c>
      <c r="B102" t="str">
        <f t="shared" si="44"/>
        <v>MOIN_BTC</v>
      </c>
      <c r="C102" t="str">
        <f t="shared" si="30"/>
        <v>MOIN_USD</v>
      </c>
      <c r="D102" t="str">
        <f t="shared" si="31"/>
        <v>MOIN_LTC</v>
      </c>
      <c r="E102" t="str">
        <f t="shared" si="32"/>
        <v>MOIN_DOGE</v>
      </c>
      <c r="F102" t="str">
        <f t="shared" si="33"/>
        <v>MOIN_ETH</v>
      </c>
      <c r="G102" t="str">
        <f t="shared" si="34"/>
        <v>MOIN_EUR</v>
      </c>
      <c r="H102" t="str">
        <f t="shared" si="35"/>
        <v>MOIN_RUR</v>
      </c>
      <c r="I102" t="str">
        <f t="shared" si="36"/>
        <v>MOIN_DASH</v>
      </c>
      <c r="J102" t="str">
        <f t="shared" si="37"/>
        <v>MOIN_XMR</v>
      </c>
      <c r="K102" t="str">
        <f t="shared" si="38"/>
        <v>MOIN_ETC</v>
      </c>
      <c r="L102" t="str">
        <f t="shared" si="39"/>
        <v>MOIN_POSW</v>
      </c>
      <c r="M102" t="str">
        <f t="shared" si="40"/>
        <v>MOIN_USDT</v>
      </c>
      <c r="N102" t="str">
        <f t="shared" si="41"/>
        <v>MOIN_ZEC</v>
      </c>
      <c r="O102" t="str">
        <f t="shared" si="42"/>
        <v>MOIN_NXT</v>
      </c>
      <c r="P102" t="str">
        <f t="shared" si="43"/>
        <v>MOIN_REP</v>
      </c>
      <c r="R102" t="str">
        <f t="shared" si="45"/>
        <v>BTC_MOIN</v>
      </c>
      <c r="S102" t="str">
        <f t="shared" si="46"/>
        <v>USD_MOIN</v>
      </c>
      <c r="T102" t="str">
        <f t="shared" si="47"/>
        <v>LTC_MOIN</v>
      </c>
      <c r="U102" t="str">
        <f t="shared" si="48"/>
        <v>DOGE_MOIN</v>
      </c>
      <c r="V102" t="str">
        <f t="shared" si="49"/>
        <v>ETH_MOIN</v>
      </c>
      <c r="W102" t="str">
        <f t="shared" si="50"/>
        <v>EUR_MOIN</v>
      </c>
      <c r="X102" t="str">
        <f t="shared" si="51"/>
        <v>RUR_MOIN</v>
      </c>
      <c r="Y102" t="str">
        <f t="shared" si="52"/>
        <v>DASH_MOIN</v>
      </c>
      <c r="Z102" t="str">
        <f t="shared" si="53"/>
        <v>XMR_MOIN</v>
      </c>
      <c r="AA102" t="str">
        <f t="shared" si="54"/>
        <v>ETC_MOIN</v>
      </c>
      <c r="AB102" t="str">
        <f t="shared" si="55"/>
        <v>POSW_MOIN</v>
      </c>
      <c r="AC102" t="str">
        <f t="shared" si="56"/>
        <v>USDT_MOIN</v>
      </c>
      <c r="AD102" t="str">
        <f t="shared" si="57"/>
        <v>ZEC_MOIN</v>
      </c>
      <c r="AE102" t="str">
        <f t="shared" si="58"/>
        <v>NXT_MOIN</v>
      </c>
      <c r="AF102" t="str">
        <f t="shared" si="59"/>
        <v>REP_MOIN</v>
      </c>
    </row>
    <row r="103" spans="1:32" x14ac:dyDescent="0.25">
      <c r="A103" t="s">
        <v>2196</v>
      </c>
      <c r="B103" t="str">
        <f t="shared" si="44"/>
        <v>MOJO_BTC</v>
      </c>
      <c r="C103" t="str">
        <f t="shared" si="30"/>
        <v>MOJO_USD</v>
      </c>
      <c r="D103" t="str">
        <f t="shared" si="31"/>
        <v>MOJO_LTC</v>
      </c>
      <c r="E103" t="str">
        <f t="shared" si="32"/>
        <v>MOJO_DOGE</v>
      </c>
      <c r="F103" t="str">
        <f t="shared" si="33"/>
        <v>MOJO_ETH</v>
      </c>
      <c r="G103" t="str">
        <f t="shared" si="34"/>
        <v>MOJO_EUR</v>
      </c>
      <c r="H103" t="str">
        <f t="shared" si="35"/>
        <v>MOJO_RUR</v>
      </c>
      <c r="I103" t="str">
        <f t="shared" si="36"/>
        <v>MOJO_DASH</v>
      </c>
      <c r="J103" t="str">
        <f t="shared" si="37"/>
        <v>MOJO_XMR</v>
      </c>
      <c r="K103" t="str">
        <f t="shared" si="38"/>
        <v>MOJO_ETC</v>
      </c>
      <c r="L103" t="str">
        <f t="shared" si="39"/>
        <v>MOJO_POSW</v>
      </c>
      <c r="M103" t="str">
        <f t="shared" si="40"/>
        <v>MOJO_USDT</v>
      </c>
      <c r="N103" t="str">
        <f t="shared" si="41"/>
        <v>MOJO_ZEC</v>
      </c>
      <c r="O103" t="str">
        <f t="shared" si="42"/>
        <v>MOJO_NXT</v>
      </c>
      <c r="P103" t="str">
        <f t="shared" si="43"/>
        <v>MOJO_REP</v>
      </c>
      <c r="R103" t="str">
        <f t="shared" si="45"/>
        <v>BTC_MOJO</v>
      </c>
      <c r="S103" t="str">
        <f t="shared" si="46"/>
        <v>USD_MOJO</v>
      </c>
      <c r="T103" t="str">
        <f t="shared" si="47"/>
        <v>LTC_MOJO</v>
      </c>
      <c r="U103" t="str">
        <f t="shared" si="48"/>
        <v>DOGE_MOJO</v>
      </c>
      <c r="V103" t="str">
        <f t="shared" si="49"/>
        <v>ETH_MOJO</v>
      </c>
      <c r="W103" t="str">
        <f t="shared" si="50"/>
        <v>EUR_MOJO</v>
      </c>
      <c r="X103" t="str">
        <f t="shared" si="51"/>
        <v>RUR_MOJO</v>
      </c>
      <c r="Y103" t="str">
        <f t="shared" si="52"/>
        <v>DASH_MOJO</v>
      </c>
      <c r="Z103" t="str">
        <f t="shared" si="53"/>
        <v>XMR_MOJO</v>
      </c>
      <c r="AA103" t="str">
        <f t="shared" si="54"/>
        <v>ETC_MOJO</v>
      </c>
      <c r="AB103" t="str">
        <f t="shared" si="55"/>
        <v>POSW_MOJO</v>
      </c>
      <c r="AC103" t="str">
        <f t="shared" si="56"/>
        <v>USDT_MOJO</v>
      </c>
      <c r="AD103" t="str">
        <f t="shared" si="57"/>
        <v>ZEC_MOJO</v>
      </c>
      <c r="AE103" t="str">
        <f t="shared" si="58"/>
        <v>NXT_MOJO</v>
      </c>
      <c r="AF103" t="str">
        <f t="shared" si="59"/>
        <v>REP_MOJO</v>
      </c>
    </row>
    <row r="104" spans="1:32" x14ac:dyDescent="0.25">
      <c r="A104" t="s">
        <v>2423</v>
      </c>
      <c r="B104" t="str">
        <f t="shared" si="44"/>
        <v>MONA_BTC</v>
      </c>
      <c r="C104" t="str">
        <f t="shared" si="30"/>
        <v>MONA_USD</v>
      </c>
      <c r="D104" t="str">
        <f t="shared" si="31"/>
        <v>MONA_LTC</v>
      </c>
      <c r="E104" t="str">
        <f t="shared" si="32"/>
        <v>MONA_DOGE</v>
      </c>
      <c r="F104" t="str">
        <f t="shared" si="33"/>
        <v>MONA_ETH</v>
      </c>
      <c r="G104" t="str">
        <f t="shared" si="34"/>
        <v>MONA_EUR</v>
      </c>
      <c r="H104" t="str">
        <f t="shared" si="35"/>
        <v>MONA_RUR</v>
      </c>
      <c r="I104" t="str">
        <f t="shared" si="36"/>
        <v>MONA_DASH</v>
      </c>
      <c r="J104" t="str">
        <f t="shared" si="37"/>
        <v>MONA_XMR</v>
      </c>
      <c r="K104" t="str">
        <f t="shared" si="38"/>
        <v>MONA_ETC</v>
      </c>
      <c r="L104" t="str">
        <f t="shared" si="39"/>
        <v>MONA_POSW</v>
      </c>
      <c r="M104" t="str">
        <f t="shared" si="40"/>
        <v>MONA_USDT</v>
      </c>
      <c r="N104" t="str">
        <f t="shared" si="41"/>
        <v>MONA_ZEC</v>
      </c>
      <c r="O104" t="str">
        <f t="shared" si="42"/>
        <v>MONA_NXT</v>
      </c>
      <c r="P104" t="str">
        <f t="shared" si="43"/>
        <v>MONA_REP</v>
      </c>
      <c r="R104" t="str">
        <f t="shared" si="45"/>
        <v>BTC_MONA</v>
      </c>
      <c r="S104" t="str">
        <f t="shared" si="46"/>
        <v>USD_MONA</v>
      </c>
      <c r="T104" t="str">
        <f t="shared" si="47"/>
        <v>LTC_MONA</v>
      </c>
      <c r="U104" t="str">
        <f t="shared" si="48"/>
        <v>DOGE_MONA</v>
      </c>
      <c r="V104" t="str">
        <f t="shared" si="49"/>
        <v>ETH_MONA</v>
      </c>
      <c r="W104" t="str">
        <f t="shared" si="50"/>
        <v>EUR_MONA</v>
      </c>
      <c r="X104" t="str">
        <f t="shared" si="51"/>
        <v>RUR_MONA</v>
      </c>
      <c r="Y104" t="str">
        <f t="shared" si="52"/>
        <v>DASH_MONA</v>
      </c>
      <c r="Z104" t="str">
        <f t="shared" si="53"/>
        <v>XMR_MONA</v>
      </c>
      <c r="AA104" t="str">
        <f t="shared" si="54"/>
        <v>ETC_MONA</v>
      </c>
      <c r="AB104" t="str">
        <f t="shared" si="55"/>
        <v>POSW_MONA</v>
      </c>
      <c r="AC104" t="str">
        <f t="shared" si="56"/>
        <v>USDT_MONA</v>
      </c>
      <c r="AD104" t="str">
        <f t="shared" si="57"/>
        <v>ZEC_MONA</v>
      </c>
      <c r="AE104" t="str">
        <f t="shared" si="58"/>
        <v>NXT_MONA</v>
      </c>
      <c r="AF104" t="str">
        <f t="shared" si="59"/>
        <v>REP_MONA</v>
      </c>
    </row>
    <row r="105" spans="1:32" x14ac:dyDescent="0.25">
      <c r="A105" t="s">
        <v>2197</v>
      </c>
      <c r="B105" t="str">
        <f t="shared" si="44"/>
        <v>MSCN_BTC</v>
      </c>
      <c r="C105" t="str">
        <f t="shared" si="30"/>
        <v>MSCN_USD</v>
      </c>
      <c r="D105" t="str">
        <f t="shared" si="31"/>
        <v>MSCN_LTC</v>
      </c>
      <c r="E105" t="str">
        <f t="shared" si="32"/>
        <v>MSCN_DOGE</v>
      </c>
      <c r="F105" t="str">
        <f t="shared" si="33"/>
        <v>MSCN_ETH</v>
      </c>
      <c r="G105" t="str">
        <f t="shared" si="34"/>
        <v>MSCN_EUR</v>
      </c>
      <c r="H105" t="str">
        <f t="shared" si="35"/>
        <v>MSCN_RUR</v>
      </c>
      <c r="I105" t="str">
        <f t="shared" si="36"/>
        <v>MSCN_DASH</v>
      </c>
      <c r="J105" t="str">
        <f t="shared" si="37"/>
        <v>MSCN_XMR</v>
      </c>
      <c r="K105" t="str">
        <f t="shared" si="38"/>
        <v>MSCN_ETC</v>
      </c>
      <c r="L105" t="str">
        <f t="shared" si="39"/>
        <v>MSCN_POSW</v>
      </c>
      <c r="M105" t="str">
        <f t="shared" si="40"/>
        <v>MSCN_USDT</v>
      </c>
      <c r="N105" t="str">
        <f t="shared" si="41"/>
        <v>MSCN_ZEC</v>
      </c>
      <c r="O105" t="str">
        <f t="shared" si="42"/>
        <v>MSCN_NXT</v>
      </c>
      <c r="P105" t="str">
        <f t="shared" si="43"/>
        <v>MSCN_REP</v>
      </c>
      <c r="R105" t="str">
        <f t="shared" si="45"/>
        <v>BTC_MSCN</v>
      </c>
      <c r="S105" t="str">
        <f t="shared" si="46"/>
        <v>USD_MSCN</v>
      </c>
      <c r="T105" t="str">
        <f t="shared" si="47"/>
        <v>LTC_MSCN</v>
      </c>
      <c r="U105" t="str">
        <f t="shared" si="48"/>
        <v>DOGE_MSCN</v>
      </c>
      <c r="V105" t="str">
        <f t="shared" si="49"/>
        <v>ETH_MSCN</v>
      </c>
      <c r="W105" t="str">
        <f t="shared" si="50"/>
        <v>EUR_MSCN</v>
      </c>
      <c r="X105" t="str">
        <f t="shared" si="51"/>
        <v>RUR_MSCN</v>
      </c>
      <c r="Y105" t="str">
        <f t="shared" si="52"/>
        <v>DASH_MSCN</v>
      </c>
      <c r="Z105" t="str">
        <f t="shared" si="53"/>
        <v>XMR_MSCN</v>
      </c>
      <c r="AA105" t="str">
        <f t="shared" si="54"/>
        <v>ETC_MSCN</v>
      </c>
      <c r="AB105" t="str">
        <f t="shared" si="55"/>
        <v>POSW_MSCN</v>
      </c>
      <c r="AC105" t="str">
        <f t="shared" si="56"/>
        <v>USDT_MSCN</v>
      </c>
      <c r="AD105" t="str">
        <f t="shared" si="57"/>
        <v>ZEC_MSCN</v>
      </c>
      <c r="AE105" t="str">
        <f t="shared" si="58"/>
        <v>NXT_MSCN</v>
      </c>
      <c r="AF105" t="str">
        <f t="shared" si="59"/>
        <v>REP_MSCN</v>
      </c>
    </row>
    <row r="106" spans="1:32" x14ac:dyDescent="0.25">
      <c r="A106" t="s">
        <v>2198</v>
      </c>
      <c r="B106" t="str">
        <f t="shared" si="44"/>
        <v>MUE_BTC</v>
      </c>
      <c r="C106" t="str">
        <f t="shared" si="30"/>
        <v>MUE_USD</v>
      </c>
      <c r="D106" t="str">
        <f t="shared" si="31"/>
        <v>MUE_LTC</v>
      </c>
      <c r="E106" t="str">
        <f t="shared" si="32"/>
        <v>MUE_DOGE</v>
      </c>
      <c r="F106" t="str">
        <f t="shared" si="33"/>
        <v>MUE_ETH</v>
      </c>
      <c r="G106" t="str">
        <f t="shared" si="34"/>
        <v>MUE_EUR</v>
      </c>
      <c r="H106" t="str">
        <f t="shared" si="35"/>
        <v>MUE_RUR</v>
      </c>
      <c r="I106" t="str">
        <f t="shared" si="36"/>
        <v>MUE_DASH</v>
      </c>
      <c r="J106" t="str">
        <f t="shared" si="37"/>
        <v>MUE_XMR</v>
      </c>
      <c r="K106" t="str">
        <f t="shared" si="38"/>
        <v>MUE_ETC</v>
      </c>
      <c r="L106" t="str">
        <f t="shared" si="39"/>
        <v>MUE_POSW</v>
      </c>
      <c r="M106" t="str">
        <f t="shared" si="40"/>
        <v>MUE_USDT</v>
      </c>
      <c r="N106" t="str">
        <f t="shared" si="41"/>
        <v>MUE_ZEC</v>
      </c>
      <c r="O106" t="str">
        <f t="shared" si="42"/>
        <v>MUE_NXT</v>
      </c>
      <c r="P106" t="str">
        <f t="shared" si="43"/>
        <v>MUE_REP</v>
      </c>
      <c r="R106" t="str">
        <f t="shared" si="45"/>
        <v>BTC_MUE</v>
      </c>
      <c r="S106" t="str">
        <f t="shared" si="46"/>
        <v>USD_MUE</v>
      </c>
      <c r="T106" t="str">
        <f t="shared" si="47"/>
        <v>LTC_MUE</v>
      </c>
      <c r="U106" t="str">
        <f t="shared" si="48"/>
        <v>DOGE_MUE</v>
      </c>
      <c r="V106" t="str">
        <f t="shared" si="49"/>
        <v>ETH_MUE</v>
      </c>
      <c r="W106" t="str">
        <f t="shared" si="50"/>
        <v>EUR_MUE</v>
      </c>
      <c r="X106" t="str">
        <f t="shared" si="51"/>
        <v>RUR_MUE</v>
      </c>
      <c r="Y106" t="str">
        <f t="shared" si="52"/>
        <v>DASH_MUE</v>
      </c>
      <c r="Z106" t="str">
        <f t="shared" si="53"/>
        <v>XMR_MUE</v>
      </c>
      <c r="AA106" t="str">
        <f t="shared" si="54"/>
        <v>ETC_MUE</v>
      </c>
      <c r="AB106" t="str">
        <f t="shared" si="55"/>
        <v>POSW_MUE</v>
      </c>
      <c r="AC106" t="str">
        <f t="shared" si="56"/>
        <v>USDT_MUE</v>
      </c>
      <c r="AD106" t="str">
        <f t="shared" si="57"/>
        <v>ZEC_MUE</v>
      </c>
      <c r="AE106" t="str">
        <f t="shared" si="58"/>
        <v>NXT_MUE</v>
      </c>
      <c r="AF106" t="str">
        <f t="shared" si="59"/>
        <v>REP_MUE</v>
      </c>
    </row>
    <row r="107" spans="1:32" x14ac:dyDescent="0.25">
      <c r="A107" t="s">
        <v>2153</v>
      </c>
      <c r="B107" t="str">
        <f t="shared" si="44"/>
        <v>NAUT_BTC</v>
      </c>
      <c r="C107" t="str">
        <f t="shared" si="30"/>
        <v>NAUT_USD</v>
      </c>
      <c r="D107" t="str">
        <f t="shared" si="31"/>
        <v>NAUT_LTC</v>
      </c>
      <c r="E107" t="str">
        <f t="shared" si="32"/>
        <v>NAUT_DOGE</v>
      </c>
      <c r="F107" t="str">
        <f t="shared" si="33"/>
        <v>NAUT_ETH</v>
      </c>
      <c r="G107" t="str">
        <f t="shared" si="34"/>
        <v>NAUT_EUR</v>
      </c>
      <c r="H107" t="str">
        <f t="shared" si="35"/>
        <v>NAUT_RUR</v>
      </c>
      <c r="I107" t="str">
        <f t="shared" si="36"/>
        <v>NAUT_DASH</v>
      </c>
      <c r="J107" t="str">
        <f t="shared" si="37"/>
        <v>NAUT_XMR</v>
      </c>
      <c r="K107" t="str">
        <f t="shared" si="38"/>
        <v>NAUT_ETC</v>
      </c>
      <c r="L107" t="str">
        <f t="shared" si="39"/>
        <v>NAUT_POSW</v>
      </c>
      <c r="M107" t="str">
        <f t="shared" si="40"/>
        <v>NAUT_USDT</v>
      </c>
      <c r="N107" t="str">
        <f t="shared" si="41"/>
        <v>NAUT_ZEC</v>
      </c>
      <c r="O107" t="str">
        <f t="shared" si="42"/>
        <v>NAUT_NXT</v>
      </c>
      <c r="P107" t="str">
        <f t="shared" si="43"/>
        <v>NAUT_REP</v>
      </c>
      <c r="R107" t="str">
        <f t="shared" si="45"/>
        <v>BTC_NAUT</v>
      </c>
      <c r="S107" t="str">
        <f t="shared" si="46"/>
        <v>USD_NAUT</v>
      </c>
      <c r="T107" t="str">
        <f t="shared" si="47"/>
        <v>LTC_NAUT</v>
      </c>
      <c r="U107" t="str">
        <f t="shared" si="48"/>
        <v>DOGE_NAUT</v>
      </c>
      <c r="V107" t="str">
        <f t="shared" si="49"/>
        <v>ETH_NAUT</v>
      </c>
      <c r="W107" t="str">
        <f t="shared" si="50"/>
        <v>EUR_NAUT</v>
      </c>
      <c r="X107" t="str">
        <f t="shared" si="51"/>
        <v>RUR_NAUT</v>
      </c>
      <c r="Y107" t="str">
        <f t="shared" si="52"/>
        <v>DASH_NAUT</v>
      </c>
      <c r="Z107" t="str">
        <f t="shared" si="53"/>
        <v>XMR_NAUT</v>
      </c>
      <c r="AA107" t="str">
        <f t="shared" si="54"/>
        <v>ETC_NAUT</v>
      </c>
      <c r="AB107" t="str">
        <f t="shared" si="55"/>
        <v>POSW_NAUT</v>
      </c>
      <c r="AC107" t="str">
        <f t="shared" si="56"/>
        <v>USDT_NAUT</v>
      </c>
      <c r="AD107" t="str">
        <f t="shared" si="57"/>
        <v>ZEC_NAUT</v>
      </c>
      <c r="AE107" t="str">
        <f t="shared" si="58"/>
        <v>NXT_NAUT</v>
      </c>
      <c r="AF107" t="str">
        <f t="shared" si="59"/>
        <v>REP_NAUT</v>
      </c>
    </row>
    <row r="108" spans="1:32" x14ac:dyDescent="0.25">
      <c r="A108" t="s">
        <v>2426</v>
      </c>
      <c r="B108" t="str">
        <f t="shared" si="44"/>
        <v>NAV_BTC</v>
      </c>
      <c r="C108" t="str">
        <f t="shared" si="30"/>
        <v>NAV_USD</v>
      </c>
      <c r="D108" t="str">
        <f t="shared" si="31"/>
        <v>NAV_LTC</v>
      </c>
      <c r="E108" t="str">
        <f t="shared" si="32"/>
        <v>NAV_DOGE</v>
      </c>
      <c r="F108" t="str">
        <f t="shared" si="33"/>
        <v>NAV_ETH</v>
      </c>
      <c r="G108" t="str">
        <f t="shared" si="34"/>
        <v>NAV_EUR</v>
      </c>
      <c r="H108" t="str">
        <f t="shared" si="35"/>
        <v>NAV_RUR</v>
      </c>
      <c r="I108" t="str">
        <f t="shared" si="36"/>
        <v>NAV_DASH</v>
      </c>
      <c r="J108" t="str">
        <f t="shared" si="37"/>
        <v>NAV_XMR</v>
      </c>
      <c r="K108" t="str">
        <f t="shared" si="38"/>
        <v>NAV_ETC</v>
      </c>
      <c r="L108" t="str">
        <f t="shared" si="39"/>
        <v>NAV_POSW</v>
      </c>
      <c r="M108" t="str">
        <f t="shared" si="40"/>
        <v>NAV_USDT</v>
      </c>
      <c r="N108" t="str">
        <f t="shared" si="41"/>
        <v>NAV_ZEC</v>
      </c>
      <c r="O108" t="str">
        <f t="shared" si="42"/>
        <v>NAV_NXT</v>
      </c>
      <c r="P108" t="str">
        <f t="shared" si="43"/>
        <v>NAV_REP</v>
      </c>
      <c r="R108" t="str">
        <f t="shared" si="45"/>
        <v>BTC_NAV</v>
      </c>
      <c r="S108" t="str">
        <f t="shared" si="46"/>
        <v>USD_NAV</v>
      </c>
      <c r="T108" t="str">
        <f t="shared" si="47"/>
        <v>LTC_NAV</v>
      </c>
      <c r="U108" t="str">
        <f t="shared" si="48"/>
        <v>DOGE_NAV</v>
      </c>
      <c r="V108" t="str">
        <f t="shared" si="49"/>
        <v>ETH_NAV</v>
      </c>
      <c r="W108" t="str">
        <f t="shared" si="50"/>
        <v>EUR_NAV</v>
      </c>
      <c r="X108" t="str">
        <f t="shared" si="51"/>
        <v>RUR_NAV</v>
      </c>
      <c r="Y108" t="str">
        <f t="shared" si="52"/>
        <v>DASH_NAV</v>
      </c>
      <c r="Z108" t="str">
        <f t="shared" si="53"/>
        <v>XMR_NAV</v>
      </c>
      <c r="AA108" t="str">
        <f t="shared" si="54"/>
        <v>ETC_NAV</v>
      </c>
      <c r="AB108" t="str">
        <f t="shared" si="55"/>
        <v>POSW_NAV</v>
      </c>
      <c r="AC108" t="str">
        <f t="shared" si="56"/>
        <v>USDT_NAV</v>
      </c>
      <c r="AD108" t="str">
        <f t="shared" si="57"/>
        <v>ZEC_NAV</v>
      </c>
      <c r="AE108" t="str">
        <f t="shared" si="58"/>
        <v>NXT_NAV</v>
      </c>
      <c r="AF108" t="str">
        <f t="shared" si="59"/>
        <v>REP_NAV</v>
      </c>
    </row>
    <row r="109" spans="1:32" x14ac:dyDescent="0.25">
      <c r="A109" t="s">
        <v>2429</v>
      </c>
      <c r="B109" t="str">
        <f t="shared" si="44"/>
        <v>NLG_BTC</v>
      </c>
      <c r="C109" t="str">
        <f t="shared" si="30"/>
        <v>NLG_USD</v>
      </c>
      <c r="D109" t="str">
        <f t="shared" si="31"/>
        <v>NLG_LTC</v>
      </c>
      <c r="E109" t="str">
        <f t="shared" si="32"/>
        <v>NLG_DOGE</v>
      </c>
      <c r="F109" t="str">
        <f t="shared" si="33"/>
        <v>NLG_ETH</v>
      </c>
      <c r="G109" t="str">
        <f t="shared" si="34"/>
        <v>NLG_EUR</v>
      </c>
      <c r="H109" t="str">
        <f t="shared" si="35"/>
        <v>NLG_RUR</v>
      </c>
      <c r="I109" t="str">
        <f t="shared" si="36"/>
        <v>NLG_DASH</v>
      </c>
      <c r="J109" t="str">
        <f t="shared" si="37"/>
        <v>NLG_XMR</v>
      </c>
      <c r="K109" t="str">
        <f t="shared" si="38"/>
        <v>NLG_ETC</v>
      </c>
      <c r="L109" t="str">
        <f t="shared" si="39"/>
        <v>NLG_POSW</v>
      </c>
      <c r="M109" t="str">
        <f t="shared" si="40"/>
        <v>NLG_USDT</v>
      </c>
      <c r="N109" t="str">
        <f t="shared" si="41"/>
        <v>NLG_ZEC</v>
      </c>
      <c r="O109" t="str">
        <f t="shared" si="42"/>
        <v>NLG_NXT</v>
      </c>
      <c r="P109" t="str">
        <f t="shared" si="43"/>
        <v>NLG_REP</v>
      </c>
      <c r="R109" t="str">
        <f t="shared" si="45"/>
        <v>BTC_NLG</v>
      </c>
      <c r="S109" t="str">
        <f t="shared" si="46"/>
        <v>USD_NLG</v>
      </c>
      <c r="T109" t="str">
        <f t="shared" si="47"/>
        <v>LTC_NLG</v>
      </c>
      <c r="U109" t="str">
        <f t="shared" si="48"/>
        <v>DOGE_NLG</v>
      </c>
      <c r="V109" t="str">
        <f t="shared" si="49"/>
        <v>ETH_NLG</v>
      </c>
      <c r="W109" t="str">
        <f t="shared" si="50"/>
        <v>EUR_NLG</v>
      </c>
      <c r="X109" t="str">
        <f t="shared" si="51"/>
        <v>RUR_NLG</v>
      </c>
      <c r="Y109" t="str">
        <f t="shared" si="52"/>
        <v>DASH_NLG</v>
      </c>
      <c r="Z109" t="str">
        <f t="shared" si="53"/>
        <v>XMR_NLG</v>
      </c>
      <c r="AA109" t="str">
        <f t="shared" si="54"/>
        <v>ETC_NLG</v>
      </c>
      <c r="AB109" t="str">
        <f t="shared" si="55"/>
        <v>POSW_NLG</v>
      </c>
      <c r="AC109" t="str">
        <f t="shared" si="56"/>
        <v>USDT_NLG</v>
      </c>
      <c r="AD109" t="str">
        <f t="shared" si="57"/>
        <v>ZEC_NLG</v>
      </c>
      <c r="AE109" t="str">
        <f t="shared" si="58"/>
        <v>NXT_NLG</v>
      </c>
      <c r="AF109" t="str">
        <f t="shared" si="59"/>
        <v>REP_NLG</v>
      </c>
    </row>
    <row r="110" spans="1:32" x14ac:dyDescent="0.25">
      <c r="A110" t="s">
        <v>2119</v>
      </c>
      <c r="B110" t="str">
        <f t="shared" si="44"/>
        <v>NMC_BTC</v>
      </c>
      <c r="C110" t="str">
        <f t="shared" si="30"/>
        <v>NMC_USD</v>
      </c>
      <c r="D110" t="str">
        <f t="shared" si="31"/>
        <v>NMC_LTC</v>
      </c>
      <c r="E110" t="str">
        <f t="shared" si="32"/>
        <v>NMC_DOGE</v>
      </c>
      <c r="F110" t="str">
        <f t="shared" si="33"/>
        <v>NMC_ETH</v>
      </c>
      <c r="G110" t="str">
        <f t="shared" si="34"/>
        <v>NMC_EUR</v>
      </c>
      <c r="H110" t="str">
        <f t="shared" si="35"/>
        <v>NMC_RUR</v>
      </c>
      <c r="I110" t="str">
        <f t="shared" si="36"/>
        <v>NMC_DASH</v>
      </c>
      <c r="J110" t="str">
        <f t="shared" si="37"/>
        <v>NMC_XMR</v>
      </c>
      <c r="K110" t="str">
        <f t="shared" si="38"/>
        <v>NMC_ETC</v>
      </c>
      <c r="L110" t="str">
        <f t="shared" si="39"/>
        <v>NMC_POSW</v>
      </c>
      <c r="M110" t="str">
        <f t="shared" si="40"/>
        <v>NMC_USDT</v>
      </c>
      <c r="N110" t="str">
        <f t="shared" si="41"/>
        <v>NMC_ZEC</v>
      </c>
      <c r="O110" t="str">
        <f t="shared" si="42"/>
        <v>NMC_NXT</v>
      </c>
      <c r="P110" t="str">
        <f t="shared" si="43"/>
        <v>NMC_REP</v>
      </c>
      <c r="R110" t="str">
        <f t="shared" si="45"/>
        <v>BTC_NMC</v>
      </c>
      <c r="S110" t="str">
        <f t="shared" si="46"/>
        <v>USD_NMC</v>
      </c>
      <c r="T110" t="str">
        <f t="shared" si="47"/>
        <v>LTC_NMC</v>
      </c>
      <c r="U110" t="str">
        <f t="shared" si="48"/>
        <v>DOGE_NMC</v>
      </c>
      <c r="V110" t="str">
        <f t="shared" si="49"/>
        <v>ETH_NMC</v>
      </c>
      <c r="W110" t="str">
        <f t="shared" si="50"/>
        <v>EUR_NMC</v>
      </c>
      <c r="X110" t="str">
        <f t="shared" si="51"/>
        <v>RUR_NMC</v>
      </c>
      <c r="Y110" t="str">
        <f t="shared" si="52"/>
        <v>DASH_NMC</v>
      </c>
      <c r="Z110" t="str">
        <f t="shared" si="53"/>
        <v>XMR_NMC</v>
      </c>
      <c r="AA110" t="str">
        <f t="shared" si="54"/>
        <v>ETC_NMC</v>
      </c>
      <c r="AB110" t="str">
        <f t="shared" si="55"/>
        <v>POSW_NMC</v>
      </c>
      <c r="AC110" t="str">
        <f t="shared" si="56"/>
        <v>USDT_NMC</v>
      </c>
      <c r="AD110" t="str">
        <f t="shared" si="57"/>
        <v>ZEC_NMC</v>
      </c>
      <c r="AE110" t="str">
        <f t="shared" si="58"/>
        <v>NXT_NMC</v>
      </c>
      <c r="AF110" t="str">
        <f t="shared" si="59"/>
        <v>REP_NMC</v>
      </c>
    </row>
    <row r="111" spans="1:32" x14ac:dyDescent="0.25">
      <c r="A111" t="s">
        <v>2199</v>
      </c>
      <c r="B111" t="str">
        <f t="shared" si="44"/>
        <v>NOTE_BTC</v>
      </c>
      <c r="C111" t="str">
        <f t="shared" si="30"/>
        <v>NOTE_USD</v>
      </c>
      <c r="D111" t="str">
        <f t="shared" si="31"/>
        <v>NOTE_LTC</v>
      </c>
      <c r="E111" t="str">
        <f t="shared" si="32"/>
        <v>NOTE_DOGE</v>
      </c>
      <c r="F111" t="str">
        <f t="shared" si="33"/>
        <v>NOTE_ETH</v>
      </c>
      <c r="G111" t="str">
        <f t="shared" si="34"/>
        <v>NOTE_EUR</v>
      </c>
      <c r="H111" t="str">
        <f t="shared" si="35"/>
        <v>NOTE_RUR</v>
      </c>
      <c r="I111" t="str">
        <f t="shared" si="36"/>
        <v>NOTE_DASH</v>
      </c>
      <c r="J111" t="str">
        <f t="shared" si="37"/>
        <v>NOTE_XMR</v>
      </c>
      <c r="K111" t="str">
        <f t="shared" si="38"/>
        <v>NOTE_ETC</v>
      </c>
      <c r="L111" t="str">
        <f t="shared" si="39"/>
        <v>NOTE_POSW</v>
      </c>
      <c r="M111" t="str">
        <f t="shared" si="40"/>
        <v>NOTE_USDT</v>
      </c>
      <c r="N111" t="str">
        <f t="shared" si="41"/>
        <v>NOTE_ZEC</v>
      </c>
      <c r="O111" t="str">
        <f t="shared" si="42"/>
        <v>NOTE_NXT</v>
      </c>
      <c r="P111" t="str">
        <f t="shared" si="43"/>
        <v>NOTE_REP</v>
      </c>
      <c r="R111" t="str">
        <f t="shared" si="45"/>
        <v>BTC_NOTE</v>
      </c>
      <c r="S111" t="str">
        <f t="shared" si="46"/>
        <v>USD_NOTE</v>
      </c>
      <c r="T111" t="str">
        <f t="shared" si="47"/>
        <v>LTC_NOTE</v>
      </c>
      <c r="U111" t="str">
        <f t="shared" si="48"/>
        <v>DOGE_NOTE</v>
      </c>
      <c r="V111" t="str">
        <f t="shared" si="49"/>
        <v>ETH_NOTE</v>
      </c>
      <c r="W111" t="str">
        <f t="shared" si="50"/>
        <v>EUR_NOTE</v>
      </c>
      <c r="X111" t="str">
        <f t="shared" si="51"/>
        <v>RUR_NOTE</v>
      </c>
      <c r="Y111" t="str">
        <f t="shared" si="52"/>
        <v>DASH_NOTE</v>
      </c>
      <c r="Z111" t="str">
        <f t="shared" si="53"/>
        <v>XMR_NOTE</v>
      </c>
      <c r="AA111" t="str">
        <f t="shared" si="54"/>
        <v>ETC_NOTE</v>
      </c>
      <c r="AB111" t="str">
        <f t="shared" si="55"/>
        <v>POSW_NOTE</v>
      </c>
      <c r="AC111" t="str">
        <f t="shared" si="56"/>
        <v>USDT_NOTE</v>
      </c>
      <c r="AD111" t="str">
        <f t="shared" si="57"/>
        <v>ZEC_NOTE</v>
      </c>
      <c r="AE111" t="str">
        <f t="shared" si="58"/>
        <v>NXT_NOTE</v>
      </c>
      <c r="AF111" t="str">
        <f t="shared" si="59"/>
        <v>REP_NOTE</v>
      </c>
    </row>
    <row r="112" spans="1:32" x14ac:dyDescent="0.25">
      <c r="A112" t="s">
        <v>2107</v>
      </c>
      <c r="B112" t="str">
        <f t="shared" si="44"/>
        <v>NVC_BTC</v>
      </c>
      <c r="C112" t="str">
        <f t="shared" si="30"/>
        <v>NVC_USD</v>
      </c>
      <c r="D112" t="str">
        <f t="shared" si="31"/>
        <v>NVC_LTC</v>
      </c>
      <c r="E112" t="str">
        <f t="shared" si="32"/>
        <v>NVC_DOGE</v>
      </c>
      <c r="F112" t="str">
        <f t="shared" si="33"/>
        <v>NVC_ETH</v>
      </c>
      <c r="G112" t="str">
        <f t="shared" si="34"/>
        <v>NVC_EUR</v>
      </c>
      <c r="H112" t="str">
        <f t="shared" si="35"/>
        <v>NVC_RUR</v>
      </c>
      <c r="I112" t="str">
        <f t="shared" si="36"/>
        <v>NVC_DASH</v>
      </c>
      <c r="J112" t="str">
        <f t="shared" si="37"/>
        <v>NVC_XMR</v>
      </c>
      <c r="K112" t="str">
        <f t="shared" si="38"/>
        <v>NVC_ETC</v>
      </c>
      <c r="L112" t="str">
        <f t="shared" si="39"/>
        <v>NVC_POSW</v>
      </c>
      <c r="M112" t="str">
        <f t="shared" si="40"/>
        <v>NVC_USDT</v>
      </c>
      <c r="N112" t="str">
        <f t="shared" si="41"/>
        <v>NVC_ZEC</v>
      </c>
      <c r="O112" t="str">
        <f t="shared" si="42"/>
        <v>NVC_NXT</v>
      </c>
      <c r="P112" t="str">
        <f t="shared" si="43"/>
        <v>NVC_REP</v>
      </c>
      <c r="R112" t="str">
        <f t="shared" si="45"/>
        <v>BTC_NVC</v>
      </c>
      <c r="S112" t="str">
        <f t="shared" si="46"/>
        <v>USD_NVC</v>
      </c>
      <c r="T112" t="str">
        <f t="shared" si="47"/>
        <v>LTC_NVC</v>
      </c>
      <c r="U112" t="str">
        <f t="shared" si="48"/>
        <v>DOGE_NVC</v>
      </c>
      <c r="V112" t="str">
        <f t="shared" si="49"/>
        <v>ETH_NVC</v>
      </c>
      <c r="W112" t="str">
        <f t="shared" si="50"/>
        <v>EUR_NVC</v>
      </c>
      <c r="X112" t="str">
        <f t="shared" si="51"/>
        <v>RUR_NVC</v>
      </c>
      <c r="Y112" t="str">
        <f t="shared" si="52"/>
        <v>DASH_NVC</v>
      </c>
      <c r="Z112" t="str">
        <f t="shared" si="53"/>
        <v>XMR_NVC</v>
      </c>
      <c r="AA112" t="str">
        <f t="shared" si="54"/>
        <v>ETC_NVC</v>
      </c>
      <c r="AB112" t="str">
        <f t="shared" si="55"/>
        <v>POSW_NVC</v>
      </c>
      <c r="AC112" t="str">
        <f t="shared" si="56"/>
        <v>USDT_NVC</v>
      </c>
      <c r="AD112" t="str">
        <f t="shared" si="57"/>
        <v>ZEC_NVC</v>
      </c>
      <c r="AE112" t="str">
        <f t="shared" si="58"/>
        <v>NXT_NVC</v>
      </c>
      <c r="AF112" t="str">
        <f t="shared" si="59"/>
        <v>REP_NVC</v>
      </c>
    </row>
    <row r="113" spans="1:32" x14ac:dyDescent="0.25">
      <c r="A113" t="s">
        <v>2154</v>
      </c>
      <c r="B113" t="str">
        <f t="shared" si="44"/>
        <v>NXC_BTC</v>
      </c>
      <c r="C113" t="str">
        <f t="shared" si="30"/>
        <v>NXC_USD</v>
      </c>
      <c r="D113" t="str">
        <f t="shared" si="31"/>
        <v>NXC_LTC</v>
      </c>
      <c r="E113" t="str">
        <f t="shared" si="32"/>
        <v>NXC_DOGE</v>
      </c>
      <c r="F113" t="str">
        <f t="shared" si="33"/>
        <v>NXC_ETH</v>
      </c>
      <c r="G113" t="str">
        <f t="shared" si="34"/>
        <v>NXC_EUR</v>
      </c>
      <c r="H113" t="str">
        <f t="shared" si="35"/>
        <v>NXC_RUR</v>
      </c>
      <c r="I113" t="str">
        <f t="shared" si="36"/>
        <v>NXC_DASH</v>
      </c>
      <c r="J113" t="str">
        <f t="shared" si="37"/>
        <v>NXC_XMR</v>
      </c>
      <c r="K113" t="str">
        <f t="shared" si="38"/>
        <v>NXC_ETC</v>
      </c>
      <c r="L113" t="str">
        <f t="shared" si="39"/>
        <v>NXC_POSW</v>
      </c>
      <c r="M113" t="str">
        <f t="shared" si="40"/>
        <v>NXC_USDT</v>
      </c>
      <c r="N113" t="str">
        <f t="shared" si="41"/>
        <v>NXC_ZEC</v>
      </c>
      <c r="O113" t="str">
        <f t="shared" si="42"/>
        <v>NXC_NXT</v>
      </c>
      <c r="P113" t="str">
        <f t="shared" si="43"/>
        <v>NXC_REP</v>
      </c>
      <c r="R113" t="str">
        <f t="shared" si="45"/>
        <v>BTC_NXC</v>
      </c>
      <c r="S113" t="str">
        <f t="shared" si="46"/>
        <v>USD_NXC</v>
      </c>
      <c r="T113" t="str">
        <f t="shared" si="47"/>
        <v>LTC_NXC</v>
      </c>
      <c r="U113" t="str">
        <f t="shared" si="48"/>
        <v>DOGE_NXC</v>
      </c>
      <c r="V113" t="str">
        <f t="shared" si="49"/>
        <v>ETH_NXC</v>
      </c>
      <c r="W113" t="str">
        <f t="shared" si="50"/>
        <v>EUR_NXC</v>
      </c>
      <c r="X113" t="str">
        <f t="shared" si="51"/>
        <v>RUR_NXC</v>
      </c>
      <c r="Y113" t="str">
        <f t="shared" si="52"/>
        <v>DASH_NXC</v>
      </c>
      <c r="Z113" t="str">
        <f t="shared" si="53"/>
        <v>XMR_NXC</v>
      </c>
      <c r="AA113" t="str">
        <f t="shared" si="54"/>
        <v>ETC_NXC</v>
      </c>
      <c r="AB113" t="str">
        <f t="shared" si="55"/>
        <v>POSW_NXC</v>
      </c>
      <c r="AC113" t="str">
        <f t="shared" si="56"/>
        <v>USDT_NXC</v>
      </c>
      <c r="AD113" t="str">
        <f t="shared" si="57"/>
        <v>ZEC_NXC</v>
      </c>
      <c r="AE113" t="str">
        <f t="shared" si="58"/>
        <v>NXT_NXC</v>
      </c>
      <c r="AF113" t="str">
        <f t="shared" si="59"/>
        <v>REP_NXC</v>
      </c>
    </row>
    <row r="114" spans="1:32" x14ac:dyDescent="0.25">
      <c r="A114" t="s">
        <v>2120</v>
      </c>
      <c r="B114" t="str">
        <f t="shared" si="44"/>
        <v>NXT_BTC</v>
      </c>
      <c r="C114" t="str">
        <f t="shared" si="30"/>
        <v>NXT_USD</v>
      </c>
      <c r="D114" t="str">
        <f t="shared" si="31"/>
        <v>NXT_LTC</v>
      </c>
      <c r="E114" t="str">
        <f t="shared" si="32"/>
        <v>NXT_DOGE</v>
      </c>
      <c r="F114" t="str">
        <f t="shared" si="33"/>
        <v>NXT_ETH</v>
      </c>
      <c r="G114" t="str">
        <f t="shared" si="34"/>
        <v>NXT_EUR</v>
      </c>
      <c r="H114" t="str">
        <f t="shared" si="35"/>
        <v>NXT_RUR</v>
      </c>
      <c r="I114" t="str">
        <f t="shared" si="36"/>
        <v>NXT_DASH</v>
      </c>
      <c r="J114" t="str">
        <f t="shared" si="37"/>
        <v>NXT_XMR</v>
      </c>
      <c r="K114" t="str">
        <f t="shared" si="38"/>
        <v>NXT_ETC</v>
      </c>
      <c r="L114" t="str">
        <f t="shared" si="39"/>
        <v>NXT_POSW</v>
      </c>
      <c r="M114" t="str">
        <f t="shared" si="40"/>
        <v>NXT_USDT</v>
      </c>
      <c r="N114" t="str">
        <f t="shared" si="41"/>
        <v>NXT_ZEC</v>
      </c>
      <c r="O114" t="str">
        <f t="shared" si="42"/>
        <v>NXT_NXT</v>
      </c>
      <c r="P114" t="str">
        <f t="shared" si="43"/>
        <v>NXT_REP</v>
      </c>
      <c r="R114" t="str">
        <f t="shared" si="45"/>
        <v>BTC_NXT</v>
      </c>
      <c r="S114" t="str">
        <f t="shared" si="46"/>
        <v>USD_NXT</v>
      </c>
      <c r="T114" t="str">
        <f t="shared" si="47"/>
        <v>LTC_NXT</v>
      </c>
      <c r="U114" t="str">
        <f t="shared" si="48"/>
        <v>DOGE_NXT</v>
      </c>
      <c r="V114" t="str">
        <f t="shared" si="49"/>
        <v>ETH_NXT</v>
      </c>
      <c r="W114" t="str">
        <f t="shared" si="50"/>
        <v>EUR_NXT</v>
      </c>
      <c r="X114" t="str">
        <f t="shared" si="51"/>
        <v>RUR_NXT</v>
      </c>
      <c r="Y114" t="str">
        <f t="shared" si="52"/>
        <v>DASH_NXT</v>
      </c>
      <c r="Z114" t="str">
        <f t="shared" si="53"/>
        <v>XMR_NXT</v>
      </c>
      <c r="AA114" t="str">
        <f t="shared" si="54"/>
        <v>ETC_NXT</v>
      </c>
      <c r="AB114" t="str">
        <f t="shared" si="55"/>
        <v>POSW_NXT</v>
      </c>
      <c r="AC114" t="str">
        <f t="shared" si="56"/>
        <v>USDT_NXT</v>
      </c>
      <c r="AD114" t="str">
        <f t="shared" si="57"/>
        <v>ZEC_NXT</v>
      </c>
      <c r="AE114" t="str">
        <f t="shared" si="58"/>
        <v>NXT_NXT</v>
      </c>
      <c r="AF114" t="str">
        <f t="shared" si="59"/>
        <v>REP_NXT</v>
      </c>
    </row>
    <row r="115" spans="1:32" x14ac:dyDescent="0.25">
      <c r="A115" t="s">
        <v>2200</v>
      </c>
      <c r="B115" t="str">
        <f t="shared" si="44"/>
        <v>OD_BTC</v>
      </c>
      <c r="C115" t="str">
        <f t="shared" si="30"/>
        <v>OD_USD</v>
      </c>
      <c r="D115" t="str">
        <f t="shared" si="31"/>
        <v>OD_LTC</v>
      </c>
      <c r="E115" t="str">
        <f t="shared" si="32"/>
        <v>OD_DOGE</v>
      </c>
      <c r="F115" t="str">
        <f t="shared" si="33"/>
        <v>OD_ETH</v>
      </c>
      <c r="G115" t="str">
        <f t="shared" si="34"/>
        <v>OD_EUR</v>
      </c>
      <c r="H115" t="str">
        <f t="shared" si="35"/>
        <v>OD_RUR</v>
      </c>
      <c r="I115" t="str">
        <f t="shared" si="36"/>
        <v>OD_DASH</v>
      </c>
      <c r="J115" t="str">
        <f t="shared" si="37"/>
        <v>OD_XMR</v>
      </c>
      <c r="K115" t="str">
        <f t="shared" si="38"/>
        <v>OD_ETC</v>
      </c>
      <c r="L115" t="str">
        <f t="shared" si="39"/>
        <v>OD_POSW</v>
      </c>
      <c r="M115" t="str">
        <f t="shared" si="40"/>
        <v>OD_USDT</v>
      </c>
      <c r="N115" t="str">
        <f t="shared" si="41"/>
        <v>OD_ZEC</v>
      </c>
      <c r="O115" t="str">
        <f t="shared" si="42"/>
        <v>OD_NXT</v>
      </c>
      <c r="P115" t="str">
        <f t="shared" si="43"/>
        <v>OD_REP</v>
      </c>
      <c r="R115" t="str">
        <f t="shared" si="45"/>
        <v>BTC_OD</v>
      </c>
      <c r="S115" t="str">
        <f t="shared" si="46"/>
        <v>USD_OD</v>
      </c>
      <c r="T115" t="str">
        <f t="shared" si="47"/>
        <v>LTC_OD</v>
      </c>
      <c r="U115" t="str">
        <f t="shared" si="48"/>
        <v>DOGE_OD</v>
      </c>
      <c r="V115" t="str">
        <f t="shared" si="49"/>
        <v>ETH_OD</v>
      </c>
      <c r="W115" t="str">
        <f t="shared" si="50"/>
        <v>EUR_OD</v>
      </c>
      <c r="X115" t="str">
        <f t="shared" si="51"/>
        <v>RUR_OD</v>
      </c>
      <c r="Y115" t="str">
        <f t="shared" si="52"/>
        <v>DASH_OD</v>
      </c>
      <c r="Z115" t="str">
        <f t="shared" si="53"/>
        <v>XMR_OD</v>
      </c>
      <c r="AA115" t="str">
        <f t="shared" si="54"/>
        <v>ETC_OD</v>
      </c>
      <c r="AB115" t="str">
        <f t="shared" si="55"/>
        <v>POSW_OD</v>
      </c>
      <c r="AC115" t="str">
        <f t="shared" si="56"/>
        <v>USDT_OD</v>
      </c>
      <c r="AD115" t="str">
        <f t="shared" si="57"/>
        <v>ZEC_OD</v>
      </c>
      <c r="AE115" t="str">
        <f t="shared" si="58"/>
        <v>NXT_OD</v>
      </c>
      <c r="AF115" t="str">
        <f t="shared" si="59"/>
        <v>REP_OD</v>
      </c>
    </row>
    <row r="116" spans="1:32" x14ac:dyDescent="0.25">
      <c r="A116" t="s">
        <v>2432</v>
      </c>
      <c r="B116" t="str">
        <f t="shared" si="44"/>
        <v>OK_BTC</v>
      </c>
      <c r="C116" t="str">
        <f t="shared" si="30"/>
        <v>OK_USD</v>
      </c>
      <c r="D116" t="str">
        <f t="shared" si="31"/>
        <v>OK_LTC</v>
      </c>
      <c r="E116" t="str">
        <f t="shared" si="32"/>
        <v>OK_DOGE</v>
      </c>
      <c r="F116" t="str">
        <f t="shared" si="33"/>
        <v>OK_ETH</v>
      </c>
      <c r="G116" t="str">
        <f t="shared" si="34"/>
        <v>OK_EUR</v>
      </c>
      <c r="H116" t="str">
        <f t="shared" si="35"/>
        <v>OK_RUR</v>
      </c>
      <c r="I116" t="str">
        <f t="shared" si="36"/>
        <v>OK_DASH</v>
      </c>
      <c r="J116" t="str">
        <f t="shared" si="37"/>
        <v>OK_XMR</v>
      </c>
      <c r="K116" t="str">
        <f t="shared" si="38"/>
        <v>OK_ETC</v>
      </c>
      <c r="L116" t="str">
        <f t="shared" si="39"/>
        <v>OK_POSW</v>
      </c>
      <c r="M116" t="str">
        <f t="shared" si="40"/>
        <v>OK_USDT</v>
      </c>
      <c r="N116" t="str">
        <f t="shared" si="41"/>
        <v>OK_ZEC</v>
      </c>
      <c r="O116" t="str">
        <f t="shared" si="42"/>
        <v>OK_NXT</v>
      </c>
      <c r="P116" t="str">
        <f t="shared" si="43"/>
        <v>OK_REP</v>
      </c>
      <c r="R116" t="str">
        <f t="shared" si="45"/>
        <v>BTC_OK</v>
      </c>
      <c r="S116" t="str">
        <f t="shared" si="46"/>
        <v>USD_OK</v>
      </c>
      <c r="T116" t="str">
        <f t="shared" si="47"/>
        <v>LTC_OK</v>
      </c>
      <c r="U116" t="str">
        <f t="shared" si="48"/>
        <v>DOGE_OK</v>
      </c>
      <c r="V116" t="str">
        <f t="shared" si="49"/>
        <v>ETH_OK</v>
      </c>
      <c r="W116" t="str">
        <f t="shared" si="50"/>
        <v>EUR_OK</v>
      </c>
      <c r="X116" t="str">
        <f t="shared" si="51"/>
        <v>RUR_OK</v>
      </c>
      <c r="Y116" t="str">
        <f t="shared" si="52"/>
        <v>DASH_OK</v>
      </c>
      <c r="Z116" t="str">
        <f t="shared" si="53"/>
        <v>XMR_OK</v>
      </c>
      <c r="AA116" t="str">
        <f t="shared" si="54"/>
        <v>ETC_OK</v>
      </c>
      <c r="AB116" t="str">
        <f t="shared" si="55"/>
        <v>POSW_OK</v>
      </c>
      <c r="AC116" t="str">
        <f t="shared" si="56"/>
        <v>USDT_OK</v>
      </c>
      <c r="AD116" t="str">
        <f t="shared" si="57"/>
        <v>ZEC_OK</v>
      </c>
      <c r="AE116" t="str">
        <f t="shared" si="58"/>
        <v>NXT_OK</v>
      </c>
      <c r="AF116" t="str">
        <f t="shared" si="59"/>
        <v>REP_OK</v>
      </c>
    </row>
    <row r="117" spans="1:32" x14ac:dyDescent="0.25">
      <c r="A117" t="s">
        <v>2433</v>
      </c>
      <c r="B117" t="str">
        <f t="shared" si="44"/>
        <v>OMNI_BTC</v>
      </c>
      <c r="C117" t="str">
        <f t="shared" si="30"/>
        <v>OMNI_USD</v>
      </c>
      <c r="D117" t="str">
        <f t="shared" si="31"/>
        <v>OMNI_LTC</v>
      </c>
      <c r="E117" t="str">
        <f t="shared" si="32"/>
        <v>OMNI_DOGE</v>
      </c>
      <c r="F117" t="str">
        <f t="shared" si="33"/>
        <v>OMNI_ETH</v>
      </c>
      <c r="G117" t="str">
        <f t="shared" si="34"/>
        <v>OMNI_EUR</v>
      </c>
      <c r="H117" t="str">
        <f t="shared" si="35"/>
        <v>OMNI_RUR</v>
      </c>
      <c r="I117" t="str">
        <f t="shared" si="36"/>
        <v>OMNI_DASH</v>
      </c>
      <c r="J117" t="str">
        <f t="shared" si="37"/>
        <v>OMNI_XMR</v>
      </c>
      <c r="K117" t="str">
        <f t="shared" si="38"/>
        <v>OMNI_ETC</v>
      </c>
      <c r="L117" t="str">
        <f t="shared" si="39"/>
        <v>OMNI_POSW</v>
      </c>
      <c r="M117" t="str">
        <f t="shared" si="40"/>
        <v>OMNI_USDT</v>
      </c>
      <c r="N117" t="str">
        <f t="shared" si="41"/>
        <v>OMNI_ZEC</v>
      </c>
      <c r="O117" t="str">
        <f t="shared" si="42"/>
        <v>OMNI_NXT</v>
      </c>
      <c r="P117" t="str">
        <f t="shared" si="43"/>
        <v>OMNI_REP</v>
      </c>
      <c r="R117" t="str">
        <f t="shared" si="45"/>
        <v>BTC_OMNI</v>
      </c>
      <c r="S117" t="str">
        <f t="shared" si="46"/>
        <v>USD_OMNI</v>
      </c>
      <c r="T117" t="str">
        <f t="shared" si="47"/>
        <v>LTC_OMNI</v>
      </c>
      <c r="U117" t="str">
        <f t="shared" si="48"/>
        <v>DOGE_OMNI</v>
      </c>
      <c r="V117" t="str">
        <f t="shared" si="49"/>
        <v>ETH_OMNI</v>
      </c>
      <c r="W117" t="str">
        <f t="shared" si="50"/>
        <v>EUR_OMNI</v>
      </c>
      <c r="X117" t="str">
        <f t="shared" si="51"/>
        <v>RUR_OMNI</v>
      </c>
      <c r="Y117" t="str">
        <f t="shared" si="52"/>
        <v>DASH_OMNI</v>
      </c>
      <c r="Z117" t="str">
        <f t="shared" si="53"/>
        <v>XMR_OMNI</v>
      </c>
      <c r="AA117" t="str">
        <f t="shared" si="54"/>
        <v>ETC_OMNI</v>
      </c>
      <c r="AB117" t="str">
        <f t="shared" si="55"/>
        <v>POSW_OMNI</v>
      </c>
      <c r="AC117" t="str">
        <f t="shared" si="56"/>
        <v>USDT_OMNI</v>
      </c>
      <c r="AD117" t="str">
        <f t="shared" si="57"/>
        <v>ZEC_OMNI</v>
      </c>
      <c r="AE117" t="str">
        <f t="shared" si="58"/>
        <v>NXT_OMNI</v>
      </c>
      <c r="AF117" t="str">
        <f t="shared" si="59"/>
        <v>REP_OMNI</v>
      </c>
    </row>
    <row r="118" spans="1:32" x14ac:dyDescent="0.25">
      <c r="A118" t="s">
        <v>2201</v>
      </c>
      <c r="B118" t="str">
        <f t="shared" si="44"/>
        <v>OTX_BTC</v>
      </c>
      <c r="C118" t="str">
        <f t="shared" si="30"/>
        <v>OTX_USD</v>
      </c>
      <c r="D118" t="str">
        <f t="shared" si="31"/>
        <v>OTX_LTC</v>
      </c>
      <c r="E118" t="str">
        <f t="shared" si="32"/>
        <v>OTX_DOGE</v>
      </c>
      <c r="F118" t="str">
        <f t="shared" si="33"/>
        <v>OTX_ETH</v>
      </c>
      <c r="G118" t="str">
        <f t="shared" si="34"/>
        <v>OTX_EUR</v>
      </c>
      <c r="H118" t="str">
        <f t="shared" si="35"/>
        <v>OTX_RUR</v>
      </c>
      <c r="I118" t="str">
        <f t="shared" si="36"/>
        <v>OTX_DASH</v>
      </c>
      <c r="J118" t="str">
        <f t="shared" si="37"/>
        <v>OTX_XMR</v>
      </c>
      <c r="K118" t="str">
        <f t="shared" si="38"/>
        <v>OTX_ETC</v>
      </c>
      <c r="L118" t="str">
        <f t="shared" si="39"/>
        <v>OTX_POSW</v>
      </c>
      <c r="M118" t="str">
        <f t="shared" si="40"/>
        <v>OTX_USDT</v>
      </c>
      <c r="N118" t="str">
        <f t="shared" si="41"/>
        <v>OTX_ZEC</v>
      </c>
      <c r="O118" t="str">
        <f t="shared" si="42"/>
        <v>OTX_NXT</v>
      </c>
      <c r="P118" t="str">
        <f t="shared" si="43"/>
        <v>OTX_REP</v>
      </c>
      <c r="R118" t="str">
        <f t="shared" si="45"/>
        <v>BTC_OTX</v>
      </c>
      <c r="S118" t="str">
        <f t="shared" si="46"/>
        <v>USD_OTX</v>
      </c>
      <c r="T118" t="str">
        <f t="shared" si="47"/>
        <v>LTC_OTX</v>
      </c>
      <c r="U118" t="str">
        <f t="shared" si="48"/>
        <v>DOGE_OTX</v>
      </c>
      <c r="V118" t="str">
        <f t="shared" si="49"/>
        <v>ETH_OTX</v>
      </c>
      <c r="W118" t="str">
        <f t="shared" si="50"/>
        <v>EUR_OTX</v>
      </c>
      <c r="X118" t="str">
        <f t="shared" si="51"/>
        <v>RUR_OTX</v>
      </c>
      <c r="Y118" t="str">
        <f t="shared" si="52"/>
        <v>DASH_OTX</v>
      </c>
      <c r="Z118" t="str">
        <f t="shared" si="53"/>
        <v>XMR_OTX</v>
      </c>
      <c r="AA118" t="str">
        <f t="shared" si="54"/>
        <v>ETC_OTX</v>
      </c>
      <c r="AB118" t="str">
        <f t="shared" si="55"/>
        <v>POSW_OTX</v>
      </c>
      <c r="AC118" t="str">
        <f t="shared" si="56"/>
        <v>USDT_OTX</v>
      </c>
      <c r="AD118" t="str">
        <f t="shared" si="57"/>
        <v>ZEC_OTX</v>
      </c>
      <c r="AE118" t="str">
        <f t="shared" si="58"/>
        <v>NXT_OTX</v>
      </c>
      <c r="AF118" t="str">
        <f t="shared" si="59"/>
        <v>REP_OTX</v>
      </c>
    </row>
    <row r="119" spans="1:32" x14ac:dyDescent="0.25">
      <c r="A119" t="s">
        <v>2155</v>
      </c>
      <c r="B119" t="str">
        <f t="shared" si="44"/>
        <v>PINK_BTC</v>
      </c>
      <c r="C119" t="str">
        <f t="shared" si="30"/>
        <v>PINK_USD</v>
      </c>
      <c r="D119" t="str">
        <f t="shared" si="31"/>
        <v>PINK_LTC</v>
      </c>
      <c r="E119" t="str">
        <f t="shared" si="32"/>
        <v>PINK_DOGE</v>
      </c>
      <c r="F119" t="str">
        <f t="shared" si="33"/>
        <v>PINK_ETH</v>
      </c>
      <c r="G119" t="str">
        <f t="shared" si="34"/>
        <v>PINK_EUR</v>
      </c>
      <c r="H119" t="str">
        <f t="shared" si="35"/>
        <v>PINK_RUR</v>
      </c>
      <c r="I119" t="str">
        <f t="shared" si="36"/>
        <v>PINK_DASH</v>
      </c>
      <c r="J119" t="str">
        <f t="shared" si="37"/>
        <v>PINK_XMR</v>
      </c>
      <c r="K119" t="str">
        <f t="shared" si="38"/>
        <v>PINK_ETC</v>
      </c>
      <c r="L119" t="str">
        <f t="shared" si="39"/>
        <v>PINK_POSW</v>
      </c>
      <c r="M119" t="str">
        <f t="shared" si="40"/>
        <v>PINK_USDT</v>
      </c>
      <c r="N119" t="str">
        <f t="shared" si="41"/>
        <v>PINK_ZEC</v>
      </c>
      <c r="O119" t="str">
        <f t="shared" si="42"/>
        <v>PINK_NXT</v>
      </c>
      <c r="P119" t="str">
        <f t="shared" si="43"/>
        <v>PINK_REP</v>
      </c>
      <c r="R119" t="str">
        <f t="shared" si="45"/>
        <v>BTC_PINK</v>
      </c>
      <c r="S119" t="str">
        <f t="shared" si="46"/>
        <v>USD_PINK</v>
      </c>
      <c r="T119" t="str">
        <f t="shared" si="47"/>
        <v>LTC_PINK</v>
      </c>
      <c r="U119" t="str">
        <f t="shared" si="48"/>
        <v>DOGE_PINK</v>
      </c>
      <c r="V119" t="str">
        <f t="shared" si="49"/>
        <v>ETH_PINK</v>
      </c>
      <c r="W119" t="str">
        <f t="shared" si="50"/>
        <v>EUR_PINK</v>
      </c>
      <c r="X119" t="str">
        <f t="shared" si="51"/>
        <v>RUR_PINK</v>
      </c>
      <c r="Y119" t="str">
        <f t="shared" si="52"/>
        <v>DASH_PINK</v>
      </c>
      <c r="Z119" t="str">
        <f t="shared" si="53"/>
        <v>XMR_PINK</v>
      </c>
      <c r="AA119" t="str">
        <f t="shared" si="54"/>
        <v>ETC_PINK</v>
      </c>
      <c r="AB119" t="str">
        <f t="shared" si="55"/>
        <v>POSW_PINK</v>
      </c>
      <c r="AC119" t="str">
        <f t="shared" si="56"/>
        <v>USDT_PINK</v>
      </c>
      <c r="AD119" t="str">
        <f t="shared" si="57"/>
        <v>ZEC_PINK</v>
      </c>
      <c r="AE119" t="str">
        <f t="shared" si="58"/>
        <v>NXT_PINK</v>
      </c>
      <c r="AF119" t="str">
        <f t="shared" si="59"/>
        <v>REP_PINK</v>
      </c>
    </row>
    <row r="120" spans="1:32" x14ac:dyDescent="0.25">
      <c r="A120" t="s">
        <v>2202</v>
      </c>
      <c r="B120" t="str">
        <f t="shared" si="44"/>
        <v>PIVX_BTC</v>
      </c>
      <c r="C120" t="str">
        <f t="shared" si="30"/>
        <v>PIVX_USD</v>
      </c>
      <c r="D120" t="str">
        <f t="shared" si="31"/>
        <v>PIVX_LTC</v>
      </c>
      <c r="E120" t="str">
        <f t="shared" si="32"/>
        <v>PIVX_DOGE</v>
      </c>
      <c r="F120" t="str">
        <f t="shared" si="33"/>
        <v>PIVX_ETH</v>
      </c>
      <c r="G120" t="str">
        <f t="shared" si="34"/>
        <v>PIVX_EUR</v>
      </c>
      <c r="H120" t="str">
        <f t="shared" si="35"/>
        <v>PIVX_RUR</v>
      </c>
      <c r="I120" t="str">
        <f t="shared" si="36"/>
        <v>PIVX_DASH</v>
      </c>
      <c r="J120" t="str">
        <f t="shared" si="37"/>
        <v>PIVX_XMR</v>
      </c>
      <c r="K120" t="str">
        <f t="shared" si="38"/>
        <v>PIVX_ETC</v>
      </c>
      <c r="L120" t="str">
        <f t="shared" si="39"/>
        <v>PIVX_POSW</v>
      </c>
      <c r="M120" t="str">
        <f t="shared" si="40"/>
        <v>PIVX_USDT</v>
      </c>
      <c r="N120" t="str">
        <f t="shared" si="41"/>
        <v>PIVX_ZEC</v>
      </c>
      <c r="O120" t="str">
        <f t="shared" si="42"/>
        <v>PIVX_NXT</v>
      </c>
      <c r="P120" t="str">
        <f t="shared" si="43"/>
        <v>PIVX_REP</v>
      </c>
      <c r="R120" t="str">
        <f t="shared" si="45"/>
        <v>BTC_PIVX</v>
      </c>
      <c r="S120" t="str">
        <f t="shared" si="46"/>
        <v>USD_PIVX</v>
      </c>
      <c r="T120" t="str">
        <f t="shared" si="47"/>
        <v>LTC_PIVX</v>
      </c>
      <c r="U120" t="str">
        <f t="shared" si="48"/>
        <v>DOGE_PIVX</v>
      </c>
      <c r="V120" t="str">
        <f t="shared" si="49"/>
        <v>ETH_PIVX</v>
      </c>
      <c r="W120" t="str">
        <f t="shared" si="50"/>
        <v>EUR_PIVX</v>
      </c>
      <c r="X120" t="str">
        <f t="shared" si="51"/>
        <v>RUR_PIVX</v>
      </c>
      <c r="Y120" t="str">
        <f t="shared" si="52"/>
        <v>DASH_PIVX</v>
      </c>
      <c r="Z120" t="str">
        <f t="shared" si="53"/>
        <v>XMR_PIVX</v>
      </c>
      <c r="AA120" t="str">
        <f t="shared" si="54"/>
        <v>ETC_PIVX</v>
      </c>
      <c r="AB120" t="str">
        <f t="shared" si="55"/>
        <v>POSW_PIVX</v>
      </c>
      <c r="AC120" t="str">
        <f t="shared" si="56"/>
        <v>USDT_PIVX</v>
      </c>
      <c r="AD120" t="str">
        <f t="shared" si="57"/>
        <v>ZEC_PIVX</v>
      </c>
      <c r="AE120" t="str">
        <f t="shared" si="58"/>
        <v>NXT_PIVX</v>
      </c>
      <c r="AF120" t="str">
        <f t="shared" si="59"/>
        <v>REP_PIVX</v>
      </c>
    </row>
    <row r="121" spans="1:32" x14ac:dyDescent="0.25">
      <c r="A121" t="s">
        <v>2436</v>
      </c>
      <c r="B121" t="str">
        <f t="shared" si="44"/>
        <v>PKB_BTC</v>
      </c>
      <c r="C121" t="str">
        <f t="shared" si="30"/>
        <v>PKB_USD</v>
      </c>
      <c r="D121" t="str">
        <f t="shared" si="31"/>
        <v>PKB_LTC</v>
      </c>
      <c r="E121" t="str">
        <f t="shared" si="32"/>
        <v>PKB_DOGE</v>
      </c>
      <c r="F121" t="str">
        <f t="shared" si="33"/>
        <v>PKB_ETH</v>
      </c>
      <c r="G121" t="str">
        <f t="shared" si="34"/>
        <v>PKB_EUR</v>
      </c>
      <c r="H121" t="str">
        <f t="shared" si="35"/>
        <v>PKB_RUR</v>
      </c>
      <c r="I121" t="str">
        <f t="shared" si="36"/>
        <v>PKB_DASH</v>
      </c>
      <c r="J121" t="str">
        <f t="shared" si="37"/>
        <v>PKB_XMR</v>
      </c>
      <c r="K121" t="str">
        <f t="shared" si="38"/>
        <v>PKB_ETC</v>
      </c>
      <c r="L121" t="str">
        <f t="shared" si="39"/>
        <v>PKB_POSW</v>
      </c>
      <c r="M121" t="str">
        <f t="shared" si="40"/>
        <v>PKB_USDT</v>
      </c>
      <c r="N121" t="str">
        <f t="shared" si="41"/>
        <v>PKB_ZEC</v>
      </c>
      <c r="O121" t="str">
        <f t="shared" si="42"/>
        <v>PKB_NXT</v>
      </c>
      <c r="P121" t="str">
        <f t="shared" si="43"/>
        <v>PKB_REP</v>
      </c>
      <c r="R121" t="str">
        <f t="shared" si="45"/>
        <v>BTC_PKB</v>
      </c>
      <c r="S121" t="str">
        <f t="shared" si="46"/>
        <v>USD_PKB</v>
      </c>
      <c r="T121" t="str">
        <f t="shared" si="47"/>
        <v>LTC_PKB</v>
      </c>
      <c r="U121" t="str">
        <f t="shared" si="48"/>
        <v>DOGE_PKB</v>
      </c>
      <c r="V121" t="str">
        <f t="shared" si="49"/>
        <v>ETH_PKB</v>
      </c>
      <c r="W121" t="str">
        <f t="shared" si="50"/>
        <v>EUR_PKB</v>
      </c>
      <c r="X121" t="str">
        <f t="shared" si="51"/>
        <v>RUR_PKB</v>
      </c>
      <c r="Y121" t="str">
        <f t="shared" si="52"/>
        <v>DASH_PKB</v>
      </c>
      <c r="Z121" t="str">
        <f t="shared" si="53"/>
        <v>XMR_PKB</v>
      </c>
      <c r="AA121" t="str">
        <f t="shared" si="54"/>
        <v>ETC_PKB</v>
      </c>
      <c r="AB121" t="str">
        <f t="shared" si="55"/>
        <v>POSW_PKB</v>
      </c>
      <c r="AC121" t="str">
        <f t="shared" si="56"/>
        <v>USDT_PKB</v>
      </c>
      <c r="AD121" t="str">
        <f t="shared" si="57"/>
        <v>ZEC_PKB</v>
      </c>
      <c r="AE121" t="str">
        <f t="shared" si="58"/>
        <v>NXT_PKB</v>
      </c>
      <c r="AF121" t="str">
        <f t="shared" si="59"/>
        <v>REP_PKB</v>
      </c>
    </row>
    <row r="122" spans="1:32" x14ac:dyDescent="0.25">
      <c r="A122" t="s">
        <v>2203</v>
      </c>
      <c r="B122" t="str">
        <f t="shared" si="44"/>
        <v>POST_BTC</v>
      </c>
      <c r="C122" t="str">
        <f t="shared" si="30"/>
        <v>POST_USD</v>
      </c>
      <c r="D122" t="str">
        <f t="shared" si="31"/>
        <v>POST_LTC</v>
      </c>
      <c r="E122" t="str">
        <f t="shared" si="32"/>
        <v>POST_DOGE</v>
      </c>
      <c r="F122" t="str">
        <f t="shared" si="33"/>
        <v>POST_ETH</v>
      </c>
      <c r="G122" t="str">
        <f t="shared" si="34"/>
        <v>POST_EUR</v>
      </c>
      <c r="H122" t="str">
        <f t="shared" si="35"/>
        <v>POST_RUR</v>
      </c>
      <c r="I122" t="str">
        <f t="shared" si="36"/>
        <v>POST_DASH</v>
      </c>
      <c r="J122" t="str">
        <f t="shared" si="37"/>
        <v>POST_XMR</v>
      </c>
      <c r="K122" t="str">
        <f t="shared" si="38"/>
        <v>POST_ETC</v>
      </c>
      <c r="L122" t="str">
        <f t="shared" si="39"/>
        <v>POST_POSW</v>
      </c>
      <c r="M122" t="str">
        <f t="shared" si="40"/>
        <v>POST_USDT</v>
      </c>
      <c r="N122" t="str">
        <f t="shared" si="41"/>
        <v>POST_ZEC</v>
      </c>
      <c r="O122" t="str">
        <f t="shared" si="42"/>
        <v>POST_NXT</v>
      </c>
      <c r="P122" t="str">
        <f t="shared" si="43"/>
        <v>POST_REP</v>
      </c>
      <c r="R122" t="str">
        <f t="shared" si="45"/>
        <v>BTC_POST</v>
      </c>
      <c r="S122" t="str">
        <f t="shared" si="46"/>
        <v>USD_POST</v>
      </c>
      <c r="T122" t="str">
        <f t="shared" si="47"/>
        <v>LTC_POST</v>
      </c>
      <c r="U122" t="str">
        <f t="shared" si="48"/>
        <v>DOGE_POST</v>
      </c>
      <c r="V122" t="str">
        <f t="shared" si="49"/>
        <v>ETH_POST</v>
      </c>
      <c r="W122" t="str">
        <f t="shared" si="50"/>
        <v>EUR_POST</v>
      </c>
      <c r="X122" t="str">
        <f t="shared" si="51"/>
        <v>RUR_POST</v>
      </c>
      <c r="Y122" t="str">
        <f t="shared" si="52"/>
        <v>DASH_POST</v>
      </c>
      <c r="Z122" t="str">
        <f t="shared" si="53"/>
        <v>XMR_POST</v>
      </c>
      <c r="AA122" t="str">
        <f t="shared" si="54"/>
        <v>ETC_POST</v>
      </c>
      <c r="AB122" t="str">
        <f t="shared" si="55"/>
        <v>POSW_POST</v>
      </c>
      <c r="AC122" t="str">
        <f t="shared" si="56"/>
        <v>USDT_POST</v>
      </c>
      <c r="AD122" t="str">
        <f t="shared" si="57"/>
        <v>ZEC_POST</v>
      </c>
      <c r="AE122" t="str">
        <f t="shared" si="58"/>
        <v>NXT_POST</v>
      </c>
      <c r="AF122" t="str">
        <f t="shared" si="59"/>
        <v>REP_POST</v>
      </c>
    </row>
    <row r="123" spans="1:32" x14ac:dyDescent="0.25">
      <c r="A123" t="s">
        <v>2121</v>
      </c>
      <c r="B123" t="str">
        <f t="shared" si="44"/>
        <v>POSW_BTC</v>
      </c>
      <c r="C123" t="str">
        <f t="shared" si="30"/>
        <v>POSW_USD</v>
      </c>
      <c r="D123" t="str">
        <f t="shared" si="31"/>
        <v>POSW_LTC</v>
      </c>
      <c r="E123" t="str">
        <f t="shared" si="32"/>
        <v>POSW_DOGE</v>
      </c>
      <c r="F123" t="str">
        <f t="shared" si="33"/>
        <v>POSW_ETH</v>
      </c>
      <c r="G123" t="str">
        <f t="shared" si="34"/>
        <v>POSW_EUR</v>
      </c>
      <c r="H123" t="str">
        <f t="shared" si="35"/>
        <v>POSW_RUR</v>
      </c>
      <c r="I123" t="str">
        <f t="shared" si="36"/>
        <v>POSW_DASH</v>
      </c>
      <c r="J123" t="str">
        <f t="shared" si="37"/>
        <v>POSW_XMR</v>
      </c>
      <c r="K123" t="str">
        <f t="shared" si="38"/>
        <v>POSW_ETC</v>
      </c>
      <c r="L123" t="str">
        <f t="shared" si="39"/>
        <v>POSW_POSW</v>
      </c>
      <c r="M123" t="str">
        <f t="shared" si="40"/>
        <v>POSW_USDT</v>
      </c>
      <c r="N123" t="str">
        <f t="shared" si="41"/>
        <v>POSW_ZEC</v>
      </c>
      <c r="O123" t="str">
        <f t="shared" si="42"/>
        <v>POSW_NXT</v>
      </c>
      <c r="P123" t="str">
        <f t="shared" si="43"/>
        <v>POSW_REP</v>
      </c>
      <c r="R123" t="str">
        <f t="shared" si="45"/>
        <v>BTC_POSW</v>
      </c>
      <c r="S123" t="str">
        <f t="shared" si="46"/>
        <v>USD_POSW</v>
      </c>
      <c r="T123" t="str">
        <f t="shared" si="47"/>
        <v>LTC_POSW</v>
      </c>
      <c r="U123" t="str">
        <f t="shared" si="48"/>
        <v>DOGE_POSW</v>
      </c>
      <c r="V123" t="str">
        <f t="shared" si="49"/>
        <v>ETH_POSW</v>
      </c>
      <c r="W123" t="str">
        <f t="shared" si="50"/>
        <v>EUR_POSW</v>
      </c>
      <c r="X123" t="str">
        <f t="shared" si="51"/>
        <v>RUR_POSW</v>
      </c>
      <c r="Y123" t="str">
        <f t="shared" si="52"/>
        <v>DASH_POSW</v>
      </c>
      <c r="Z123" t="str">
        <f t="shared" si="53"/>
        <v>XMR_POSW</v>
      </c>
      <c r="AA123" t="str">
        <f t="shared" si="54"/>
        <v>ETC_POSW</v>
      </c>
      <c r="AB123" t="str">
        <f t="shared" si="55"/>
        <v>POSW_POSW</v>
      </c>
      <c r="AC123" t="str">
        <f t="shared" si="56"/>
        <v>USDT_POSW</v>
      </c>
      <c r="AD123" t="str">
        <f t="shared" si="57"/>
        <v>ZEC_POSW</v>
      </c>
      <c r="AE123" t="str">
        <f t="shared" si="58"/>
        <v>NXT_POSW</v>
      </c>
      <c r="AF123" t="str">
        <f t="shared" si="59"/>
        <v>REP_POSW</v>
      </c>
    </row>
    <row r="124" spans="1:32" x14ac:dyDescent="0.25">
      <c r="A124" t="s">
        <v>2122</v>
      </c>
      <c r="B124" t="str">
        <f t="shared" si="44"/>
        <v>PPC_BTC</v>
      </c>
      <c r="C124" t="str">
        <f t="shared" si="30"/>
        <v>PPC_USD</v>
      </c>
      <c r="D124" t="str">
        <f t="shared" si="31"/>
        <v>PPC_LTC</v>
      </c>
      <c r="E124" t="str">
        <f t="shared" si="32"/>
        <v>PPC_DOGE</v>
      </c>
      <c r="F124" t="str">
        <f t="shared" si="33"/>
        <v>PPC_ETH</v>
      </c>
      <c r="G124" t="str">
        <f t="shared" si="34"/>
        <v>PPC_EUR</v>
      </c>
      <c r="H124" t="str">
        <f t="shared" si="35"/>
        <v>PPC_RUR</v>
      </c>
      <c r="I124" t="str">
        <f t="shared" si="36"/>
        <v>PPC_DASH</v>
      </c>
      <c r="J124" t="str">
        <f t="shared" si="37"/>
        <v>PPC_XMR</v>
      </c>
      <c r="K124" t="str">
        <f t="shared" si="38"/>
        <v>PPC_ETC</v>
      </c>
      <c r="L124" t="str">
        <f t="shared" si="39"/>
        <v>PPC_POSW</v>
      </c>
      <c r="M124" t="str">
        <f t="shared" si="40"/>
        <v>PPC_USDT</v>
      </c>
      <c r="N124" t="str">
        <f t="shared" si="41"/>
        <v>PPC_ZEC</v>
      </c>
      <c r="O124" t="str">
        <f t="shared" si="42"/>
        <v>PPC_NXT</v>
      </c>
      <c r="P124" t="str">
        <f t="shared" si="43"/>
        <v>PPC_REP</v>
      </c>
      <c r="R124" t="str">
        <f t="shared" si="45"/>
        <v>BTC_PPC</v>
      </c>
      <c r="S124" t="str">
        <f t="shared" si="46"/>
        <v>USD_PPC</v>
      </c>
      <c r="T124" t="str">
        <f t="shared" si="47"/>
        <v>LTC_PPC</v>
      </c>
      <c r="U124" t="str">
        <f t="shared" si="48"/>
        <v>DOGE_PPC</v>
      </c>
      <c r="V124" t="str">
        <f t="shared" si="49"/>
        <v>ETH_PPC</v>
      </c>
      <c r="W124" t="str">
        <f t="shared" si="50"/>
        <v>EUR_PPC</v>
      </c>
      <c r="X124" t="str">
        <f t="shared" si="51"/>
        <v>RUR_PPC</v>
      </c>
      <c r="Y124" t="str">
        <f t="shared" si="52"/>
        <v>DASH_PPC</v>
      </c>
      <c r="Z124" t="str">
        <f t="shared" si="53"/>
        <v>XMR_PPC</v>
      </c>
      <c r="AA124" t="str">
        <f t="shared" si="54"/>
        <v>ETC_PPC</v>
      </c>
      <c r="AB124" t="str">
        <f t="shared" si="55"/>
        <v>POSW_PPC</v>
      </c>
      <c r="AC124" t="str">
        <f t="shared" si="56"/>
        <v>USDT_PPC</v>
      </c>
      <c r="AD124" t="str">
        <f t="shared" si="57"/>
        <v>ZEC_PPC</v>
      </c>
      <c r="AE124" t="str">
        <f t="shared" si="58"/>
        <v>NXT_PPC</v>
      </c>
      <c r="AF124" t="str">
        <f t="shared" si="59"/>
        <v>REP_PPC</v>
      </c>
    </row>
    <row r="125" spans="1:32" x14ac:dyDescent="0.25">
      <c r="A125" t="s">
        <v>2204</v>
      </c>
      <c r="B125" t="str">
        <f t="shared" si="44"/>
        <v>PRES_BTC</v>
      </c>
      <c r="C125" t="str">
        <f t="shared" si="30"/>
        <v>PRES_USD</v>
      </c>
      <c r="D125" t="str">
        <f t="shared" si="31"/>
        <v>PRES_LTC</v>
      </c>
      <c r="E125" t="str">
        <f t="shared" si="32"/>
        <v>PRES_DOGE</v>
      </c>
      <c r="F125" t="str">
        <f t="shared" si="33"/>
        <v>PRES_ETH</v>
      </c>
      <c r="G125" t="str">
        <f t="shared" si="34"/>
        <v>PRES_EUR</v>
      </c>
      <c r="H125" t="str">
        <f t="shared" si="35"/>
        <v>PRES_RUR</v>
      </c>
      <c r="I125" t="str">
        <f t="shared" si="36"/>
        <v>PRES_DASH</v>
      </c>
      <c r="J125" t="str">
        <f t="shared" si="37"/>
        <v>PRES_XMR</v>
      </c>
      <c r="K125" t="str">
        <f t="shared" si="38"/>
        <v>PRES_ETC</v>
      </c>
      <c r="L125" t="str">
        <f t="shared" si="39"/>
        <v>PRES_POSW</v>
      </c>
      <c r="M125" t="str">
        <f t="shared" si="40"/>
        <v>PRES_USDT</v>
      </c>
      <c r="N125" t="str">
        <f t="shared" si="41"/>
        <v>PRES_ZEC</v>
      </c>
      <c r="O125" t="str">
        <f t="shared" si="42"/>
        <v>PRES_NXT</v>
      </c>
      <c r="P125" t="str">
        <f t="shared" si="43"/>
        <v>PRES_REP</v>
      </c>
      <c r="R125" t="str">
        <f t="shared" si="45"/>
        <v>BTC_PRES</v>
      </c>
      <c r="S125" t="str">
        <f t="shared" si="46"/>
        <v>USD_PRES</v>
      </c>
      <c r="T125" t="str">
        <f t="shared" si="47"/>
        <v>LTC_PRES</v>
      </c>
      <c r="U125" t="str">
        <f t="shared" si="48"/>
        <v>DOGE_PRES</v>
      </c>
      <c r="V125" t="str">
        <f t="shared" si="49"/>
        <v>ETH_PRES</v>
      </c>
      <c r="W125" t="str">
        <f t="shared" si="50"/>
        <v>EUR_PRES</v>
      </c>
      <c r="X125" t="str">
        <f t="shared" si="51"/>
        <v>RUR_PRES</v>
      </c>
      <c r="Y125" t="str">
        <f t="shared" si="52"/>
        <v>DASH_PRES</v>
      </c>
      <c r="Z125" t="str">
        <f t="shared" si="53"/>
        <v>XMR_PRES</v>
      </c>
      <c r="AA125" t="str">
        <f t="shared" si="54"/>
        <v>ETC_PRES</v>
      </c>
      <c r="AB125" t="str">
        <f t="shared" si="55"/>
        <v>POSW_PRES</v>
      </c>
      <c r="AC125" t="str">
        <f t="shared" si="56"/>
        <v>USDT_PRES</v>
      </c>
      <c r="AD125" t="str">
        <f t="shared" si="57"/>
        <v>ZEC_PRES</v>
      </c>
      <c r="AE125" t="str">
        <f t="shared" si="58"/>
        <v>NXT_PRES</v>
      </c>
      <c r="AF125" t="str">
        <f t="shared" si="59"/>
        <v>REP_PRES</v>
      </c>
    </row>
    <row r="126" spans="1:32" x14ac:dyDescent="0.25">
      <c r="A126" t="s">
        <v>2205</v>
      </c>
      <c r="B126" t="str">
        <f t="shared" si="44"/>
        <v>PROC_BTC</v>
      </c>
      <c r="C126" t="str">
        <f t="shared" si="30"/>
        <v>PROC_USD</v>
      </c>
      <c r="D126" t="str">
        <f t="shared" si="31"/>
        <v>PROC_LTC</v>
      </c>
      <c r="E126" t="str">
        <f t="shared" si="32"/>
        <v>PROC_DOGE</v>
      </c>
      <c r="F126" t="str">
        <f t="shared" si="33"/>
        <v>PROC_ETH</v>
      </c>
      <c r="G126" t="str">
        <f t="shared" si="34"/>
        <v>PROC_EUR</v>
      </c>
      <c r="H126" t="str">
        <f t="shared" si="35"/>
        <v>PROC_RUR</v>
      </c>
      <c r="I126" t="str">
        <f t="shared" si="36"/>
        <v>PROC_DASH</v>
      </c>
      <c r="J126" t="str">
        <f t="shared" si="37"/>
        <v>PROC_XMR</v>
      </c>
      <c r="K126" t="str">
        <f t="shared" si="38"/>
        <v>PROC_ETC</v>
      </c>
      <c r="L126" t="str">
        <f t="shared" si="39"/>
        <v>PROC_POSW</v>
      </c>
      <c r="M126" t="str">
        <f t="shared" si="40"/>
        <v>PROC_USDT</v>
      </c>
      <c r="N126" t="str">
        <f t="shared" si="41"/>
        <v>PROC_ZEC</v>
      </c>
      <c r="O126" t="str">
        <f t="shared" si="42"/>
        <v>PROC_NXT</v>
      </c>
      <c r="P126" t="str">
        <f t="shared" si="43"/>
        <v>PROC_REP</v>
      </c>
      <c r="R126" t="str">
        <f t="shared" si="45"/>
        <v>BTC_PROC</v>
      </c>
      <c r="S126" t="str">
        <f t="shared" si="46"/>
        <v>USD_PROC</v>
      </c>
      <c r="T126" t="str">
        <f t="shared" si="47"/>
        <v>LTC_PROC</v>
      </c>
      <c r="U126" t="str">
        <f t="shared" si="48"/>
        <v>DOGE_PROC</v>
      </c>
      <c r="V126" t="str">
        <f t="shared" si="49"/>
        <v>ETH_PROC</v>
      </c>
      <c r="W126" t="str">
        <f t="shared" si="50"/>
        <v>EUR_PROC</v>
      </c>
      <c r="X126" t="str">
        <f t="shared" si="51"/>
        <v>RUR_PROC</v>
      </c>
      <c r="Y126" t="str">
        <f t="shared" si="52"/>
        <v>DASH_PROC</v>
      </c>
      <c r="Z126" t="str">
        <f t="shared" si="53"/>
        <v>XMR_PROC</v>
      </c>
      <c r="AA126" t="str">
        <f t="shared" si="54"/>
        <v>ETC_PROC</v>
      </c>
      <c r="AB126" t="str">
        <f t="shared" si="55"/>
        <v>POSW_PROC</v>
      </c>
      <c r="AC126" t="str">
        <f t="shared" si="56"/>
        <v>USDT_PROC</v>
      </c>
      <c r="AD126" t="str">
        <f t="shared" si="57"/>
        <v>ZEC_PROC</v>
      </c>
      <c r="AE126" t="str">
        <f t="shared" si="58"/>
        <v>NXT_PROC</v>
      </c>
      <c r="AF126" t="str">
        <f t="shared" si="59"/>
        <v>REP_PROC</v>
      </c>
    </row>
    <row r="127" spans="1:32" x14ac:dyDescent="0.25">
      <c r="A127" t="s">
        <v>2206</v>
      </c>
      <c r="B127" t="str">
        <f t="shared" si="44"/>
        <v>PSB_BTC</v>
      </c>
      <c r="C127" t="str">
        <f t="shared" si="30"/>
        <v>PSB_USD</v>
      </c>
      <c r="D127" t="str">
        <f t="shared" si="31"/>
        <v>PSB_LTC</v>
      </c>
      <c r="E127" t="str">
        <f t="shared" si="32"/>
        <v>PSB_DOGE</v>
      </c>
      <c r="F127" t="str">
        <f t="shared" si="33"/>
        <v>PSB_ETH</v>
      </c>
      <c r="G127" t="str">
        <f t="shared" si="34"/>
        <v>PSB_EUR</v>
      </c>
      <c r="H127" t="str">
        <f t="shared" si="35"/>
        <v>PSB_RUR</v>
      </c>
      <c r="I127" t="str">
        <f t="shared" si="36"/>
        <v>PSB_DASH</v>
      </c>
      <c r="J127" t="str">
        <f t="shared" si="37"/>
        <v>PSB_XMR</v>
      </c>
      <c r="K127" t="str">
        <f t="shared" si="38"/>
        <v>PSB_ETC</v>
      </c>
      <c r="L127" t="str">
        <f t="shared" si="39"/>
        <v>PSB_POSW</v>
      </c>
      <c r="M127" t="str">
        <f t="shared" si="40"/>
        <v>PSB_USDT</v>
      </c>
      <c r="N127" t="str">
        <f t="shared" si="41"/>
        <v>PSB_ZEC</v>
      </c>
      <c r="O127" t="str">
        <f t="shared" si="42"/>
        <v>PSB_NXT</v>
      </c>
      <c r="P127" t="str">
        <f t="shared" si="43"/>
        <v>PSB_REP</v>
      </c>
      <c r="R127" t="str">
        <f t="shared" si="45"/>
        <v>BTC_PSB</v>
      </c>
      <c r="S127" t="str">
        <f t="shared" si="46"/>
        <v>USD_PSB</v>
      </c>
      <c r="T127" t="str">
        <f t="shared" si="47"/>
        <v>LTC_PSB</v>
      </c>
      <c r="U127" t="str">
        <f t="shared" si="48"/>
        <v>DOGE_PSB</v>
      </c>
      <c r="V127" t="str">
        <f t="shared" si="49"/>
        <v>ETH_PSB</v>
      </c>
      <c r="W127" t="str">
        <f t="shared" si="50"/>
        <v>EUR_PSB</v>
      </c>
      <c r="X127" t="str">
        <f t="shared" si="51"/>
        <v>RUR_PSB</v>
      </c>
      <c r="Y127" t="str">
        <f t="shared" si="52"/>
        <v>DASH_PSB</v>
      </c>
      <c r="Z127" t="str">
        <f t="shared" si="53"/>
        <v>XMR_PSB</v>
      </c>
      <c r="AA127" t="str">
        <f t="shared" si="54"/>
        <v>ETC_PSB</v>
      </c>
      <c r="AB127" t="str">
        <f t="shared" si="55"/>
        <v>POSW_PSB</v>
      </c>
      <c r="AC127" t="str">
        <f t="shared" si="56"/>
        <v>USDT_PSB</v>
      </c>
      <c r="AD127" t="str">
        <f t="shared" si="57"/>
        <v>ZEC_PSB</v>
      </c>
      <c r="AE127" t="str">
        <f t="shared" si="58"/>
        <v>NXT_PSB</v>
      </c>
      <c r="AF127" t="str">
        <f t="shared" si="59"/>
        <v>REP_PSB</v>
      </c>
    </row>
    <row r="128" spans="1:32" x14ac:dyDescent="0.25">
      <c r="A128" t="s">
        <v>2156</v>
      </c>
      <c r="B128" t="str">
        <f t="shared" si="44"/>
        <v>RADS_BTC</v>
      </c>
      <c r="C128" t="str">
        <f t="shared" si="30"/>
        <v>RADS_USD</v>
      </c>
      <c r="D128" t="str">
        <f t="shared" si="31"/>
        <v>RADS_LTC</v>
      </c>
      <c r="E128" t="str">
        <f t="shared" si="32"/>
        <v>RADS_DOGE</v>
      </c>
      <c r="F128" t="str">
        <f t="shared" si="33"/>
        <v>RADS_ETH</v>
      </c>
      <c r="G128" t="str">
        <f t="shared" si="34"/>
        <v>RADS_EUR</v>
      </c>
      <c r="H128" t="str">
        <f t="shared" si="35"/>
        <v>RADS_RUR</v>
      </c>
      <c r="I128" t="str">
        <f t="shared" si="36"/>
        <v>RADS_DASH</v>
      </c>
      <c r="J128" t="str">
        <f t="shared" si="37"/>
        <v>RADS_XMR</v>
      </c>
      <c r="K128" t="str">
        <f t="shared" si="38"/>
        <v>RADS_ETC</v>
      </c>
      <c r="L128" t="str">
        <f t="shared" si="39"/>
        <v>RADS_POSW</v>
      </c>
      <c r="M128" t="str">
        <f t="shared" si="40"/>
        <v>RADS_USDT</v>
      </c>
      <c r="N128" t="str">
        <f t="shared" si="41"/>
        <v>RADS_ZEC</v>
      </c>
      <c r="O128" t="str">
        <f t="shared" si="42"/>
        <v>RADS_NXT</v>
      </c>
      <c r="P128" t="str">
        <f t="shared" si="43"/>
        <v>RADS_REP</v>
      </c>
      <c r="R128" t="str">
        <f t="shared" si="45"/>
        <v>BTC_RADS</v>
      </c>
      <c r="S128" t="str">
        <f t="shared" si="46"/>
        <v>USD_RADS</v>
      </c>
      <c r="T128" t="str">
        <f t="shared" si="47"/>
        <v>LTC_RADS</v>
      </c>
      <c r="U128" t="str">
        <f t="shared" si="48"/>
        <v>DOGE_RADS</v>
      </c>
      <c r="V128" t="str">
        <f t="shared" si="49"/>
        <v>ETH_RADS</v>
      </c>
      <c r="W128" t="str">
        <f t="shared" si="50"/>
        <v>EUR_RADS</v>
      </c>
      <c r="X128" t="str">
        <f t="shared" si="51"/>
        <v>RUR_RADS</v>
      </c>
      <c r="Y128" t="str">
        <f t="shared" si="52"/>
        <v>DASH_RADS</v>
      </c>
      <c r="Z128" t="str">
        <f t="shared" si="53"/>
        <v>XMR_RADS</v>
      </c>
      <c r="AA128" t="str">
        <f t="shared" si="54"/>
        <v>ETC_RADS</v>
      </c>
      <c r="AB128" t="str">
        <f t="shared" si="55"/>
        <v>POSW_RADS</v>
      </c>
      <c r="AC128" t="str">
        <f t="shared" si="56"/>
        <v>USDT_RADS</v>
      </c>
      <c r="AD128" t="str">
        <f t="shared" si="57"/>
        <v>ZEC_RADS</v>
      </c>
      <c r="AE128" t="str">
        <f t="shared" si="58"/>
        <v>NXT_RADS</v>
      </c>
      <c r="AF128" t="str">
        <f t="shared" si="59"/>
        <v>REP_RADS</v>
      </c>
    </row>
    <row r="129" spans="1:32" x14ac:dyDescent="0.25">
      <c r="A129" t="s">
        <v>2123</v>
      </c>
      <c r="B129" t="str">
        <f t="shared" si="44"/>
        <v>RBIES_BTC</v>
      </c>
      <c r="C129" t="str">
        <f t="shared" si="30"/>
        <v>RBIES_USD</v>
      </c>
      <c r="D129" t="str">
        <f t="shared" si="31"/>
        <v>RBIES_LTC</v>
      </c>
      <c r="E129" t="str">
        <f t="shared" si="32"/>
        <v>RBIES_DOGE</v>
      </c>
      <c r="F129" t="str">
        <f t="shared" si="33"/>
        <v>RBIES_ETH</v>
      </c>
      <c r="G129" t="str">
        <f t="shared" si="34"/>
        <v>RBIES_EUR</v>
      </c>
      <c r="H129" t="str">
        <f t="shared" si="35"/>
        <v>RBIES_RUR</v>
      </c>
      <c r="I129" t="str">
        <f t="shared" si="36"/>
        <v>RBIES_DASH</v>
      </c>
      <c r="J129" t="str">
        <f t="shared" si="37"/>
        <v>RBIES_XMR</v>
      </c>
      <c r="K129" t="str">
        <f t="shared" si="38"/>
        <v>RBIES_ETC</v>
      </c>
      <c r="L129" t="str">
        <f t="shared" si="39"/>
        <v>RBIES_POSW</v>
      </c>
      <c r="M129" t="str">
        <f t="shared" si="40"/>
        <v>RBIES_USDT</v>
      </c>
      <c r="N129" t="str">
        <f t="shared" si="41"/>
        <v>RBIES_ZEC</v>
      </c>
      <c r="O129" t="str">
        <f t="shared" si="42"/>
        <v>RBIES_NXT</v>
      </c>
      <c r="P129" t="str">
        <f t="shared" si="43"/>
        <v>RBIES_REP</v>
      </c>
      <c r="R129" t="str">
        <f t="shared" si="45"/>
        <v>BTC_RBIES</v>
      </c>
      <c r="S129" t="str">
        <f t="shared" si="46"/>
        <v>USD_RBIES</v>
      </c>
      <c r="T129" t="str">
        <f t="shared" si="47"/>
        <v>LTC_RBIES</v>
      </c>
      <c r="U129" t="str">
        <f t="shared" si="48"/>
        <v>DOGE_RBIES</v>
      </c>
      <c r="V129" t="str">
        <f t="shared" si="49"/>
        <v>ETH_RBIES</v>
      </c>
      <c r="W129" t="str">
        <f t="shared" si="50"/>
        <v>EUR_RBIES</v>
      </c>
      <c r="X129" t="str">
        <f t="shared" si="51"/>
        <v>RUR_RBIES</v>
      </c>
      <c r="Y129" t="str">
        <f t="shared" si="52"/>
        <v>DASH_RBIES</v>
      </c>
      <c r="Z129" t="str">
        <f t="shared" si="53"/>
        <v>XMR_RBIES</v>
      </c>
      <c r="AA129" t="str">
        <f t="shared" si="54"/>
        <v>ETC_RBIES</v>
      </c>
      <c r="AB129" t="str">
        <f t="shared" si="55"/>
        <v>POSW_RBIES</v>
      </c>
      <c r="AC129" t="str">
        <f t="shared" si="56"/>
        <v>USDT_RBIES</v>
      </c>
      <c r="AD129" t="str">
        <f t="shared" si="57"/>
        <v>ZEC_RBIES</v>
      </c>
      <c r="AE129" t="str">
        <f t="shared" si="58"/>
        <v>NXT_RBIES</v>
      </c>
      <c r="AF129" t="str">
        <f t="shared" si="59"/>
        <v>REP_RBIES</v>
      </c>
    </row>
    <row r="130" spans="1:32" x14ac:dyDescent="0.25">
      <c r="A130" t="s">
        <v>2444</v>
      </c>
      <c r="B130" t="str">
        <f t="shared" si="44"/>
        <v>RDD_BTC</v>
      </c>
      <c r="C130" t="str">
        <f t="shared" si="30"/>
        <v>RDD_USD</v>
      </c>
      <c r="D130" t="str">
        <f t="shared" si="31"/>
        <v>RDD_LTC</v>
      </c>
      <c r="E130" t="str">
        <f t="shared" si="32"/>
        <v>RDD_DOGE</v>
      </c>
      <c r="F130" t="str">
        <f t="shared" si="33"/>
        <v>RDD_ETH</v>
      </c>
      <c r="G130" t="str">
        <f t="shared" si="34"/>
        <v>RDD_EUR</v>
      </c>
      <c r="H130" t="str">
        <f t="shared" si="35"/>
        <v>RDD_RUR</v>
      </c>
      <c r="I130" t="str">
        <f t="shared" si="36"/>
        <v>RDD_DASH</v>
      </c>
      <c r="J130" t="str">
        <f t="shared" si="37"/>
        <v>RDD_XMR</v>
      </c>
      <c r="K130" t="str">
        <f t="shared" si="38"/>
        <v>RDD_ETC</v>
      </c>
      <c r="L130" t="str">
        <f t="shared" si="39"/>
        <v>RDD_POSW</v>
      </c>
      <c r="M130" t="str">
        <f t="shared" si="40"/>
        <v>RDD_USDT</v>
      </c>
      <c r="N130" t="str">
        <f t="shared" si="41"/>
        <v>RDD_ZEC</v>
      </c>
      <c r="O130" t="str">
        <f t="shared" si="42"/>
        <v>RDD_NXT</v>
      </c>
      <c r="P130" t="str">
        <f t="shared" si="43"/>
        <v>RDD_REP</v>
      </c>
      <c r="R130" t="str">
        <f t="shared" si="45"/>
        <v>BTC_RDD</v>
      </c>
      <c r="S130" t="str">
        <f t="shared" si="46"/>
        <v>USD_RDD</v>
      </c>
      <c r="T130" t="str">
        <f t="shared" si="47"/>
        <v>LTC_RDD</v>
      </c>
      <c r="U130" t="str">
        <f t="shared" si="48"/>
        <v>DOGE_RDD</v>
      </c>
      <c r="V130" t="str">
        <f t="shared" si="49"/>
        <v>ETH_RDD</v>
      </c>
      <c r="W130" t="str">
        <f t="shared" si="50"/>
        <v>EUR_RDD</v>
      </c>
      <c r="X130" t="str">
        <f t="shared" si="51"/>
        <v>RUR_RDD</v>
      </c>
      <c r="Y130" t="str">
        <f t="shared" si="52"/>
        <v>DASH_RDD</v>
      </c>
      <c r="Z130" t="str">
        <f t="shared" si="53"/>
        <v>XMR_RDD</v>
      </c>
      <c r="AA130" t="str">
        <f t="shared" si="54"/>
        <v>ETC_RDD</v>
      </c>
      <c r="AB130" t="str">
        <f t="shared" si="55"/>
        <v>POSW_RDD</v>
      </c>
      <c r="AC130" t="str">
        <f t="shared" si="56"/>
        <v>USDT_RDD</v>
      </c>
      <c r="AD130" t="str">
        <f t="shared" si="57"/>
        <v>ZEC_RDD</v>
      </c>
      <c r="AE130" t="str">
        <f t="shared" si="58"/>
        <v>NXT_RDD</v>
      </c>
      <c r="AF130" t="str">
        <f t="shared" si="59"/>
        <v>REP_RDD</v>
      </c>
    </row>
    <row r="131" spans="1:32" x14ac:dyDescent="0.25">
      <c r="A131" t="s">
        <v>2207</v>
      </c>
      <c r="B131" t="str">
        <f t="shared" si="44"/>
        <v>REE_BTC</v>
      </c>
      <c r="C131" t="str">
        <f t="shared" ref="C131:C194" si="60">CONCATENATE(A131,"_",$C$1)</f>
        <v>REE_USD</v>
      </c>
      <c r="D131" t="str">
        <f t="shared" ref="D131:D194" si="61">CONCATENATE(A131,"_",$D$1)</f>
        <v>REE_LTC</v>
      </c>
      <c r="E131" t="str">
        <f t="shared" ref="E131:E194" si="62">CONCATENATE(A131,"_",$E$1)</f>
        <v>REE_DOGE</v>
      </c>
      <c r="F131" t="str">
        <f t="shared" ref="F131:F194" si="63">CONCATENATE(A131,"_",$F$1)</f>
        <v>REE_ETH</v>
      </c>
      <c r="G131" t="str">
        <f t="shared" ref="G131:G194" si="64">CONCATENATE(A131,"_",$G$1)</f>
        <v>REE_EUR</v>
      </c>
      <c r="H131" t="str">
        <f t="shared" ref="H131:H194" si="65">CONCATENATE(A131,"_",$H$1)</f>
        <v>REE_RUR</v>
      </c>
      <c r="I131" t="str">
        <f t="shared" ref="I131:I194" si="66">CONCATENATE(A131,"_",$I$1)</f>
        <v>REE_DASH</v>
      </c>
      <c r="J131" t="str">
        <f t="shared" ref="J131:J194" si="67">CONCATENATE(A131,"_",$J$1)</f>
        <v>REE_XMR</v>
      </c>
      <c r="K131" t="str">
        <f t="shared" ref="K131:K194" si="68">CONCATENATE(A131,"_",$K$1)</f>
        <v>REE_ETC</v>
      </c>
      <c r="L131" t="str">
        <f t="shared" ref="L131:L194" si="69">CONCATENATE(A131,"_",$L$1)</f>
        <v>REE_POSW</v>
      </c>
      <c r="M131" t="str">
        <f t="shared" ref="M131:M194" si="70">CONCATENATE(A131,"_",$M$1)</f>
        <v>REE_USDT</v>
      </c>
      <c r="N131" t="str">
        <f t="shared" ref="N131:N194" si="71">CONCATENATE(A131,"_",$N$1)</f>
        <v>REE_ZEC</v>
      </c>
      <c r="O131" t="str">
        <f t="shared" ref="O131:O194" si="72">CONCATENATE(A131,"_",$O$1)</f>
        <v>REE_NXT</v>
      </c>
      <c r="P131" t="str">
        <f t="shared" ref="P131:P194" si="73">CONCATENATE(A131,"_",$P$1)</f>
        <v>REE_REP</v>
      </c>
      <c r="R131" t="str">
        <f t="shared" si="45"/>
        <v>BTC_REE</v>
      </c>
      <c r="S131" t="str">
        <f t="shared" si="46"/>
        <v>USD_REE</v>
      </c>
      <c r="T131" t="str">
        <f t="shared" si="47"/>
        <v>LTC_REE</v>
      </c>
      <c r="U131" t="str">
        <f t="shared" si="48"/>
        <v>DOGE_REE</v>
      </c>
      <c r="V131" t="str">
        <f t="shared" si="49"/>
        <v>ETH_REE</v>
      </c>
      <c r="W131" t="str">
        <f t="shared" si="50"/>
        <v>EUR_REE</v>
      </c>
      <c r="X131" t="str">
        <f t="shared" si="51"/>
        <v>RUR_REE</v>
      </c>
      <c r="Y131" t="str">
        <f t="shared" si="52"/>
        <v>DASH_REE</v>
      </c>
      <c r="Z131" t="str">
        <f t="shared" si="53"/>
        <v>XMR_REE</v>
      </c>
      <c r="AA131" t="str">
        <f t="shared" si="54"/>
        <v>ETC_REE</v>
      </c>
      <c r="AB131" t="str">
        <f t="shared" si="55"/>
        <v>POSW_REE</v>
      </c>
      <c r="AC131" t="str">
        <f t="shared" si="56"/>
        <v>USDT_REE</v>
      </c>
      <c r="AD131" t="str">
        <f t="shared" si="57"/>
        <v>ZEC_REE</v>
      </c>
      <c r="AE131" t="str">
        <f t="shared" si="58"/>
        <v>NXT_REE</v>
      </c>
      <c r="AF131" t="str">
        <f t="shared" si="59"/>
        <v>REP_REE</v>
      </c>
    </row>
    <row r="132" spans="1:32" x14ac:dyDescent="0.25">
      <c r="A132" t="s">
        <v>2124</v>
      </c>
      <c r="B132" t="str">
        <f t="shared" ref="B132:B195" si="74">CONCATENATE(A132,"_",$B$1)</f>
        <v>REP_BTC</v>
      </c>
      <c r="C132" t="str">
        <f t="shared" si="60"/>
        <v>REP_USD</v>
      </c>
      <c r="D132" t="str">
        <f t="shared" si="61"/>
        <v>REP_LTC</v>
      </c>
      <c r="E132" t="str">
        <f t="shared" si="62"/>
        <v>REP_DOGE</v>
      </c>
      <c r="F132" t="str">
        <f t="shared" si="63"/>
        <v>REP_ETH</v>
      </c>
      <c r="G132" t="str">
        <f t="shared" si="64"/>
        <v>REP_EUR</v>
      </c>
      <c r="H132" t="str">
        <f t="shared" si="65"/>
        <v>REP_RUR</v>
      </c>
      <c r="I132" t="str">
        <f t="shared" si="66"/>
        <v>REP_DASH</v>
      </c>
      <c r="J132" t="str">
        <f t="shared" si="67"/>
        <v>REP_XMR</v>
      </c>
      <c r="K132" t="str">
        <f t="shared" si="68"/>
        <v>REP_ETC</v>
      </c>
      <c r="L132" t="str">
        <f t="shared" si="69"/>
        <v>REP_POSW</v>
      </c>
      <c r="M132" t="str">
        <f t="shared" si="70"/>
        <v>REP_USDT</v>
      </c>
      <c r="N132" t="str">
        <f t="shared" si="71"/>
        <v>REP_ZEC</v>
      </c>
      <c r="O132" t="str">
        <f t="shared" si="72"/>
        <v>REP_NXT</v>
      </c>
      <c r="P132" t="str">
        <f t="shared" si="73"/>
        <v>REP_REP</v>
      </c>
      <c r="R132" t="str">
        <f t="shared" ref="R132:R195" si="75">CONCATENATE($B$1,"_",A132)</f>
        <v>BTC_REP</v>
      </c>
      <c r="S132" t="str">
        <f t="shared" ref="S132:S195" si="76">CONCATENATE($C$1,"_",A132)</f>
        <v>USD_REP</v>
      </c>
      <c r="T132" t="str">
        <f t="shared" ref="T132:T195" si="77">CONCATENATE($D$1,"_",A132)</f>
        <v>LTC_REP</v>
      </c>
      <c r="U132" t="str">
        <f t="shared" ref="U132:U195" si="78">CONCATENATE($E$1,"_",A132)</f>
        <v>DOGE_REP</v>
      </c>
      <c r="V132" t="str">
        <f t="shared" ref="V132:V195" si="79">CONCATENATE($F$1,"_",A132)</f>
        <v>ETH_REP</v>
      </c>
      <c r="W132" t="str">
        <f t="shared" ref="W132:W195" si="80">CONCATENATE($G$1,"_",A132)</f>
        <v>EUR_REP</v>
      </c>
      <c r="X132" t="str">
        <f t="shared" ref="X132:X195" si="81">CONCATENATE($H$1,"_",A132)</f>
        <v>RUR_REP</v>
      </c>
      <c r="Y132" t="str">
        <f t="shared" ref="Y132:Y195" si="82">CONCATENATE($I$1,"_",A132)</f>
        <v>DASH_REP</v>
      </c>
      <c r="Z132" t="str">
        <f t="shared" ref="Z132:Z195" si="83">CONCATENATE($J$1,"_",A132)</f>
        <v>XMR_REP</v>
      </c>
      <c r="AA132" t="str">
        <f t="shared" ref="AA132:AA195" si="84">CONCATENATE($K$1,"_",A132)</f>
        <v>ETC_REP</v>
      </c>
      <c r="AB132" t="str">
        <f t="shared" ref="AB132:AB195" si="85">CONCATENATE($L$1,"_",A132)</f>
        <v>POSW_REP</v>
      </c>
      <c r="AC132" t="str">
        <f t="shared" ref="AC132:AC195" si="86">CONCATENATE($M$1,"_",A132)</f>
        <v>USDT_REP</v>
      </c>
      <c r="AD132" t="str">
        <f t="shared" ref="AD132:AD195" si="87">CONCATENATE($N$1,"_",A132)</f>
        <v>ZEC_REP</v>
      </c>
      <c r="AE132" t="str">
        <f t="shared" ref="AE132:AE195" si="88">CONCATENATE($O$1,"_",A132)</f>
        <v>NXT_REP</v>
      </c>
      <c r="AF132" t="str">
        <f t="shared" ref="AF132:AF195" si="89">CONCATENATE($P$1,"_",A132)</f>
        <v>REP_REP</v>
      </c>
    </row>
    <row r="133" spans="1:32" x14ac:dyDescent="0.25">
      <c r="A133" t="s">
        <v>2208</v>
      </c>
      <c r="B133" t="str">
        <f t="shared" si="74"/>
        <v>RIDE_BTC</v>
      </c>
      <c r="C133" t="str">
        <f t="shared" si="60"/>
        <v>RIDE_USD</v>
      </c>
      <c r="D133" t="str">
        <f t="shared" si="61"/>
        <v>RIDE_LTC</v>
      </c>
      <c r="E133" t="str">
        <f t="shared" si="62"/>
        <v>RIDE_DOGE</v>
      </c>
      <c r="F133" t="str">
        <f t="shared" si="63"/>
        <v>RIDE_ETH</v>
      </c>
      <c r="G133" t="str">
        <f t="shared" si="64"/>
        <v>RIDE_EUR</v>
      </c>
      <c r="H133" t="str">
        <f t="shared" si="65"/>
        <v>RIDE_RUR</v>
      </c>
      <c r="I133" t="str">
        <f t="shared" si="66"/>
        <v>RIDE_DASH</v>
      </c>
      <c r="J133" t="str">
        <f t="shared" si="67"/>
        <v>RIDE_XMR</v>
      </c>
      <c r="K133" t="str">
        <f t="shared" si="68"/>
        <v>RIDE_ETC</v>
      </c>
      <c r="L133" t="str">
        <f t="shared" si="69"/>
        <v>RIDE_POSW</v>
      </c>
      <c r="M133" t="str">
        <f t="shared" si="70"/>
        <v>RIDE_USDT</v>
      </c>
      <c r="N133" t="str">
        <f t="shared" si="71"/>
        <v>RIDE_ZEC</v>
      </c>
      <c r="O133" t="str">
        <f t="shared" si="72"/>
        <v>RIDE_NXT</v>
      </c>
      <c r="P133" t="str">
        <f t="shared" si="73"/>
        <v>RIDE_REP</v>
      </c>
      <c r="R133" t="str">
        <f t="shared" si="75"/>
        <v>BTC_RIDE</v>
      </c>
      <c r="S133" t="str">
        <f t="shared" si="76"/>
        <v>USD_RIDE</v>
      </c>
      <c r="T133" t="str">
        <f t="shared" si="77"/>
        <v>LTC_RIDE</v>
      </c>
      <c r="U133" t="str">
        <f t="shared" si="78"/>
        <v>DOGE_RIDE</v>
      </c>
      <c r="V133" t="str">
        <f t="shared" si="79"/>
        <v>ETH_RIDE</v>
      </c>
      <c r="W133" t="str">
        <f t="shared" si="80"/>
        <v>EUR_RIDE</v>
      </c>
      <c r="X133" t="str">
        <f t="shared" si="81"/>
        <v>RUR_RIDE</v>
      </c>
      <c r="Y133" t="str">
        <f t="shared" si="82"/>
        <v>DASH_RIDE</v>
      </c>
      <c r="Z133" t="str">
        <f t="shared" si="83"/>
        <v>XMR_RIDE</v>
      </c>
      <c r="AA133" t="str">
        <f t="shared" si="84"/>
        <v>ETC_RIDE</v>
      </c>
      <c r="AB133" t="str">
        <f t="shared" si="85"/>
        <v>POSW_RIDE</v>
      </c>
      <c r="AC133" t="str">
        <f t="shared" si="86"/>
        <v>USDT_RIDE</v>
      </c>
      <c r="AD133" t="str">
        <f t="shared" si="87"/>
        <v>ZEC_RIDE</v>
      </c>
      <c r="AE133" t="str">
        <f t="shared" si="88"/>
        <v>NXT_RIDE</v>
      </c>
      <c r="AF133" t="str">
        <f t="shared" si="89"/>
        <v>REP_RIDE</v>
      </c>
    </row>
    <row r="134" spans="1:32" x14ac:dyDescent="0.25">
      <c r="A134" t="s">
        <v>2445</v>
      </c>
      <c r="B134" t="str">
        <f t="shared" si="74"/>
        <v>RISE_BTC</v>
      </c>
      <c r="C134" t="str">
        <f t="shared" si="60"/>
        <v>RISE_USD</v>
      </c>
      <c r="D134" t="str">
        <f t="shared" si="61"/>
        <v>RISE_LTC</v>
      </c>
      <c r="E134" t="str">
        <f t="shared" si="62"/>
        <v>RISE_DOGE</v>
      </c>
      <c r="F134" t="str">
        <f t="shared" si="63"/>
        <v>RISE_ETH</v>
      </c>
      <c r="G134" t="str">
        <f t="shared" si="64"/>
        <v>RISE_EUR</v>
      </c>
      <c r="H134" t="str">
        <f t="shared" si="65"/>
        <v>RISE_RUR</v>
      </c>
      <c r="I134" t="str">
        <f t="shared" si="66"/>
        <v>RISE_DASH</v>
      </c>
      <c r="J134" t="str">
        <f t="shared" si="67"/>
        <v>RISE_XMR</v>
      </c>
      <c r="K134" t="str">
        <f t="shared" si="68"/>
        <v>RISE_ETC</v>
      </c>
      <c r="L134" t="str">
        <f t="shared" si="69"/>
        <v>RISE_POSW</v>
      </c>
      <c r="M134" t="str">
        <f t="shared" si="70"/>
        <v>RISE_USDT</v>
      </c>
      <c r="N134" t="str">
        <f t="shared" si="71"/>
        <v>RISE_ZEC</v>
      </c>
      <c r="O134" t="str">
        <f t="shared" si="72"/>
        <v>RISE_NXT</v>
      </c>
      <c r="P134" t="str">
        <f t="shared" si="73"/>
        <v>RISE_REP</v>
      </c>
      <c r="R134" t="str">
        <f t="shared" si="75"/>
        <v>BTC_RISE</v>
      </c>
      <c r="S134" t="str">
        <f t="shared" si="76"/>
        <v>USD_RISE</v>
      </c>
      <c r="T134" t="str">
        <f t="shared" si="77"/>
        <v>LTC_RISE</v>
      </c>
      <c r="U134" t="str">
        <f t="shared" si="78"/>
        <v>DOGE_RISE</v>
      </c>
      <c r="V134" t="str">
        <f t="shared" si="79"/>
        <v>ETH_RISE</v>
      </c>
      <c r="W134" t="str">
        <f t="shared" si="80"/>
        <v>EUR_RISE</v>
      </c>
      <c r="X134" t="str">
        <f t="shared" si="81"/>
        <v>RUR_RISE</v>
      </c>
      <c r="Y134" t="str">
        <f t="shared" si="82"/>
        <v>DASH_RISE</v>
      </c>
      <c r="Z134" t="str">
        <f t="shared" si="83"/>
        <v>XMR_RISE</v>
      </c>
      <c r="AA134" t="str">
        <f t="shared" si="84"/>
        <v>ETC_RISE</v>
      </c>
      <c r="AB134" t="str">
        <f t="shared" si="85"/>
        <v>POSW_RISE</v>
      </c>
      <c r="AC134" t="str">
        <f t="shared" si="86"/>
        <v>USDT_RISE</v>
      </c>
      <c r="AD134" t="str">
        <f t="shared" si="87"/>
        <v>ZEC_RISE</v>
      </c>
      <c r="AE134" t="str">
        <f t="shared" si="88"/>
        <v>NXT_RISE</v>
      </c>
      <c r="AF134" t="str">
        <f t="shared" si="89"/>
        <v>REP_RISE</v>
      </c>
    </row>
    <row r="135" spans="1:32" x14ac:dyDescent="0.25">
      <c r="A135" t="s">
        <v>2446</v>
      </c>
      <c r="B135" t="str">
        <f t="shared" si="74"/>
        <v>RLC_BTC</v>
      </c>
      <c r="C135" t="str">
        <f t="shared" si="60"/>
        <v>RLC_USD</v>
      </c>
      <c r="D135" t="str">
        <f t="shared" si="61"/>
        <v>RLC_LTC</v>
      </c>
      <c r="E135" t="str">
        <f t="shared" si="62"/>
        <v>RLC_DOGE</v>
      </c>
      <c r="F135" t="str">
        <f t="shared" si="63"/>
        <v>RLC_ETH</v>
      </c>
      <c r="G135" t="str">
        <f t="shared" si="64"/>
        <v>RLC_EUR</v>
      </c>
      <c r="H135" t="str">
        <f t="shared" si="65"/>
        <v>RLC_RUR</v>
      </c>
      <c r="I135" t="str">
        <f t="shared" si="66"/>
        <v>RLC_DASH</v>
      </c>
      <c r="J135" t="str">
        <f t="shared" si="67"/>
        <v>RLC_XMR</v>
      </c>
      <c r="K135" t="str">
        <f t="shared" si="68"/>
        <v>RLC_ETC</v>
      </c>
      <c r="L135" t="str">
        <f t="shared" si="69"/>
        <v>RLC_POSW</v>
      </c>
      <c r="M135" t="str">
        <f t="shared" si="70"/>
        <v>RLC_USDT</v>
      </c>
      <c r="N135" t="str">
        <f t="shared" si="71"/>
        <v>RLC_ZEC</v>
      </c>
      <c r="O135" t="str">
        <f t="shared" si="72"/>
        <v>RLC_NXT</v>
      </c>
      <c r="P135" t="str">
        <f t="shared" si="73"/>
        <v>RLC_REP</v>
      </c>
      <c r="R135" t="str">
        <f t="shared" si="75"/>
        <v>BTC_RLC</v>
      </c>
      <c r="S135" t="str">
        <f t="shared" si="76"/>
        <v>USD_RLC</v>
      </c>
      <c r="T135" t="str">
        <f t="shared" si="77"/>
        <v>LTC_RLC</v>
      </c>
      <c r="U135" t="str">
        <f t="shared" si="78"/>
        <v>DOGE_RLC</v>
      </c>
      <c r="V135" t="str">
        <f t="shared" si="79"/>
        <v>ETH_RLC</v>
      </c>
      <c r="W135" t="str">
        <f t="shared" si="80"/>
        <v>EUR_RLC</v>
      </c>
      <c r="X135" t="str">
        <f t="shared" si="81"/>
        <v>RUR_RLC</v>
      </c>
      <c r="Y135" t="str">
        <f t="shared" si="82"/>
        <v>DASH_RLC</v>
      </c>
      <c r="Z135" t="str">
        <f t="shared" si="83"/>
        <v>XMR_RLC</v>
      </c>
      <c r="AA135" t="str">
        <f t="shared" si="84"/>
        <v>ETC_RLC</v>
      </c>
      <c r="AB135" t="str">
        <f t="shared" si="85"/>
        <v>POSW_RLC</v>
      </c>
      <c r="AC135" t="str">
        <f t="shared" si="86"/>
        <v>USDT_RLC</v>
      </c>
      <c r="AD135" t="str">
        <f t="shared" si="87"/>
        <v>ZEC_RLC</v>
      </c>
      <c r="AE135" t="str">
        <f t="shared" si="88"/>
        <v>NXT_RLC</v>
      </c>
      <c r="AF135" t="str">
        <f t="shared" si="89"/>
        <v>REP_RLC</v>
      </c>
    </row>
    <row r="136" spans="1:32" x14ac:dyDescent="0.25">
      <c r="A136" t="s">
        <v>2209</v>
      </c>
      <c r="B136" t="str">
        <f t="shared" si="74"/>
        <v>ROYAL_BTC</v>
      </c>
      <c r="C136" t="str">
        <f t="shared" si="60"/>
        <v>ROYAL_USD</v>
      </c>
      <c r="D136" t="str">
        <f t="shared" si="61"/>
        <v>ROYAL_LTC</v>
      </c>
      <c r="E136" t="str">
        <f t="shared" si="62"/>
        <v>ROYAL_DOGE</v>
      </c>
      <c r="F136" t="str">
        <f t="shared" si="63"/>
        <v>ROYAL_ETH</v>
      </c>
      <c r="G136" t="str">
        <f t="shared" si="64"/>
        <v>ROYAL_EUR</v>
      </c>
      <c r="H136" t="str">
        <f t="shared" si="65"/>
        <v>ROYAL_RUR</v>
      </c>
      <c r="I136" t="str">
        <f t="shared" si="66"/>
        <v>ROYAL_DASH</v>
      </c>
      <c r="J136" t="str">
        <f t="shared" si="67"/>
        <v>ROYAL_XMR</v>
      </c>
      <c r="K136" t="str">
        <f t="shared" si="68"/>
        <v>ROYAL_ETC</v>
      </c>
      <c r="L136" t="str">
        <f t="shared" si="69"/>
        <v>ROYAL_POSW</v>
      </c>
      <c r="M136" t="str">
        <f t="shared" si="70"/>
        <v>ROYAL_USDT</v>
      </c>
      <c r="N136" t="str">
        <f t="shared" si="71"/>
        <v>ROYAL_ZEC</v>
      </c>
      <c r="O136" t="str">
        <f t="shared" si="72"/>
        <v>ROYAL_NXT</v>
      </c>
      <c r="P136" t="str">
        <f t="shared" si="73"/>
        <v>ROYAL_REP</v>
      </c>
      <c r="R136" t="str">
        <f t="shared" si="75"/>
        <v>BTC_ROYAL</v>
      </c>
      <c r="S136" t="str">
        <f t="shared" si="76"/>
        <v>USD_ROYAL</v>
      </c>
      <c r="T136" t="str">
        <f t="shared" si="77"/>
        <v>LTC_ROYAL</v>
      </c>
      <c r="U136" t="str">
        <f t="shared" si="78"/>
        <v>DOGE_ROYAL</v>
      </c>
      <c r="V136" t="str">
        <f t="shared" si="79"/>
        <v>ETH_ROYAL</v>
      </c>
      <c r="W136" t="str">
        <f t="shared" si="80"/>
        <v>EUR_ROYAL</v>
      </c>
      <c r="X136" t="str">
        <f t="shared" si="81"/>
        <v>RUR_ROYAL</v>
      </c>
      <c r="Y136" t="str">
        <f t="shared" si="82"/>
        <v>DASH_ROYAL</v>
      </c>
      <c r="Z136" t="str">
        <f t="shared" si="83"/>
        <v>XMR_ROYAL</v>
      </c>
      <c r="AA136" t="str">
        <f t="shared" si="84"/>
        <v>ETC_ROYAL</v>
      </c>
      <c r="AB136" t="str">
        <f t="shared" si="85"/>
        <v>POSW_ROYAL</v>
      </c>
      <c r="AC136" t="str">
        <f t="shared" si="86"/>
        <v>USDT_ROYAL</v>
      </c>
      <c r="AD136" t="str">
        <f t="shared" si="87"/>
        <v>ZEC_ROYAL</v>
      </c>
      <c r="AE136" t="str">
        <f t="shared" si="88"/>
        <v>NXT_ROYAL</v>
      </c>
      <c r="AF136" t="str">
        <f t="shared" si="89"/>
        <v>REP_ROYAL</v>
      </c>
    </row>
    <row r="137" spans="1:32" x14ac:dyDescent="0.25">
      <c r="A137" t="s">
        <v>2157</v>
      </c>
      <c r="B137" t="str">
        <f t="shared" si="74"/>
        <v>RUB_BTC</v>
      </c>
      <c r="C137" t="str">
        <f t="shared" si="60"/>
        <v>RUB_USD</v>
      </c>
      <c r="D137" t="str">
        <f t="shared" si="61"/>
        <v>RUB_LTC</v>
      </c>
      <c r="E137" t="str">
        <f t="shared" si="62"/>
        <v>RUB_DOGE</v>
      </c>
      <c r="F137" t="str">
        <f t="shared" si="63"/>
        <v>RUB_ETH</v>
      </c>
      <c r="G137" t="str">
        <f t="shared" si="64"/>
        <v>RUB_EUR</v>
      </c>
      <c r="H137" t="str">
        <f t="shared" si="65"/>
        <v>RUB_RUR</v>
      </c>
      <c r="I137" t="str">
        <f t="shared" si="66"/>
        <v>RUB_DASH</v>
      </c>
      <c r="J137" t="str">
        <f t="shared" si="67"/>
        <v>RUB_XMR</v>
      </c>
      <c r="K137" t="str">
        <f t="shared" si="68"/>
        <v>RUB_ETC</v>
      </c>
      <c r="L137" t="str">
        <f t="shared" si="69"/>
        <v>RUB_POSW</v>
      </c>
      <c r="M137" t="str">
        <f t="shared" si="70"/>
        <v>RUB_USDT</v>
      </c>
      <c r="N137" t="str">
        <f t="shared" si="71"/>
        <v>RUB_ZEC</v>
      </c>
      <c r="O137" t="str">
        <f t="shared" si="72"/>
        <v>RUB_NXT</v>
      </c>
      <c r="P137" t="str">
        <f t="shared" si="73"/>
        <v>RUB_REP</v>
      </c>
      <c r="R137" t="str">
        <f t="shared" si="75"/>
        <v>BTC_RUB</v>
      </c>
      <c r="S137" t="str">
        <f t="shared" si="76"/>
        <v>USD_RUB</v>
      </c>
      <c r="T137" t="str">
        <f t="shared" si="77"/>
        <v>LTC_RUB</v>
      </c>
      <c r="U137" t="str">
        <f t="shared" si="78"/>
        <v>DOGE_RUB</v>
      </c>
      <c r="V137" t="str">
        <f t="shared" si="79"/>
        <v>ETH_RUB</v>
      </c>
      <c r="W137" t="str">
        <f t="shared" si="80"/>
        <v>EUR_RUB</v>
      </c>
      <c r="X137" t="str">
        <f t="shared" si="81"/>
        <v>RUR_RUB</v>
      </c>
      <c r="Y137" t="str">
        <f t="shared" si="82"/>
        <v>DASH_RUB</v>
      </c>
      <c r="Z137" t="str">
        <f t="shared" si="83"/>
        <v>XMR_RUB</v>
      </c>
      <c r="AA137" t="str">
        <f t="shared" si="84"/>
        <v>ETC_RUB</v>
      </c>
      <c r="AB137" t="str">
        <f t="shared" si="85"/>
        <v>POSW_RUB</v>
      </c>
      <c r="AC137" t="str">
        <f t="shared" si="86"/>
        <v>USDT_RUB</v>
      </c>
      <c r="AD137" t="str">
        <f t="shared" si="87"/>
        <v>ZEC_RUB</v>
      </c>
      <c r="AE137" t="str">
        <f t="shared" si="88"/>
        <v>NXT_RUB</v>
      </c>
      <c r="AF137" t="str">
        <f t="shared" si="89"/>
        <v>REP_RUB</v>
      </c>
    </row>
    <row r="138" spans="1:32" x14ac:dyDescent="0.25">
      <c r="A138" t="s">
        <v>2111</v>
      </c>
      <c r="B138" t="str">
        <f t="shared" si="74"/>
        <v>RUR_BTC</v>
      </c>
      <c r="C138" t="str">
        <f t="shared" si="60"/>
        <v>RUR_USD</v>
      </c>
      <c r="D138" t="str">
        <f t="shared" si="61"/>
        <v>RUR_LTC</v>
      </c>
      <c r="E138" t="str">
        <f t="shared" si="62"/>
        <v>RUR_DOGE</v>
      </c>
      <c r="F138" t="str">
        <f t="shared" si="63"/>
        <v>RUR_ETH</v>
      </c>
      <c r="G138" t="str">
        <f t="shared" si="64"/>
        <v>RUR_EUR</v>
      </c>
      <c r="H138" t="str">
        <f t="shared" si="65"/>
        <v>RUR_RUR</v>
      </c>
      <c r="I138" t="str">
        <f t="shared" si="66"/>
        <v>RUR_DASH</v>
      </c>
      <c r="J138" t="str">
        <f t="shared" si="67"/>
        <v>RUR_XMR</v>
      </c>
      <c r="K138" t="str">
        <f t="shared" si="68"/>
        <v>RUR_ETC</v>
      </c>
      <c r="L138" t="str">
        <f t="shared" si="69"/>
        <v>RUR_POSW</v>
      </c>
      <c r="M138" t="str">
        <f t="shared" si="70"/>
        <v>RUR_USDT</v>
      </c>
      <c r="N138" t="str">
        <f t="shared" si="71"/>
        <v>RUR_ZEC</v>
      </c>
      <c r="O138" t="str">
        <f t="shared" si="72"/>
        <v>RUR_NXT</v>
      </c>
      <c r="P138" t="str">
        <f t="shared" si="73"/>
        <v>RUR_REP</v>
      </c>
      <c r="R138" t="str">
        <f t="shared" si="75"/>
        <v>BTC_RUR</v>
      </c>
      <c r="S138" t="str">
        <f t="shared" si="76"/>
        <v>USD_RUR</v>
      </c>
      <c r="T138" t="str">
        <f t="shared" si="77"/>
        <v>LTC_RUR</v>
      </c>
      <c r="U138" t="str">
        <f t="shared" si="78"/>
        <v>DOGE_RUR</v>
      </c>
      <c r="V138" t="str">
        <f t="shared" si="79"/>
        <v>ETH_RUR</v>
      </c>
      <c r="W138" t="str">
        <f t="shared" si="80"/>
        <v>EUR_RUR</v>
      </c>
      <c r="X138" t="str">
        <f t="shared" si="81"/>
        <v>RUR_RUR</v>
      </c>
      <c r="Y138" t="str">
        <f t="shared" si="82"/>
        <v>DASH_RUR</v>
      </c>
      <c r="Z138" t="str">
        <f t="shared" si="83"/>
        <v>XMR_RUR</v>
      </c>
      <c r="AA138" t="str">
        <f t="shared" si="84"/>
        <v>ETC_RUR</v>
      </c>
      <c r="AB138" t="str">
        <f t="shared" si="85"/>
        <v>POSW_RUR</v>
      </c>
      <c r="AC138" t="str">
        <f t="shared" si="86"/>
        <v>USDT_RUR</v>
      </c>
      <c r="AD138" t="str">
        <f t="shared" si="87"/>
        <v>ZEC_RUR</v>
      </c>
      <c r="AE138" t="str">
        <f t="shared" si="88"/>
        <v>NXT_RUR</v>
      </c>
      <c r="AF138" t="str">
        <f t="shared" si="89"/>
        <v>REP_RUR</v>
      </c>
    </row>
    <row r="139" spans="1:32" x14ac:dyDescent="0.25">
      <c r="A139" t="s">
        <v>2448</v>
      </c>
      <c r="B139" t="str">
        <f t="shared" si="74"/>
        <v>SBD_BTC</v>
      </c>
      <c r="C139" t="str">
        <f t="shared" si="60"/>
        <v>SBD_USD</v>
      </c>
      <c r="D139" t="str">
        <f t="shared" si="61"/>
        <v>SBD_LTC</v>
      </c>
      <c r="E139" t="str">
        <f t="shared" si="62"/>
        <v>SBD_DOGE</v>
      </c>
      <c r="F139" t="str">
        <f t="shared" si="63"/>
        <v>SBD_ETH</v>
      </c>
      <c r="G139" t="str">
        <f t="shared" si="64"/>
        <v>SBD_EUR</v>
      </c>
      <c r="H139" t="str">
        <f t="shared" si="65"/>
        <v>SBD_RUR</v>
      </c>
      <c r="I139" t="str">
        <f t="shared" si="66"/>
        <v>SBD_DASH</v>
      </c>
      <c r="J139" t="str">
        <f t="shared" si="67"/>
        <v>SBD_XMR</v>
      </c>
      <c r="K139" t="str">
        <f t="shared" si="68"/>
        <v>SBD_ETC</v>
      </c>
      <c r="L139" t="str">
        <f t="shared" si="69"/>
        <v>SBD_POSW</v>
      </c>
      <c r="M139" t="str">
        <f t="shared" si="70"/>
        <v>SBD_USDT</v>
      </c>
      <c r="N139" t="str">
        <f t="shared" si="71"/>
        <v>SBD_ZEC</v>
      </c>
      <c r="O139" t="str">
        <f t="shared" si="72"/>
        <v>SBD_NXT</v>
      </c>
      <c r="P139" t="str">
        <f t="shared" si="73"/>
        <v>SBD_REP</v>
      </c>
      <c r="R139" t="str">
        <f t="shared" si="75"/>
        <v>BTC_SBD</v>
      </c>
      <c r="S139" t="str">
        <f t="shared" si="76"/>
        <v>USD_SBD</v>
      </c>
      <c r="T139" t="str">
        <f t="shared" si="77"/>
        <v>LTC_SBD</v>
      </c>
      <c r="U139" t="str">
        <f t="shared" si="78"/>
        <v>DOGE_SBD</v>
      </c>
      <c r="V139" t="str">
        <f t="shared" si="79"/>
        <v>ETH_SBD</v>
      </c>
      <c r="W139" t="str">
        <f t="shared" si="80"/>
        <v>EUR_SBD</v>
      </c>
      <c r="X139" t="str">
        <f t="shared" si="81"/>
        <v>RUR_SBD</v>
      </c>
      <c r="Y139" t="str">
        <f t="shared" si="82"/>
        <v>DASH_SBD</v>
      </c>
      <c r="Z139" t="str">
        <f t="shared" si="83"/>
        <v>XMR_SBD</v>
      </c>
      <c r="AA139" t="str">
        <f t="shared" si="84"/>
        <v>ETC_SBD</v>
      </c>
      <c r="AB139" t="str">
        <f t="shared" si="85"/>
        <v>POSW_SBD</v>
      </c>
      <c r="AC139" t="str">
        <f t="shared" si="86"/>
        <v>USDT_SBD</v>
      </c>
      <c r="AD139" t="str">
        <f t="shared" si="87"/>
        <v>ZEC_SBD</v>
      </c>
      <c r="AE139" t="str">
        <f t="shared" si="88"/>
        <v>NXT_SBD</v>
      </c>
      <c r="AF139" t="str">
        <f t="shared" si="89"/>
        <v>REP_SBD</v>
      </c>
    </row>
    <row r="140" spans="1:32" x14ac:dyDescent="0.25">
      <c r="A140" t="s">
        <v>2158</v>
      </c>
      <c r="B140" t="str">
        <f t="shared" si="74"/>
        <v>SC_BTC</v>
      </c>
      <c r="C140" t="str">
        <f t="shared" si="60"/>
        <v>SC_USD</v>
      </c>
      <c r="D140" t="str">
        <f t="shared" si="61"/>
        <v>SC_LTC</v>
      </c>
      <c r="E140" t="str">
        <f t="shared" si="62"/>
        <v>SC_DOGE</v>
      </c>
      <c r="F140" t="str">
        <f t="shared" si="63"/>
        <v>SC_ETH</v>
      </c>
      <c r="G140" t="str">
        <f t="shared" si="64"/>
        <v>SC_EUR</v>
      </c>
      <c r="H140" t="str">
        <f t="shared" si="65"/>
        <v>SC_RUR</v>
      </c>
      <c r="I140" t="str">
        <f t="shared" si="66"/>
        <v>SC_DASH</v>
      </c>
      <c r="J140" t="str">
        <f t="shared" si="67"/>
        <v>SC_XMR</v>
      </c>
      <c r="K140" t="str">
        <f t="shared" si="68"/>
        <v>SC_ETC</v>
      </c>
      <c r="L140" t="str">
        <f t="shared" si="69"/>
        <v>SC_POSW</v>
      </c>
      <c r="M140" t="str">
        <f t="shared" si="70"/>
        <v>SC_USDT</v>
      </c>
      <c r="N140" t="str">
        <f t="shared" si="71"/>
        <v>SC_ZEC</v>
      </c>
      <c r="O140" t="str">
        <f t="shared" si="72"/>
        <v>SC_NXT</v>
      </c>
      <c r="P140" t="str">
        <f t="shared" si="73"/>
        <v>SC_REP</v>
      </c>
      <c r="R140" t="str">
        <f t="shared" si="75"/>
        <v>BTC_SC</v>
      </c>
      <c r="S140" t="str">
        <f t="shared" si="76"/>
        <v>USD_SC</v>
      </c>
      <c r="T140" t="str">
        <f t="shared" si="77"/>
        <v>LTC_SC</v>
      </c>
      <c r="U140" t="str">
        <f t="shared" si="78"/>
        <v>DOGE_SC</v>
      </c>
      <c r="V140" t="str">
        <f t="shared" si="79"/>
        <v>ETH_SC</v>
      </c>
      <c r="W140" t="str">
        <f t="shared" si="80"/>
        <v>EUR_SC</v>
      </c>
      <c r="X140" t="str">
        <f t="shared" si="81"/>
        <v>RUR_SC</v>
      </c>
      <c r="Y140" t="str">
        <f t="shared" si="82"/>
        <v>DASH_SC</v>
      </c>
      <c r="Z140" t="str">
        <f t="shared" si="83"/>
        <v>XMR_SC</v>
      </c>
      <c r="AA140" t="str">
        <f t="shared" si="84"/>
        <v>ETC_SC</v>
      </c>
      <c r="AB140" t="str">
        <f t="shared" si="85"/>
        <v>POSW_SC</v>
      </c>
      <c r="AC140" t="str">
        <f t="shared" si="86"/>
        <v>USDT_SC</v>
      </c>
      <c r="AD140" t="str">
        <f t="shared" si="87"/>
        <v>ZEC_SC</v>
      </c>
      <c r="AE140" t="str">
        <f t="shared" si="88"/>
        <v>NXT_SC</v>
      </c>
      <c r="AF140" t="str">
        <f t="shared" si="89"/>
        <v>REP_SC</v>
      </c>
    </row>
    <row r="141" spans="1:32" x14ac:dyDescent="0.25">
      <c r="A141" t="s">
        <v>2453</v>
      </c>
      <c r="B141" t="str">
        <f t="shared" si="74"/>
        <v>SHIFT_BTC</v>
      </c>
      <c r="C141" t="str">
        <f t="shared" si="60"/>
        <v>SHIFT_USD</v>
      </c>
      <c r="D141" t="str">
        <f t="shared" si="61"/>
        <v>SHIFT_LTC</v>
      </c>
      <c r="E141" t="str">
        <f t="shared" si="62"/>
        <v>SHIFT_DOGE</v>
      </c>
      <c r="F141" t="str">
        <f t="shared" si="63"/>
        <v>SHIFT_ETH</v>
      </c>
      <c r="G141" t="str">
        <f t="shared" si="64"/>
        <v>SHIFT_EUR</v>
      </c>
      <c r="H141" t="str">
        <f t="shared" si="65"/>
        <v>SHIFT_RUR</v>
      </c>
      <c r="I141" t="str">
        <f t="shared" si="66"/>
        <v>SHIFT_DASH</v>
      </c>
      <c r="J141" t="str">
        <f t="shared" si="67"/>
        <v>SHIFT_XMR</v>
      </c>
      <c r="K141" t="str">
        <f t="shared" si="68"/>
        <v>SHIFT_ETC</v>
      </c>
      <c r="L141" t="str">
        <f t="shared" si="69"/>
        <v>SHIFT_POSW</v>
      </c>
      <c r="M141" t="str">
        <f t="shared" si="70"/>
        <v>SHIFT_USDT</v>
      </c>
      <c r="N141" t="str">
        <f t="shared" si="71"/>
        <v>SHIFT_ZEC</v>
      </c>
      <c r="O141" t="str">
        <f t="shared" si="72"/>
        <v>SHIFT_NXT</v>
      </c>
      <c r="P141" t="str">
        <f t="shared" si="73"/>
        <v>SHIFT_REP</v>
      </c>
      <c r="R141" t="str">
        <f t="shared" si="75"/>
        <v>BTC_SHIFT</v>
      </c>
      <c r="S141" t="str">
        <f t="shared" si="76"/>
        <v>USD_SHIFT</v>
      </c>
      <c r="T141" t="str">
        <f t="shared" si="77"/>
        <v>LTC_SHIFT</v>
      </c>
      <c r="U141" t="str">
        <f t="shared" si="78"/>
        <v>DOGE_SHIFT</v>
      </c>
      <c r="V141" t="str">
        <f t="shared" si="79"/>
        <v>ETH_SHIFT</v>
      </c>
      <c r="W141" t="str">
        <f t="shared" si="80"/>
        <v>EUR_SHIFT</v>
      </c>
      <c r="X141" t="str">
        <f t="shared" si="81"/>
        <v>RUR_SHIFT</v>
      </c>
      <c r="Y141" t="str">
        <f t="shared" si="82"/>
        <v>DASH_SHIFT</v>
      </c>
      <c r="Z141" t="str">
        <f t="shared" si="83"/>
        <v>XMR_SHIFT</v>
      </c>
      <c r="AA141" t="str">
        <f t="shared" si="84"/>
        <v>ETC_SHIFT</v>
      </c>
      <c r="AB141" t="str">
        <f t="shared" si="85"/>
        <v>POSW_SHIFT</v>
      </c>
      <c r="AC141" t="str">
        <f t="shared" si="86"/>
        <v>USDT_SHIFT</v>
      </c>
      <c r="AD141" t="str">
        <f t="shared" si="87"/>
        <v>ZEC_SHIFT</v>
      </c>
      <c r="AE141" t="str">
        <f t="shared" si="88"/>
        <v>NXT_SHIFT</v>
      </c>
      <c r="AF141" t="str">
        <f t="shared" si="89"/>
        <v>REP_SHIFT</v>
      </c>
    </row>
    <row r="142" spans="1:32" x14ac:dyDescent="0.25">
      <c r="A142" t="s">
        <v>2125</v>
      </c>
      <c r="B142" t="str">
        <f t="shared" si="74"/>
        <v>SIB_BTC</v>
      </c>
      <c r="C142" t="str">
        <f t="shared" si="60"/>
        <v>SIB_USD</v>
      </c>
      <c r="D142" t="str">
        <f t="shared" si="61"/>
        <v>SIB_LTC</v>
      </c>
      <c r="E142" t="str">
        <f t="shared" si="62"/>
        <v>SIB_DOGE</v>
      </c>
      <c r="F142" t="str">
        <f t="shared" si="63"/>
        <v>SIB_ETH</v>
      </c>
      <c r="G142" t="str">
        <f t="shared" si="64"/>
        <v>SIB_EUR</v>
      </c>
      <c r="H142" t="str">
        <f t="shared" si="65"/>
        <v>SIB_RUR</v>
      </c>
      <c r="I142" t="str">
        <f t="shared" si="66"/>
        <v>SIB_DASH</v>
      </c>
      <c r="J142" t="str">
        <f t="shared" si="67"/>
        <v>SIB_XMR</v>
      </c>
      <c r="K142" t="str">
        <f t="shared" si="68"/>
        <v>SIB_ETC</v>
      </c>
      <c r="L142" t="str">
        <f t="shared" si="69"/>
        <v>SIB_POSW</v>
      </c>
      <c r="M142" t="str">
        <f t="shared" si="70"/>
        <v>SIB_USDT</v>
      </c>
      <c r="N142" t="str">
        <f t="shared" si="71"/>
        <v>SIB_ZEC</v>
      </c>
      <c r="O142" t="str">
        <f t="shared" si="72"/>
        <v>SIB_NXT</v>
      </c>
      <c r="P142" t="str">
        <f t="shared" si="73"/>
        <v>SIB_REP</v>
      </c>
      <c r="R142" t="str">
        <f t="shared" si="75"/>
        <v>BTC_SIB</v>
      </c>
      <c r="S142" t="str">
        <f t="shared" si="76"/>
        <v>USD_SIB</v>
      </c>
      <c r="T142" t="str">
        <f t="shared" si="77"/>
        <v>LTC_SIB</v>
      </c>
      <c r="U142" t="str">
        <f t="shared" si="78"/>
        <v>DOGE_SIB</v>
      </c>
      <c r="V142" t="str">
        <f t="shared" si="79"/>
        <v>ETH_SIB</v>
      </c>
      <c r="W142" t="str">
        <f t="shared" si="80"/>
        <v>EUR_SIB</v>
      </c>
      <c r="X142" t="str">
        <f t="shared" si="81"/>
        <v>RUR_SIB</v>
      </c>
      <c r="Y142" t="str">
        <f t="shared" si="82"/>
        <v>DASH_SIB</v>
      </c>
      <c r="Z142" t="str">
        <f t="shared" si="83"/>
        <v>XMR_SIB</v>
      </c>
      <c r="AA142" t="str">
        <f t="shared" si="84"/>
        <v>ETC_SIB</v>
      </c>
      <c r="AB142" t="str">
        <f t="shared" si="85"/>
        <v>POSW_SIB</v>
      </c>
      <c r="AC142" t="str">
        <f t="shared" si="86"/>
        <v>USDT_SIB</v>
      </c>
      <c r="AD142" t="str">
        <f t="shared" si="87"/>
        <v>ZEC_SIB</v>
      </c>
      <c r="AE142" t="str">
        <f t="shared" si="88"/>
        <v>NXT_SIB</v>
      </c>
      <c r="AF142" t="str">
        <f t="shared" si="89"/>
        <v>REP_SIB</v>
      </c>
    </row>
    <row r="143" spans="1:32" x14ac:dyDescent="0.25">
      <c r="A143" t="s">
        <v>2455</v>
      </c>
      <c r="B143" t="str">
        <f t="shared" si="74"/>
        <v>SLR_BTC</v>
      </c>
      <c r="C143" t="str">
        <f t="shared" si="60"/>
        <v>SLR_USD</v>
      </c>
      <c r="D143" t="str">
        <f t="shared" si="61"/>
        <v>SLR_LTC</v>
      </c>
      <c r="E143" t="str">
        <f t="shared" si="62"/>
        <v>SLR_DOGE</v>
      </c>
      <c r="F143" t="str">
        <f t="shared" si="63"/>
        <v>SLR_ETH</v>
      </c>
      <c r="G143" t="str">
        <f t="shared" si="64"/>
        <v>SLR_EUR</v>
      </c>
      <c r="H143" t="str">
        <f t="shared" si="65"/>
        <v>SLR_RUR</v>
      </c>
      <c r="I143" t="str">
        <f t="shared" si="66"/>
        <v>SLR_DASH</v>
      </c>
      <c r="J143" t="str">
        <f t="shared" si="67"/>
        <v>SLR_XMR</v>
      </c>
      <c r="K143" t="str">
        <f t="shared" si="68"/>
        <v>SLR_ETC</v>
      </c>
      <c r="L143" t="str">
        <f t="shared" si="69"/>
        <v>SLR_POSW</v>
      </c>
      <c r="M143" t="str">
        <f t="shared" si="70"/>
        <v>SLR_USDT</v>
      </c>
      <c r="N143" t="str">
        <f t="shared" si="71"/>
        <v>SLR_ZEC</v>
      </c>
      <c r="O143" t="str">
        <f t="shared" si="72"/>
        <v>SLR_NXT</v>
      </c>
      <c r="P143" t="str">
        <f t="shared" si="73"/>
        <v>SLR_REP</v>
      </c>
      <c r="R143" t="str">
        <f t="shared" si="75"/>
        <v>BTC_SLR</v>
      </c>
      <c r="S143" t="str">
        <f t="shared" si="76"/>
        <v>USD_SLR</v>
      </c>
      <c r="T143" t="str">
        <f t="shared" si="77"/>
        <v>LTC_SLR</v>
      </c>
      <c r="U143" t="str">
        <f t="shared" si="78"/>
        <v>DOGE_SLR</v>
      </c>
      <c r="V143" t="str">
        <f t="shared" si="79"/>
        <v>ETH_SLR</v>
      </c>
      <c r="W143" t="str">
        <f t="shared" si="80"/>
        <v>EUR_SLR</v>
      </c>
      <c r="X143" t="str">
        <f t="shared" si="81"/>
        <v>RUR_SLR</v>
      </c>
      <c r="Y143" t="str">
        <f t="shared" si="82"/>
        <v>DASH_SLR</v>
      </c>
      <c r="Z143" t="str">
        <f t="shared" si="83"/>
        <v>XMR_SLR</v>
      </c>
      <c r="AA143" t="str">
        <f t="shared" si="84"/>
        <v>ETC_SLR</v>
      </c>
      <c r="AB143" t="str">
        <f t="shared" si="85"/>
        <v>POSW_SLR</v>
      </c>
      <c r="AC143" t="str">
        <f t="shared" si="86"/>
        <v>USDT_SLR</v>
      </c>
      <c r="AD143" t="str">
        <f t="shared" si="87"/>
        <v>ZEC_SLR</v>
      </c>
      <c r="AE143" t="str">
        <f t="shared" si="88"/>
        <v>NXT_SLR</v>
      </c>
      <c r="AF143" t="str">
        <f t="shared" si="89"/>
        <v>REP_SLR</v>
      </c>
    </row>
    <row r="144" spans="1:32" x14ac:dyDescent="0.25">
      <c r="A144" t="s">
        <v>2456</v>
      </c>
      <c r="B144" t="str">
        <f t="shared" si="74"/>
        <v>SLS_BTC</v>
      </c>
      <c r="C144" t="str">
        <f t="shared" si="60"/>
        <v>SLS_USD</v>
      </c>
      <c r="D144" t="str">
        <f t="shared" si="61"/>
        <v>SLS_LTC</v>
      </c>
      <c r="E144" t="str">
        <f t="shared" si="62"/>
        <v>SLS_DOGE</v>
      </c>
      <c r="F144" t="str">
        <f t="shared" si="63"/>
        <v>SLS_ETH</v>
      </c>
      <c r="G144" t="str">
        <f t="shared" si="64"/>
        <v>SLS_EUR</v>
      </c>
      <c r="H144" t="str">
        <f t="shared" si="65"/>
        <v>SLS_RUR</v>
      </c>
      <c r="I144" t="str">
        <f t="shared" si="66"/>
        <v>SLS_DASH</v>
      </c>
      <c r="J144" t="str">
        <f t="shared" si="67"/>
        <v>SLS_XMR</v>
      </c>
      <c r="K144" t="str">
        <f t="shared" si="68"/>
        <v>SLS_ETC</v>
      </c>
      <c r="L144" t="str">
        <f t="shared" si="69"/>
        <v>SLS_POSW</v>
      </c>
      <c r="M144" t="str">
        <f t="shared" si="70"/>
        <v>SLS_USDT</v>
      </c>
      <c r="N144" t="str">
        <f t="shared" si="71"/>
        <v>SLS_ZEC</v>
      </c>
      <c r="O144" t="str">
        <f t="shared" si="72"/>
        <v>SLS_NXT</v>
      </c>
      <c r="P144" t="str">
        <f t="shared" si="73"/>
        <v>SLS_REP</v>
      </c>
      <c r="R144" t="str">
        <f t="shared" si="75"/>
        <v>BTC_SLS</v>
      </c>
      <c r="S144" t="str">
        <f t="shared" si="76"/>
        <v>USD_SLS</v>
      </c>
      <c r="T144" t="str">
        <f t="shared" si="77"/>
        <v>LTC_SLS</v>
      </c>
      <c r="U144" t="str">
        <f t="shared" si="78"/>
        <v>DOGE_SLS</v>
      </c>
      <c r="V144" t="str">
        <f t="shared" si="79"/>
        <v>ETH_SLS</v>
      </c>
      <c r="W144" t="str">
        <f t="shared" si="80"/>
        <v>EUR_SLS</v>
      </c>
      <c r="X144" t="str">
        <f t="shared" si="81"/>
        <v>RUR_SLS</v>
      </c>
      <c r="Y144" t="str">
        <f t="shared" si="82"/>
        <v>DASH_SLS</v>
      </c>
      <c r="Z144" t="str">
        <f t="shared" si="83"/>
        <v>XMR_SLS</v>
      </c>
      <c r="AA144" t="str">
        <f t="shared" si="84"/>
        <v>ETC_SLS</v>
      </c>
      <c r="AB144" t="str">
        <f t="shared" si="85"/>
        <v>POSW_SLS</v>
      </c>
      <c r="AC144" t="str">
        <f t="shared" si="86"/>
        <v>USDT_SLS</v>
      </c>
      <c r="AD144" t="str">
        <f t="shared" si="87"/>
        <v>ZEC_SLS</v>
      </c>
      <c r="AE144" t="str">
        <f t="shared" si="88"/>
        <v>NXT_SLS</v>
      </c>
      <c r="AF144" t="str">
        <f t="shared" si="89"/>
        <v>REP_SLS</v>
      </c>
    </row>
    <row r="145" spans="1:32" x14ac:dyDescent="0.25">
      <c r="A145" t="s">
        <v>2458</v>
      </c>
      <c r="B145" t="str">
        <f t="shared" si="74"/>
        <v>SNGLS_BTC</v>
      </c>
      <c r="C145" t="str">
        <f t="shared" si="60"/>
        <v>SNGLS_USD</v>
      </c>
      <c r="D145" t="str">
        <f t="shared" si="61"/>
        <v>SNGLS_LTC</v>
      </c>
      <c r="E145" t="str">
        <f t="shared" si="62"/>
        <v>SNGLS_DOGE</v>
      </c>
      <c r="F145" t="str">
        <f t="shared" si="63"/>
        <v>SNGLS_ETH</v>
      </c>
      <c r="G145" t="str">
        <f t="shared" si="64"/>
        <v>SNGLS_EUR</v>
      </c>
      <c r="H145" t="str">
        <f t="shared" si="65"/>
        <v>SNGLS_RUR</v>
      </c>
      <c r="I145" t="str">
        <f t="shared" si="66"/>
        <v>SNGLS_DASH</v>
      </c>
      <c r="J145" t="str">
        <f t="shared" si="67"/>
        <v>SNGLS_XMR</v>
      </c>
      <c r="K145" t="str">
        <f t="shared" si="68"/>
        <v>SNGLS_ETC</v>
      </c>
      <c r="L145" t="str">
        <f t="shared" si="69"/>
        <v>SNGLS_POSW</v>
      </c>
      <c r="M145" t="str">
        <f t="shared" si="70"/>
        <v>SNGLS_USDT</v>
      </c>
      <c r="N145" t="str">
        <f t="shared" si="71"/>
        <v>SNGLS_ZEC</v>
      </c>
      <c r="O145" t="str">
        <f t="shared" si="72"/>
        <v>SNGLS_NXT</v>
      </c>
      <c r="P145" t="str">
        <f t="shared" si="73"/>
        <v>SNGLS_REP</v>
      </c>
      <c r="R145" t="str">
        <f t="shared" si="75"/>
        <v>BTC_SNGLS</v>
      </c>
      <c r="S145" t="str">
        <f t="shared" si="76"/>
        <v>USD_SNGLS</v>
      </c>
      <c r="T145" t="str">
        <f t="shared" si="77"/>
        <v>LTC_SNGLS</v>
      </c>
      <c r="U145" t="str">
        <f t="shared" si="78"/>
        <v>DOGE_SNGLS</v>
      </c>
      <c r="V145" t="str">
        <f t="shared" si="79"/>
        <v>ETH_SNGLS</v>
      </c>
      <c r="W145" t="str">
        <f t="shared" si="80"/>
        <v>EUR_SNGLS</v>
      </c>
      <c r="X145" t="str">
        <f t="shared" si="81"/>
        <v>RUR_SNGLS</v>
      </c>
      <c r="Y145" t="str">
        <f t="shared" si="82"/>
        <v>DASH_SNGLS</v>
      </c>
      <c r="Z145" t="str">
        <f t="shared" si="83"/>
        <v>XMR_SNGLS</v>
      </c>
      <c r="AA145" t="str">
        <f t="shared" si="84"/>
        <v>ETC_SNGLS</v>
      </c>
      <c r="AB145" t="str">
        <f t="shared" si="85"/>
        <v>POSW_SNGLS</v>
      </c>
      <c r="AC145" t="str">
        <f t="shared" si="86"/>
        <v>USDT_SNGLS</v>
      </c>
      <c r="AD145" t="str">
        <f t="shared" si="87"/>
        <v>ZEC_SNGLS</v>
      </c>
      <c r="AE145" t="str">
        <f t="shared" si="88"/>
        <v>NXT_SNGLS</v>
      </c>
      <c r="AF145" t="str">
        <f t="shared" si="89"/>
        <v>REP_SNGLS</v>
      </c>
    </row>
    <row r="146" spans="1:32" x14ac:dyDescent="0.25">
      <c r="A146" t="s">
        <v>2459</v>
      </c>
      <c r="B146" t="str">
        <f t="shared" si="74"/>
        <v>SNRG_BTC</v>
      </c>
      <c r="C146" t="str">
        <f t="shared" si="60"/>
        <v>SNRG_USD</v>
      </c>
      <c r="D146" t="str">
        <f t="shared" si="61"/>
        <v>SNRG_LTC</v>
      </c>
      <c r="E146" t="str">
        <f t="shared" si="62"/>
        <v>SNRG_DOGE</v>
      </c>
      <c r="F146" t="str">
        <f t="shared" si="63"/>
        <v>SNRG_ETH</v>
      </c>
      <c r="G146" t="str">
        <f t="shared" si="64"/>
        <v>SNRG_EUR</v>
      </c>
      <c r="H146" t="str">
        <f t="shared" si="65"/>
        <v>SNRG_RUR</v>
      </c>
      <c r="I146" t="str">
        <f t="shared" si="66"/>
        <v>SNRG_DASH</v>
      </c>
      <c r="J146" t="str">
        <f t="shared" si="67"/>
        <v>SNRG_XMR</v>
      </c>
      <c r="K146" t="str">
        <f t="shared" si="68"/>
        <v>SNRG_ETC</v>
      </c>
      <c r="L146" t="str">
        <f t="shared" si="69"/>
        <v>SNRG_POSW</v>
      </c>
      <c r="M146" t="str">
        <f t="shared" si="70"/>
        <v>SNRG_USDT</v>
      </c>
      <c r="N146" t="str">
        <f t="shared" si="71"/>
        <v>SNRG_ZEC</v>
      </c>
      <c r="O146" t="str">
        <f t="shared" si="72"/>
        <v>SNRG_NXT</v>
      </c>
      <c r="P146" t="str">
        <f t="shared" si="73"/>
        <v>SNRG_REP</v>
      </c>
      <c r="R146" t="str">
        <f t="shared" si="75"/>
        <v>BTC_SNRG</v>
      </c>
      <c r="S146" t="str">
        <f t="shared" si="76"/>
        <v>USD_SNRG</v>
      </c>
      <c r="T146" t="str">
        <f t="shared" si="77"/>
        <v>LTC_SNRG</v>
      </c>
      <c r="U146" t="str">
        <f t="shared" si="78"/>
        <v>DOGE_SNRG</v>
      </c>
      <c r="V146" t="str">
        <f t="shared" si="79"/>
        <v>ETH_SNRG</v>
      </c>
      <c r="W146" t="str">
        <f t="shared" si="80"/>
        <v>EUR_SNRG</v>
      </c>
      <c r="X146" t="str">
        <f t="shared" si="81"/>
        <v>RUR_SNRG</v>
      </c>
      <c r="Y146" t="str">
        <f t="shared" si="82"/>
        <v>DASH_SNRG</v>
      </c>
      <c r="Z146" t="str">
        <f t="shared" si="83"/>
        <v>XMR_SNRG</v>
      </c>
      <c r="AA146" t="str">
        <f t="shared" si="84"/>
        <v>ETC_SNRG</v>
      </c>
      <c r="AB146" t="str">
        <f t="shared" si="85"/>
        <v>POSW_SNRG</v>
      </c>
      <c r="AC146" t="str">
        <f t="shared" si="86"/>
        <v>USDT_SNRG</v>
      </c>
      <c r="AD146" t="str">
        <f t="shared" si="87"/>
        <v>ZEC_SNRG</v>
      </c>
      <c r="AE146" t="str">
        <f t="shared" si="88"/>
        <v>NXT_SNRG</v>
      </c>
      <c r="AF146" t="str">
        <f t="shared" si="89"/>
        <v>REP_SNRG</v>
      </c>
    </row>
    <row r="147" spans="1:32" x14ac:dyDescent="0.25">
      <c r="A147" t="s">
        <v>2210</v>
      </c>
      <c r="B147" t="str">
        <f t="shared" si="74"/>
        <v>SOAR_BTC</v>
      </c>
      <c r="C147" t="str">
        <f t="shared" si="60"/>
        <v>SOAR_USD</v>
      </c>
      <c r="D147" t="str">
        <f t="shared" si="61"/>
        <v>SOAR_LTC</v>
      </c>
      <c r="E147" t="str">
        <f t="shared" si="62"/>
        <v>SOAR_DOGE</v>
      </c>
      <c r="F147" t="str">
        <f t="shared" si="63"/>
        <v>SOAR_ETH</v>
      </c>
      <c r="G147" t="str">
        <f t="shared" si="64"/>
        <v>SOAR_EUR</v>
      </c>
      <c r="H147" t="str">
        <f t="shared" si="65"/>
        <v>SOAR_RUR</v>
      </c>
      <c r="I147" t="str">
        <f t="shared" si="66"/>
        <v>SOAR_DASH</v>
      </c>
      <c r="J147" t="str">
        <f t="shared" si="67"/>
        <v>SOAR_XMR</v>
      </c>
      <c r="K147" t="str">
        <f t="shared" si="68"/>
        <v>SOAR_ETC</v>
      </c>
      <c r="L147" t="str">
        <f t="shared" si="69"/>
        <v>SOAR_POSW</v>
      </c>
      <c r="M147" t="str">
        <f t="shared" si="70"/>
        <v>SOAR_USDT</v>
      </c>
      <c r="N147" t="str">
        <f t="shared" si="71"/>
        <v>SOAR_ZEC</v>
      </c>
      <c r="O147" t="str">
        <f t="shared" si="72"/>
        <v>SOAR_NXT</v>
      </c>
      <c r="P147" t="str">
        <f t="shared" si="73"/>
        <v>SOAR_REP</v>
      </c>
      <c r="R147" t="str">
        <f t="shared" si="75"/>
        <v>BTC_SOAR</v>
      </c>
      <c r="S147" t="str">
        <f t="shared" si="76"/>
        <v>USD_SOAR</v>
      </c>
      <c r="T147" t="str">
        <f t="shared" si="77"/>
        <v>LTC_SOAR</v>
      </c>
      <c r="U147" t="str">
        <f t="shared" si="78"/>
        <v>DOGE_SOAR</v>
      </c>
      <c r="V147" t="str">
        <f t="shared" si="79"/>
        <v>ETH_SOAR</v>
      </c>
      <c r="W147" t="str">
        <f t="shared" si="80"/>
        <v>EUR_SOAR</v>
      </c>
      <c r="X147" t="str">
        <f t="shared" si="81"/>
        <v>RUR_SOAR</v>
      </c>
      <c r="Y147" t="str">
        <f t="shared" si="82"/>
        <v>DASH_SOAR</v>
      </c>
      <c r="Z147" t="str">
        <f t="shared" si="83"/>
        <v>XMR_SOAR</v>
      </c>
      <c r="AA147" t="str">
        <f t="shared" si="84"/>
        <v>ETC_SOAR</v>
      </c>
      <c r="AB147" t="str">
        <f t="shared" si="85"/>
        <v>POSW_SOAR</v>
      </c>
      <c r="AC147" t="str">
        <f t="shared" si="86"/>
        <v>USDT_SOAR</v>
      </c>
      <c r="AD147" t="str">
        <f t="shared" si="87"/>
        <v>ZEC_SOAR</v>
      </c>
      <c r="AE147" t="str">
        <f t="shared" si="88"/>
        <v>NXT_SOAR</v>
      </c>
      <c r="AF147" t="str">
        <f t="shared" si="89"/>
        <v>REP_SOAR</v>
      </c>
    </row>
    <row r="148" spans="1:32" x14ac:dyDescent="0.25">
      <c r="A148" t="s">
        <v>2211</v>
      </c>
      <c r="B148" t="str">
        <f t="shared" si="74"/>
        <v>SONG_BTC</v>
      </c>
      <c r="C148" t="str">
        <f t="shared" si="60"/>
        <v>SONG_USD</v>
      </c>
      <c r="D148" t="str">
        <f t="shared" si="61"/>
        <v>SONG_LTC</v>
      </c>
      <c r="E148" t="str">
        <f t="shared" si="62"/>
        <v>SONG_DOGE</v>
      </c>
      <c r="F148" t="str">
        <f t="shared" si="63"/>
        <v>SONG_ETH</v>
      </c>
      <c r="G148" t="str">
        <f t="shared" si="64"/>
        <v>SONG_EUR</v>
      </c>
      <c r="H148" t="str">
        <f t="shared" si="65"/>
        <v>SONG_RUR</v>
      </c>
      <c r="I148" t="str">
        <f t="shared" si="66"/>
        <v>SONG_DASH</v>
      </c>
      <c r="J148" t="str">
        <f t="shared" si="67"/>
        <v>SONG_XMR</v>
      </c>
      <c r="K148" t="str">
        <f t="shared" si="68"/>
        <v>SONG_ETC</v>
      </c>
      <c r="L148" t="str">
        <f t="shared" si="69"/>
        <v>SONG_POSW</v>
      </c>
      <c r="M148" t="str">
        <f t="shared" si="70"/>
        <v>SONG_USDT</v>
      </c>
      <c r="N148" t="str">
        <f t="shared" si="71"/>
        <v>SONG_ZEC</v>
      </c>
      <c r="O148" t="str">
        <f t="shared" si="72"/>
        <v>SONG_NXT</v>
      </c>
      <c r="P148" t="str">
        <f t="shared" si="73"/>
        <v>SONG_REP</v>
      </c>
      <c r="R148" t="str">
        <f t="shared" si="75"/>
        <v>BTC_SONG</v>
      </c>
      <c r="S148" t="str">
        <f t="shared" si="76"/>
        <v>USD_SONG</v>
      </c>
      <c r="T148" t="str">
        <f t="shared" si="77"/>
        <v>LTC_SONG</v>
      </c>
      <c r="U148" t="str">
        <f t="shared" si="78"/>
        <v>DOGE_SONG</v>
      </c>
      <c r="V148" t="str">
        <f t="shared" si="79"/>
        <v>ETH_SONG</v>
      </c>
      <c r="W148" t="str">
        <f t="shared" si="80"/>
        <v>EUR_SONG</v>
      </c>
      <c r="X148" t="str">
        <f t="shared" si="81"/>
        <v>RUR_SONG</v>
      </c>
      <c r="Y148" t="str">
        <f t="shared" si="82"/>
        <v>DASH_SONG</v>
      </c>
      <c r="Z148" t="str">
        <f t="shared" si="83"/>
        <v>XMR_SONG</v>
      </c>
      <c r="AA148" t="str">
        <f t="shared" si="84"/>
        <v>ETC_SONG</v>
      </c>
      <c r="AB148" t="str">
        <f t="shared" si="85"/>
        <v>POSW_SONG</v>
      </c>
      <c r="AC148" t="str">
        <f t="shared" si="86"/>
        <v>USDT_SONG</v>
      </c>
      <c r="AD148" t="str">
        <f t="shared" si="87"/>
        <v>ZEC_SONG</v>
      </c>
      <c r="AE148" t="str">
        <f t="shared" si="88"/>
        <v>NXT_SONG</v>
      </c>
      <c r="AF148" t="str">
        <f t="shared" si="89"/>
        <v>REP_SONG</v>
      </c>
    </row>
    <row r="149" spans="1:32" x14ac:dyDescent="0.25">
      <c r="A149" t="s">
        <v>2461</v>
      </c>
      <c r="B149" t="str">
        <f t="shared" si="74"/>
        <v>SPR_BTC</v>
      </c>
      <c r="C149" t="str">
        <f t="shared" si="60"/>
        <v>SPR_USD</v>
      </c>
      <c r="D149" t="str">
        <f t="shared" si="61"/>
        <v>SPR_LTC</v>
      </c>
      <c r="E149" t="str">
        <f t="shared" si="62"/>
        <v>SPR_DOGE</v>
      </c>
      <c r="F149" t="str">
        <f t="shared" si="63"/>
        <v>SPR_ETH</v>
      </c>
      <c r="G149" t="str">
        <f t="shared" si="64"/>
        <v>SPR_EUR</v>
      </c>
      <c r="H149" t="str">
        <f t="shared" si="65"/>
        <v>SPR_RUR</v>
      </c>
      <c r="I149" t="str">
        <f t="shared" si="66"/>
        <v>SPR_DASH</v>
      </c>
      <c r="J149" t="str">
        <f t="shared" si="67"/>
        <v>SPR_XMR</v>
      </c>
      <c r="K149" t="str">
        <f t="shared" si="68"/>
        <v>SPR_ETC</v>
      </c>
      <c r="L149" t="str">
        <f t="shared" si="69"/>
        <v>SPR_POSW</v>
      </c>
      <c r="M149" t="str">
        <f t="shared" si="70"/>
        <v>SPR_USDT</v>
      </c>
      <c r="N149" t="str">
        <f t="shared" si="71"/>
        <v>SPR_ZEC</v>
      </c>
      <c r="O149" t="str">
        <f t="shared" si="72"/>
        <v>SPR_NXT</v>
      </c>
      <c r="P149" t="str">
        <f t="shared" si="73"/>
        <v>SPR_REP</v>
      </c>
      <c r="R149" t="str">
        <f t="shared" si="75"/>
        <v>BTC_SPR</v>
      </c>
      <c r="S149" t="str">
        <f t="shared" si="76"/>
        <v>USD_SPR</v>
      </c>
      <c r="T149" t="str">
        <f t="shared" si="77"/>
        <v>LTC_SPR</v>
      </c>
      <c r="U149" t="str">
        <f t="shared" si="78"/>
        <v>DOGE_SPR</v>
      </c>
      <c r="V149" t="str">
        <f t="shared" si="79"/>
        <v>ETH_SPR</v>
      </c>
      <c r="W149" t="str">
        <f t="shared" si="80"/>
        <v>EUR_SPR</v>
      </c>
      <c r="X149" t="str">
        <f t="shared" si="81"/>
        <v>RUR_SPR</v>
      </c>
      <c r="Y149" t="str">
        <f t="shared" si="82"/>
        <v>DASH_SPR</v>
      </c>
      <c r="Z149" t="str">
        <f t="shared" si="83"/>
        <v>XMR_SPR</v>
      </c>
      <c r="AA149" t="str">
        <f t="shared" si="84"/>
        <v>ETC_SPR</v>
      </c>
      <c r="AB149" t="str">
        <f t="shared" si="85"/>
        <v>POSW_SPR</v>
      </c>
      <c r="AC149" t="str">
        <f t="shared" si="86"/>
        <v>USDT_SPR</v>
      </c>
      <c r="AD149" t="str">
        <f t="shared" si="87"/>
        <v>ZEC_SPR</v>
      </c>
      <c r="AE149" t="str">
        <f t="shared" si="88"/>
        <v>NXT_SPR</v>
      </c>
      <c r="AF149" t="str">
        <f t="shared" si="89"/>
        <v>REP_SPR</v>
      </c>
    </row>
    <row r="150" spans="1:32" x14ac:dyDescent="0.25">
      <c r="A150" t="s">
        <v>2462</v>
      </c>
      <c r="B150" t="str">
        <f t="shared" si="74"/>
        <v>START_BTC</v>
      </c>
      <c r="C150" t="str">
        <f t="shared" si="60"/>
        <v>START_USD</v>
      </c>
      <c r="D150" t="str">
        <f t="shared" si="61"/>
        <v>START_LTC</v>
      </c>
      <c r="E150" t="str">
        <f t="shared" si="62"/>
        <v>START_DOGE</v>
      </c>
      <c r="F150" t="str">
        <f t="shared" si="63"/>
        <v>START_ETH</v>
      </c>
      <c r="G150" t="str">
        <f t="shared" si="64"/>
        <v>START_EUR</v>
      </c>
      <c r="H150" t="str">
        <f t="shared" si="65"/>
        <v>START_RUR</v>
      </c>
      <c r="I150" t="str">
        <f t="shared" si="66"/>
        <v>START_DASH</v>
      </c>
      <c r="J150" t="str">
        <f t="shared" si="67"/>
        <v>START_XMR</v>
      </c>
      <c r="K150" t="str">
        <f t="shared" si="68"/>
        <v>START_ETC</v>
      </c>
      <c r="L150" t="str">
        <f t="shared" si="69"/>
        <v>START_POSW</v>
      </c>
      <c r="M150" t="str">
        <f t="shared" si="70"/>
        <v>START_USDT</v>
      </c>
      <c r="N150" t="str">
        <f t="shared" si="71"/>
        <v>START_ZEC</v>
      </c>
      <c r="O150" t="str">
        <f t="shared" si="72"/>
        <v>START_NXT</v>
      </c>
      <c r="P150" t="str">
        <f t="shared" si="73"/>
        <v>START_REP</v>
      </c>
      <c r="R150" t="str">
        <f t="shared" si="75"/>
        <v>BTC_START</v>
      </c>
      <c r="S150" t="str">
        <f t="shared" si="76"/>
        <v>USD_START</v>
      </c>
      <c r="T150" t="str">
        <f t="shared" si="77"/>
        <v>LTC_START</v>
      </c>
      <c r="U150" t="str">
        <f t="shared" si="78"/>
        <v>DOGE_START</v>
      </c>
      <c r="V150" t="str">
        <f t="shared" si="79"/>
        <v>ETH_START</v>
      </c>
      <c r="W150" t="str">
        <f t="shared" si="80"/>
        <v>EUR_START</v>
      </c>
      <c r="X150" t="str">
        <f t="shared" si="81"/>
        <v>RUR_START</v>
      </c>
      <c r="Y150" t="str">
        <f t="shared" si="82"/>
        <v>DASH_START</v>
      </c>
      <c r="Z150" t="str">
        <f t="shared" si="83"/>
        <v>XMR_START</v>
      </c>
      <c r="AA150" t="str">
        <f t="shared" si="84"/>
        <v>ETC_START</v>
      </c>
      <c r="AB150" t="str">
        <f t="shared" si="85"/>
        <v>POSW_START</v>
      </c>
      <c r="AC150" t="str">
        <f t="shared" si="86"/>
        <v>USDT_START</v>
      </c>
      <c r="AD150" t="str">
        <f t="shared" si="87"/>
        <v>ZEC_START</v>
      </c>
      <c r="AE150" t="str">
        <f t="shared" si="88"/>
        <v>NXT_START</v>
      </c>
      <c r="AF150" t="str">
        <f t="shared" si="89"/>
        <v>REP_START</v>
      </c>
    </row>
    <row r="151" spans="1:32" x14ac:dyDescent="0.25">
      <c r="A151" t="s">
        <v>2212</v>
      </c>
      <c r="B151" t="str">
        <f t="shared" si="74"/>
        <v>STEEM_BTC</v>
      </c>
      <c r="C151" t="str">
        <f t="shared" si="60"/>
        <v>STEEM_USD</v>
      </c>
      <c r="D151" t="str">
        <f t="shared" si="61"/>
        <v>STEEM_LTC</v>
      </c>
      <c r="E151" t="str">
        <f t="shared" si="62"/>
        <v>STEEM_DOGE</v>
      </c>
      <c r="F151" t="str">
        <f t="shared" si="63"/>
        <v>STEEM_ETH</v>
      </c>
      <c r="G151" t="str">
        <f t="shared" si="64"/>
        <v>STEEM_EUR</v>
      </c>
      <c r="H151" t="str">
        <f t="shared" si="65"/>
        <v>STEEM_RUR</v>
      </c>
      <c r="I151" t="str">
        <f t="shared" si="66"/>
        <v>STEEM_DASH</v>
      </c>
      <c r="J151" t="str">
        <f t="shared" si="67"/>
        <v>STEEM_XMR</v>
      </c>
      <c r="K151" t="str">
        <f t="shared" si="68"/>
        <v>STEEM_ETC</v>
      </c>
      <c r="L151" t="str">
        <f t="shared" si="69"/>
        <v>STEEM_POSW</v>
      </c>
      <c r="M151" t="str">
        <f t="shared" si="70"/>
        <v>STEEM_USDT</v>
      </c>
      <c r="N151" t="str">
        <f t="shared" si="71"/>
        <v>STEEM_ZEC</v>
      </c>
      <c r="O151" t="str">
        <f t="shared" si="72"/>
        <v>STEEM_NXT</v>
      </c>
      <c r="P151" t="str">
        <f t="shared" si="73"/>
        <v>STEEM_REP</v>
      </c>
      <c r="R151" t="str">
        <f t="shared" si="75"/>
        <v>BTC_STEEM</v>
      </c>
      <c r="S151" t="str">
        <f t="shared" si="76"/>
        <v>USD_STEEM</v>
      </c>
      <c r="T151" t="str">
        <f t="shared" si="77"/>
        <v>LTC_STEEM</v>
      </c>
      <c r="U151" t="str">
        <f t="shared" si="78"/>
        <v>DOGE_STEEM</v>
      </c>
      <c r="V151" t="str">
        <f t="shared" si="79"/>
        <v>ETH_STEEM</v>
      </c>
      <c r="W151" t="str">
        <f t="shared" si="80"/>
        <v>EUR_STEEM</v>
      </c>
      <c r="X151" t="str">
        <f t="shared" si="81"/>
        <v>RUR_STEEM</v>
      </c>
      <c r="Y151" t="str">
        <f t="shared" si="82"/>
        <v>DASH_STEEM</v>
      </c>
      <c r="Z151" t="str">
        <f t="shared" si="83"/>
        <v>XMR_STEEM</v>
      </c>
      <c r="AA151" t="str">
        <f t="shared" si="84"/>
        <v>ETC_STEEM</v>
      </c>
      <c r="AB151" t="str">
        <f t="shared" si="85"/>
        <v>POSW_STEEM</v>
      </c>
      <c r="AC151" t="str">
        <f t="shared" si="86"/>
        <v>USDT_STEEM</v>
      </c>
      <c r="AD151" t="str">
        <f t="shared" si="87"/>
        <v>ZEC_STEEM</v>
      </c>
      <c r="AE151" t="str">
        <f t="shared" si="88"/>
        <v>NXT_STEEM</v>
      </c>
      <c r="AF151" t="str">
        <f t="shared" si="89"/>
        <v>REP_STEEM</v>
      </c>
    </row>
    <row r="152" spans="1:32" x14ac:dyDescent="0.25">
      <c r="A152" t="s">
        <v>2463</v>
      </c>
      <c r="B152" t="str">
        <f t="shared" si="74"/>
        <v>STRAT_BTC</v>
      </c>
      <c r="C152" t="str">
        <f t="shared" si="60"/>
        <v>STRAT_USD</v>
      </c>
      <c r="D152" t="str">
        <f t="shared" si="61"/>
        <v>STRAT_LTC</v>
      </c>
      <c r="E152" t="str">
        <f t="shared" si="62"/>
        <v>STRAT_DOGE</v>
      </c>
      <c r="F152" t="str">
        <f t="shared" si="63"/>
        <v>STRAT_ETH</v>
      </c>
      <c r="G152" t="str">
        <f t="shared" si="64"/>
        <v>STRAT_EUR</v>
      </c>
      <c r="H152" t="str">
        <f t="shared" si="65"/>
        <v>STRAT_RUR</v>
      </c>
      <c r="I152" t="str">
        <f t="shared" si="66"/>
        <v>STRAT_DASH</v>
      </c>
      <c r="J152" t="str">
        <f t="shared" si="67"/>
        <v>STRAT_XMR</v>
      </c>
      <c r="K152" t="str">
        <f t="shared" si="68"/>
        <v>STRAT_ETC</v>
      </c>
      <c r="L152" t="str">
        <f t="shared" si="69"/>
        <v>STRAT_POSW</v>
      </c>
      <c r="M152" t="str">
        <f t="shared" si="70"/>
        <v>STRAT_USDT</v>
      </c>
      <c r="N152" t="str">
        <f t="shared" si="71"/>
        <v>STRAT_ZEC</v>
      </c>
      <c r="O152" t="str">
        <f t="shared" si="72"/>
        <v>STRAT_NXT</v>
      </c>
      <c r="P152" t="str">
        <f t="shared" si="73"/>
        <v>STRAT_REP</v>
      </c>
      <c r="R152" t="str">
        <f t="shared" si="75"/>
        <v>BTC_STRAT</v>
      </c>
      <c r="S152" t="str">
        <f t="shared" si="76"/>
        <v>USD_STRAT</v>
      </c>
      <c r="T152" t="str">
        <f t="shared" si="77"/>
        <v>LTC_STRAT</v>
      </c>
      <c r="U152" t="str">
        <f t="shared" si="78"/>
        <v>DOGE_STRAT</v>
      </c>
      <c r="V152" t="str">
        <f t="shared" si="79"/>
        <v>ETH_STRAT</v>
      </c>
      <c r="W152" t="str">
        <f t="shared" si="80"/>
        <v>EUR_STRAT</v>
      </c>
      <c r="X152" t="str">
        <f t="shared" si="81"/>
        <v>RUR_STRAT</v>
      </c>
      <c r="Y152" t="str">
        <f t="shared" si="82"/>
        <v>DASH_STRAT</v>
      </c>
      <c r="Z152" t="str">
        <f t="shared" si="83"/>
        <v>XMR_STRAT</v>
      </c>
      <c r="AA152" t="str">
        <f t="shared" si="84"/>
        <v>ETC_STRAT</v>
      </c>
      <c r="AB152" t="str">
        <f t="shared" si="85"/>
        <v>POSW_STRAT</v>
      </c>
      <c r="AC152" t="str">
        <f t="shared" si="86"/>
        <v>USDT_STRAT</v>
      </c>
      <c r="AD152" t="str">
        <f t="shared" si="87"/>
        <v>ZEC_STRAT</v>
      </c>
      <c r="AE152" t="str">
        <f t="shared" si="88"/>
        <v>NXT_STRAT</v>
      </c>
      <c r="AF152" t="str">
        <f t="shared" si="89"/>
        <v>REP_STRAT</v>
      </c>
    </row>
    <row r="153" spans="1:32" x14ac:dyDescent="0.25">
      <c r="A153" t="s">
        <v>2466</v>
      </c>
      <c r="B153" t="str">
        <f t="shared" si="74"/>
        <v>SWT_BTC</v>
      </c>
      <c r="C153" t="str">
        <f t="shared" si="60"/>
        <v>SWT_USD</v>
      </c>
      <c r="D153" t="str">
        <f t="shared" si="61"/>
        <v>SWT_LTC</v>
      </c>
      <c r="E153" t="str">
        <f t="shared" si="62"/>
        <v>SWT_DOGE</v>
      </c>
      <c r="F153" t="str">
        <f t="shared" si="63"/>
        <v>SWT_ETH</v>
      </c>
      <c r="G153" t="str">
        <f t="shared" si="64"/>
        <v>SWT_EUR</v>
      </c>
      <c r="H153" t="str">
        <f t="shared" si="65"/>
        <v>SWT_RUR</v>
      </c>
      <c r="I153" t="str">
        <f t="shared" si="66"/>
        <v>SWT_DASH</v>
      </c>
      <c r="J153" t="str">
        <f t="shared" si="67"/>
        <v>SWT_XMR</v>
      </c>
      <c r="K153" t="str">
        <f t="shared" si="68"/>
        <v>SWT_ETC</v>
      </c>
      <c r="L153" t="str">
        <f t="shared" si="69"/>
        <v>SWT_POSW</v>
      </c>
      <c r="M153" t="str">
        <f t="shared" si="70"/>
        <v>SWT_USDT</v>
      </c>
      <c r="N153" t="str">
        <f t="shared" si="71"/>
        <v>SWT_ZEC</v>
      </c>
      <c r="O153" t="str">
        <f t="shared" si="72"/>
        <v>SWT_NXT</v>
      </c>
      <c r="P153" t="str">
        <f t="shared" si="73"/>
        <v>SWT_REP</v>
      </c>
      <c r="R153" t="str">
        <f t="shared" si="75"/>
        <v>BTC_SWT</v>
      </c>
      <c r="S153" t="str">
        <f t="shared" si="76"/>
        <v>USD_SWT</v>
      </c>
      <c r="T153" t="str">
        <f t="shared" si="77"/>
        <v>LTC_SWT</v>
      </c>
      <c r="U153" t="str">
        <f t="shared" si="78"/>
        <v>DOGE_SWT</v>
      </c>
      <c r="V153" t="str">
        <f t="shared" si="79"/>
        <v>ETH_SWT</v>
      </c>
      <c r="W153" t="str">
        <f t="shared" si="80"/>
        <v>EUR_SWT</v>
      </c>
      <c r="X153" t="str">
        <f t="shared" si="81"/>
        <v>RUR_SWT</v>
      </c>
      <c r="Y153" t="str">
        <f t="shared" si="82"/>
        <v>DASH_SWT</v>
      </c>
      <c r="Z153" t="str">
        <f t="shared" si="83"/>
        <v>XMR_SWT</v>
      </c>
      <c r="AA153" t="str">
        <f t="shared" si="84"/>
        <v>ETC_SWT</v>
      </c>
      <c r="AB153" t="str">
        <f t="shared" si="85"/>
        <v>POSW_SWT</v>
      </c>
      <c r="AC153" t="str">
        <f t="shared" si="86"/>
        <v>USDT_SWT</v>
      </c>
      <c r="AD153" t="str">
        <f t="shared" si="87"/>
        <v>ZEC_SWT</v>
      </c>
      <c r="AE153" t="str">
        <f t="shared" si="88"/>
        <v>NXT_SWT</v>
      </c>
      <c r="AF153" t="str">
        <f t="shared" si="89"/>
        <v>REP_SWT</v>
      </c>
    </row>
    <row r="154" spans="1:32" x14ac:dyDescent="0.25">
      <c r="A154" t="s">
        <v>2213</v>
      </c>
      <c r="B154" t="str">
        <f t="shared" si="74"/>
        <v>SXC_BTC</v>
      </c>
      <c r="C154" t="str">
        <f t="shared" si="60"/>
        <v>SXC_USD</v>
      </c>
      <c r="D154" t="str">
        <f t="shared" si="61"/>
        <v>SXC_LTC</v>
      </c>
      <c r="E154" t="str">
        <f t="shared" si="62"/>
        <v>SXC_DOGE</v>
      </c>
      <c r="F154" t="str">
        <f t="shared" si="63"/>
        <v>SXC_ETH</v>
      </c>
      <c r="G154" t="str">
        <f t="shared" si="64"/>
        <v>SXC_EUR</v>
      </c>
      <c r="H154" t="str">
        <f t="shared" si="65"/>
        <v>SXC_RUR</v>
      </c>
      <c r="I154" t="str">
        <f t="shared" si="66"/>
        <v>SXC_DASH</v>
      </c>
      <c r="J154" t="str">
        <f t="shared" si="67"/>
        <v>SXC_XMR</v>
      </c>
      <c r="K154" t="str">
        <f t="shared" si="68"/>
        <v>SXC_ETC</v>
      </c>
      <c r="L154" t="str">
        <f t="shared" si="69"/>
        <v>SXC_POSW</v>
      </c>
      <c r="M154" t="str">
        <f t="shared" si="70"/>
        <v>SXC_USDT</v>
      </c>
      <c r="N154" t="str">
        <f t="shared" si="71"/>
        <v>SXC_ZEC</v>
      </c>
      <c r="O154" t="str">
        <f t="shared" si="72"/>
        <v>SXC_NXT</v>
      </c>
      <c r="P154" t="str">
        <f t="shared" si="73"/>
        <v>SXC_REP</v>
      </c>
      <c r="R154" t="str">
        <f t="shared" si="75"/>
        <v>BTC_SXC</v>
      </c>
      <c r="S154" t="str">
        <f t="shared" si="76"/>
        <v>USD_SXC</v>
      </c>
      <c r="T154" t="str">
        <f t="shared" si="77"/>
        <v>LTC_SXC</v>
      </c>
      <c r="U154" t="str">
        <f t="shared" si="78"/>
        <v>DOGE_SXC</v>
      </c>
      <c r="V154" t="str">
        <f t="shared" si="79"/>
        <v>ETH_SXC</v>
      </c>
      <c r="W154" t="str">
        <f t="shared" si="80"/>
        <v>EUR_SXC</v>
      </c>
      <c r="X154" t="str">
        <f t="shared" si="81"/>
        <v>RUR_SXC</v>
      </c>
      <c r="Y154" t="str">
        <f t="shared" si="82"/>
        <v>DASH_SXC</v>
      </c>
      <c r="Z154" t="str">
        <f t="shared" si="83"/>
        <v>XMR_SXC</v>
      </c>
      <c r="AA154" t="str">
        <f t="shared" si="84"/>
        <v>ETC_SXC</v>
      </c>
      <c r="AB154" t="str">
        <f t="shared" si="85"/>
        <v>POSW_SXC</v>
      </c>
      <c r="AC154" t="str">
        <f t="shared" si="86"/>
        <v>USDT_SXC</v>
      </c>
      <c r="AD154" t="str">
        <f t="shared" si="87"/>
        <v>ZEC_SXC</v>
      </c>
      <c r="AE154" t="str">
        <f t="shared" si="88"/>
        <v>NXT_SXC</v>
      </c>
      <c r="AF154" t="str">
        <f t="shared" si="89"/>
        <v>REP_SXC</v>
      </c>
    </row>
    <row r="155" spans="1:32" x14ac:dyDescent="0.25">
      <c r="A155" t="s">
        <v>2467</v>
      </c>
      <c r="B155" t="str">
        <f t="shared" si="74"/>
        <v>SYNX_BTC</v>
      </c>
      <c r="C155" t="str">
        <f t="shared" si="60"/>
        <v>SYNX_USD</v>
      </c>
      <c r="D155" t="str">
        <f t="shared" si="61"/>
        <v>SYNX_LTC</v>
      </c>
      <c r="E155" t="str">
        <f t="shared" si="62"/>
        <v>SYNX_DOGE</v>
      </c>
      <c r="F155" t="str">
        <f t="shared" si="63"/>
        <v>SYNX_ETH</v>
      </c>
      <c r="G155" t="str">
        <f t="shared" si="64"/>
        <v>SYNX_EUR</v>
      </c>
      <c r="H155" t="str">
        <f t="shared" si="65"/>
        <v>SYNX_RUR</v>
      </c>
      <c r="I155" t="str">
        <f t="shared" si="66"/>
        <v>SYNX_DASH</v>
      </c>
      <c r="J155" t="str">
        <f t="shared" si="67"/>
        <v>SYNX_XMR</v>
      </c>
      <c r="K155" t="str">
        <f t="shared" si="68"/>
        <v>SYNX_ETC</v>
      </c>
      <c r="L155" t="str">
        <f t="shared" si="69"/>
        <v>SYNX_POSW</v>
      </c>
      <c r="M155" t="str">
        <f t="shared" si="70"/>
        <v>SYNX_USDT</v>
      </c>
      <c r="N155" t="str">
        <f t="shared" si="71"/>
        <v>SYNX_ZEC</v>
      </c>
      <c r="O155" t="str">
        <f t="shared" si="72"/>
        <v>SYNX_NXT</v>
      </c>
      <c r="P155" t="str">
        <f t="shared" si="73"/>
        <v>SYNX_REP</v>
      </c>
      <c r="R155" t="str">
        <f t="shared" si="75"/>
        <v>BTC_SYNX</v>
      </c>
      <c r="S155" t="str">
        <f t="shared" si="76"/>
        <v>USD_SYNX</v>
      </c>
      <c r="T155" t="str">
        <f t="shared" si="77"/>
        <v>LTC_SYNX</v>
      </c>
      <c r="U155" t="str">
        <f t="shared" si="78"/>
        <v>DOGE_SYNX</v>
      </c>
      <c r="V155" t="str">
        <f t="shared" si="79"/>
        <v>ETH_SYNX</v>
      </c>
      <c r="W155" t="str">
        <f t="shared" si="80"/>
        <v>EUR_SYNX</v>
      </c>
      <c r="X155" t="str">
        <f t="shared" si="81"/>
        <v>RUR_SYNX</v>
      </c>
      <c r="Y155" t="str">
        <f t="shared" si="82"/>
        <v>DASH_SYNX</v>
      </c>
      <c r="Z155" t="str">
        <f t="shared" si="83"/>
        <v>XMR_SYNX</v>
      </c>
      <c r="AA155" t="str">
        <f t="shared" si="84"/>
        <v>ETC_SYNX</v>
      </c>
      <c r="AB155" t="str">
        <f t="shared" si="85"/>
        <v>POSW_SYNX</v>
      </c>
      <c r="AC155" t="str">
        <f t="shared" si="86"/>
        <v>USDT_SYNX</v>
      </c>
      <c r="AD155" t="str">
        <f t="shared" si="87"/>
        <v>ZEC_SYNX</v>
      </c>
      <c r="AE155" t="str">
        <f t="shared" si="88"/>
        <v>NXT_SYNX</v>
      </c>
      <c r="AF155" t="str">
        <f t="shared" si="89"/>
        <v>REP_SYNX</v>
      </c>
    </row>
    <row r="156" spans="1:32" x14ac:dyDescent="0.25">
      <c r="A156" t="s">
        <v>2159</v>
      </c>
      <c r="B156" t="str">
        <f t="shared" si="74"/>
        <v>SYS_BTC</v>
      </c>
      <c r="C156" t="str">
        <f t="shared" si="60"/>
        <v>SYS_USD</v>
      </c>
      <c r="D156" t="str">
        <f t="shared" si="61"/>
        <v>SYS_LTC</v>
      </c>
      <c r="E156" t="str">
        <f t="shared" si="62"/>
        <v>SYS_DOGE</v>
      </c>
      <c r="F156" t="str">
        <f t="shared" si="63"/>
        <v>SYS_ETH</v>
      </c>
      <c r="G156" t="str">
        <f t="shared" si="64"/>
        <v>SYS_EUR</v>
      </c>
      <c r="H156" t="str">
        <f t="shared" si="65"/>
        <v>SYS_RUR</v>
      </c>
      <c r="I156" t="str">
        <f t="shared" si="66"/>
        <v>SYS_DASH</v>
      </c>
      <c r="J156" t="str">
        <f t="shared" si="67"/>
        <v>SYS_XMR</v>
      </c>
      <c r="K156" t="str">
        <f t="shared" si="68"/>
        <v>SYS_ETC</v>
      </c>
      <c r="L156" t="str">
        <f t="shared" si="69"/>
        <v>SYS_POSW</v>
      </c>
      <c r="M156" t="str">
        <f t="shared" si="70"/>
        <v>SYS_USDT</v>
      </c>
      <c r="N156" t="str">
        <f t="shared" si="71"/>
        <v>SYS_ZEC</v>
      </c>
      <c r="O156" t="str">
        <f t="shared" si="72"/>
        <v>SYS_NXT</v>
      </c>
      <c r="P156" t="str">
        <f t="shared" si="73"/>
        <v>SYS_REP</v>
      </c>
      <c r="R156" t="str">
        <f t="shared" si="75"/>
        <v>BTC_SYS</v>
      </c>
      <c r="S156" t="str">
        <f t="shared" si="76"/>
        <v>USD_SYS</v>
      </c>
      <c r="T156" t="str">
        <f t="shared" si="77"/>
        <v>LTC_SYS</v>
      </c>
      <c r="U156" t="str">
        <f t="shared" si="78"/>
        <v>DOGE_SYS</v>
      </c>
      <c r="V156" t="str">
        <f t="shared" si="79"/>
        <v>ETH_SYS</v>
      </c>
      <c r="W156" t="str">
        <f t="shared" si="80"/>
        <v>EUR_SYS</v>
      </c>
      <c r="X156" t="str">
        <f t="shared" si="81"/>
        <v>RUR_SYS</v>
      </c>
      <c r="Y156" t="str">
        <f t="shared" si="82"/>
        <v>DASH_SYS</v>
      </c>
      <c r="Z156" t="str">
        <f t="shared" si="83"/>
        <v>XMR_SYS</v>
      </c>
      <c r="AA156" t="str">
        <f t="shared" si="84"/>
        <v>ETC_SYS</v>
      </c>
      <c r="AB156" t="str">
        <f t="shared" si="85"/>
        <v>POSW_SYS</v>
      </c>
      <c r="AC156" t="str">
        <f t="shared" si="86"/>
        <v>USDT_SYS</v>
      </c>
      <c r="AD156" t="str">
        <f t="shared" si="87"/>
        <v>ZEC_SYS</v>
      </c>
      <c r="AE156" t="str">
        <f t="shared" si="88"/>
        <v>NXT_SYS</v>
      </c>
      <c r="AF156" t="str">
        <f t="shared" si="89"/>
        <v>REP_SYS</v>
      </c>
    </row>
    <row r="157" spans="1:32" x14ac:dyDescent="0.25">
      <c r="A157" t="s">
        <v>2214</v>
      </c>
      <c r="B157" t="str">
        <f t="shared" si="74"/>
        <v>TAAS_BTC</v>
      </c>
      <c r="C157" t="str">
        <f t="shared" si="60"/>
        <v>TAAS_USD</v>
      </c>
      <c r="D157" t="str">
        <f t="shared" si="61"/>
        <v>TAAS_LTC</v>
      </c>
      <c r="E157" t="str">
        <f t="shared" si="62"/>
        <v>TAAS_DOGE</v>
      </c>
      <c r="F157" t="str">
        <f t="shared" si="63"/>
        <v>TAAS_ETH</v>
      </c>
      <c r="G157" t="str">
        <f t="shared" si="64"/>
        <v>TAAS_EUR</v>
      </c>
      <c r="H157" t="str">
        <f t="shared" si="65"/>
        <v>TAAS_RUR</v>
      </c>
      <c r="I157" t="str">
        <f t="shared" si="66"/>
        <v>TAAS_DASH</v>
      </c>
      <c r="J157" t="str">
        <f t="shared" si="67"/>
        <v>TAAS_XMR</v>
      </c>
      <c r="K157" t="str">
        <f t="shared" si="68"/>
        <v>TAAS_ETC</v>
      </c>
      <c r="L157" t="str">
        <f t="shared" si="69"/>
        <v>TAAS_POSW</v>
      </c>
      <c r="M157" t="str">
        <f t="shared" si="70"/>
        <v>TAAS_USDT</v>
      </c>
      <c r="N157" t="str">
        <f t="shared" si="71"/>
        <v>TAAS_ZEC</v>
      </c>
      <c r="O157" t="str">
        <f t="shared" si="72"/>
        <v>TAAS_NXT</v>
      </c>
      <c r="P157" t="str">
        <f t="shared" si="73"/>
        <v>TAAS_REP</v>
      </c>
      <c r="R157" t="str">
        <f t="shared" si="75"/>
        <v>BTC_TAAS</v>
      </c>
      <c r="S157" t="str">
        <f t="shared" si="76"/>
        <v>USD_TAAS</v>
      </c>
      <c r="T157" t="str">
        <f t="shared" si="77"/>
        <v>LTC_TAAS</v>
      </c>
      <c r="U157" t="str">
        <f t="shared" si="78"/>
        <v>DOGE_TAAS</v>
      </c>
      <c r="V157" t="str">
        <f t="shared" si="79"/>
        <v>ETH_TAAS</v>
      </c>
      <c r="W157" t="str">
        <f t="shared" si="80"/>
        <v>EUR_TAAS</v>
      </c>
      <c r="X157" t="str">
        <f t="shared" si="81"/>
        <v>RUR_TAAS</v>
      </c>
      <c r="Y157" t="str">
        <f t="shared" si="82"/>
        <v>DASH_TAAS</v>
      </c>
      <c r="Z157" t="str">
        <f t="shared" si="83"/>
        <v>XMR_TAAS</v>
      </c>
      <c r="AA157" t="str">
        <f t="shared" si="84"/>
        <v>ETC_TAAS</v>
      </c>
      <c r="AB157" t="str">
        <f t="shared" si="85"/>
        <v>POSW_TAAS</v>
      </c>
      <c r="AC157" t="str">
        <f t="shared" si="86"/>
        <v>USDT_TAAS</v>
      </c>
      <c r="AD157" t="str">
        <f t="shared" si="87"/>
        <v>ZEC_TAAS</v>
      </c>
      <c r="AE157" t="str">
        <f t="shared" si="88"/>
        <v>NXT_TAAS</v>
      </c>
      <c r="AF157" t="str">
        <f t="shared" si="89"/>
        <v>REP_TAAS</v>
      </c>
    </row>
    <row r="158" spans="1:32" x14ac:dyDescent="0.25">
      <c r="A158" t="s">
        <v>2215</v>
      </c>
      <c r="B158" t="str">
        <f t="shared" si="74"/>
        <v>TIME_BTC</v>
      </c>
      <c r="C158" t="str">
        <f t="shared" si="60"/>
        <v>TIME_USD</v>
      </c>
      <c r="D158" t="str">
        <f t="shared" si="61"/>
        <v>TIME_LTC</v>
      </c>
      <c r="E158" t="str">
        <f t="shared" si="62"/>
        <v>TIME_DOGE</v>
      </c>
      <c r="F158" t="str">
        <f t="shared" si="63"/>
        <v>TIME_ETH</v>
      </c>
      <c r="G158" t="str">
        <f t="shared" si="64"/>
        <v>TIME_EUR</v>
      </c>
      <c r="H158" t="str">
        <f t="shared" si="65"/>
        <v>TIME_RUR</v>
      </c>
      <c r="I158" t="str">
        <f t="shared" si="66"/>
        <v>TIME_DASH</v>
      </c>
      <c r="J158" t="str">
        <f t="shared" si="67"/>
        <v>TIME_XMR</v>
      </c>
      <c r="K158" t="str">
        <f t="shared" si="68"/>
        <v>TIME_ETC</v>
      </c>
      <c r="L158" t="str">
        <f t="shared" si="69"/>
        <v>TIME_POSW</v>
      </c>
      <c r="M158" t="str">
        <f t="shared" si="70"/>
        <v>TIME_USDT</v>
      </c>
      <c r="N158" t="str">
        <f t="shared" si="71"/>
        <v>TIME_ZEC</v>
      </c>
      <c r="O158" t="str">
        <f t="shared" si="72"/>
        <v>TIME_NXT</v>
      </c>
      <c r="P158" t="str">
        <f t="shared" si="73"/>
        <v>TIME_REP</v>
      </c>
      <c r="R158" t="str">
        <f t="shared" si="75"/>
        <v>BTC_TIME</v>
      </c>
      <c r="S158" t="str">
        <f t="shared" si="76"/>
        <v>USD_TIME</v>
      </c>
      <c r="T158" t="str">
        <f t="shared" si="77"/>
        <v>LTC_TIME</v>
      </c>
      <c r="U158" t="str">
        <f t="shared" si="78"/>
        <v>DOGE_TIME</v>
      </c>
      <c r="V158" t="str">
        <f t="shared" si="79"/>
        <v>ETH_TIME</v>
      </c>
      <c r="W158" t="str">
        <f t="shared" si="80"/>
        <v>EUR_TIME</v>
      </c>
      <c r="X158" t="str">
        <f t="shared" si="81"/>
        <v>RUR_TIME</v>
      </c>
      <c r="Y158" t="str">
        <f t="shared" si="82"/>
        <v>DASH_TIME</v>
      </c>
      <c r="Z158" t="str">
        <f t="shared" si="83"/>
        <v>XMR_TIME</v>
      </c>
      <c r="AA158" t="str">
        <f t="shared" si="84"/>
        <v>ETC_TIME</v>
      </c>
      <c r="AB158" t="str">
        <f t="shared" si="85"/>
        <v>POSW_TIME</v>
      </c>
      <c r="AC158" t="str">
        <f t="shared" si="86"/>
        <v>USDT_TIME</v>
      </c>
      <c r="AD158" t="str">
        <f t="shared" si="87"/>
        <v>ZEC_TIME</v>
      </c>
      <c r="AE158" t="str">
        <f t="shared" si="88"/>
        <v>NXT_TIME</v>
      </c>
      <c r="AF158" t="str">
        <f t="shared" si="89"/>
        <v>REP_TIME</v>
      </c>
    </row>
    <row r="159" spans="1:32" x14ac:dyDescent="0.25">
      <c r="A159" t="s">
        <v>2216</v>
      </c>
      <c r="B159" t="str">
        <f t="shared" si="74"/>
        <v>TKN_BTC</v>
      </c>
      <c r="C159" t="str">
        <f t="shared" si="60"/>
        <v>TKN_USD</v>
      </c>
      <c r="D159" t="str">
        <f t="shared" si="61"/>
        <v>TKN_LTC</v>
      </c>
      <c r="E159" t="str">
        <f t="shared" si="62"/>
        <v>TKN_DOGE</v>
      </c>
      <c r="F159" t="str">
        <f t="shared" si="63"/>
        <v>TKN_ETH</v>
      </c>
      <c r="G159" t="str">
        <f t="shared" si="64"/>
        <v>TKN_EUR</v>
      </c>
      <c r="H159" t="str">
        <f t="shared" si="65"/>
        <v>TKN_RUR</v>
      </c>
      <c r="I159" t="str">
        <f t="shared" si="66"/>
        <v>TKN_DASH</v>
      </c>
      <c r="J159" t="str">
        <f t="shared" si="67"/>
        <v>TKN_XMR</v>
      </c>
      <c r="K159" t="str">
        <f t="shared" si="68"/>
        <v>TKN_ETC</v>
      </c>
      <c r="L159" t="str">
        <f t="shared" si="69"/>
        <v>TKN_POSW</v>
      </c>
      <c r="M159" t="str">
        <f t="shared" si="70"/>
        <v>TKN_USDT</v>
      </c>
      <c r="N159" t="str">
        <f t="shared" si="71"/>
        <v>TKN_ZEC</v>
      </c>
      <c r="O159" t="str">
        <f t="shared" si="72"/>
        <v>TKN_NXT</v>
      </c>
      <c r="P159" t="str">
        <f t="shared" si="73"/>
        <v>TKN_REP</v>
      </c>
      <c r="R159" t="str">
        <f t="shared" si="75"/>
        <v>BTC_TKN</v>
      </c>
      <c r="S159" t="str">
        <f t="shared" si="76"/>
        <v>USD_TKN</v>
      </c>
      <c r="T159" t="str">
        <f t="shared" si="77"/>
        <v>LTC_TKN</v>
      </c>
      <c r="U159" t="str">
        <f t="shared" si="78"/>
        <v>DOGE_TKN</v>
      </c>
      <c r="V159" t="str">
        <f t="shared" si="79"/>
        <v>ETH_TKN</v>
      </c>
      <c r="W159" t="str">
        <f t="shared" si="80"/>
        <v>EUR_TKN</v>
      </c>
      <c r="X159" t="str">
        <f t="shared" si="81"/>
        <v>RUR_TKN</v>
      </c>
      <c r="Y159" t="str">
        <f t="shared" si="82"/>
        <v>DASH_TKN</v>
      </c>
      <c r="Z159" t="str">
        <f t="shared" si="83"/>
        <v>XMR_TKN</v>
      </c>
      <c r="AA159" t="str">
        <f t="shared" si="84"/>
        <v>ETC_TKN</v>
      </c>
      <c r="AB159" t="str">
        <f t="shared" si="85"/>
        <v>POSW_TKN</v>
      </c>
      <c r="AC159" t="str">
        <f t="shared" si="86"/>
        <v>USDT_TKN</v>
      </c>
      <c r="AD159" t="str">
        <f t="shared" si="87"/>
        <v>ZEC_TKN</v>
      </c>
      <c r="AE159" t="str">
        <f t="shared" si="88"/>
        <v>NXT_TKN</v>
      </c>
      <c r="AF159" t="str">
        <f t="shared" si="89"/>
        <v>REP_TKN</v>
      </c>
    </row>
    <row r="160" spans="1:32" x14ac:dyDescent="0.25">
      <c r="A160" t="s">
        <v>2217</v>
      </c>
      <c r="B160" t="str">
        <f t="shared" si="74"/>
        <v>TLE_BTC</v>
      </c>
      <c r="C160" t="str">
        <f t="shared" si="60"/>
        <v>TLE_USD</v>
      </c>
      <c r="D160" t="str">
        <f t="shared" si="61"/>
        <v>TLE_LTC</v>
      </c>
      <c r="E160" t="str">
        <f t="shared" si="62"/>
        <v>TLE_DOGE</v>
      </c>
      <c r="F160" t="str">
        <f t="shared" si="63"/>
        <v>TLE_ETH</v>
      </c>
      <c r="G160" t="str">
        <f t="shared" si="64"/>
        <v>TLE_EUR</v>
      </c>
      <c r="H160" t="str">
        <f t="shared" si="65"/>
        <v>TLE_RUR</v>
      </c>
      <c r="I160" t="str">
        <f t="shared" si="66"/>
        <v>TLE_DASH</v>
      </c>
      <c r="J160" t="str">
        <f t="shared" si="67"/>
        <v>TLE_XMR</v>
      </c>
      <c r="K160" t="str">
        <f t="shared" si="68"/>
        <v>TLE_ETC</v>
      </c>
      <c r="L160" t="str">
        <f t="shared" si="69"/>
        <v>TLE_POSW</v>
      </c>
      <c r="M160" t="str">
        <f t="shared" si="70"/>
        <v>TLE_USDT</v>
      </c>
      <c r="N160" t="str">
        <f t="shared" si="71"/>
        <v>TLE_ZEC</v>
      </c>
      <c r="O160" t="str">
        <f t="shared" si="72"/>
        <v>TLE_NXT</v>
      </c>
      <c r="P160" t="str">
        <f t="shared" si="73"/>
        <v>TLE_REP</v>
      </c>
      <c r="R160" t="str">
        <f t="shared" si="75"/>
        <v>BTC_TLE</v>
      </c>
      <c r="S160" t="str">
        <f t="shared" si="76"/>
        <v>USD_TLE</v>
      </c>
      <c r="T160" t="str">
        <f t="shared" si="77"/>
        <v>LTC_TLE</v>
      </c>
      <c r="U160" t="str">
        <f t="shared" si="78"/>
        <v>DOGE_TLE</v>
      </c>
      <c r="V160" t="str">
        <f t="shared" si="79"/>
        <v>ETH_TLE</v>
      </c>
      <c r="W160" t="str">
        <f t="shared" si="80"/>
        <v>EUR_TLE</v>
      </c>
      <c r="X160" t="str">
        <f t="shared" si="81"/>
        <v>RUR_TLE</v>
      </c>
      <c r="Y160" t="str">
        <f t="shared" si="82"/>
        <v>DASH_TLE</v>
      </c>
      <c r="Z160" t="str">
        <f t="shared" si="83"/>
        <v>XMR_TLE</v>
      </c>
      <c r="AA160" t="str">
        <f t="shared" si="84"/>
        <v>ETC_TLE</v>
      </c>
      <c r="AB160" t="str">
        <f t="shared" si="85"/>
        <v>POSW_TLE</v>
      </c>
      <c r="AC160" t="str">
        <f t="shared" si="86"/>
        <v>USDT_TLE</v>
      </c>
      <c r="AD160" t="str">
        <f t="shared" si="87"/>
        <v>ZEC_TLE</v>
      </c>
      <c r="AE160" t="str">
        <f t="shared" si="88"/>
        <v>NXT_TLE</v>
      </c>
      <c r="AF160" t="str">
        <f t="shared" si="89"/>
        <v>REP_TLE</v>
      </c>
    </row>
    <row r="161" spans="1:32" x14ac:dyDescent="0.25">
      <c r="A161" t="s">
        <v>2471</v>
      </c>
      <c r="B161" t="str">
        <f t="shared" si="74"/>
        <v>TRST_BTC</v>
      </c>
      <c r="C161" t="str">
        <f t="shared" si="60"/>
        <v>TRST_USD</v>
      </c>
      <c r="D161" t="str">
        <f t="shared" si="61"/>
        <v>TRST_LTC</v>
      </c>
      <c r="E161" t="str">
        <f t="shared" si="62"/>
        <v>TRST_DOGE</v>
      </c>
      <c r="F161" t="str">
        <f t="shared" si="63"/>
        <v>TRST_ETH</v>
      </c>
      <c r="G161" t="str">
        <f t="shared" si="64"/>
        <v>TRST_EUR</v>
      </c>
      <c r="H161" t="str">
        <f t="shared" si="65"/>
        <v>TRST_RUR</v>
      </c>
      <c r="I161" t="str">
        <f t="shared" si="66"/>
        <v>TRST_DASH</v>
      </c>
      <c r="J161" t="str">
        <f t="shared" si="67"/>
        <v>TRST_XMR</v>
      </c>
      <c r="K161" t="str">
        <f t="shared" si="68"/>
        <v>TRST_ETC</v>
      </c>
      <c r="L161" t="str">
        <f t="shared" si="69"/>
        <v>TRST_POSW</v>
      </c>
      <c r="M161" t="str">
        <f t="shared" si="70"/>
        <v>TRST_USDT</v>
      </c>
      <c r="N161" t="str">
        <f t="shared" si="71"/>
        <v>TRST_ZEC</v>
      </c>
      <c r="O161" t="str">
        <f t="shared" si="72"/>
        <v>TRST_NXT</v>
      </c>
      <c r="P161" t="str">
        <f t="shared" si="73"/>
        <v>TRST_REP</v>
      </c>
      <c r="R161" t="str">
        <f t="shared" si="75"/>
        <v>BTC_TRST</v>
      </c>
      <c r="S161" t="str">
        <f t="shared" si="76"/>
        <v>USD_TRST</v>
      </c>
      <c r="T161" t="str">
        <f t="shared" si="77"/>
        <v>LTC_TRST</v>
      </c>
      <c r="U161" t="str">
        <f t="shared" si="78"/>
        <v>DOGE_TRST</v>
      </c>
      <c r="V161" t="str">
        <f t="shared" si="79"/>
        <v>ETH_TRST</v>
      </c>
      <c r="W161" t="str">
        <f t="shared" si="80"/>
        <v>EUR_TRST</v>
      </c>
      <c r="X161" t="str">
        <f t="shared" si="81"/>
        <v>RUR_TRST</v>
      </c>
      <c r="Y161" t="str">
        <f t="shared" si="82"/>
        <v>DASH_TRST</v>
      </c>
      <c r="Z161" t="str">
        <f t="shared" si="83"/>
        <v>XMR_TRST</v>
      </c>
      <c r="AA161" t="str">
        <f t="shared" si="84"/>
        <v>ETC_TRST</v>
      </c>
      <c r="AB161" t="str">
        <f t="shared" si="85"/>
        <v>POSW_TRST</v>
      </c>
      <c r="AC161" t="str">
        <f t="shared" si="86"/>
        <v>USDT_TRST</v>
      </c>
      <c r="AD161" t="str">
        <f t="shared" si="87"/>
        <v>ZEC_TRST</v>
      </c>
      <c r="AE161" t="str">
        <f t="shared" si="88"/>
        <v>NXT_TRST</v>
      </c>
      <c r="AF161" t="str">
        <f t="shared" si="89"/>
        <v>REP_TRST</v>
      </c>
    </row>
    <row r="162" spans="1:32" x14ac:dyDescent="0.25">
      <c r="A162" t="s">
        <v>2126</v>
      </c>
      <c r="B162" t="str">
        <f t="shared" si="74"/>
        <v>TRUMP_BTC</v>
      </c>
      <c r="C162" t="str">
        <f t="shared" si="60"/>
        <v>TRUMP_USD</v>
      </c>
      <c r="D162" t="str">
        <f t="shared" si="61"/>
        <v>TRUMP_LTC</v>
      </c>
      <c r="E162" t="str">
        <f t="shared" si="62"/>
        <v>TRUMP_DOGE</v>
      </c>
      <c r="F162" t="str">
        <f t="shared" si="63"/>
        <v>TRUMP_ETH</v>
      </c>
      <c r="G162" t="str">
        <f t="shared" si="64"/>
        <v>TRUMP_EUR</v>
      </c>
      <c r="H162" t="str">
        <f t="shared" si="65"/>
        <v>TRUMP_RUR</v>
      </c>
      <c r="I162" t="str">
        <f t="shared" si="66"/>
        <v>TRUMP_DASH</v>
      </c>
      <c r="J162" t="str">
        <f t="shared" si="67"/>
        <v>TRUMP_XMR</v>
      </c>
      <c r="K162" t="str">
        <f t="shared" si="68"/>
        <v>TRUMP_ETC</v>
      </c>
      <c r="L162" t="str">
        <f t="shared" si="69"/>
        <v>TRUMP_POSW</v>
      </c>
      <c r="M162" t="str">
        <f t="shared" si="70"/>
        <v>TRUMP_USDT</v>
      </c>
      <c r="N162" t="str">
        <f t="shared" si="71"/>
        <v>TRUMP_ZEC</v>
      </c>
      <c r="O162" t="str">
        <f t="shared" si="72"/>
        <v>TRUMP_NXT</v>
      </c>
      <c r="P162" t="str">
        <f t="shared" si="73"/>
        <v>TRUMP_REP</v>
      </c>
      <c r="R162" t="str">
        <f t="shared" si="75"/>
        <v>BTC_TRUMP</v>
      </c>
      <c r="S162" t="str">
        <f t="shared" si="76"/>
        <v>USD_TRUMP</v>
      </c>
      <c r="T162" t="str">
        <f t="shared" si="77"/>
        <v>LTC_TRUMP</v>
      </c>
      <c r="U162" t="str">
        <f t="shared" si="78"/>
        <v>DOGE_TRUMP</v>
      </c>
      <c r="V162" t="str">
        <f t="shared" si="79"/>
        <v>ETH_TRUMP</v>
      </c>
      <c r="W162" t="str">
        <f t="shared" si="80"/>
        <v>EUR_TRUMP</v>
      </c>
      <c r="X162" t="str">
        <f t="shared" si="81"/>
        <v>RUR_TRUMP</v>
      </c>
      <c r="Y162" t="str">
        <f t="shared" si="82"/>
        <v>DASH_TRUMP</v>
      </c>
      <c r="Z162" t="str">
        <f t="shared" si="83"/>
        <v>XMR_TRUMP</v>
      </c>
      <c r="AA162" t="str">
        <f t="shared" si="84"/>
        <v>ETC_TRUMP</v>
      </c>
      <c r="AB162" t="str">
        <f t="shared" si="85"/>
        <v>POSW_TRUMP</v>
      </c>
      <c r="AC162" t="str">
        <f t="shared" si="86"/>
        <v>USDT_TRUMP</v>
      </c>
      <c r="AD162" t="str">
        <f t="shared" si="87"/>
        <v>ZEC_TRUMP</v>
      </c>
      <c r="AE162" t="str">
        <f t="shared" si="88"/>
        <v>NXT_TRUMP</v>
      </c>
      <c r="AF162" t="str">
        <f t="shared" si="89"/>
        <v>REP_TRUMP</v>
      </c>
    </row>
    <row r="163" spans="1:32" x14ac:dyDescent="0.25">
      <c r="A163" t="s">
        <v>2218</v>
      </c>
      <c r="B163" t="str">
        <f t="shared" si="74"/>
        <v>TSE_BTC</v>
      </c>
      <c r="C163" t="str">
        <f t="shared" si="60"/>
        <v>TSE_USD</v>
      </c>
      <c r="D163" t="str">
        <f t="shared" si="61"/>
        <v>TSE_LTC</v>
      </c>
      <c r="E163" t="str">
        <f t="shared" si="62"/>
        <v>TSE_DOGE</v>
      </c>
      <c r="F163" t="str">
        <f t="shared" si="63"/>
        <v>TSE_ETH</v>
      </c>
      <c r="G163" t="str">
        <f t="shared" si="64"/>
        <v>TSE_EUR</v>
      </c>
      <c r="H163" t="str">
        <f t="shared" si="65"/>
        <v>TSE_RUR</v>
      </c>
      <c r="I163" t="str">
        <f t="shared" si="66"/>
        <v>TSE_DASH</v>
      </c>
      <c r="J163" t="str">
        <f t="shared" si="67"/>
        <v>TSE_XMR</v>
      </c>
      <c r="K163" t="str">
        <f t="shared" si="68"/>
        <v>TSE_ETC</v>
      </c>
      <c r="L163" t="str">
        <f t="shared" si="69"/>
        <v>TSE_POSW</v>
      </c>
      <c r="M163" t="str">
        <f t="shared" si="70"/>
        <v>TSE_USDT</v>
      </c>
      <c r="N163" t="str">
        <f t="shared" si="71"/>
        <v>TSE_ZEC</v>
      </c>
      <c r="O163" t="str">
        <f t="shared" si="72"/>
        <v>TSE_NXT</v>
      </c>
      <c r="P163" t="str">
        <f t="shared" si="73"/>
        <v>TSE_REP</v>
      </c>
      <c r="R163" t="str">
        <f t="shared" si="75"/>
        <v>BTC_TSE</v>
      </c>
      <c r="S163" t="str">
        <f t="shared" si="76"/>
        <v>USD_TSE</v>
      </c>
      <c r="T163" t="str">
        <f t="shared" si="77"/>
        <v>LTC_TSE</v>
      </c>
      <c r="U163" t="str">
        <f t="shared" si="78"/>
        <v>DOGE_TSE</v>
      </c>
      <c r="V163" t="str">
        <f t="shared" si="79"/>
        <v>ETH_TSE</v>
      </c>
      <c r="W163" t="str">
        <f t="shared" si="80"/>
        <v>EUR_TSE</v>
      </c>
      <c r="X163" t="str">
        <f t="shared" si="81"/>
        <v>RUR_TSE</v>
      </c>
      <c r="Y163" t="str">
        <f t="shared" si="82"/>
        <v>DASH_TSE</v>
      </c>
      <c r="Z163" t="str">
        <f t="shared" si="83"/>
        <v>XMR_TSE</v>
      </c>
      <c r="AA163" t="str">
        <f t="shared" si="84"/>
        <v>ETC_TSE</v>
      </c>
      <c r="AB163" t="str">
        <f t="shared" si="85"/>
        <v>POSW_TSE</v>
      </c>
      <c r="AC163" t="str">
        <f t="shared" si="86"/>
        <v>USDT_TSE</v>
      </c>
      <c r="AD163" t="str">
        <f t="shared" si="87"/>
        <v>ZEC_TSE</v>
      </c>
      <c r="AE163" t="str">
        <f t="shared" si="88"/>
        <v>NXT_TSE</v>
      </c>
      <c r="AF163" t="str">
        <f t="shared" si="89"/>
        <v>REP_TSE</v>
      </c>
    </row>
    <row r="164" spans="1:32" x14ac:dyDescent="0.25">
      <c r="A164" t="s">
        <v>2219</v>
      </c>
      <c r="B164" t="str">
        <f t="shared" si="74"/>
        <v>TX_BTC</v>
      </c>
      <c r="C164" t="str">
        <f t="shared" si="60"/>
        <v>TX_USD</v>
      </c>
      <c r="D164" t="str">
        <f t="shared" si="61"/>
        <v>TX_LTC</v>
      </c>
      <c r="E164" t="str">
        <f t="shared" si="62"/>
        <v>TX_DOGE</v>
      </c>
      <c r="F164" t="str">
        <f t="shared" si="63"/>
        <v>TX_ETH</v>
      </c>
      <c r="G164" t="str">
        <f t="shared" si="64"/>
        <v>TX_EUR</v>
      </c>
      <c r="H164" t="str">
        <f t="shared" si="65"/>
        <v>TX_RUR</v>
      </c>
      <c r="I164" t="str">
        <f t="shared" si="66"/>
        <v>TX_DASH</v>
      </c>
      <c r="J164" t="str">
        <f t="shared" si="67"/>
        <v>TX_XMR</v>
      </c>
      <c r="K164" t="str">
        <f t="shared" si="68"/>
        <v>TX_ETC</v>
      </c>
      <c r="L164" t="str">
        <f t="shared" si="69"/>
        <v>TX_POSW</v>
      </c>
      <c r="M164" t="str">
        <f t="shared" si="70"/>
        <v>TX_USDT</v>
      </c>
      <c r="N164" t="str">
        <f t="shared" si="71"/>
        <v>TX_ZEC</v>
      </c>
      <c r="O164" t="str">
        <f t="shared" si="72"/>
        <v>TX_NXT</v>
      </c>
      <c r="P164" t="str">
        <f t="shared" si="73"/>
        <v>TX_REP</v>
      </c>
      <c r="R164" t="str">
        <f t="shared" si="75"/>
        <v>BTC_TX</v>
      </c>
      <c r="S164" t="str">
        <f t="shared" si="76"/>
        <v>USD_TX</v>
      </c>
      <c r="T164" t="str">
        <f t="shared" si="77"/>
        <v>LTC_TX</v>
      </c>
      <c r="U164" t="str">
        <f t="shared" si="78"/>
        <v>DOGE_TX</v>
      </c>
      <c r="V164" t="str">
        <f t="shared" si="79"/>
        <v>ETH_TX</v>
      </c>
      <c r="W164" t="str">
        <f t="shared" si="80"/>
        <v>EUR_TX</v>
      </c>
      <c r="X164" t="str">
        <f t="shared" si="81"/>
        <v>RUR_TX</v>
      </c>
      <c r="Y164" t="str">
        <f t="shared" si="82"/>
        <v>DASH_TX</v>
      </c>
      <c r="Z164" t="str">
        <f t="shared" si="83"/>
        <v>XMR_TX</v>
      </c>
      <c r="AA164" t="str">
        <f t="shared" si="84"/>
        <v>ETC_TX</v>
      </c>
      <c r="AB164" t="str">
        <f t="shared" si="85"/>
        <v>POSW_TX</v>
      </c>
      <c r="AC164" t="str">
        <f t="shared" si="86"/>
        <v>USDT_TX</v>
      </c>
      <c r="AD164" t="str">
        <f t="shared" si="87"/>
        <v>ZEC_TX</v>
      </c>
      <c r="AE164" t="str">
        <f t="shared" si="88"/>
        <v>NXT_TX</v>
      </c>
      <c r="AF164" t="str">
        <f t="shared" si="89"/>
        <v>REP_TX</v>
      </c>
    </row>
    <row r="165" spans="1:32" x14ac:dyDescent="0.25">
      <c r="A165" t="s">
        <v>2220</v>
      </c>
      <c r="B165" t="str">
        <f t="shared" si="74"/>
        <v>U_BTC</v>
      </c>
      <c r="C165" t="str">
        <f t="shared" si="60"/>
        <v>U_USD</v>
      </c>
      <c r="D165" t="str">
        <f t="shared" si="61"/>
        <v>U_LTC</v>
      </c>
      <c r="E165" t="str">
        <f t="shared" si="62"/>
        <v>U_DOGE</v>
      </c>
      <c r="F165" t="str">
        <f t="shared" si="63"/>
        <v>U_ETH</v>
      </c>
      <c r="G165" t="str">
        <f t="shared" si="64"/>
        <v>U_EUR</v>
      </c>
      <c r="H165" t="str">
        <f t="shared" si="65"/>
        <v>U_RUR</v>
      </c>
      <c r="I165" t="str">
        <f t="shared" si="66"/>
        <v>U_DASH</v>
      </c>
      <c r="J165" t="str">
        <f t="shared" si="67"/>
        <v>U_XMR</v>
      </c>
      <c r="K165" t="str">
        <f t="shared" si="68"/>
        <v>U_ETC</v>
      </c>
      <c r="L165" t="str">
        <f t="shared" si="69"/>
        <v>U_POSW</v>
      </c>
      <c r="M165" t="str">
        <f t="shared" si="70"/>
        <v>U_USDT</v>
      </c>
      <c r="N165" t="str">
        <f t="shared" si="71"/>
        <v>U_ZEC</v>
      </c>
      <c r="O165" t="str">
        <f t="shared" si="72"/>
        <v>U_NXT</v>
      </c>
      <c r="P165" t="str">
        <f t="shared" si="73"/>
        <v>U_REP</v>
      </c>
      <c r="R165" t="str">
        <f t="shared" si="75"/>
        <v>BTC_U</v>
      </c>
      <c r="S165" t="str">
        <f t="shared" si="76"/>
        <v>USD_U</v>
      </c>
      <c r="T165" t="str">
        <f t="shared" si="77"/>
        <v>LTC_U</v>
      </c>
      <c r="U165" t="str">
        <f t="shared" si="78"/>
        <v>DOGE_U</v>
      </c>
      <c r="V165" t="str">
        <f t="shared" si="79"/>
        <v>ETH_U</v>
      </c>
      <c r="W165" t="str">
        <f t="shared" si="80"/>
        <v>EUR_U</v>
      </c>
      <c r="X165" t="str">
        <f t="shared" si="81"/>
        <v>RUR_U</v>
      </c>
      <c r="Y165" t="str">
        <f t="shared" si="82"/>
        <v>DASH_U</v>
      </c>
      <c r="Z165" t="str">
        <f t="shared" si="83"/>
        <v>XMR_U</v>
      </c>
      <c r="AA165" t="str">
        <f t="shared" si="84"/>
        <v>ETC_U</v>
      </c>
      <c r="AB165" t="str">
        <f t="shared" si="85"/>
        <v>POSW_U</v>
      </c>
      <c r="AC165" t="str">
        <f t="shared" si="86"/>
        <v>USDT_U</v>
      </c>
      <c r="AD165" t="str">
        <f t="shared" si="87"/>
        <v>ZEC_U</v>
      </c>
      <c r="AE165" t="str">
        <f t="shared" si="88"/>
        <v>NXT_U</v>
      </c>
      <c r="AF165" t="str">
        <f t="shared" si="89"/>
        <v>REP_U</v>
      </c>
    </row>
    <row r="166" spans="1:32" x14ac:dyDescent="0.25">
      <c r="A166" t="s">
        <v>2221</v>
      </c>
      <c r="B166" t="str">
        <f t="shared" si="74"/>
        <v>UNC_BTC</v>
      </c>
      <c r="C166" t="str">
        <f t="shared" si="60"/>
        <v>UNC_USD</v>
      </c>
      <c r="D166" t="str">
        <f t="shared" si="61"/>
        <v>UNC_LTC</v>
      </c>
      <c r="E166" t="str">
        <f t="shared" si="62"/>
        <v>UNC_DOGE</v>
      </c>
      <c r="F166" t="str">
        <f t="shared" si="63"/>
        <v>UNC_ETH</v>
      </c>
      <c r="G166" t="str">
        <f t="shared" si="64"/>
        <v>UNC_EUR</v>
      </c>
      <c r="H166" t="str">
        <f t="shared" si="65"/>
        <v>UNC_RUR</v>
      </c>
      <c r="I166" t="str">
        <f t="shared" si="66"/>
        <v>UNC_DASH</v>
      </c>
      <c r="J166" t="str">
        <f t="shared" si="67"/>
        <v>UNC_XMR</v>
      </c>
      <c r="K166" t="str">
        <f t="shared" si="68"/>
        <v>UNC_ETC</v>
      </c>
      <c r="L166" t="str">
        <f t="shared" si="69"/>
        <v>UNC_POSW</v>
      </c>
      <c r="M166" t="str">
        <f t="shared" si="70"/>
        <v>UNC_USDT</v>
      </c>
      <c r="N166" t="str">
        <f t="shared" si="71"/>
        <v>UNC_ZEC</v>
      </c>
      <c r="O166" t="str">
        <f t="shared" si="72"/>
        <v>UNC_NXT</v>
      </c>
      <c r="P166" t="str">
        <f t="shared" si="73"/>
        <v>UNC_REP</v>
      </c>
      <c r="R166" t="str">
        <f t="shared" si="75"/>
        <v>BTC_UNC</v>
      </c>
      <c r="S166" t="str">
        <f t="shared" si="76"/>
        <v>USD_UNC</v>
      </c>
      <c r="T166" t="str">
        <f t="shared" si="77"/>
        <v>LTC_UNC</v>
      </c>
      <c r="U166" t="str">
        <f t="shared" si="78"/>
        <v>DOGE_UNC</v>
      </c>
      <c r="V166" t="str">
        <f t="shared" si="79"/>
        <v>ETH_UNC</v>
      </c>
      <c r="W166" t="str">
        <f t="shared" si="80"/>
        <v>EUR_UNC</v>
      </c>
      <c r="X166" t="str">
        <f t="shared" si="81"/>
        <v>RUR_UNC</v>
      </c>
      <c r="Y166" t="str">
        <f t="shared" si="82"/>
        <v>DASH_UNC</v>
      </c>
      <c r="Z166" t="str">
        <f t="shared" si="83"/>
        <v>XMR_UNC</v>
      </c>
      <c r="AA166" t="str">
        <f t="shared" si="84"/>
        <v>ETC_UNC</v>
      </c>
      <c r="AB166" t="str">
        <f t="shared" si="85"/>
        <v>POSW_UNC</v>
      </c>
      <c r="AC166" t="str">
        <f t="shared" si="86"/>
        <v>USDT_UNC</v>
      </c>
      <c r="AD166" t="str">
        <f t="shared" si="87"/>
        <v>ZEC_UNC</v>
      </c>
      <c r="AE166" t="str">
        <f t="shared" si="88"/>
        <v>NXT_UNC</v>
      </c>
      <c r="AF166" t="str">
        <f t="shared" si="89"/>
        <v>REP_UNC</v>
      </c>
    </row>
    <row r="167" spans="1:32" x14ac:dyDescent="0.25">
      <c r="A167" t="s">
        <v>2476</v>
      </c>
      <c r="B167" t="str">
        <f t="shared" si="74"/>
        <v>UNO_BTC</v>
      </c>
      <c r="C167" t="str">
        <f t="shared" si="60"/>
        <v>UNO_USD</v>
      </c>
      <c r="D167" t="str">
        <f t="shared" si="61"/>
        <v>UNO_LTC</v>
      </c>
      <c r="E167" t="str">
        <f t="shared" si="62"/>
        <v>UNO_DOGE</v>
      </c>
      <c r="F167" t="str">
        <f t="shared" si="63"/>
        <v>UNO_ETH</v>
      </c>
      <c r="G167" t="str">
        <f t="shared" si="64"/>
        <v>UNO_EUR</v>
      </c>
      <c r="H167" t="str">
        <f t="shared" si="65"/>
        <v>UNO_RUR</v>
      </c>
      <c r="I167" t="str">
        <f t="shared" si="66"/>
        <v>UNO_DASH</v>
      </c>
      <c r="J167" t="str">
        <f t="shared" si="67"/>
        <v>UNO_XMR</v>
      </c>
      <c r="K167" t="str">
        <f t="shared" si="68"/>
        <v>UNO_ETC</v>
      </c>
      <c r="L167" t="str">
        <f t="shared" si="69"/>
        <v>UNO_POSW</v>
      </c>
      <c r="M167" t="str">
        <f t="shared" si="70"/>
        <v>UNO_USDT</v>
      </c>
      <c r="N167" t="str">
        <f t="shared" si="71"/>
        <v>UNO_ZEC</v>
      </c>
      <c r="O167" t="str">
        <f t="shared" si="72"/>
        <v>UNO_NXT</v>
      </c>
      <c r="P167" t="str">
        <f t="shared" si="73"/>
        <v>UNO_REP</v>
      </c>
      <c r="R167" t="str">
        <f t="shared" si="75"/>
        <v>BTC_UNO</v>
      </c>
      <c r="S167" t="str">
        <f t="shared" si="76"/>
        <v>USD_UNO</v>
      </c>
      <c r="T167" t="str">
        <f t="shared" si="77"/>
        <v>LTC_UNO</v>
      </c>
      <c r="U167" t="str">
        <f t="shared" si="78"/>
        <v>DOGE_UNO</v>
      </c>
      <c r="V167" t="str">
        <f t="shared" si="79"/>
        <v>ETH_UNO</v>
      </c>
      <c r="W167" t="str">
        <f t="shared" si="80"/>
        <v>EUR_UNO</v>
      </c>
      <c r="X167" t="str">
        <f t="shared" si="81"/>
        <v>RUR_UNO</v>
      </c>
      <c r="Y167" t="str">
        <f t="shared" si="82"/>
        <v>DASH_UNO</v>
      </c>
      <c r="Z167" t="str">
        <f t="shared" si="83"/>
        <v>XMR_UNO</v>
      </c>
      <c r="AA167" t="str">
        <f t="shared" si="84"/>
        <v>ETC_UNO</v>
      </c>
      <c r="AB167" t="str">
        <f t="shared" si="85"/>
        <v>POSW_UNO</v>
      </c>
      <c r="AC167" t="str">
        <f t="shared" si="86"/>
        <v>USDT_UNO</v>
      </c>
      <c r="AD167" t="str">
        <f t="shared" si="87"/>
        <v>ZEC_UNO</v>
      </c>
      <c r="AE167" t="str">
        <f t="shared" si="88"/>
        <v>NXT_UNO</v>
      </c>
      <c r="AF167" t="str">
        <f t="shared" si="89"/>
        <v>REP_UNO</v>
      </c>
    </row>
    <row r="168" spans="1:32" x14ac:dyDescent="0.25">
      <c r="A168" t="s">
        <v>2222</v>
      </c>
      <c r="B168" t="str">
        <f t="shared" si="74"/>
        <v>UNY_BTC</v>
      </c>
      <c r="C168" t="str">
        <f t="shared" si="60"/>
        <v>UNY_USD</v>
      </c>
      <c r="D168" t="str">
        <f t="shared" si="61"/>
        <v>UNY_LTC</v>
      </c>
      <c r="E168" t="str">
        <f t="shared" si="62"/>
        <v>UNY_DOGE</v>
      </c>
      <c r="F168" t="str">
        <f t="shared" si="63"/>
        <v>UNY_ETH</v>
      </c>
      <c r="G168" t="str">
        <f t="shared" si="64"/>
        <v>UNY_EUR</v>
      </c>
      <c r="H168" t="str">
        <f t="shared" si="65"/>
        <v>UNY_RUR</v>
      </c>
      <c r="I168" t="str">
        <f t="shared" si="66"/>
        <v>UNY_DASH</v>
      </c>
      <c r="J168" t="str">
        <f t="shared" si="67"/>
        <v>UNY_XMR</v>
      </c>
      <c r="K168" t="str">
        <f t="shared" si="68"/>
        <v>UNY_ETC</v>
      </c>
      <c r="L168" t="str">
        <f t="shared" si="69"/>
        <v>UNY_POSW</v>
      </c>
      <c r="M168" t="str">
        <f t="shared" si="70"/>
        <v>UNY_USDT</v>
      </c>
      <c r="N168" t="str">
        <f t="shared" si="71"/>
        <v>UNY_ZEC</v>
      </c>
      <c r="O168" t="str">
        <f t="shared" si="72"/>
        <v>UNY_NXT</v>
      </c>
      <c r="P168" t="str">
        <f t="shared" si="73"/>
        <v>UNY_REP</v>
      </c>
      <c r="R168" t="str">
        <f t="shared" si="75"/>
        <v>BTC_UNY</v>
      </c>
      <c r="S168" t="str">
        <f t="shared" si="76"/>
        <v>USD_UNY</v>
      </c>
      <c r="T168" t="str">
        <f t="shared" si="77"/>
        <v>LTC_UNY</v>
      </c>
      <c r="U168" t="str">
        <f t="shared" si="78"/>
        <v>DOGE_UNY</v>
      </c>
      <c r="V168" t="str">
        <f t="shared" si="79"/>
        <v>ETH_UNY</v>
      </c>
      <c r="W168" t="str">
        <f t="shared" si="80"/>
        <v>EUR_UNY</v>
      </c>
      <c r="X168" t="str">
        <f t="shared" si="81"/>
        <v>RUR_UNY</v>
      </c>
      <c r="Y168" t="str">
        <f t="shared" si="82"/>
        <v>DASH_UNY</v>
      </c>
      <c r="Z168" t="str">
        <f t="shared" si="83"/>
        <v>XMR_UNY</v>
      </c>
      <c r="AA168" t="str">
        <f t="shared" si="84"/>
        <v>ETC_UNY</v>
      </c>
      <c r="AB168" t="str">
        <f t="shared" si="85"/>
        <v>POSW_UNY</v>
      </c>
      <c r="AC168" t="str">
        <f t="shared" si="86"/>
        <v>USDT_UNY</v>
      </c>
      <c r="AD168" t="str">
        <f t="shared" si="87"/>
        <v>ZEC_UNY</v>
      </c>
      <c r="AE168" t="str">
        <f t="shared" si="88"/>
        <v>NXT_UNY</v>
      </c>
      <c r="AF168" t="str">
        <f t="shared" si="89"/>
        <v>REP_UNY</v>
      </c>
    </row>
    <row r="169" spans="1:32" x14ac:dyDescent="0.25">
      <c r="A169" t="s">
        <v>2100</v>
      </c>
      <c r="B169" t="str">
        <f t="shared" si="74"/>
        <v>USD_BTC</v>
      </c>
      <c r="C169" t="str">
        <f t="shared" si="60"/>
        <v>USD_USD</v>
      </c>
      <c r="D169" t="str">
        <f t="shared" si="61"/>
        <v>USD_LTC</v>
      </c>
      <c r="E169" t="str">
        <f t="shared" si="62"/>
        <v>USD_DOGE</v>
      </c>
      <c r="F169" t="str">
        <f t="shared" si="63"/>
        <v>USD_ETH</v>
      </c>
      <c r="G169" t="str">
        <f t="shared" si="64"/>
        <v>USD_EUR</v>
      </c>
      <c r="H169" t="str">
        <f t="shared" si="65"/>
        <v>USD_RUR</v>
      </c>
      <c r="I169" t="str">
        <f t="shared" si="66"/>
        <v>USD_DASH</v>
      </c>
      <c r="J169" t="str">
        <f t="shared" si="67"/>
        <v>USD_XMR</v>
      </c>
      <c r="K169" t="str">
        <f t="shared" si="68"/>
        <v>USD_ETC</v>
      </c>
      <c r="L169" t="str">
        <f t="shared" si="69"/>
        <v>USD_POSW</v>
      </c>
      <c r="M169" t="str">
        <f t="shared" si="70"/>
        <v>USD_USDT</v>
      </c>
      <c r="N169" t="str">
        <f t="shared" si="71"/>
        <v>USD_ZEC</v>
      </c>
      <c r="O169" t="str">
        <f t="shared" si="72"/>
        <v>USD_NXT</v>
      </c>
      <c r="P169" t="str">
        <f t="shared" si="73"/>
        <v>USD_REP</v>
      </c>
      <c r="R169" t="str">
        <f t="shared" si="75"/>
        <v>BTC_USD</v>
      </c>
      <c r="S169" t="str">
        <f t="shared" si="76"/>
        <v>USD_USD</v>
      </c>
      <c r="T169" t="str">
        <f t="shared" si="77"/>
        <v>LTC_USD</v>
      </c>
      <c r="U169" t="str">
        <f t="shared" si="78"/>
        <v>DOGE_USD</v>
      </c>
      <c r="V169" t="str">
        <f t="shared" si="79"/>
        <v>ETH_USD</v>
      </c>
      <c r="W169" t="str">
        <f t="shared" si="80"/>
        <v>EUR_USD</v>
      </c>
      <c r="X169" t="str">
        <f t="shared" si="81"/>
        <v>RUR_USD</v>
      </c>
      <c r="Y169" t="str">
        <f t="shared" si="82"/>
        <v>DASH_USD</v>
      </c>
      <c r="Z169" t="str">
        <f t="shared" si="83"/>
        <v>XMR_USD</v>
      </c>
      <c r="AA169" t="str">
        <f t="shared" si="84"/>
        <v>ETC_USD</v>
      </c>
      <c r="AB169" t="str">
        <f t="shared" si="85"/>
        <v>POSW_USD</v>
      </c>
      <c r="AC169" t="str">
        <f t="shared" si="86"/>
        <v>USDT_USD</v>
      </c>
      <c r="AD169" t="str">
        <f t="shared" si="87"/>
        <v>ZEC_USD</v>
      </c>
      <c r="AE169" t="str">
        <f t="shared" si="88"/>
        <v>NXT_USD</v>
      </c>
      <c r="AF169" t="str">
        <f t="shared" si="89"/>
        <v>REP_USD</v>
      </c>
    </row>
    <row r="170" spans="1:32" x14ac:dyDescent="0.25">
      <c r="A170" t="s">
        <v>2127</v>
      </c>
      <c r="B170" t="str">
        <f t="shared" si="74"/>
        <v>USDT_BTC</v>
      </c>
      <c r="C170" t="str">
        <f t="shared" si="60"/>
        <v>USDT_USD</v>
      </c>
      <c r="D170" t="str">
        <f t="shared" si="61"/>
        <v>USDT_LTC</v>
      </c>
      <c r="E170" t="str">
        <f t="shared" si="62"/>
        <v>USDT_DOGE</v>
      </c>
      <c r="F170" t="str">
        <f t="shared" si="63"/>
        <v>USDT_ETH</v>
      </c>
      <c r="G170" t="str">
        <f t="shared" si="64"/>
        <v>USDT_EUR</v>
      </c>
      <c r="H170" t="str">
        <f t="shared" si="65"/>
        <v>USDT_RUR</v>
      </c>
      <c r="I170" t="str">
        <f t="shared" si="66"/>
        <v>USDT_DASH</v>
      </c>
      <c r="J170" t="str">
        <f t="shared" si="67"/>
        <v>USDT_XMR</v>
      </c>
      <c r="K170" t="str">
        <f t="shared" si="68"/>
        <v>USDT_ETC</v>
      </c>
      <c r="L170" t="str">
        <f t="shared" si="69"/>
        <v>USDT_POSW</v>
      </c>
      <c r="M170" t="str">
        <f t="shared" si="70"/>
        <v>USDT_USDT</v>
      </c>
      <c r="N170" t="str">
        <f t="shared" si="71"/>
        <v>USDT_ZEC</v>
      </c>
      <c r="O170" t="str">
        <f t="shared" si="72"/>
        <v>USDT_NXT</v>
      </c>
      <c r="P170" t="str">
        <f t="shared" si="73"/>
        <v>USDT_REP</v>
      </c>
      <c r="R170" t="str">
        <f t="shared" si="75"/>
        <v>BTC_USDT</v>
      </c>
      <c r="S170" t="str">
        <f t="shared" si="76"/>
        <v>USD_USDT</v>
      </c>
      <c r="T170" t="str">
        <f t="shared" si="77"/>
        <v>LTC_USDT</v>
      </c>
      <c r="U170" t="str">
        <f t="shared" si="78"/>
        <v>DOGE_USDT</v>
      </c>
      <c r="V170" t="str">
        <f t="shared" si="79"/>
        <v>ETH_USDT</v>
      </c>
      <c r="W170" t="str">
        <f t="shared" si="80"/>
        <v>EUR_USDT</v>
      </c>
      <c r="X170" t="str">
        <f t="shared" si="81"/>
        <v>RUR_USDT</v>
      </c>
      <c r="Y170" t="str">
        <f t="shared" si="82"/>
        <v>DASH_USDT</v>
      </c>
      <c r="Z170" t="str">
        <f t="shared" si="83"/>
        <v>XMR_USDT</v>
      </c>
      <c r="AA170" t="str">
        <f t="shared" si="84"/>
        <v>ETC_USDT</v>
      </c>
      <c r="AB170" t="str">
        <f t="shared" si="85"/>
        <v>POSW_USDT</v>
      </c>
      <c r="AC170" t="str">
        <f t="shared" si="86"/>
        <v>USDT_USDT</v>
      </c>
      <c r="AD170" t="str">
        <f t="shared" si="87"/>
        <v>ZEC_USDT</v>
      </c>
      <c r="AE170" t="str">
        <f t="shared" si="88"/>
        <v>NXT_USDT</v>
      </c>
      <c r="AF170" t="str">
        <f t="shared" si="89"/>
        <v>REP_USDT</v>
      </c>
    </row>
    <row r="171" spans="1:32" x14ac:dyDescent="0.25">
      <c r="A171" t="s">
        <v>2223</v>
      </c>
      <c r="B171" t="str">
        <f t="shared" si="74"/>
        <v>VEC2_BTC</v>
      </c>
      <c r="C171" t="str">
        <f t="shared" si="60"/>
        <v>VEC2_USD</v>
      </c>
      <c r="D171" t="str">
        <f t="shared" si="61"/>
        <v>VEC2_LTC</v>
      </c>
      <c r="E171" t="str">
        <f t="shared" si="62"/>
        <v>VEC2_DOGE</v>
      </c>
      <c r="F171" t="str">
        <f t="shared" si="63"/>
        <v>VEC2_ETH</v>
      </c>
      <c r="G171" t="str">
        <f t="shared" si="64"/>
        <v>VEC2_EUR</v>
      </c>
      <c r="H171" t="str">
        <f t="shared" si="65"/>
        <v>VEC2_RUR</v>
      </c>
      <c r="I171" t="str">
        <f t="shared" si="66"/>
        <v>VEC2_DASH</v>
      </c>
      <c r="J171" t="str">
        <f t="shared" si="67"/>
        <v>VEC2_XMR</v>
      </c>
      <c r="K171" t="str">
        <f t="shared" si="68"/>
        <v>VEC2_ETC</v>
      </c>
      <c r="L171" t="str">
        <f t="shared" si="69"/>
        <v>VEC2_POSW</v>
      </c>
      <c r="M171" t="str">
        <f t="shared" si="70"/>
        <v>VEC2_USDT</v>
      </c>
      <c r="N171" t="str">
        <f t="shared" si="71"/>
        <v>VEC2_ZEC</v>
      </c>
      <c r="O171" t="str">
        <f t="shared" si="72"/>
        <v>VEC2_NXT</v>
      </c>
      <c r="P171" t="str">
        <f t="shared" si="73"/>
        <v>VEC2_REP</v>
      </c>
      <c r="R171" t="str">
        <f t="shared" si="75"/>
        <v>BTC_VEC2</v>
      </c>
      <c r="S171" t="str">
        <f t="shared" si="76"/>
        <v>USD_VEC2</v>
      </c>
      <c r="T171" t="str">
        <f t="shared" si="77"/>
        <v>LTC_VEC2</v>
      </c>
      <c r="U171" t="str">
        <f t="shared" si="78"/>
        <v>DOGE_VEC2</v>
      </c>
      <c r="V171" t="str">
        <f t="shared" si="79"/>
        <v>ETH_VEC2</v>
      </c>
      <c r="W171" t="str">
        <f t="shared" si="80"/>
        <v>EUR_VEC2</v>
      </c>
      <c r="X171" t="str">
        <f t="shared" si="81"/>
        <v>RUR_VEC2</v>
      </c>
      <c r="Y171" t="str">
        <f t="shared" si="82"/>
        <v>DASH_VEC2</v>
      </c>
      <c r="Z171" t="str">
        <f t="shared" si="83"/>
        <v>XMR_VEC2</v>
      </c>
      <c r="AA171" t="str">
        <f t="shared" si="84"/>
        <v>ETC_VEC2</v>
      </c>
      <c r="AB171" t="str">
        <f t="shared" si="85"/>
        <v>POSW_VEC2</v>
      </c>
      <c r="AC171" t="str">
        <f t="shared" si="86"/>
        <v>USDT_VEC2</v>
      </c>
      <c r="AD171" t="str">
        <f t="shared" si="87"/>
        <v>ZEC_VEC2</v>
      </c>
      <c r="AE171" t="str">
        <f t="shared" si="88"/>
        <v>NXT_VEC2</v>
      </c>
      <c r="AF171" t="str">
        <f t="shared" si="89"/>
        <v>REP_VEC2</v>
      </c>
    </row>
    <row r="172" spans="1:32" x14ac:dyDescent="0.25">
      <c r="A172" t="s">
        <v>2477</v>
      </c>
      <c r="B172" t="str">
        <f t="shared" si="74"/>
        <v>VIA_BTC</v>
      </c>
      <c r="C172" t="str">
        <f t="shared" si="60"/>
        <v>VIA_USD</v>
      </c>
      <c r="D172" t="str">
        <f t="shared" si="61"/>
        <v>VIA_LTC</v>
      </c>
      <c r="E172" t="str">
        <f t="shared" si="62"/>
        <v>VIA_DOGE</v>
      </c>
      <c r="F172" t="str">
        <f t="shared" si="63"/>
        <v>VIA_ETH</v>
      </c>
      <c r="G172" t="str">
        <f t="shared" si="64"/>
        <v>VIA_EUR</v>
      </c>
      <c r="H172" t="str">
        <f t="shared" si="65"/>
        <v>VIA_RUR</v>
      </c>
      <c r="I172" t="str">
        <f t="shared" si="66"/>
        <v>VIA_DASH</v>
      </c>
      <c r="J172" t="str">
        <f t="shared" si="67"/>
        <v>VIA_XMR</v>
      </c>
      <c r="K172" t="str">
        <f t="shared" si="68"/>
        <v>VIA_ETC</v>
      </c>
      <c r="L172" t="str">
        <f t="shared" si="69"/>
        <v>VIA_POSW</v>
      </c>
      <c r="M172" t="str">
        <f t="shared" si="70"/>
        <v>VIA_USDT</v>
      </c>
      <c r="N172" t="str">
        <f t="shared" si="71"/>
        <v>VIA_ZEC</v>
      </c>
      <c r="O172" t="str">
        <f t="shared" si="72"/>
        <v>VIA_NXT</v>
      </c>
      <c r="P172" t="str">
        <f t="shared" si="73"/>
        <v>VIA_REP</v>
      </c>
      <c r="R172" t="str">
        <f t="shared" si="75"/>
        <v>BTC_VIA</v>
      </c>
      <c r="S172" t="str">
        <f t="shared" si="76"/>
        <v>USD_VIA</v>
      </c>
      <c r="T172" t="str">
        <f t="shared" si="77"/>
        <v>LTC_VIA</v>
      </c>
      <c r="U172" t="str">
        <f t="shared" si="78"/>
        <v>DOGE_VIA</v>
      </c>
      <c r="V172" t="str">
        <f t="shared" si="79"/>
        <v>ETH_VIA</v>
      </c>
      <c r="W172" t="str">
        <f t="shared" si="80"/>
        <v>EUR_VIA</v>
      </c>
      <c r="X172" t="str">
        <f t="shared" si="81"/>
        <v>RUR_VIA</v>
      </c>
      <c r="Y172" t="str">
        <f t="shared" si="82"/>
        <v>DASH_VIA</v>
      </c>
      <c r="Z172" t="str">
        <f t="shared" si="83"/>
        <v>XMR_VIA</v>
      </c>
      <c r="AA172" t="str">
        <f t="shared" si="84"/>
        <v>ETC_VIA</v>
      </c>
      <c r="AB172" t="str">
        <f t="shared" si="85"/>
        <v>POSW_VIA</v>
      </c>
      <c r="AC172" t="str">
        <f t="shared" si="86"/>
        <v>USDT_VIA</v>
      </c>
      <c r="AD172" t="str">
        <f t="shared" si="87"/>
        <v>ZEC_VIA</v>
      </c>
      <c r="AE172" t="str">
        <f t="shared" si="88"/>
        <v>NXT_VIA</v>
      </c>
      <c r="AF172" t="str">
        <f t="shared" si="89"/>
        <v>REP_VIA</v>
      </c>
    </row>
    <row r="173" spans="1:32" x14ac:dyDescent="0.25">
      <c r="A173" t="s">
        <v>2478</v>
      </c>
      <c r="B173" t="str">
        <f t="shared" si="74"/>
        <v>VOX_BTC</v>
      </c>
      <c r="C173" t="str">
        <f t="shared" si="60"/>
        <v>VOX_USD</v>
      </c>
      <c r="D173" t="str">
        <f t="shared" si="61"/>
        <v>VOX_LTC</v>
      </c>
      <c r="E173" t="str">
        <f t="shared" si="62"/>
        <v>VOX_DOGE</v>
      </c>
      <c r="F173" t="str">
        <f t="shared" si="63"/>
        <v>VOX_ETH</v>
      </c>
      <c r="G173" t="str">
        <f t="shared" si="64"/>
        <v>VOX_EUR</v>
      </c>
      <c r="H173" t="str">
        <f t="shared" si="65"/>
        <v>VOX_RUR</v>
      </c>
      <c r="I173" t="str">
        <f t="shared" si="66"/>
        <v>VOX_DASH</v>
      </c>
      <c r="J173" t="str">
        <f t="shared" si="67"/>
        <v>VOX_XMR</v>
      </c>
      <c r="K173" t="str">
        <f t="shared" si="68"/>
        <v>VOX_ETC</v>
      </c>
      <c r="L173" t="str">
        <f t="shared" si="69"/>
        <v>VOX_POSW</v>
      </c>
      <c r="M173" t="str">
        <f t="shared" si="70"/>
        <v>VOX_USDT</v>
      </c>
      <c r="N173" t="str">
        <f t="shared" si="71"/>
        <v>VOX_ZEC</v>
      </c>
      <c r="O173" t="str">
        <f t="shared" si="72"/>
        <v>VOX_NXT</v>
      </c>
      <c r="P173" t="str">
        <f t="shared" si="73"/>
        <v>VOX_REP</v>
      </c>
      <c r="R173" t="str">
        <f t="shared" si="75"/>
        <v>BTC_VOX</v>
      </c>
      <c r="S173" t="str">
        <f t="shared" si="76"/>
        <v>USD_VOX</v>
      </c>
      <c r="T173" t="str">
        <f t="shared" si="77"/>
        <v>LTC_VOX</v>
      </c>
      <c r="U173" t="str">
        <f t="shared" si="78"/>
        <v>DOGE_VOX</v>
      </c>
      <c r="V173" t="str">
        <f t="shared" si="79"/>
        <v>ETH_VOX</v>
      </c>
      <c r="W173" t="str">
        <f t="shared" si="80"/>
        <v>EUR_VOX</v>
      </c>
      <c r="X173" t="str">
        <f t="shared" si="81"/>
        <v>RUR_VOX</v>
      </c>
      <c r="Y173" t="str">
        <f t="shared" si="82"/>
        <v>DASH_VOX</v>
      </c>
      <c r="Z173" t="str">
        <f t="shared" si="83"/>
        <v>XMR_VOX</v>
      </c>
      <c r="AA173" t="str">
        <f t="shared" si="84"/>
        <v>ETC_VOX</v>
      </c>
      <c r="AB173" t="str">
        <f t="shared" si="85"/>
        <v>POSW_VOX</v>
      </c>
      <c r="AC173" t="str">
        <f t="shared" si="86"/>
        <v>USDT_VOX</v>
      </c>
      <c r="AD173" t="str">
        <f t="shared" si="87"/>
        <v>ZEC_VOX</v>
      </c>
      <c r="AE173" t="str">
        <f t="shared" si="88"/>
        <v>NXT_VOX</v>
      </c>
      <c r="AF173" t="str">
        <f t="shared" si="89"/>
        <v>REP_VOX</v>
      </c>
    </row>
    <row r="174" spans="1:32" x14ac:dyDescent="0.25">
      <c r="A174" t="s">
        <v>2479</v>
      </c>
      <c r="B174" t="str">
        <f t="shared" si="74"/>
        <v>VRC_BTC</v>
      </c>
      <c r="C174" t="str">
        <f t="shared" si="60"/>
        <v>VRC_USD</v>
      </c>
      <c r="D174" t="str">
        <f t="shared" si="61"/>
        <v>VRC_LTC</v>
      </c>
      <c r="E174" t="str">
        <f t="shared" si="62"/>
        <v>VRC_DOGE</v>
      </c>
      <c r="F174" t="str">
        <f t="shared" si="63"/>
        <v>VRC_ETH</v>
      </c>
      <c r="G174" t="str">
        <f t="shared" si="64"/>
        <v>VRC_EUR</v>
      </c>
      <c r="H174" t="str">
        <f t="shared" si="65"/>
        <v>VRC_RUR</v>
      </c>
      <c r="I174" t="str">
        <f t="shared" si="66"/>
        <v>VRC_DASH</v>
      </c>
      <c r="J174" t="str">
        <f t="shared" si="67"/>
        <v>VRC_XMR</v>
      </c>
      <c r="K174" t="str">
        <f t="shared" si="68"/>
        <v>VRC_ETC</v>
      </c>
      <c r="L174" t="str">
        <f t="shared" si="69"/>
        <v>VRC_POSW</v>
      </c>
      <c r="M174" t="str">
        <f t="shared" si="70"/>
        <v>VRC_USDT</v>
      </c>
      <c r="N174" t="str">
        <f t="shared" si="71"/>
        <v>VRC_ZEC</v>
      </c>
      <c r="O174" t="str">
        <f t="shared" si="72"/>
        <v>VRC_NXT</v>
      </c>
      <c r="P174" t="str">
        <f t="shared" si="73"/>
        <v>VRC_REP</v>
      </c>
      <c r="R174" t="str">
        <f t="shared" si="75"/>
        <v>BTC_VRC</v>
      </c>
      <c r="S174" t="str">
        <f t="shared" si="76"/>
        <v>USD_VRC</v>
      </c>
      <c r="T174" t="str">
        <f t="shared" si="77"/>
        <v>LTC_VRC</v>
      </c>
      <c r="U174" t="str">
        <f t="shared" si="78"/>
        <v>DOGE_VRC</v>
      </c>
      <c r="V174" t="str">
        <f t="shared" si="79"/>
        <v>ETH_VRC</v>
      </c>
      <c r="W174" t="str">
        <f t="shared" si="80"/>
        <v>EUR_VRC</v>
      </c>
      <c r="X174" t="str">
        <f t="shared" si="81"/>
        <v>RUR_VRC</v>
      </c>
      <c r="Y174" t="str">
        <f t="shared" si="82"/>
        <v>DASH_VRC</v>
      </c>
      <c r="Z174" t="str">
        <f t="shared" si="83"/>
        <v>XMR_VRC</v>
      </c>
      <c r="AA174" t="str">
        <f t="shared" si="84"/>
        <v>ETC_VRC</v>
      </c>
      <c r="AB174" t="str">
        <f t="shared" si="85"/>
        <v>POSW_VRC</v>
      </c>
      <c r="AC174" t="str">
        <f t="shared" si="86"/>
        <v>USDT_VRC</v>
      </c>
      <c r="AD174" t="str">
        <f t="shared" si="87"/>
        <v>ZEC_VRC</v>
      </c>
      <c r="AE174" t="str">
        <f t="shared" si="88"/>
        <v>NXT_VRC</v>
      </c>
      <c r="AF174" t="str">
        <f t="shared" si="89"/>
        <v>REP_VRC</v>
      </c>
    </row>
    <row r="175" spans="1:32" x14ac:dyDescent="0.25">
      <c r="A175" t="s">
        <v>2480</v>
      </c>
      <c r="B175" t="str">
        <f t="shared" si="74"/>
        <v>VRM_BTC</v>
      </c>
      <c r="C175" t="str">
        <f t="shared" si="60"/>
        <v>VRM_USD</v>
      </c>
      <c r="D175" t="str">
        <f t="shared" si="61"/>
        <v>VRM_LTC</v>
      </c>
      <c r="E175" t="str">
        <f t="shared" si="62"/>
        <v>VRM_DOGE</v>
      </c>
      <c r="F175" t="str">
        <f t="shared" si="63"/>
        <v>VRM_ETH</v>
      </c>
      <c r="G175" t="str">
        <f t="shared" si="64"/>
        <v>VRM_EUR</v>
      </c>
      <c r="H175" t="str">
        <f t="shared" si="65"/>
        <v>VRM_RUR</v>
      </c>
      <c r="I175" t="str">
        <f t="shared" si="66"/>
        <v>VRM_DASH</v>
      </c>
      <c r="J175" t="str">
        <f t="shared" si="67"/>
        <v>VRM_XMR</v>
      </c>
      <c r="K175" t="str">
        <f t="shared" si="68"/>
        <v>VRM_ETC</v>
      </c>
      <c r="L175" t="str">
        <f t="shared" si="69"/>
        <v>VRM_POSW</v>
      </c>
      <c r="M175" t="str">
        <f t="shared" si="70"/>
        <v>VRM_USDT</v>
      </c>
      <c r="N175" t="str">
        <f t="shared" si="71"/>
        <v>VRM_ZEC</v>
      </c>
      <c r="O175" t="str">
        <f t="shared" si="72"/>
        <v>VRM_NXT</v>
      </c>
      <c r="P175" t="str">
        <f t="shared" si="73"/>
        <v>VRM_REP</v>
      </c>
      <c r="R175" t="str">
        <f t="shared" si="75"/>
        <v>BTC_VRM</v>
      </c>
      <c r="S175" t="str">
        <f t="shared" si="76"/>
        <v>USD_VRM</v>
      </c>
      <c r="T175" t="str">
        <f t="shared" si="77"/>
        <v>LTC_VRM</v>
      </c>
      <c r="U175" t="str">
        <f t="shared" si="78"/>
        <v>DOGE_VRM</v>
      </c>
      <c r="V175" t="str">
        <f t="shared" si="79"/>
        <v>ETH_VRM</v>
      </c>
      <c r="W175" t="str">
        <f t="shared" si="80"/>
        <v>EUR_VRM</v>
      </c>
      <c r="X175" t="str">
        <f t="shared" si="81"/>
        <v>RUR_VRM</v>
      </c>
      <c r="Y175" t="str">
        <f t="shared" si="82"/>
        <v>DASH_VRM</v>
      </c>
      <c r="Z175" t="str">
        <f t="shared" si="83"/>
        <v>XMR_VRM</v>
      </c>
      <c r="AA175" t="str">
        <f t="shared" si="84"/>
        <v>ETC_VRM</v>
      </c>
      <c r="AB175" t="str">
        <f t="shared" si="85"/>
        <v>POSW_VRM</v>
      </c>
      <c r="AC175" t="str">
        <f t="shared" si="86"/>
        <v>USDT_VRM</v>
      </c>
      <c r="AD175" t="str">
        <f t="shared" si="87"/>
        <v>ZEC_VRM</v>
      </c>
      <c r="AE175" t="str">
        <f t="shared" si="88"/>
        <v>NXT_VRM</v>
      </c>
      <c r="AF175" t="str">
        <f t="shared" si="89"/>
        <v>REP_VRM</v>
      </c>
    </row>
    <row r="176" spans="1:32" x14ac:dyDescent="0.25">
      <c r="A176" t="s">
        <v>2224</v>
      </c>
      <c r="B176" t="str">
        <f t="shared" si="74"/>
        <v>VRS_BTC</v>
      </c>
      <c r="C176" t="str">
        <f t="shared" si="60"/>
        <v>VRS_USD</v>
      </c>
      <c r="D176" t="str">
        <f t="shared" si="61"/>
        <v>VRS_LTC</v>
      </c>
      <c r="E176" t="str">
        <f t="shared" si="62"/>
        <v>VRS_DOGE</v>
      </c>
      <c r="F176" t="str">
        <f t="shared" si="63"/>
        <v>VRS_ETH</v>
      </c>
      <c r="G176" t="str">
        <f t="shared" si="64"/>
        <v>VRS_EUR</v>
      </c>
      <c r="H176" t="str">
        <f t="shared" si="65"/>
        <v>VRS_RUR</v>
      </c>
      <c r="I176" t="str">
        <f t="shared" si="66"/>
        <v>VRS_DASH</v>
      </c>
      <c r="J176" t="str">
        <f t="shared" si="67"/>
        <v>VRS_XMR</v>
      </c>
      <c r="K176" t="str">
        <f t="shared" si="68"/>
        <v>VRS_ETC</v>
      </c>
      <c r="L176" t="str">
        <f t="shared" si="69"/>
        <v>VRS_POSW</v>
      </c>
      <c r="M176" t="str">
        <f t="shared" si="70"/>
        <v>VRS_USDT</v>
      </c>
      <c r="N176" t="str">
        <f t="shared" si="71"/>
        <v>VRS_ZEC</v>
      </c>
      <c r="O176" t="str">
        <f t="shared" si="72"/>
        <v>VRS_NXT</v>
      </c>
      <c r="P176" t="str">
        <f t="shared" si="73"/>
        <v>VRS_REP</v>
      </c>
      <c r="R176" t="str">
        <f t="shared" si="75"/>
        <v>BTC_VRS</v>
      </c>
      <c r="S176" t="str">
        <f t="shared" si="76"/>
        <v>USD_VRS</v>
      </c>
      <c r="T176" t="str">
        <f t="shared" si="77"/>
        <v>LTC_VRS</v>
      </c>
      <c r="U176" t="str">
        <f t="shared" si="78"/>
        <v>DOGE_VRS</v>
      </c>
      <c r="V176" t="str">
        <f t="shared" si="79"/>
        <v>ETH_VRS</v>
      </c>
      <c r="W176" t="str">
        <f t="shared" si="80"/>
        <v>EUR_VRS</v>
      </c>
      <c r="X176" t="str">
        <f t="shared" si="81"/>
        <v>RUR_VRS</v>
      </c>
      <c r="Y176" t="str">
        <f t="shared" si="82"/>
        <v>DASH_VRS</v>
      </c>
      <c r="Z176" t="str">
        <f t="shared" si="83"/>
        <v>XMR_VRS</v>
      </c>
      <c r="AA176" t="str">
        <f t="shared" si="84"/>
        <v>ETC_VRS</v>
      </c>
      <c r="AB176" t="str">
        <f t="shared" si="85"/>
        <v>POSW_VRS</v>
      </c>
      <c r="AC176" t="str">
        <f t="shared" si="86"/>
        <v>USDT_VRS</v>
      </c>
      <c r="AD176" t="str">
        <f t="shared" si="87"/>
        <v>ZEC_VRS</v>
      </c>
      <c r="AE176" t="str">
        <f t="shared" si="88"/>
        <v>NXT_VRS</v>
      </c>
      <c r="AF176" t="str">
        <f t="shared" si="89"/>
        <v>REP_VRS</v>
      </c>
    </row>
    <row r="177" spans="1:32" x14ac:dyDescent="0.25">
      <c r="A177" t="s">
        <v>2160</v>
      </c>
      <c r="B177" t="str">
        <f t="shared" si="74"/>
        <v>VTC_BTC</v>
      </c>
      <c r="C177" t="str">
        <f t="shared" si="60"/>
        <v>VTC_USD</v>
      </c>
      <c r="D177" t="str">
        <f t="shared" si="61"/>
        <v>VTC_LTC</v>
      </c>
      <c r="E177" t="str">
        <f t="shared" si="62"/>
        <v>VTC_DOGE</v>
      </c>
      <c r="F177" t="str">
        <f t="shared" si="63"/>
        <v>VTC_ETH</v>
      </c>
      <c r="G177" t="str">
        <f t="shared" si="64"/>
        <v>VTC_EUR</v>
      </c>
      <c r="H177" t="str">
        <f t="shared" si="65"/>
        <v>VTC_RUR</v>
      </c>
      <c r="I177" t="str">
        <f t="shared" si="66"/>
        <v>VTC_DASH</v>
      </c>
      <c r="J177" t="str">
        <f t="shared" si="67"/>
        <v>VTC_XMR</v>
      </c>
      <c r="K177" t="str">
        <f t="shared" si="68"/>
        <v>VTC_ETC</v>
      </c>
      <c r="L177" t="str">
        <f t="shared" si="69"/>
        <v>VTC_POSW</v>
      </c>
      <c r="M177" t="str">
        <f t="shared" si="70"/>
        <v>VTC_USDT</v>
      </c>
      <c r="N177" t="str">
        <f t="shared" si="71"/>
        <v>VTC_ZEC</v>
      </c>
      <c r="O177" t="str">
        <f t="shared" si="72"/>
        <v>VTC_NXT</v>
      </c>
      <c r="P177" t="str">
        <f t="shared" si="73"/>
        <v>VTC_REP</v>
      </c>
      <c r="R177" t="str">
        <f t="shared" si="75"/>
        <v>BTC_VTC</v>
      </c>
      <c r="S177" t="str">
        <f t="shared" si="76"/>
        <v>USD_VTC</v>
      </c>
      <c r="T177" t="str">
        <f t="shared" si="77"/>
        <v>LTC_VTC</v>
      </c>
      <c r="U177" t="str">
        <f t="shared" si="78"/>
        <v>DOGE_VTC</v>
      </c>
      <c r="V177" t="str">
        <f t="shared" si="79"/>
        <v>ETH_VTC</v>
      </c>
      <c r="W177" t="str">
        <f t="shared" si="80"/>
        <v>EUR_VTC</v>
      </c>
      <c r="X177" t="str">
        <f t="shared" si="81"/>
        <v>RUR_VTC</v>
      </c>
      <c r="Y177" t="str">
        <f t="shared" si="82"/>
        <v>DASH_VTC</v>
      </c>
      <c r="Z177" t="str">
        <f t="shared" si="83"/>
        <v>XMR_VTC</v>
      </c>
      <c r="AA177" t="str">
        <f t="shared" si="84"/>
        <v>ETC_VTC</v>
      </c>
      <c r="AB177" t="str">
        <f t="shared" si="85"/>
        <v>POSW_VTC</v>
      </c>
      <c r="AC177" t="str">
        <f t="shared" si="86"/>
        <v>USDT_VTC</v>
      </c>
      <c r="AD177" t="str">
        <f t="shared" si="87"/>
        <v>ZEC_VTC</v>
      </c>
      <c r="AE177" t="str">
        <f t="shared" si="88"/>
        <v>NXT_VTC</v>
      </c>
      <c r="AF177" t="str">
        <f t="shared" si="89"/>
        <v>REP_VTC</v>
      </c>
    </row>
    <row r="178" spans="1:32" x14ac:dyDescent="0.25">
      <c r="A178" t="s">
        <v>2128</v>
      </c>
      <c r="B178" t="str">
        <f t="shared" si="74"/>
        <v>WAVES_BTC</v>
      </c>
      <c r="C178" t="str">
        <f t="shared" si="60"/>
        <v>WAVES_USD</v>
      </c>
      <c r="D178" t="str">
        <f t="shared" si="61"/>
        <v>WAVES_LTC</v>
      </c>
      <c r="E178" t="str">
        <f t="shared" si="62"/>
        <v>WAVES_DOGE</v>
      </c>
      <c r="F178" t="str">
        <f t="shared" si="63"/>
        <v>WAVES_ETH</v>
      </c>
      <c r="G178" t="str">
        <f t="shared" si="64"/>
        <v>WAVES_EUR</v>
      </c>
      <c r="H178" t="str">
        <f t="shared" si="65"/>
        <v>WAVES_RUR</v>
      </c>
      <c r="I178" t="str">
        <f t="shared" si="66"/>
        <v>WAVES_DASH</v>
      </c>
      <c r="J178" t="str">
        <f t="shared" si="67"/>
        <v>WAVES_XMR</v>
      </c>
      <c r="K178" t="str">
        <f t="shared" si="68"/>
        <v>WAVES_ETC</v>
      </c>
      <c r="L178" t="str">
        <f t="shared" si="69"/>
        <v>WAVES_POSW</v>
      </c>
      <c r="M178" t="str">
        <f t="shared" si="70"/>
        <v>WAVES_USDT</v>
      </c>
      <c r="N178" t="str">
        <f t="shared" si="71"/>
        <v>WAVES_ZEC</v>
      </c>
      <c r="O178" t="str">
        <f t="shared" si="72"/>
        <v>WAVES_NXT</v>
      </c>
      <c r="P178" t="str">
        <f t="shared" si="73"/>
        <v>WAVES_REP</v>
      </c>
      <c r="R178" t="str">
        <f t="shared" si="75"/>
        <v>BTC_WAVES</v>
      </c>
      <c r="S178" t="str">
        <f t="shared" si="76"/>
        <v>USD_WAVES</v>
      </c>
      <c r="T178" t="str">
        <f t="shared" si="77"/>
        <v>LTC_WAVES</v>
      </c>
      <c r="U178" t="str">
        <f t="shared" si="78"/>
        <v>DOGE_WAVES</v>
      </c>
      <c r="V178" t="str">
        <f t="shared" si="79"/>
        <v>ETH_WAVES</v>
      </c>
      <c r="W178" t="str">
        <f t="shared" si="80"/>
        <v>EUR_WAVES</v>
      </c>
      <c r="X178" t="str">
        <f t="shared" si="81"/>
        <v>RUR_WAVES</v>
      </c>
      <c r="Y178" t="str">
        <f t="shared" si="82"/>
        <v>DASH_WAVES</v>
      </c>
      <c r="Z178" t="str">
        <f t="shared" si="83"/>
        <v>XMR_WAVES</v>
      </c>
      <c r="AA178" t="str">
        <f t="shared" si="84"/>
        <v>ETC_WAVES</v>
      </c>
      <c r="AB178" t="str">
        <f t="shared" si="85"/>
        <v>POSW_WAVES</v>
      </c>
      <c r="AC178" t="str">
        <f t="shared" si="86"/>
        <v>USDT_WAVES</v>
      </c>
      <c r="AD178" t="str">
        <f t="shared" si="87"/>
        <v>ZEC_WAVES</v>
      </c>
      <c r="AE178" t="str">
        <f t="shared" si="88"/>
        <v>NXT_WAVES</v>
      </c>
      <c r="AF178" t="str">
        <f t="shared" si="89"/>
        <v>REP_WAVES</v>
      </c>
    </row>
    <row r="179" spans="1:32" x14ac:dyDescent="0.25">
      <c r="A179" t="s">
        <v>2225</v>
      </c>
      <c r="B179" t="str">
        <f t="shared" si="74"/>
        <v>WINGS_BTC</v>
      </c>
      <c r="C179" t="str">
        <f t="shared" si="60"/>
        <v>WINGS_USD</v>
      </c>
      <c r="D179" t="str">
        <f t="shared" si="61"/>
        <v>WINGS_LTC</v>
      </c>
      <c r="E179" t="str">
        <f t="shared" si="62"/>
        <v>WINGS_DOGE</v>
      </c>
      <c r="F179" t="str">
        <f t="shared" si="63"/>
        <v>WINGS_ETH</v>
      </c>
      <c r="G179" t="str">
        <f t="shared" si="64"/>
        <v>WINGS_EUR</v>
      </c>
      <c r="H179" t="str">
        <f t="shared" si="65"/>
        <v>WINGS_RUR</v>
      </c>
      <c r="I179" t="str">
        <f t="shared" si="66"/>
        <v>WINGS_DASH</v>
      </c>
      <c r="J179" t="str">
        <f t="shared" si="67"/>
        <v>WINGS_XMR</v>
      </c>
      <c r="K179" t="str">
        <f t="shared" si="68"/>
        <v>WINGS_ETC</v>
      </c>
      <c r="L179" t="str">
        <f t="shared" si="69"/>
        <v>WINGS_POSW</v>
      </c>
      <c r="M179" t="str">
        <f t="shared" si="70"/>
        <v>WINGS_USDT</v>
      </c>
      <c r="N179" t="str">
        <f t="shared" si="71"/>
        <v>WINGS_ZEC</v>
      </c>
      <c r="O179" t="str">
        <f t="shared" si="72"/>
        <v>WINGS_NXT</v>
      </c>
      <c r="P179" t="str">
        <f t="shared" si="73"/>
        <v>WINGS_REP</v>
      </c>
      <c r="R179" t="str">
        <f t="shared" si="75"/>
        <v>BTC_WINGS</v>
      </c>
      <c r="S179" t="str">
        <f t="shared" si="76"/>
        <v>USD_WINGS</v>
      </c>
      <c r="T179" t="str">
        <f t="shared" si="77"/>
        <v>LTC_WINGS</v>
      </c>
      <c r="U179" t="str">
        <f t="shared" si="78"/>
        <v>DOGE_WINGS</v>
      </c>
      <c r="V179" t="str">
        <f t="shared" si="79"/>
        <v>ETH_WINGS</v>
      </c>
      <c r="W179" t="str">
        <f t="shared" si="80"/>
        <v>EUR_WINGS</v>
      </c>
      <c r="X179" t="str">
        <f t="shared" si="81"/>
        <v>RUR_WINGS</v>
      </c>
      <c r="Y179" t="str">
        <f t="shared" si="82"/>
        <v>DASH_WINGS</v>
      </c>
      <c r="Z179" t="str">
        <f t="shared" si="83"/>
        <v>XMR_WINGS</v>
      </c>
      <c r="AA179" t="str">
        <f t="shared" si="84"/>
        <v>ETC_WINGS</v>
      </c>
      <c r="AB179" t="str">
        <f t="shared" si="85"/>
        <v>POSW_WINGS</v>
      </c>
      <c r="AC179" t="str">
        <f t="shared" si="86"/>
        <v>USDT_WINGS</v>
      </c>
      <c r="AD179" t="str">
        <f t="shared" si="87"/>
        <v>ZEC_WINGS</v>
      </c>
      <c r="AE179" t="str">
        <f t="shared" si="88"/>
        <v>NXT_WINGS</v>
      </c>
      <c r="AF179" t="str">
        <f t="shared" si="89"/>
        <v>REP_WINGS</v>
      </c>
    </row>
    <row r="180" spans="1:32" x14ac:dyDescent="0.25">
      <c r="A180" t="s">
        <v>2129</v>
      </c>
      <c r="B180" t="str">
        <f t="shared" si="74"/>
        <v>XAUR_BTC</v>
      </c>
      <c r="C180" t="str">
        <f t="shared" si="60"/>
        <v>XAUR_USD</v>
      </c>
      <c r="D180" t="str">
        <f t="shared" si="61"/>
        <v>XAUR_LTC</v>
      </c>
      <c r="E180" t="str">
        <f t="shared" si="62"/>
        <v>XAUR_DOGE</v>
      </c>
      <c r="F180" t="str">
        <f t="shared" si="63"/>
        <v>XAUR_ETH</v>
      </c>
      <c r="G180" t="str">
        <f t="shared" si="64"/>
        <v>XAUR_EUR</v>
      </c>
      <c r="H180" t="str">
        <f t="shared" si="65"/>
        <v>XAUR_RUR</v>
      </c>
      <c r="I180" t="str">
        <f t="shared" si="66"/>
        <v>XAUR_DASH</v>
      </c>
      <c r="J180" t="str">
        <f t="shared" si="67"/>
        <v>XAUR_XMR</v>
      </c>
      <c r="K180" t="str">
        <f t="shared" si="68"/>
        <v>XAUR_ETC</v>
      </c>
      <c r="L180" t="str">
        <f t="shared" si="69"/>
        <v>XAUR_POSW</v>
      </c>
      <c r="M180" t="str">
        <f t="shared" si="70"/>
        <v>XAUR_USDT</v>
      </c>
      <c r="N180" t="str">
        <f t="shared" si="71"/>
        <v>XAUR_ZEC</v>
      </c>
      <c r="O180" t="str">
        <f t="shared" si="72"/>
        <v>XAUR_NXT</v>
      </c>
      <c r="P180" t="str">
        <f t="shared" si="73"/>
        <v>XAUR_REP</v>
      </c>
      <c r="R180" t="str">
        <f t="shared" si="75"/>
        <v>BTC_XAUR</v>
      </c>
      <c r="S180" t="str">
        <f t="shared" si="76"/>
        <v>USD_XAUR</v>
      </c>
      <c r="T180" t="str">
        <f t="shared" si="77"/>
        <v>LTC_XAUR</v>
      </c>
      <c r="U180" t="str">
        <f t="shared" si="78"/>
        <v>DOGE_XAUR</v>
      </c>
      <c r="V180" t="str">
        <f t="shared" si="79"/>
        <v>ETH_XAUR</v>
      </c>
      <c r="W180" t="str">
        <f t="shared" si="80"/>
        <v>EUR_XAUR</v>
      </c>
      <c r="X180" t="str">
        <f t="shared" si="81"/>
        <v>RUR_XAUR</v>
      </c>
      <c r="Y180" t="str">
        <f t="shared" si="82"/>
        <v>DASH_XAUR</v>
      </c>
      <c r="Z180" t="str">
        <f t="shared" si="83"/>
        <v>XMR_XAUR</v>
      </c>
      <c r="AA180" t="str">
        <f t="shared" si="84"/>
        <v>ETC_XAUR</v>
      </c>
      <c r="AB180" t="str">
        <f t="shared" si="85"/>
        <v>POSW_XAUR</v>
      </c>
      <c r="AC180" t="str">
        <f t="shared" si="86"/>
        <v>USDT_XAUR</v>
      </c>
      <c r="AD180" t="str">
        <f t="shared" si="87"/>
        <v>ZEC_XAUR</v>
      </c>
      <c r="AE180" t="str">
        <f t="shared" si="88"/>
        <v>NXT_XAUR</v>
      </c>
      <c r="AF180" t="str">
        <f t="shared" si="89"/>
        <v>REP_XAUR</v>
      </c>
    </row>
    <row r="181" spans="1:32" x14ac:dyDescent="0.25">
      <c r="A181" t="s">
        <v>2226</v>
      </c>
      <c r="B181" t="str">
        <f t="shared" si="74"/>
        <v>XBY_BTC</v>
      </c>
      <c r="C181" t="str">
        <f t="shared" si="60"/>
        <v>XBY_USD</v>
      </c>
      <c r="D181" t="str">
        <f t="shared" si="61"/>
        <v>XBY_LTC</v>
      </c>
      <c r="E181" t="str">
        <f t="shared" si="62"/>
        <v>XBY_DOGE</v>
      </c>
      <c r="F181" t="str">
        <f t="shared" si="63"/>
        <v>XBY_ETH</v>
      </c>
      <c r="G181" t="str">
        <f t="shared" si="64"/>
        <v>XBY_EUR</v>
      </c>
      <c r="H181" t="str">
        <f t="shared" si="65"/>
        <v>XBY_RUR</v>
      </c>
      <c r="I181" t="str">
        <f t="shared" si="66"/>
        <v>XBY_DASH</v>
      </c>
      <c r="J181" t="str">
        <f t="shared" si="67"/>
        <v>XBY_XMR</v>
      </c>
      <c r="K181" t="str">
        <f t="shared" si="68"/>
        <v>XBY_ETC</v>
      </c>
      <c r="L181" t="str">
        <f t="shared" si="69"/>
        <v>XBY_POSW</v>
      </c>
      <c r="M181" t="str">
        <f t="shared" si="70"/>
        <v>XBY_USDT</v>
      </c>
      <c r="N181" t="str">
        <f t="shared" si="71"/>
        <v>XBY_ZEC</v>
      </c>
      <c r="O181" t="str">
        <f t="shared" si="72"/>
        <v>XBY_NXT</v>
      </c>
      <c r="P181" t="str">
        <f t="shared" si="73"/>
        <v>XBY_REP</v>
      </c>
      <c r="R181" t="str">
        <f t="shared" si="75"/>
        <v>BTC_XBY</v>
      </c>
      <c r="S181" t="str">
        <f t="shared" si="76"/>
        <v>USD_XBY</v>
      </c>
      <c r="T181" t="str">
        <f t="shared" si="77"/>
        <v>LTC_XBY</v>
      </c>
      <c r="U181" t="str">
        <f t="shared" si="78"/>
        <v>DOGE_XBY</v>
      </c>
      <c r="V181" t="str">
        <f t="shared" si="79"/>
        <v>ETH_XBY</v>
      </c>
      <c r="W181" t="str">
        <f t="shared" si="80"/>
        <v>EUR_XBY</v>
      </c>
      <c r="X181" t="str">
        <f t="shared" si="81"/>
        <v>RUR_XBY</v>
      </c>
      <c r="Y181" t="str">
        <f t="shared" si="82"/>
        <v>DASH_XBY</v>
      </c>
      <c r="Z181" t="str">
        <f t="shared" si="83"/>
        <v>XMR_XBY</v>
      </c>
      <c r="AA181" t="str">
        <f t="shared" si="84"/>
        <v>ETC_XBY</v>
      </c>
      <c r="AB181" t="str">
        <f t="shared" si="85"/>
        <v>POSW_XBY</v>
      </c>
      <c r="AC181" t="str">
        <f t="shared" si="86"/>
        <v>USDT_XBY</v>
      </c>
      <c r="AD181" t="str">
        <f t="shared" si="87"/>
        <v>ZEC_XBY</v>
      </c>
      <c r="AE181" t="str">
        <f t="shared" si="88"/>
        <v>NXT_XBY</v>
      </c>
      <c r="AF181" t="str">
        <f t="shared" si="89"/>
        <v>REP_XBY</v>
      </c>
    </row>
    <row r="182" spans="1:32" x14ac:dyDescent="0.25">
      <c r="A182" t="s">
        <v>2484</v>
      </c>
      <c r="B182" t="str">
        <f t="shared" si="74"/>
        <v>XDN_BTC</v>
      </c>
      <c r="C182" t="str">
        <f t="shared" si="60"/>
        <v>XDN_USD</v>
      </c>
      <c r="D182" t="str">
        <f t="shared" si="61"/>
        <v>XDN_LTC</v>
      </c>
      <c r="E182" t="str">
        <f t="shared" si="62"/>
        <v>XDN_DOGE</v>
      </c>
      <c r="F182" t="str">
        <f t="shared" si="63"/>
        <v>XDN_ETH</v>
      </c>
      <c r="G182" t="str">
        <f t="shared" si="64"/>
        <v>XDN_EUR</v>
      </c>
      <c r="H182" t="str">
        <f t="shared" si="65"/>
        <v>XDN_RUR</v>
      </c>
      <c r="I182" t="str">
        <f t="shared" si="66"/>
        <v>XDN_DASH</v>
      </c>
      <c r="J182" t="str">
        <f t="shared" si="67"/>
        <v>XDN_XMR</v>
      </c>
      <c r="K182" t="str">
        <f t="shared" si="68"/>
        <v>XDN_ETC</v>
      </c>
      <c r="L182" t="str">
        <f t="shared" si="69"/>
        <v>XDN_POSW</v>
      </c>
      <c r="M182" t="str">
        <f t="shared" si="70"/>
        <v>XDN_USDT</v>
      </c>
      <c r="N182" t="str">
        <f t="shared" si="71"/>
        <v>XDN_ZEC</v>
      </c>
      <c r="O182" t="str">
        <f t="shared" si="72"/>
        <v>XDN_NXT</v>
      </c>
      <c r="P182" t="str">
        <f t="shared" si="73"/>
        <v>XDN_REP</v>
      </c>
      <c r="R182" t="str">
        <f t="shared" si="75"/>
        <v>BTC_XDN</v>
      </c>
      <c r="S182" t="str">
        <f t="shared" si="76"/>
        <v>USD_XDN</v>
      </c>
      <c r="T182" t="str">
        <f t="shared" si="77"/>
        <v>LTC_XDN</v>
      </c>
      <c r="U182" t="str">
        <f t="shared" si="78"/>
        <v>DOGE_XDN</v>
      </c>
      <c r="V182" t="str">
        <f t="shared" si="79"/>
        <v>ETH_XDN</v>
      </c>
      <c r="W182" t="str">
        <f t="shared" si="80"/>
        <v>EUR_XDN</v>
      </c>
      <c r="X182" t="str">
        <f t="shared" si="81"/>
        <v>RUR_XDN</v>
      </c>
      <c r="Y182" t="str">
        <f t="shared" si="82"/>
        <v>DASH_XDN</v>
      </c>
      <c r="Z182" t="str">
        <f t="shared" si="83"/>
        <v>XMR_XDN</v>
      </c>
      <c r="AA182" t="str">
        <f t="shared" si="84"/>
        <v>ETC_XDN</v>
      </c>
      <c r="AB182" t="str">
        <f t="shared" si="85"/>
        <v>POSW_XDN</v>
      </c>
      <c r="AC182" t="str">
        <f t="shared" si="86"/>
        <v>USDT_XDN</v>
      </c>
      <c r="AD182" t="str">
        <f t="shared" si="87"/>
        <v>ZEC_XDN</v>
      </c>
      <c r="AE182" t="str">
        <f t="shared" si="88"/>
        <v>NXT_XDN</v>
      </c>
      <c r="AF182" t="str">
        <f t="shared" si="89"/>
        <v>REP_XDN</v>
      </c>
    </row>
    <row r="183" spans="1:32" x14ac:dyDescent="0.25">
      <c r="A183" t="s">
        <v>2485</v>
      </c>
      <c r="B183" t="str">
        <f t="shared" si="74"/>
        <v>XEM_BTC</v>
      </c>
      <c r="C183" t="str">
        <f t="shared" si="60"/>
        <v>XEM_USD</v>
      </c>
      <c r="D183" t="str">
        <f t="shared" si="61"/>
        <v>XEM_LTC</v>
      </c>
      <c r="E183" t="str">
        <f t="shared" si="62"/>
        <v>XEM_DOGE</v>
      </c>
      <c r="F183" t="str">
        <f t="shared" si="63"/>
        <v>XEM_ETH</v>
      </c>
      <c r="G183" t="str">
        <f t="shared" si="64"/>
        <v>XEM_EUR</v>
      </c>
      <c r="H183" t="str">
        <f t="shared" si="65"/>
        <v>XEM_RUR</v>
      </c>
      <c r="I183" t="str">
        <f t="shared" si="66"/>
        <v>XEM_DASH</v>
      </c>
      <c r="J183" t="str">
        <f t="shared" si="67"/>
        <v>XEM_XMR</v>
      </c>
      <c r="K183" t="str">
        <f t="shared" si="68"/>
        <v>XEM_ETC</v>
      </c>
      <c r="L183" t="str">
        <f t="shared" si="69"/>
        <v>XEM_POSW</v>
      </c>
      <c r="M183" t="str">
        <f t="shared" si="70"/>
        <v>XEM_USDT</v>
      </c>
      <c r="N183" t="str">
        <f t="shared" si="71"/>
        <v>XEM_ZEC</v>
      </c>
      <c r="O183" t="str">
        <f t="shared" si="72"/>
        <v>XEM_NXT</v>
      </c>
      <c r="P183" t="str">
        <f t="shared" si="73"/>
        <v>XEM_REP</v>
      </c>
      <c r="R183" t="str">
        <f t="shared" si="75"/>
        <v>BTC_XEM</v>
      </c>
      <c r="S183" t="str">
        <f t="shared" si="76"/>
        <v>USD_XEM</v>
      </c>
      <c r="T183" t="str">
        <f t="shared" si="77"/>
        <v>LTC_XEM</v>
      </c>
      <c r="U183" t="str">
        <f t="shared" si="78"/>
        <v>DOGE_XEM</v>
      </c>
      <c r="V183" t="str">
        <f t="shared" si="79"/>
        <v>ETH_XEM</v>
      </c>
      <c r="W183" t="str">
        <f t="shared" si="80"/>
        <v>EUR_XEM</v>
      </c>
      <c r="X183" t="str">
        <f t="shared" si="81"/>
        <v>RUR_XEM</v>
      </c>
      <c r="Y183" t="str">
        <f t="shared" si="82"/>
        <v>DASH_XEM</v>
      </c>
      <c r="Z183" t="str">
        <f t="shared" si="83"/>
        <v>XMR_XEM</v>
      </c>
      <c r="AA183" t="str">
        <f t="shared" si="84"/>
        <v>ETC_XEM</v>
      </c>
      <c r="AB183" t="str">
        <f t="shared" si="85"/>
        <v>POSW_XEM</v>
      </c>
      <c r="AC183" t="str">
        <f t="shared" si="86"/>
        <v>USDT_XEM</v>
      </c>
      <c r="AD183" t="str">
        <f t="shared" si="87"/>
        <v>ZEC_XEM</v>
      </c>
      <c r="AE183" t="str">
        <f t="shared" si="88"/>
        <v>NXT_XEM</v>
      </c>
      <c r="AF183" t="str">
        <f t="shared" si="89"/>
        <v>REP_XEM</v>
      </c>
    </row>
    <row r="184" spans="1:32" x14ac:dyDescent="0.25">
      <c r="A184" t="s">
        <v>2227</v>
      </c>
      <c r="B184" t="str">
        <f t="shared" si="74"/>
        <v>XHI_BTC</v>
      </c>
      <c r="C184" t="str">
        <f t="shared" si="60"/>
        <v>XHI_USD</v>
      </c>
      <c r="D184" t="str">
        <f t="shared" si="61"/>
        <v>XHI_LTC</v>
      </c>
      <c r="E184" t="str">
        <f t="shared" si="62"/>
        <v>XHI_DOGE</v>
      </c>
      <c r="F184" t="str">
        <f t="shared" si="63"/>
        <v>XHI_ETH</v>
      </c>
      <c r="G184" t="str">
        <f t="shared" si="64"/>
        <v>XHI_EUR</v>
      </c>
      <c r="H184" t="str">
        <f t="shared" si="65"/>
        <v>XHI_RUR</v>
      </c>
      <c r="I184" t="str">
        <f t="shared" si="66"/>
        <v>XHI_DASH</v>
      </c>
      <c r="J184" t="str">
        <f t="shared" si="67"/>
        <v>XHI_XMR</v>
      </c>
      <c r="K184" t="str">
        <f t="shared" si="68"/>
        <v>XHI_ETC</v>
      </c>
      <c r="L184" t="str">
        <f t="shared" si="69"/>
        <v>XHI_POSW</v>
      </c>
      <c r="M184" t="str">
        <f t="shared" si="70"/>
        <v>XHI_USDT</v>
      </c>
      <c r="N184" t="str">
        <f t="shared" si="71"/>
        <v>XHI_ZEC</v>
      </c>
      <c r="O184" t="str">
        <f t="shared" si="72"/>
        <v>XHI_NXT</v>
      </c>
      <c r="P184" t="str">
        <f t="shared" si="73"/>
        <v>XHI_REP</v>
      </c>
      <c r="R184" t="str">
        <f t="shared" si="75"/>
        <v>BTC_XHI</v>
      </c>
      <c r="S184" t="str">
        <f t="shared" si="76"/>
        <v>USD_XHI</v>
      </c>
      <c r="T184" t="str">
        <f t="shared" si="77"/>
        <v>LTC_XHI</v>
      </c>
      <c r="U184" t="str">
        <f t="shared" si="78"/>
        <v>DOGE_XHI</v>
      </c>
      <c r="V184" t="str">
        <f t="shared" si="79"/>
        <v>ETH_XHI</v>
      </c>
      <c r="W184" t="str">
        <f t="shared" si="80"/>
        <v>EUR_XHI</v>
      </c>
      <c r="X184" t="str">
        <f t="shared" si="81"/>
        <v>RUR_XHI</v>
      </c>
      <c r="Y184" t="str">
        <f t="shared" si="82"/>
        <v>DASH_XHI</v>
      </c>
      <c r="Z184" t="str">
        <f t="shared" si="83"/>
        <v>XMR_XHI</v>
      </c>
      <c r="AA184" t="str">
        <f t="shared" si="84"/>
        <v>ETC_XHI</v>
      </c>
      <c r="AB184" t="str">
        <f t="shared" si="85"/>
        <v>POSW_XHI</v>
      </c>
      <c r="AC184" t="str">
        <f t="shared" si="86"/>
        <v>USDT_XHI</v>
      </c>
      <c r="AD184" t="str">
        <f t="shared" si="87"/>
        <v>ZEC_XHI</v>
      </c>
      <c r="AE184" t="str">
        <f t="shared" si="88"/>
        <v>NXT_XHI</v>
      </c>
      <c r="AF184" t="str">
        <f t="shared" si="89"/>
        <v>REP_XHI</v>
      </c>
    </row>
    <row r="185" spans="1:32" x14ac:dyDescent="0.25">
      <c r="A185" t="s">
        <v>2486</v>
      </c>
      <c r="B185" t="str">
        <f t="shared" si="74"/>
        <v>XLM_BTC</v>
      </c>
      <c r="C185" t="str">
        <f t="shared" si="60"/>
        <v>XLM_USD</v>
      </c>
      <c r="D185" t="str">
        <f t="shared" si="61"/>
        <v>XLM_LTC</v>
      </c>
      <c r="E185" t="str">
        <f t="shared" si="62"/>
        <v>XLM_DOGE</v>
      </c>
      <c r="F185" t="str">
        <f t="shared" si="63"/>
        <v>XLM_ETH</v>
      </c>
      <c r="G185" t="str">
        <f t="shared" si="64"/>
        <v>XLM_EUR</v>
      </c>
      <c r="H185" t="str">
        <f t="shared" si="65"/>
        <v>XLM_RUR</v>
      </c>
      <c r="I185" t="str">
        <f t="shared" si="66"/>
        <v>XLM_DASH</v>
      </c>
      <c r="J185" t="str">
        <f t="shared" si="67"/>
        <v>XLM_XMR</v>
      </c>
      <c r="K185" t="str">
        <f t="shared" si="68"/>
        <v>XLM_ETC</v>
      </c>
      <c r="L185" t="str">
        <f t="shared" si="69"/>
        <v>XLM_POSW</v>
      </c>
      <c r="M185" t="str">
        <f t="shared" si="70"/>
        <v>XLM_USDT</v>
      </c>
      <c r="N185" t="str">
        <f t="shared" si="71"/>
        <v>XLM_ZEC</v>
      </c>
      <c r="O185" t="str">
        <f t="shared" si="72"/>
        <v>XLM_NXT</v>
      </c>
      <c r="P185" t="str">
        <f t="shared" si="73"/>
        <v>XLM_REP</v>
      </c>
      <c r="R185" t="str">
        <f t="shared" si="75"/>
        <v>BTC_XLM</v>
      </c>
      <c r="S185" t="str">
        <f t="shared" si="76"/>
        <v>USD_XLM</v>
      </c>
      <c r="T185" t="str">
        <f t="shared" si="77"/>
        <v>LTC_XLM</v>
      </c>
      <c r="U185" t="str">
        <f t="shared" si="78"/>
        <v>DOGE_XLM</v>
      </c>
      <c r="V185" t="str">
        <f t="shared" si="79"/>
        <v>ETH_XLM</v>
      </c>
      <c r="W185" t="str">
        <f t="shared" si="80"/>
        <v>EUR_XLM</v>
      </c>
      <c r="X185" t="str">
        <f t="shared" si="81"/>
        <v>RUR_XLM</v>
      </c>
      <c r="Y185" t="str">
        <f t="shared" si="82"/>
        <v>DASH_XLM</v>
      </c>
      <c r="Z185" t="str">
        <f t="shared" si="83"/>
        <v>XMR_XLM</v>
      </c>
      <c r="AA185" t="str">
        <f t="shared" si="84"/>
        <v>ETC_XLM</v>
      </c>
      <c r="AB185" t="str">
        <f t="shared" si="85"/>
        <v>POSW_XLM</v>
      </c>
      <c r="AC185" t="str">
        <f t="shared" si="86"/>
        <v>USDT_XLM</v>
      </c>
      <c r="AD185" t="str">
        <f t="shared" si="87"/>
        <v>ZEC_XLM</v>
      </c>
      <c r="AE185" t="str">
        <f t="shared" si="88"/>
        <v>NXT_XLM</v>
      </c>
      <c r="AF185" t="str">
        <f t="shared" si="89"/>
        <v>REP_XLM</v>
      </c>
    </row>
    <row r="186" spans="1:32" x14ac:dyDescent="0.25">
      <c r="A186" t="s">
        <v>2108</v>
      </c>
      <c r="B186" t="str">
        <f t="shared" si="74"/>
        <v>XMR_BTC</v>
      </c>
      <c r="C186" t="str">
        <f t="shared" si="60"/>
        <v>XMR_USD</v>
      </c>
      <c r="D186" t="str">
        <f t="shared" si="61"/>
        <v>XMR_LTC</v>
      </c>
      <c r="E186" t="str">
        <f t="shared" si="62"/>
        <v>XMR_DOGE</v>
      </c>
      <c r="F186" t="str">
        <f t="shared" si="63"/>
        <v>XMR_ETH</v>
      </c>
      <c r="G186" t="str">
        <f t="shared" si="64"/>
        <v>XMR_EUR</v>
      </c>
      <c r="H186" t="str">
        <f t="shared" si="65"/>
        <v>XMR_RUR</v>
      </c>
      <c r="I186" t="str">
        <f t="shared" si="66"/>
        <v>XMR_DASH</v>
      </c>
      <c r="J186" t="str">
        <f t="shared" si="67"/>
        <v>XMR_XMR</v>
      </c>
      <c r="K186" t="str">
        <f t="shared" si="68"/>
        <v>XMR_ETC</v>
      </c>
      <c r="L186" t="str">
        <f t="shared" si="69"/>
        <v>XMR_POSW</v>
      </c>
      <c r="M186" t="str">
        <f t="shared" si="70"/>
        <v>XMR_USDT</v>
      </c>
      <c r="N186" t="str">
        <f t="shared" si="71"/>
        <v>XMR_ZEC</v>
      </c>
      <c r="O186" t="str">
        <f t="shared" si="72"/>
        <v>XMR_NXT</v>
      </c>
      <c r="P186" t="str">
        <f t="shared" si="73"/>
        <v>XMR_REP</v>
      </c>
      <c r="R186" t="str">
        <f t="shared" si="75"/>
        <v>BTC_XMR</v>
      </c>
      <c r="S186" t="str">
        <f t="shared" si="76"/>
        <v>USD_XMR</v>
      </c>
      <c r="T186" t="str">
        <f t="shared" si="77"/>
        <v>LTC_XMR</v>
      </c>
      <c r="U186" t="str">
        <f t="shared" si="78"/>
        <v>DOGE_XMR</v>
      </c>
      <c r="V186" t="str">
        <f t="shared" si="79"/>
        <v>ETH_XMR</v>
      </c>
      <c r="W186" t="str">
        <f t="shared" si="80"/>
        <v>EUR_XMR</v>
      </c>
      <c r="X186" t="str">
        <f t="shared" si="81"/>
        <v>RUR_XMR</v>
      </c>
      <c r="Y186" t="str">
        <f t="shared" si="82"/>
        <v>DASH_XMR</v>
      </c>
      <c r="Z186" t="str">
        <f t="shared" si="83"/>
        <v>XMR_XMR</v>
      </c>
      <c r="AA186" t="str">
        <f t="shared" si="84"/>
        <v>ETC_XMR</v>
      </c>
      <c r="AB186" t="str">
        <f t="shared" si="85"/>
        <v>POSW_XMR</v>
      </c>
      <c r="AC186" t="str">
        <f t="shared" si="86"/>
        <v>USDT_XMR</v>
      </c>
      <c r="AD186" t="str">
        <f t="shared" si="87"/>
        <v>ZEC_XMR</v>
      </c>
      <c r="AE186" t="str">
        <f t="shared" si="88"/>
        <v>NXT_XMR</v>
      </c>
      <c r="AF186" t="str">
        <f t="shared" si="89"/>
        <v>REP_XMR</v>
      </c>
    </row>
    <row r="187" spans="1:32" x14ac:dyDescent="0.25">
      <c r="A187" t="s">
        <v>2228</v>
      </c>
      <c r="B187" t="str">
        <f t="shared" si="74"/>
        <v>XMS_BTC</v>
      </c>
      <c r="C187" t="str">
        <f t="shared" si="60"/>
        <v>XMS_USD</v>
      </c>
      <c r="D187" t="str">
        <f t="shared" si="61"/>
        <v>XMS_LTC</v>
      </c>
      <c r="E187" t="str">
        <f t="shared" si="62"/>
        <v>XMS_DOGE</v>
      </c>
      <c r="F187" t="str">
        <f t="shared" si="63"/>
        <v>XMS_ETH</v>
      </c>
      <c r="G187" t="str">
        <f t="shared" si="64"/>
        <v>XMS_EUR</v>
      </c>
      <c r="H187" t="str">
        <f t="shared" si="65"/>
        <v>XMS_RUR</v>
      </c>
      <c r="I187" t="str">
        <f t="shared" si="66"/>
        <v>XMS_DASH</v>
      </c>
      <c r="J187" t="str">
        <f t="shared" si="67"/>
        <v>XMS_XMR</v>
      </c>
      <c r="K187" t="str">
        <f t="shared" si="68"/>
        <v>XMS_ETC</v>
      </c>
      <c r="L187" t="str">
        <f t="shared" si="69"/>
        <v>XMS_POSW</v>
      </c>
      <c r="M187" t="str">
        <f t="shared" si="70"/>
        <v>XMS_USDT</v>
      </c>
      <c r="N187" t="str">
        <f t="shared" si="71"/>
        <v>XMS_ZEC</v>
      </c>
      <c r="O187" t="str">
        <f t="shared" si="72"/>
        <v>XMS_NXT</v>
      </c>
      <c r="P187" t="str">
        <f t="shared" si="73"/>
        <v>XMS_REP</v>
      </c>
      <c r="R187" t="str">
        <f t="shared" si="75"/>
        <v>BTC_XMS</v>
      </c>
      <c r="S187" t="str">
        <f t="shared" si="76"/>
        <v>USD_XMS</v>
      </c>
      <c r="T187" t="str">
        <f t="shared" si="77"/>
        <v>LTC_XMS</v>
      </c>
      <c r="U187" t="str">
        <f t="shared" si="78"/>
        <v>DOGE_XMS</v>
      </c>
      <c r="V187" t="str">
        <f t="shared" si="79"/>
        <v>ETH_XMS</v>
      </c>
      <c r="W187" t="str">
        <f t="shared" si="80"/>
        <v>EUR_XMS</v>
      </c>
      <c r="X187" t="str">
        <f t="shared" si="81"/>
        <v>RUR_XMS</v>
      </c>
      <c r="Y187" t="str">
        <f t="shared" si="82"/>
        <v>DASH_XMS</v>
      </c>
      <c r="Z187" t="str">
        <f t="shared" si="83"/>
        <v>XMR_XMS</v>
      </c>
      <c r="AA187" t="str">
        <f t="shared" si="84"/>
        <v>ETC_XMS</v>
      </c>
      <c r="AB187" t="str">
        <f t="shared" si="85"/>
        <v>POSW_XMS</v>
      </c>
      <c r="AC187" t="str">
        <f t="shared" si="86"/>
        <v>USDT_XMS</v>
      </c>
      <c r="AD187" t="str">
        <f t="shared" si="87"/>
        <v>ZEC_XMS</v>
      </c>
      <c r="AE187" t="str">
        <f t="shared" si="88"/>
        <v>NXT_XMS</v>
      </c>
      <c r="AF187" t="str">
        <f t="shared" si="89"/>
        <v>REP_XMS</v>
      </c>
    </row>
    <row r="188" spans="1:32" x14ac:dyDescent="0.25">
      <c r="A188" t="s">
        <v>2229</v>
      </c>
      <c r="B188" t="str">
        <f t="shared" si="74"/>
        <v>XRP_BTC</v>
      </c>
      <c r="C188" t="str">
        <f t="shared" si="60"/>
        <v>XRP_USD</v>
      </c>
      <c r="D188" t="str">
        <f t="shared" si="61"/>
        <v>XRP_LTC</v>
      </c>
      <c r="E188" t="str">
        <f t="shared" si="62"/>
        <v>XRP_DOGE</v>
      </c>
      <c r="F188" t="str">
        <f t="shared" si="63"/>
        <v>XRP_ETH</v>
      </c>
      <c r="G188" t="str">
        <f t="shared" si="64"/>
        <v>XRP_EUR</v>
      </c>
      <c r="H188" t="str">
        <f t="shared" si="65"/>
        <v>XRP_RUR</v>
      </c>
      <c r="I188" t="str">
        <f t="shared" si="66"/>
        <v>XRP_DASH</v>
      </c>
      <c r="J188" t="str">
        <f t="shared" si="67"/>
        <v>XRP_XMR</v>
      </c>
      <c r="K188" t="str">
        <f t="shared" si="68"/>
        <v>XRP_ETC</v>
      </c>
      <c r="L188" t="str">
        <f t="shared" si="69"/>
        <v>XRP_POSW</v>
      </c>
      <c r="M188" t="str">
        <f t="shared" si="70"/>
        <v>XRP_USDT</v>
      </c>
      <c r="N188" t="str">
        <f t="shared" si="71"/>
        <v>XRP_ZEC</v>
      </c>
      <c r="O188" t="str">
        <f t="shared" si="72"/>
        <v>XRP_NXT</v>
      </c>
      <c r="P188" t="str">
        <f t="shared" si="73"/>
        <v>XRP_REP</v>
      </c>
      <c r="R188" t="str">
        <f t="shared" si="75"/>
        <v>BTC_XRP</v>
      </c>
      <c r="S188" t="str">
        <f t="shared" si="76"/>
        <v>USD_XRP</v>
      </c>
      <c r="T188" t="str">
        <f t="shared" si="77"/>
        <v>LTC_XRP</v>
      </c>
      <c r="U188" t="str">
        <f t="shared" si="78"/>
        <v>DOGE_XRP</v>
      </c>
      <c r="V188" t="str">
        <f t="shared" si="79"/>
        <v>ETH_XRP</v>
      </c>
      <c r="W188" t="str">
        <f t="shared" si="80"/>
        <v>EUR_XRP</v>
      </c>
      <c r="X188" t="str">
        <f t="shared" si="81"/>
        <v>RUR_XRP</v>
      </c>
      <c r="Y188" t="str">
        <f t="shared" si="82"/>
        <v>DASH_XRP</v>
      </c>
      <c r="Z188" t="str">
        <f t="shared" si="83"/>
        <v>XMR_XRP</v>
      </c>
      <c r="AA188" t="str">
        <f t="shared" si="84"/>
        <v>ETC_XRP</v>
      </c>
      <c r="AB188" t="str">
        <f t="shared" si="85"/>
        <v>POSW_XRP</v>
      </c>
      <c r="AC188" t="str">
        <f t="shared" si="86"/>
        <v>USDT_XRP</v>
      </c>
      <c r="AD188" t="str">
        <f t="shared" si="87"/>
        <v>ZEC_XRP</v>
      </c>
      <c r="AE188" t="str">
        <f t="shared" si="88"/>
        <v>NXT_XRP</v>
      </c>
      <c r="AF188" t="str">
        <f t="shared" si="89"/>
        <v>REP_XRP</v>
      </c>
    </row>
    <row r="189" spans="1:32" x14ac:dyDescent="0.25">
      <c r="A189" t="s">
        <v>2230</v>
      </c>
      <c r="B189" t="str">
        <f t="shared" si="74"/>
        <v>XSPEC_BTC</v>
      </c>
      <c r="C189" t="str">
        <f t="shared" si="60"/>
        <v>XSPEC_USD</v>
      </c>
      <c r="D189" t="str">
        <f t="shared" si="61"/>
        <v>XSPEC_LTC</v>
      </c>
      <c r="E189" t="str">
        <f t="shared" si="62"/>
        <v>XSPEC_DOGE</v>
      </c>
      <c r="F189" t="str">
        <f t="shared" si="63"/>
        <v>XSPEC_ETH</v>
      </c>
      <c r="G189" t="str">
        <f t="shared" si="64"/>
        <v>XSPEC_EUR</v>
      </c>
      <c r="H189" t="str">
        <f t="shared" si="65"/>
        <v>XSPEC_RUR</v>
      </c>
      <c r="I189" t="str">
        <f t="shared" si="66"/>
        <v>XSPEC_DASH</v>
      </c>
      <c r="J189" t="str">
        <f t="shared" si="67"/>
        <v>XSPEC_XMR</v>
      </c>
      <c r="K189" t="str">
        <f t="shared" si="68"/>
        <v>XSPEC_ETC</v>
      </c>
      <c r="L189" t="str">
        <f t="shared" si="69"/>
        <v>XSPEC_POSW</v>
      </c>
      <c r="M189" t="str">
        <f t="shared" si="70"/>
        <v>XSPEC_USDT</v>
      </c>
      <c r="N189" t="str">
        <f t="shared" si="71"/>
        <v>XSPEC_ZEC</v>
      </c>
      <c r="O189" t="str">
        <f t="shared" si="72"/>
        <v>XSPEC_NXT</v>
      </c>
      <c r="P189" t="str">
        <f t="shared" si="73"/>
        <v>XSPEC_REP</v>
      </c>
      <c r="R189" t="str">
        <f t="shared" si="75"/>
        <v>BTC_XSPEC</v>
      </c>
      <c r="S189" t="str">
        <f t="shared" si="76"/>
        <v>USD_XSPEC</v>
      </c>
      <c r="T189" t="str">
        <f t="shared" si="77"/>
        <v>LTC_XSPEC</v>
      </c>
      <c r="U189" t="str">
        <f t="shared" si="78"/>
        <v>DOGE_XSPEC</v>
      </c>
      <c r="V189" t="str">
        <f t="shared" si="79"/>
        <v>ETH_XSPEC</v>
      </c>
      <c r="W189" t="str">
        <f t="shared" si="80"/>
        <v>EUR_XSPEC</v>
      </c>
      <c r="X189" t="str">
        <f t="shared" si="81"/>
        <v>RUR_XSPEC</v>
      </c>
      <c r="Y189" t="str">
        <f t="shared" si="82"/>
        <v>DASH_XSPEC</v>
      </c>
      <c r="Z189" t="str">
        <f t="shared" si="83"/>
        <v>XMR_XSPEC</v>
      </c>
      <c r="AA189" t="str">
        <f t="shared" si="84"/>
        <v>ETC_XSPEC</v>
      </c>
      <c r="AB189" t="str">
        <f t="shared" si="85"/>
        <v>POSW_XSPEC</v>
      </c>
      <c r="AC189" t="str">
        <f t="shared" si="86"/>
        <v>USDT_XSPEC</v>
      </c>
      <c r="AD189" t="str">
        <f t="shared" si="87"/>
        <v>ZEC_XSPEC</v>
      </c>
      <c r="AE189" t="str">
        <f t="shared" si="88"/>
        <v>NXT_XSPEC</v>
      </c>
      <c r="AF189" t="str">
        <f t="shared" si="89"/>
        <v>REP_XSPEC</v>
      </c>
    </row>
    <row r="190" spans="1:32" x14ac:dyDescent="0.25">
      <c r="A190" t="s">
        <v>2231</v>
      </c>
      <c r="B190" t="str">
        <f t="shared" si="74"/>
        <v>XTO_BTC</v>
      </c>
      <c r="C190" t="str">
        <f t="shared" si="60"/>
        <v>XTO_USD</v>
      </c>
      <c r="D190" t="str">
        <f t="shared" si="61"/>
        <v>XTO_LTC</v>
      </c>
      <c r="E190" t="str">
        <f t="shared" si="62"/>
        <v>XTO_DOGE</v>
      </c>
      <c r="F190" t="str">
        <f t="shared" si="63"/>
        <v>XTO_ETH</v>
      </c>
      <c r="G190" t="str">
        <f t="shared" si="64"/>
        <v>XTO_EUR</v>
      </c>
      <c r="H190" t="str">
        <f t="shared" si="65"/>
        <v>XTO_RUR</v>
      </c>
      <c r="I190" t="str">
        <f t="shared" si="66"/>
        <v>XTO_DASH</v>
      </c>
      <c r="J190" t="str">
        <f t="shared" si="67"/>
        <v>XTO_XMR</v>
      </c>
      <c r="K190" t="str">
        <f t="shared" si="68"/>
        <v>XTO_ETC</v>
      </c>
      <c r="L190" t="str">
        <f t="shared" si="69"/>
        <v>XTO_POSW</v>
      </c>
      <c r="M190" t="str">
        <f t="shared" si="70"/>
        <v>XTO_USDT</v>
      </c>
      <c r="N190" t="str">
        <f t="shared" si="71"/>
        <v>XTO_ZEC</v>
      </c>
      <c r="O190" t="str">
        <f t="shared" si="72"/>
        <v>XTO_NXT</v>
      </c>
      <c r="P190" t="str">
        <f t="shared" si="73"/>
        <v>XTO_REP</v>
      </c>
      <c r="R190" t="str">
        <f t="shared" si="75"/>
        <v>BTC_XTO</v>
      </c>
      <c r="S190" t="str">
        <f t="shared" si="76"/>
        <v>USD_XTO</v>
      </c>
      <c r="T190" t="str">
        <f t="shared" si="77"/>
        <v>LTC_XTO</v>
      </c>
      <c r="U190" t="str">
        <f t="shared" si="78"/>
        <v>DOGE_XTO</v>
      </c>
      <c r="V190" t="str">
        <f t="shared" si="79"/>
        <v>ETH_XTO</v>
      </c>
      <c r="W190" t="str">
        <f t="shared" si="80"/>
        <v>EUR_XTO</v>
      </c>
      <c r="X190" t="str">
        <f t="shared" si="81"/>
        <v>RUR_XTO</v>
      </c>
      <c r="Y190" t="str">
        <f t="shared" si="82"/>
        <v>DASH_XTO</v>
      </c>
      <c r="Z190" t="str">
        <f t="shared" si="83"/>
        <v>XMR_XTO</v>
      </c>
      <c r="AA190" t="str">
        <f t="shared" si="84"/>
        <v>ETC_XTO</v>
      </c>
      <c r="AB190" t="str">
        <f t="shared" si="85"/>
        <v>POSW_XTO</v>
      </c>
      <c r="AC190" t="str">
        <f t="shared" si="86"/>
        <v>USDT_XTO</v>
      </c>
      <c r="AD190" t="str">
        <f t="shared" si="87"/>
        <v>ZEC_XTO</v>
      </c>
      <c r="AE190" t="str">
        <f t="shared" si="88"/>
        <v>NXT_XTO</v>
      </c>
      <c r="AF190" t="str">
        <f t="shared" si="89"/>
        <v>REP_XTO</v>
      </c>
    </row>
    <row r="191" spans="1:32" x14ac:dyDescent="0.25">
      <c r="A191" t="s">
        <v>2161</v>
      </c>
      <c r="B191" t="str">
        <f t="shared" si="74"/>
        <v>XVC_BTC</v>
      </c>
      <c r="C191" t="str">
        <f t="shared" si="60"/>
        <v>XVC_USD</v>
      </c>
      <c r="D191" t="str">
        <f t="shared" si="61"/>
        <v>XVC_LTC</v>
      </c>
      <c r="E191" t="str">
        <f t="shared" si="62"/>
        <v>XVC_DOGE</v>
      </c>
      <c r="F191" t="str">
        <f t="shared" si="63"/>
        <v>XVC_ETH</v>
      </c>
      <c r="G191" t="str">
        <f t="shared" si="64"/>
        <v>XVC_EUR</v>
      </c>
      <c r="H191" t="str">
        <f t="shared" si="65"/>
        <v>XVC_RUR</v>
      </c>
      <c r="I191" t="str">
        <f t="shared" si="66"/>
        <v>XVC_DASH</v>
      </c>
      <c r="J191" t="str">
        <f t="shared" si="67"/>
        <v>XVC_XMR</v>
      </c>
      <c r="K191" t="str">
        <f t="shared" si="68"/>
        <v>XVC_ETC</v>
      </c>
      <c r="L191" t="str">
        <f t="shared" si="69"/>
        <v>XVC_POSW</v>
      </c>
      <c r="M191" t="str">
        <f t="shared" si="70"/>
        <v>XVC_USDT</v>
      </c>
      <c r="N191" t="str">
        <f t="shared" si="71"/>
        <v>XVC_ZEC</v>
      </c>
      <c r="O191" t="str">
        <f t="shared" si="72"/>
        <v>XVC_NXT</v>
      </c>
      <c r="P191" t="str">
        <f t="shared" si="73"/>
        <v>XVC_REP</v>
      </c>
      <c r="R191" t="str">
        <f t="shared" si="75"/>
        <v>BTC_XVC</v>
      </c>
      <c r="S191" t="str">
        <f t="shared" si="76"/>
        <v>USD_XVC</v>
      </c>
      <c r="T191" t="str">
        <f t="shared" si="77"/>
        <v>LTC_XVC</v>
      </c>
      <c r="U191" t="str">
        <f t="shared" si="78"/>
        <v>DOGE_XVC</v>
      </c>
      <c r="V191" t="str">
        <f t="shared" si="79"/>
        <v>ETH_XVC</v>
      </c>
      <c r="W191" t="str">
        <f t="shared" si="80"/>
        <v>EUR_XVC</v>
      </c>
      <c r="X191" t="str">
        <f t="shared" si="81"/>
        <v>RUR_XVC</v>
      </c>
      <c r="Y191" t="str">
        <f t="shared" si="82"/>
        <v>DASH_XVC</v>
      </c>
      <c r="Z191" t="str">
        <f t="shared" si="83"/>
        <v>XMR_XVC</v>
      </c>
      <c r="AA191" t="str">
        <f t="shared" si="84"/>
        <v>ETC_XVC</v>
      </c>
      <c r="AB191" t="str">
        <f t="shared" si="85"/>
        <v>POSW_XVC</v>
      </c>
      <c r="AC191" t="str">
        <f t="shared" si="86"/>
        <v>USDT_XVC</v>
      </c>
      <c r="AD191" t="str">
        <f t="shared" si="87"/>
        <v>ZEC_XVC</v>
      </c>
      <c r="AE191" t="str">
        <f t="shared" si="88"/>
        <v>NXT_XVC</v>
      </c>
      <c r="AF191" t="str">
        <f t="shared" si="89"/>
        <v>REP_XVC</v>
      </c>
    </row>
    <row r="192" spans="1:32" x14ac:dyDescent="0.25">
      <c r="A192" t="s">
        <v>2232</v>
      </c>
      <c r="B192" t="str">
        <f t="shared" si="74"/>
        <v>XVG_BTC</v>
      </c>
      <c r="C192" t="str">
        <f t="shared" si="60"/>
        <v>XVG_USD</v>
      </c>
      <c r="D192" t="str">
        <f t="shared" si="61"/>
        <v>XVG_LTC</v>
      </c>
      <c r="E192" t="str">
        <f t="shared" si="62"/>
        <v>XVG_DOGE</v>
      </c>
      <c r="F192" t="str">
        <f t="shared" si="63"/>
        <v>XVG_ETH</v>
      </c>
      <c r="G192" t="str">
        <f t="shared" si="64"/>
        <v>XVG_EUR</v>
      </c>
      <c r="H192" t="str">
        <f t="shared" si="65"/>
        <v>XVG_RUR</v>
      </c>
      <c r="I192" t="str">
        <f t="shared" si="66"/>
        <v>XVG_DASH</v>
      </c>
      <c r="J192" t="str">
        <f t="shared" si="67"/>
        <v>XVG_XMR</v>
      </c>
      <c r="K192" t="str">
        <f t="shared" si="68"/>
        <v>XVG_ETC</v>
      </c>
      <c r="L192" t="str">
        <f t="shared" si="69"/>
        <v>XVG_POSW</v>
      </c>
      <c r="M192" t="str">
        <f t="shared" si="70"/>
        <v>XVG_USDT</v>
      </c>
      <c r="N192" t="str">
        <f t="shared" si="71"/>
        <v>XVG_ZEC</v>
      </c>
      <c r="O192" t="str">
        <f t="shared" si="72"/>
        <v>XVG_NXT</v>
      </c>
      <c r="P192" t="str">
        <f t="shared" si="73"/>
        <v>XVG_REP</v>
      </c>
      <c r="R192" t="str">
        <f t="shared" si="75"/>
        <v>BTC_XVG</v>
      </c>
      <c r="S192" t="str">
        <f t="shared" si="76"/>
        <v>USD_XVG</v>
      </c>
      <c r="T192" t="str">
        <f t="shared" si="77"/>
        <v>LTC_XVG</v>
      </c>
      <c r="U192" t="str">
        <f t="shared" si="78"/>
        <v>DOGE_XVG</v>
      </c>
      <c r="V192" t="str">
        <f t="shared" si="79"/>
        <v>ETH_XVG</v>
      </c>
      <c r="W192" t="str">
        <f t="shared" si="80"/>
        <v>EUR_XVG</v>
      </c>
      <c r="X192" t="str">
        <f t="shared" si="81"/>
        <v>RUR_XVG</v>
      </c>
      <c r="Y192" t="str">
        <f t="shared" si="82"/>
        <v>DASH_XVG</v>
      </c>
      <c r="Z192" t="str">
        <f t="shared" si="83"/>
        <v>XMR_XVG</v>
      </c>
      <c r="AA192" t="str">
        <f t="shared" si="84"/>
        <v>ETC_XVG</v>
      </c>
      <c r="AB192" t="str">
        <f t="shared" si="85"/>
        <v>POSW_XVG</v>
      </c>
      <c r="AC192" t="str">
        <f t="shared" si="86"/>
        <v>USDT_XVG</v>
      </c>
      <c r="AD192" t="str">
        <f t="shared" si="87"/>
        <v>ZEC_XVG</v>
      </c>
      <c r="AE192" t="str">
        <f t="shared" si="88"/>
        <v>NXT_XVG</v>
      </c>
      <c r="AF192" t="str">
        <f t="shared" si="89"/>
        <v>REP_XVG</v>
      </c>
    </row>
    <row r="193" spans="1:32" x14ac:dyDescent="0.25">
      <c r="A193" t="s">
        <v>2233</v>
      </c>
      <c r="B193" t="str">
        <f t="shared" si="74"/>
        <v>YOC_BTC</v>
      </c>
      <c r="C193" t="str">
        <f t="shared" si="60"/>
        <v>YOC_USD</v>
      </c>
      <c r="D193" t="str">
        <f t="shared" si="61"/>
        <v>YOC_LTC</v>
      </c>
      <c r="E193" t="str">
        <f t="shared" si="62"/>
        <v>YOC_DOGE</v>
      </c>
      <c r="F193" t="str">
        <f t="shared" si="63"/>
        <v>YOC_ETH</v>
      </c>
      <c r="G193" t="str">
        <f t="shared" si="64"/>
        <v>YOC_EUR</v>
      </c>
      <c r="H193" t="str">
        <f t="shared" si="65"/>
        <v>YOC_RUR</v>
      </c>
      <c r="I193" t="str">
        <f t="shared" si="66"/>
        <v>YOC_DASH</v>
      </c>
      <c r="J193" t="str">
        <f t="shared" si="67"/>
        <v>YOC_XMR</v>
      </c>
      <c r="K193" t="str">
        <f t="shared" si="68"/>
        <v>YOC_ETC</v>
      </c>
      <c r="L193" t="str">
        <f t="shared" si="69"/>
        <v>YOC_POSW</v>
      </c>
      <c r="M193" t="str">
        <f t="shared" si="70"/>
        <v>YOC_USDT</v>
      </c>
      <c r="N193" t="str">
        <f t="shared" si="71"/>
        <v>YOC_ZEC</v>
      </c>
      <c r="O193" t="str">
        <f t="shared" si="72"/>
        <v>YOC_NXT</v>
      </c>
      <c r="P193" t="str">
        <f t="shared" si="73"/>
        <v>YOC_REP</v>
      </c>
      <c r="R193" t="str">
        <f t="shared" si="75"/>
        <v>BTC_YOC</v>
      </c>
      <c r="S193" t="str">
        <f t="shared" si="76"/>
        <v>USD_YOC</v>
      </c>
      <c r="T193" t="str">
        <f t="shared" si="77"/>
        <v>LTC_YOC</v>
      </c>
      <c r="U193" t="str">
        <f t="shared" si="78"/>
        <v>DOGE_YOC</v>
      </c>
      <c r="V193" t="str">
        <f t="shared" si="79"/>
        <v>ETH_YOC</v>
      </c>
      <c r="W193" t="str">
        <f t="shared" si="80"/>
        <v>EUR_YOC</v>
      </c>
      <c r="X193" t="str">
        <f t="shared" si="81"/>
        <v>RUR_YOC</v>
      </c>
      <c r="Y193" t="str">
        <f t="shared" si="82"/>
        <v>DASH_YOC</v>
      </c>
      <c r="Z193" t="str">
        <f t="shared" si="83"/>
        <v>XMR_YOC</v>
      </c>
      <c r="AA193" t="str">
        <f t="shared" si="84"/>
        <v>ETC_YOC</v>
      </c>
      <c r="AB193" t="str">
        <f t="shared" si="85"/>
        <v>POSW_YOC</v>
      </c>
      <c r="AC193" t="str">
        <f t="shared" si="86"/>
        <v>USDT_YOC</v>
      </c>
      <c r="AD193" t="str">
        <f t="shared" si="87"/>
        <v>ZEC_YOC</v>
      </c>
      <c r="AE193" t="str">
        <f t="shared" si="88"/>
        <v>NXT_YOC</v>
      </c>
      <c r="AF193" t="str">
        <f t="shared" si="89"/>
        <v>REP_YOC</v>
      </c>
    </row>
    <row r="194" spans="1:32" x14ac:dyDescent="0.25">
      <c r="A194" t="s">
        <v>2492</v>
      </c>
      <c r="B194" t="str">
        <f t="shared" si="74"/>
        <v>ZCL_BTC</v>
      </c>
      <c r="C194" t="str">
        <f t="shared" si="60"/>
        <v>ZCL_USD</v>
      </c>
      <c r="D194" t="str">
        <f t="shared" si="61"/>
        <v>ZCL_LTC</v>
      </c>
      <c r="E194" t="str">
        <f t="shared" si="62"/>
        <v>ZCL_DOGE</v>
      </c>
      <c r="F194" t="str">
        <f t="shared" si="63"/>
        <v>ZCL_ETH</v>
      </c>
      <c r="G194" t="str">
        <f t="shared" si="64"/>
        <v>ZCL_EUR</v>
      </c>
      <c r="H194" t="str">
        <f t="shared" si="65"/>
        <v>ZCL_RUR</v>
      </c>
      <c r="I194" t="str">
        <f t="shared" si="66"/>
        <v>ZCL_DASH</v>
      </c>
      <c r="J194" t="str">
        <f t="shared" si="67"/>
        <v>ZCL_XMR</v>
      </c>
      <c r="K194" t="str">
        <f t="shared" si="68"/>
        <v>ZCL_ETC</v>
      </c>
      <c r="L194" t="str">
        <f t="shared" si="69"/>
        <v>ZCL_POSW</v>
      </c>
      <c r="M194" t="str">
        <f t="shared" si="70"/>
        <v>ZCL_USDT</v>
      </c>
      <c r="N194" t="str">
        <f t="shared" si="71"/>
        <v>ZCL_ZEC</v>
      </c>
      <c r="O194" t="str">
        <f t="shared" si="72"/>
        <v>ZCL_NXT</v>
      </c>
      <c r="P194" t="str">
        <f t="shared" si="73"/>
        <v>ZCL_REP</v>
      </c>
      <c r="R194" t="str">
        <f t="shared" si="75"/>
        <v>BTC_ZCL</v>
      </c>
      <c r="S194" t="str">
        <f t="shared" si="76"/>
        <v>USD_ZCL</v>
      </c>
      <c r="T194" t="str">
        <f t="shared" si="77"/>
        <v>LTC_ZCL</v>
      </c>
      <c r="U194" t="str">
        <f t="shared" si="78"/>
        <v>DOGE_ZCL</v>
      </c>
      <c r="V194" t="str">
        <f t="shared" si="79"/>
        <v>ETH_ZCL</v>
      </c>
      <c r="W194" t="str">
        <f t="shared" si="80"/>
        <v>EUR_ZCL</v>
      </c>
      <c r="X194" t="str">
        <f t="shared" si="81"/>
        <v>RUR_ZCL</v>
      </c>
      <c r="Y194" t="str">
        <f t="shared" si="82"/>
        <v>DASH_ZCL</v>
      </c>
      <c r="Z194" t="str">
        <f t="shared" si="83"/>
        <v>XMR_ZCL</v>
      </c>
      <c r="AA194" t="str">
        <f t="shared" si="84"/>
        <v>ETC_ZCL</v>
      </c>
      <c r="AB194" t="str">
        <f t="shared" si="85"/>
        <v>POSW_ZCL</v>
      </c>
      <c r="AC194" t="str">
        <f t="shared" si="86"/>
        <v>USDT_ZCL</v>
      </c>
      <c r="AD194" t="str">
        <f t="shared" si="87"/>
        <v>ZEC_ZCL</v>
      </c>
      <c r="AE194" t="str">
        <f t="shared" si="88"/>
        <v>NXT_ZCL</v>
      </c>
      <c r="AF194" t="str">
        <f t="shared" si="89"/>
        <v>REP_ZCL</v>
      </c>
    </row>
    <row r="195" spans="1:32" x14ac:dyDescent="0.25">
      <c r="A195" t="s">
        <v>2109</v>
      </c>
      <c r="B195" t="str">
        <f t="shared" si="74"/>
        <v>ZEC_BTC</v>
      </c>
      <c r="C195" t="str">
        <f t="shared" ref="C195:C196" si="90">CONCATENATE(A195,"_",$C$1)</f>
        <v>ZEC_USD</v>
      </c>
      <c r="D195" t="str">
        <f t="shared" ref="D195:D196" si="91">CONCATENATE(A195,"_",$D$1)</f>
        <v>ZEC_LTC</v>
      </c>
      <c r="E195" t="str">
        <f t="shared" ref="E195:E196" si="92">CONCATENATE(A195,"_",$E$1)</f>
        <v>ZEC_DOGE</v>
      </c>
      <c r="F195" t="str">
        <f t="shared" ref="F195:F196" si="93">CONCATENATE(A195,"_",$F$1)</f>
        <v>ZEC_ETH</v>
      </c>
      <c r="G195" t="str">
        <f t="shared" ref="G195:G196" si="94">CONCATENATE(A195,"_",$G$1)</f>
        <v>ZEC_EUR</v>
      </c>
      <c r="H195" t="str">
        <f t="shared" ref="H195:H196" si="95">CONCATENATE(A195,"_",$H$1)</f>
        <v>ZEC_RUR</v>
      </c>
      <c r="I195" t="str">
        <f t="shared" ref="I195:I196" si="96">CONCATENATE(A195,"_",$I$1)</f>
        <v>ZEC_DASH</v>
      </c>
      <c r="J195" t="str">
        <f t="shared" ref="J195:J196" si="97">CONCATENATE(A195,"_",$J$1)</f>
        <v>ZEC_XMR</v>
      </c>
      <c r="K195" t="str">
        <f t="shared" ref="K195:K196" si="98">CONCATENATE(A195,"_",$K$1)</f>
        <v>ZEC_ETC</v>
      </c>
      <c r="L195" t="str">
        <f t="shared" ref="L195:L196" si="99">CONCATENATE(A195,"_",$L$1)</f>
        <v>ZEC_POSW</v>
      </c>
      <c r="M195" t="str">
        <f t="shared" ref="M195:M196" si="100">CONCATENATE(A195,"_",$M$1)</f>
        <v>ZEC_USDT</v>
      </c>
      <c r="N195" t="str">
        <f t="shared" ref="N195:N196" si="101">CONCATENATE(A195,"_",$N$1)</f>
        <v>ZEC_ZEC</v>
      </c>
      <c r="O195" t="str">
        <f t="shared" ref="O195:O196" si="102">CONCATENATE(A195,"_",$O$1)</f>
        <v>ZEC_NXT</v>
      </c>
      <c r="P195" t="str">
        <f t="shared" ref="P195:P196" si="103">CONCATENATE(A195,"_",$P$1)</f>
        <v>ZEC_REP</v>
      </c>
      <c r="R195" t="str">
        <f t="shared" si="75"/>
        <v>BTC_ZEC</v>
      </c>
      <c r="S195" t="str">
        <f t="shared" si="76"/>
        <v>USD_ZEC</v>
      </c>
      <c r="T195" t="str">
        <f t="shared" si="77"/>
        <v>LTC_ZEC</v>
      </c>
      <c r="U195" t="str">
        <f t="shared" si="78"/>
        <v>DOGE_ZEC</v>
      </c>
      <c r="V195" t="str">
        <f t="shared" si="79"/>
        <v>ETH_ZEC</v>
      </c>
      <c r="W195" t="str">
        <f t="shared" si="80"/>
        <v>EUR_ZEC</v>
      </c>
      <c r="X195" t="str">
        <f t="shared" si="81"/>
        <v>RUR_ZEC</v>
      </c>
      <c r="Y195" t="str">
        <f t="shared" si="82"/>
        <v>DASH_ZEC</v>
      </c>
      <c r="Z195" t="str">
        <f t="shared" si="83"/>
        <v>XMR_ZEC</v>
      </c>
      <c r="AA195" t="str">
        <f t="shared" si="84"/>
        <v>ETC_ZEC</v>
      </c>
      <c r="AB195" t="str">
        <f t="shared" si="85"/>
        <v>POSW_ZEC</v>
      </c>
      <c r="AC195" t="str">
        <f t="shared" si="86"/>
        <v>USDT_ZEC</v>
      </c>
      <c r="AD195" t="str">
        <f t="shared" si="87"/>
        <v>ZEC_ZEC</v>
      </c>
      <c r="AE195" t="str">
        <f t="shared" si="88"/>
        <v>NXT_ZEC</v>
      </c>
      <c r="AF195" t="str">
        <f t="shared" si="89"/>
        <v>REP_ZEC</v>
      </c>
    </row>
    <row r="196" spans="1:32" x14ac:dyDescent="0.25">
      <c r="A196" t="s">
        <v>2234</v>
      </c>
      <c r="B196" t="str">
        <f t="shared" ref="B196" si="104">CONCATENATE(A196,"_",$B$1)</f>
        <v>ZENI_BTC</v>
      </c>
      <c r="C196" t="str">
        <f t="shared" si="90"/>
        <v>ZENI_USD</v>
      </c>
      <c r="D196" t="str">
        <f t="shared" si="91"/>
        <v>ZENI_LTC</v>
      </c>
      <c r="E196" t="str">
        <f t="shared" si="92"/>
        <v>ZENI_DOGE</v>
      </c>
      <c r="F196" t="str">
        <f t="shared" si="93"/>
        <v>ZENI_ETH</v>
      </c>
      <c r="G196" t="str">
        <f t="shared" si="94"/>
        <v>ZENI_EUR</v>
      </c>
      <c r="H196" t="str">
        <f t="shared" si="95"/>
        <v>ZENI_RUR</v>
      </c>
      <c r="I196" t="str">
        <f t="shared" si="96"/>
        <v>ZENI_DASH</v>
      </c>
      <c r="J196" t="str">
        <f t="shared" si="97"/>
        <v>ZENI_XMR</v>
      </c>
      <c r="K196" t="str">
        <f t="shared" si="98"/>
        <v>ZENI_ETC</v>
      </c>
      <c r="L196" t="str">
        <f t="shared" si="99"/>
        <v>ZENI_POSW</v>
      </c>
      <c r="M196" t="str">
        <f t="shared" si="100"/>
        <v>ZENI_USDT</v>
      </c>
      <c r="N196" t="str">
        <f t="shared" si="101"/>
        <v>ZENI_ZEC</v>
      </c>
      <c r="O196" t="str">
        <f t="shared" si="102"/>
        <v>ZENI_NXT</v>
      </c>
      <c r="P196" t="str">
        <f t="shared" si="103"/>
        <v>ZENI_REP</v>
      </c>
      <c r="R196" t="str">
        <f t="shared" ref="R196" si="105">CONCATENATE($B$1,"_",A196)</f>
        <v>BTC_ZENI</v>
      </c>
      <c r="S196" t="str">
        <f t="shared" ref="S196" si="106">CONCATENATE($C$1,"_",A196)</f>
        <v>USD_ZENI</v>
      </c>
      <c r="T196" t="str">
        <f t="shared" ref="T196" si="107">CONCATENATE($D$1,"_",A196)</f>
        <v>LTC_ZENI</v>
      </c>
      <c r="U196" t="str">
        <f t="shared" ref="U196" si="108">CONCATENATE($E$1,"_",A196)</f>
        <v>DOGE_ZENI</v>
      </c>
      <c r="V196" t="str">
        <f t="shared" ref="V196" si="109">CONCATENATE($F$1,"_",A196)</f>
        <v>ETH_ZENI</v>
      </c>
      <c r="W196" t="str">
        <f t="shared" ref="W196" si="110">CONCATENATE($G$1,"_",A196)</f>
        <v>EUR_ZENI</v>
      </c>
      <c r="X196" t="str">
        <f t="shared" ref="X196" si="111">CONCATENATE($H$1,"_",A196)</f>
        <v>RUR_ZENI</v>
      </c>
      <c r="Y196" t="str">
        <f t="shared" ref="Y196" si="112">CONCATENATE($I$1,"_",A196)</f>
        <v>DASH_ZENI</v>
      </c>
      <c r="Z196" t="str">
        <f t="shared" ref="Z196" si="113">CONCATENATE($J$1,"_",A196)</f>
        <v>XMR_ZENI</v>
      </c>
      <c r="AA196" t="str">
        <f t="shared" ref="AA196" si="114">CONCATENATE($K$1,"_",A196)</f>
        <v>ETC_ZENI</v>
      </c>
      <c r="AB196" t="str">
        <f t="shared" ref="AB196" si="115">CONCATENATE($L$1,"_",A196)</f>
        <v>POSW_ZENI</v>
      </c>
      <c r="AC196" t="str">
        <f t="shared" ref="AC196" si="116">CONCATENATE($M$1,"_",A196)</f>
        <v>USDT_ZENI</v>
      </c>
      <c r="AD196" t="str">
        <f t="shared" ref="AD196" si="117">CONCATENATE($N$1,"_",A196)</f>
        <v>ZEC_ZENI</v>
      </c>
      <c r="AE196" t="str">
        <f t="shared" ref="AE196" si="118">CONCATENATE($O$1,"_",A196)</f>
        <v>NXT_ZENI</v>
      </c>
      <c r="AF196" t="str">
        <f t="shared" ref="AF196" si="119">CONCATENATE($P$1,"_",A196)</f>
        <v>REP_ZENI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850"/>
  <sheetViews>
    <sheetView topLeftCell="A5819" zoomScale="80" zoomScaleNormal="80" workbookViewId="0">
      <selection activeCell="A5836" sqref="A5836"/>
    </sheetView>
  </sheetViews>
  <sheetFormatPr defaultRowHeight="15" x14ac:dyDescent="0.25"/>
  <cols>
    <col min="1" max="1" width="14.5703125" bestFit="1" customWidth="1"/>
  </cols>
  <sheetData>
    <row r="1" spans="1:2" x14ac:dyDescent="0.25">
      <c r="A1" t="s">
        <v>3297</v>
      </c>
      <c r="B1">
        <v>1</v>
      </c>
    </row>
    <row r="2" spans="1:2" x14ac:dyDescent="0.25">
      <c r="A2" t="s">
        <v>3304</v>
      </c>
      <c r="B2">
        <v>2</v>
      </c>
    </row>
    <row r="3" spans="1:2" x14ac:dyDescent="0.25">
      <c r="A3" t="s">
        <v>3300</v>
      </c>
      <c r="B3">
        <v>3</v>
      </c>
    </row>
    <row r="4" spans="1:2" x14ac:dyDescent="0.25">
      <c r="A4" t="s">
        <v>3306</v>
      </c>
      <c r="B4">
        <v>4</v>
      </c>
    </row>
    <row r="5" spans="1:2" x14ac:dyDescent="0.25">
      <c r="A5" t="s">
        <v>3301</v>
      </c>
      <c r="B5">
        <v>5</v>
      </c>
    </row>
    <row r="6" spans="1:2" x14ac:dyDescent="0.25">
      <c r="A6" t="s">
        <v>3302</v>
      </c>
      <c r="B6">
        <v>6</v>
      </c>
    </row>
    <row r="7" spans="1:2" x14ac:dyDescent="0.25">
      <c r="A7" t="s">
        <v>3299</v>
      </c>
      <c r="B7">
        <v>7</v>
      </c>
    </row>
    <row r="8" spans="1:2" x14ac:dyDescent="0.25">
      <c r="A8" t="s">
        <v>3310</v>
      </c>
      <c r="B8">
        <v>8</v>
      </c>
    </row>
    <row r="9" spans="1:2" x14ac:dyDescent="0.25">
      <c r="A9" t="s">
        <v>3307</v>
      </c>
      <c r="B9">
        <v>9</v>
      </c>
    </row>
    <row r="10" spans="1:2" x14ac:dyDescent="0.25">
      <c r="A10" t="s">
        <v>3311</v>
      </c>
      <c r="B10">
        <v>10</v>
      </c>
    </row>
    <row r="11" spans="1:2" x14ac:dyDescent="0.25">
      <c r="A11" t="s">
        <v>3303</v>
      </c>
      <c r="B11">
        <v>11</v>
      </c>
    </row>
    <row r="12" spans="1:2" x14ac:dyDescent="0.25">
      <c r="A12" t="s">
        <v>3298</v>
      </c>
      <c r="B12">
        <v>12</v>
      </c>
    </row>
    <row r="13" spans="1:2" x14ac:dyDescent="0.25">
      <c r="A13" t="s">
        <v>3308</v>
      </c>
      <c r="B13">
        <v>13</v>
      </c>
    </row>
    <row r="14" spans="1:2" x14ac:dyDescent="0.25">
      <c r="A14" t="s">
        <v>3305</v>
      </c>
      <c r="B14">
        <v>14</v>
      </c>
    </row>
    <row r="15" spans="1:2" x14ac:dyDescent="0.25">
      <c r="A15" t="s">
        <v>3309</v>
      </c>
      <c r="B15">
        <v>15</v>
      </c>
    </row>
    <row r="16" spans="1:2" x14ac:dyDescent="0.25">
      <c r="A16" t="s">
        <v>3327</v>
      </c>
      <c r="B16">
        <v>16</v>
      </c>
    </row>
    <row r="17" spans="1:2" x14ac:dyDescent="0.25">
      <c r="A17" t="s">
        <v>3334</v>
      </c>
      <c r="B17">
        <v>17</v>
      </c>
    </row>
    <row r="18" spans="1:2" x14ac:dyDescent="0.25">
      <c r="A18" t="s">
        <v>3330</v>
      </c>
      <c r="B18">
        <v>18</v>
      </c>
    </row>
    <row r="19" spans="1:2" x14ac:dyDescent="0.25">
      <c r="A19" t="s">
        <v>3336</v>
      </c>
      <c r="B19">
        <v>19</v>
      </c>
    </row>
    <row r="20" spans="1:2" x14ac:dyDescent="0.25">
      <c r="A20" t="s">
        <v>3331</v>
      </c>
      <c r="B20">
        <v>20</v>
      </c>
    </row>
    <row r="21" spans="1:2" x14ac:dyDescent="0.25">
      <c r="A21" t="s">
        <v>3332</v>
      </c>
      <c r="B21">
        <v>21</v>
      </c>
    </row>
    <row r="22" spans="1:2" x14ac:dyDescent="0.25">
      <c r="A22" t="s">
        <v>3329</v>
      </c>
      <c r="B22">
        <v>22</v>
      </c>
    </row>
    <row r="23" spans="1:2" x14ac:dyDescent="0.25">
      <c r="A23" t="s">
        <v>3340</v>
      </c>
      <c r="B23">
        <v>23</v>
      </c>
    </row>
    <row r="24" spans="1:2" x14ac:dyDescent="0.25">
      <c r="A24" t="s">
        <v>3337</v>
      </c>
      <c r="B24">
        <v>24</v>
      </c>
    </row>
    <row r="25" spans="1:2" x14ac:dyDescent="0.25">
      <c r="A25" t="s">
        <v>3341</v>
      </c>
      <c r="B25">
        <v>25</v>
      </c>
    </row>
    <row r="26" spans="1:2" x14ac:dyDescent="0.25">
      <c r="A26" t="s">
        <v>3333</v>
      </c>
      <c r="B26">
        <v>26</v>
      </c>
    </row>
    <row r="27" spans="1:2" x14ac:dyDescent="0.25">
      <c r="A27" t="s">
        <v>3328</v>
      </c>
      <c r="B27">
        <v>27</v>
      </c>
    </row>
    <row r="28" spans="1:2" x14ac:dyDescent="0.25">
      <c r="A28" t="s">
        <v>3338</v>
      </c>
      <c r="B28">
        <v>28</v>
      </c>
    </row>
    <row r="29" spans="1:2" x14ac:dyDescent="0.25">
      <c r="A29" t="s">
        <v>3335</v>
      </c>
      <c r="B29">
        <v>29</v>
      </c>
    </row>
    <row r="30" spans="1:2" x14ac:dyDescent="0.25">
      <c r="A30" t="s">
        <v>3339</v>
      </c>
      <c r="B30">
        <v>30</v>
      </c>
    </row>
    <row r="31" spans="1:2" x14ac:dyDescent="0.25">
      <c r="A31" t="s">
        <v>3357</v>
      </c>
      <c r="B31">
        <v>31</v>
      </c>
    </row>
    <row r="32" spans="1:2" x14ac:dyDescent="0.25">
      <c r="A32" t="s">
        <v>3364</v>
      </c>
      <c r="B32">
        <v>32</v>
      </c>
    </row>
    <row r="33" spans="1:2" x14ac:dyDescent="0.25">
      <c r="A33" t="s">
        <v>3360</v>
      </c>
      <c r="B33">
        <v>33</v>
      </c>
    </row>
    <row r="34" spans="1:2" x14ac:dyDescent="0.25">
      <c r="A34" t="s">
        <v>3366</v>
      </c>
      <c r="B34">
        <v>34</v>
      </c>
    </row>
    <row r="35" spans="1:2" x14ac:dyDescent="0.25">
      <c r="A35" t="s">
        <v>3361</v>
      </c>
      <c r="B35">
        <v>35</v>
      </c>
    </row>
    <row r="36" spans="1:2" x14ac:dyDescent="0.25">
      <c r="A36" t="s">
        <v>3362</v>
      </c>
      <c r="B36">
        <v>36</v>
      </c>
    </row>
    <row r="37" spans="1:2" x14ac:dyDescent="0.25">
      <c r="A37" t="s">
        <v>3359</v>
      </c>
      <c r="B37">
        <v>37</v>
      </c>
    </row>
    <row r="38" spans="1:2" x14ac:dyDescent="0.25">
      <c r="A38" t="s">
        <v>3370</v>
      </c>
      <c r="B38">
        <v>38</v>
      </c>
    </row>
    <row r="39" spans="1:2" x14ac:dyDescent="0.25">
      <c r="A39" t="s">
        <v>3367</v>
      </c>
      <c r="B39">
        <v>39</v>
      </c>
    </row>
    <row r="40" spans="1:2" x14ac:dyDescent="0.25">
      <c r="A40" t="s">
        <v>3371</v>
      </c>
      <c r="B40">
        <v>40</v>
      </c>
    </row>
    <row r="41" spans="1:2" x14ac:dyDescent="0.25">
      <c r="A41" t="s">
        <v>3363</v>
      </c>
      <c r="B41">
        <v>41</v>
      </c>
    </row>
    <row r="42" spans="1:2" x14ac:dyDescent="0.25">
      <c r="A42" t="s">
        <v>3358</v>
      </c>
      <c r="B42">
        <v>42</v>
      </c>
    </row>
    <row r="43" spans="1:2" x14ac:dyDescent="0.25">
      <c r="A43" t="s">
        <v>3368</v>
      </c>
      <c r="B43">
        <v>43</v>
      </c>
    </row>
    <row r="44" spans="1:2" x14ac:dyDescent="0.25">
      <c r="A44" t="s">
        <v>3365</v>
      </c>
      <c r="B44">
        <v>44</v>
      </c>
    </row>
    <row r="45" spans="1:2" x14ac:dyDescent="0.25">
      <c r="A45" t="s">
        <v>3369</v>
      </c>
      <c r="B45">
        <v>45</v>
      </c>
    </row>
    <row r="46" spans="1:2" x14ac:dyDescent="0.25">
      <c r="A46" t="s">
        <v>3387</v>
      </c>
      <c r="B46">
        <v>46</v>
      </c>
    </row>
    <row r="47" spans="1:2" x14ac:dyDescent="0.25">
      <c r="A47" t="s">
        <v>3394</v>
      </c>
      <c r="B47">
        <v>47</v>
      </c>
    </row>
    <row r="48" spans="1:2" x14ac:dyDescent="0.25">
      <c r="A48" t="s">
        <v>3390</v>
      </c>
      <c r="B48">
        <v>48</v>
      </c>
    </row>
    <row r="49" spans="1:2" x14ac:dyDescent="0.25">
      <c r="A49" t="s">
        <v>3396</v>
      </c>
      <c r="B49">
        <v>49</v>
      </c>
    </row>
    <row r="50" spans="1:2" x14ac:dyDescent="0.25">
      <c r="A50" t="s">
        <v>3391</v>
      </c>
      <c r="B50">
        <v>50</v>
      </c>
    </row>
    <row r="51" spans="1:2" x14ac:dyDescent="0.25">
      <c r="A51" t="s">
        <v>3392</v>
      </c>
      <c r="B51">
        <v>51</v>
      </c>
    </row>
    <row r="52" spans="1:2" x14ac:dyDescent="0.25">
      <c r="A52" t="s">
        <v>3389</v>
      </c>
      <c r="B52">
        <v>52</v>
      </c>
    </row>
    <row r="53" spans="1:2" x14ac:dyDescent="0.25">
      <c r="A53" t="s">
        <v>3400</v>
      </c>
      <c r="B53">
        <v>53</v>
      </c>
    </row>
    <row r="54" spans="1:2" x14ac:dyDescent="0.25">
      <c r="A54" t="s">
        <v>3397</v>
      </c>
      <c r="B54">
        <v>54</v>
      </c>
    </row>
    <row r="55" spans="1:2" x14ac:dyDescent="0.25">
      <c r="A55" t="s">
        <v>3401</v>
      </c>
      <c r="B55">
        <v>55</v>
      </c>
    </row>
    <row r="56" spans="1:2" x14ac:dyDescent="0.25">
      <c r="A56" t="s">
        <v>3393</v>
      </c>
      <c r="B56">
        <v>56</v>
      </c>
    </row>
    <row r="57" spans="1:2" x14ac:dyDescent="0.25">
      <c r="A57" t="s">
        <v>3388</v>
      </c>
      <c r="B57">
        <v>57</v>
      </c>
    </row>
    <row r="58" spans="1:2" x14ac:dyDescent="0.25">
      <c r="A58" t="s">
        <v>3398</v>
      </c>
      <c r="B58">
        <v>58</v>
      </c>
    </row>
    <row r="59" spans="1:2" x14ac:dyDescent="0.25">
      <c r="A59" t="s">
        <v>3395</v>
      </c>
      <c r="B59">
        <v>59</v>
      </c>
    </row>
    <row r="60" spans="1:2" x14ac:dyDescent="0.25">
      <c r="A60" t="s">
        <v>3399</v>
      </c>
      <c r="B60">
        <v>60</v>
      </c>
    </row>
    <row r="61" spans="1:2" x14ac:dyDescent="0.25">
      <c r="A61" t="s">
        <v>3417</v>
      </c>
      <c r="B61">
        <v>61</v>
      </c>
    </row>
    <row r="62" spans="1:2" x14ac:dyDescent="0.25">
      <c r="A62" t="s">
        <v>3424</v>
      </c>
      <c r="B62">
        <v>62</v>
      </c>
    </row>
    <row r="63" spans="1:2" x14ac:dyDescent="0.25">
      <c r="A63" t="s">
        <v>3420</v>
      </c>
      <c r="B63">
        <v>63</v>
      </c>
    </row>
    <row r="64" spans="1:2" x14ac:dyDescent="0.25">
      <c r="A64" t="s">
        <v>3426</v>
      </c>
      <c r="B64">
        <v>64</v>
      </c>
    </row>
    <row r="65" spans="1:2" x14ac:dyDescent="0.25">
      <c r="A65" t="s">
        <v>3421</v>
      </c>
      <c r="B65">
        <v>65</v>
      </c>
    </row>
    <row r="66" spans="1:2" x14ac:dyDescent="0.25">
      <c r="A66" t="s">
        <v>3422</v>
      </c>
      <c r="B66">
        <v>66</v>
      </c>
    </row>
    <row r="67" spans="1:2" x14ac:dyDescent="0.25">
      <c r="A67" t="s">
        <v>3419</v>
      </c>
      <c r="B67">
        <v>67</v>
      </c>
    </row>
    <row r="68" spans="1:2" x14ac:dyDescent="0.25">
      <c r="A68" t="s">
        <v>3430</v>
      </c>
      <c r="B68">
        <v>68</v>
      </c>
    </row>
    <row r="69" spans="1:2" x14ac:dyDescent="0.25">
      <c r="A69" t="s">
        <v>3427</v>
      </c>
      <c r="B69">
        <v>69</v>
      </c>
    </row>
    <row r="70" spans="1:2" x14ac:dyDescent="0.25">
      <c r="A70" t="s">
        <v>3431</v>
      </c>
      <c r="B70">
        <v>70</v>
      </c>
    </row>
    <row r="71" spans="1:2" x14ac:dyDescent="0.25">
      <c r="A71" t="s">
        <v>3423</v>
      </c>
      <c r="B71">
        <v>71</v>
      </c>
    </row>
    <row r="72" spans="1:2" x14ac:dyDescent="0.25">
      <c r="A72" t="s">
        <v>3418</v>
      </c>
      <c r="B72">
        <v>72</v>
      </c>
    </row>
    <row r="73" spans="1:2" x14ac:dyDescent="0.25">
      <c r="A73" t="s">
        <v>3428</v>
      </c>
      <c r="B73">
        <v>73</v>
      </c>
    </row>
    <row r="74" spans="1:2" x14ac:dyDescent="0.25">
      <c r="A74" t="s">
        <v>3425</v>
      </c>
      <c r="B74">
        <v>74</v>
      </c>
    </row>
    <row r="75" spans="1:2" x14ac:dyDescent="0.25">
      <c r="A75" t="s">
        <v>3429</v>
      </c>
      <c r="B75">
        <v>75</v>
      </c>
    </row>
    <row r="76" spans="1:2" x14ac:dyDescent="0.25">
      <c r="A76" t="s">
        <v>3447</v>
      </c>
      <c r="B76">
        <v>76</v>
      </c>
    </row>
    <row r="77" spans="1:2" x14ac:dyDescent="0.25">
      <c r="A77" t="s">
        <v>3454</v>
      </c>
      <c r="B77">
        <v>77</v>
      </c>
    </row>
    <row r="78" spans="1:2" x14ac:dyDescent="0.25">
      <c r="A78" t="s">
        <v>3450</v>
      </c>
      <c r="B78">
        <v>78</v>
      </c>
    </row>
    <row r="79" spans="1:2" x14ac:dyDescent="0.25">
      <c r="A79" t="s">
        <v>3456</v>
      </c>
      <c r="B79">
        <v>79</v>
      </c>
    </row>
    <row r="80" spans="1:2" x14ac:dyDescent="0.25">
      <c r="A80" t="s">
        <v>3451</v>
      </c>
      <c r="B80">
        <v>80</v>
      </c>
    </row>
    <row r="81" spans="1:2" x14ac:dyDescent="0.25">
      <c r="A81" t="s">
        <v>3452</v>
      </c>
      <c r="B81">
        <v>81</v>
      </c>
    </row>
    <row r="82" spans="1:2" x14ac:dyDescent="0.25">
      <c r="A82" t="s">
        <v>3449</v>
      </c>
      <c r="B82">
        <v>82</v>
      </c>
    </row>
    <row r="83" spans="1:2" x14ac:dyDescent="0.25">
      <c r="A83" t="s">
        <v>3460</v>
      </c>
      <c r="B83">
        <v>83</v>
      </c>
    </row>
    <row r="84" spans="1:2" x14ac:dyDescent="0.25">
      <c r="A84" t="s">
        <v>3457</v>
      </c>
      <c r="B84">
        <v>84</v>
      </c>
    </row>
    <row r="85" spans="1:2" x14ac:dyDescent="0.25">
      <c r="A85" t="s">
        <v>3461</v>
      </c>
      <c r="B85">
        <v>85</v>
      </c>
    </row>
    <row r="86" spans="1:2" x14ac:dyDescent="0.25">
      <c r="A86" t="s">
        <v>3453</v>
      </c>
      <c r="B86">
        <v>86</v>
      </c>
    </row>
    <row r="87" spans="1:2" x14ac:dyDescent="0.25">
      <c r="A87" t="s">
        <v>3448</v>
      </c>
      <c r="B87">
        <v>87</v>
      </c>
    </row>
    <row r="88" spans="1:2" x14ac:dyDescent="0.25">
      <c r="A88" t="s">
        <v>3458</v>
      </c>
      <c r="B88">
        <v>88</v>
      </c>
    </row>
    <row r="89" spans="1:2" x14ac:dyDescent="0.25">
      <c r="A89" t="s">
        <v>3455</v>
      </c>
      <c r="B89">
        <v>89</v>
      </c>
    </row>
    <row r="90" spans="1:2" x14ac:dyDescent="0.25">
      <c r="A90" t="s">
        <v>3459</v>
      </c>
      <c r="B90">
        <v>90</v>
      </c>
    </row>
    <row r="91" spans="1:2" x14ac:dyDescent="0.25">
      <c r="A91" t="s">
        <v>3477</v>
      </c>
      <c r="B91">
        <v>91</v>
      </c>
    </row>
    <row r="92" spans="1:2" x14ac:dyDescent="0.25">
      <c r="A92" t="s">
        <v>3484</v>
      </c>
      <c r="B92">
        <v>92</v>
      </c>
    </row>
    <row r="93" spans="1:2" x14ac:dyDescent="0.25">
      <c r="A93" t="s">
        <v>3480</v>
      </c>
      <c r="B93">
        <v>93</v>
      </c>
    </row>
    <row r="94" spans="1:2" x14ac:dyDescent="0.25">
      <c r="A94" t="s">
        <v>3486</v>
      </c>
      <c r="B94">
        <v>94</v>
      </c>
    </row>
    <row r="95" spans="1:2" x14ac:dyDescent="0.25">
      <c r="A95" t="s">
        <v>3481</v>
      </c>
      <c r="B95">
        <v>95</v>
      </c>
    </row>
    <row r="96" spans="1:2" x14ac:dyDescent="0.25">
      <c r="A96" t="s">
        <v>3482</v>
      </c>
      <c r="B96">
        <v>96</v>
      </c>
    </row>
    <row r="97" spans="1:2" x14ac:dyDescent="0.25">
      <c r="A97" t="s">
        <v>3479</v>
      </c>
      <c r="B97">
        <v>97</v>
      </c>
    </row>
    <row r="98" spans="1:2" x14ac:dyDescent="0.25">
      <c r="A98" t="s">
        <v>3490</v>
      </c>
      <c r="B98">
        <v>98</v>
      </c>
    </row>
    <row r="99" spans="1:2" x14ac:dyDescent="0.25">
      <c r="A99" t="s">
        <v>3487</v>
      </c>
      <c r="B99">
        <v>99</v>
      </c>
    </row>
    <row r="100" spans="1:2" x14ac:dyDescent="0.25">
      <c r="A100" t="s">
        <v>3491</v>
      </c>
      <c r="B100">
        <v>100</v>
      </c>
    </row>
    <row r="101" spans="1:2" x14ac:dyDescent="0.25">
      <c r="A101" t="s">
        <v>3483</v>
      </c>
      <c r="B101">
        <v>101</v>
      </c>
    </row>
    <row r="102" spans="1:2" x14ac:dyDescent="0.25">
      <c r="A102" t="s">
        <v>3478</v>
      </c>
      <c r="B102">
        <v>102</v>
      </c>
    </row>
    <row r="103" spans="1:2" x14ac:dyDescent="0.25">
      <c r="A103" t="s">
        <v>3488</v>
      </c>
      <c r="B103">
        <v>103</v>
      </c>
    </row>
    <row r="104" spans="1:2" x14ac:dyDescent="0.25">
      <c r="A104" t="s">
        <v>3485</v>
      </c>
      <c r="B104">
        <v>104</v>
      </c>
    </row>
    <row r="105" spans="1:2" x14ac:dyDescent="0.25">
      <c r="A105" t="s">
        <v>3489</v>
      </c>
      <c r="B105">
        <v>105</v>
      </c>
    </row>
    <row r="106" spans="1:2" x14ac:dyDescent="0.25">
      <c r="A106" t="s">
        <v>3507</v>
      </c>
      <c r="B106">
        <v>106</v>
      </c>
    </row>
    <row r="107" spans="1:2" x14ac:dyDescent="0.25">
      <c r="A107" t="s">
        <v>3514</v>
      </c>
      <c r="B107">
        <v>107</v>
      </c>
    </row>
    <row r="108" spans="1:2" x14ac:dyDescent="0.25">
      <c r="A108" t="s">
        <v>3510</v>
      </c>
      <c r="B108">
        <v>108</v>
      </c>
    </row>
    <row r="109" spans="1:2" x14ac:dyDescent="0.25">
      <c r="A109" t="s">
        <v>3516</v>
      </c>
      <c r="B109">
        <v>109</v>
      </c>
    </row>
    <row r="110" spans="1:2" x14ac:dyDescent="0.25">
      <c r="A110" t="s">
        <v>3511</v>
      </c>
      <c r="B110">
        <v>110</v>
      </c>
    </row>
    <row r="111" spans="1:2" x14ac:dyDescent="0.25">
      <c r="A111" t="s">
        <v>3512</v>
      </c>
      <c r="B111">
        <v>111</v>
      </c>
    </row>
    <row r="112" spans="1:2" x14ac:dyDescent="0.25">
      <c r="A112" t="s">
        <v>3509</v>
      </c>
      <c r="B112">
        <v>112</v>
      </c>
    </row>
    <row r="113" spans="1:2" x14ac:dyDescent="0.25">
      <c r="A113" t="s">
        <v>3520</v>
      </c>
      <c r="B113">
        <v>113</v>
      </c>
    </row>
    <row r="114" spans="1:2" x14ac:dyDescent="0.25">
      <c r="A114" t="s">
        <v>3517</v>
      </c>
      <c r="B114">
        <v>114</v>
      </c>
    </row>
    <row r="115" spans="1:2" x14ac:dyDescent="0.25">
      <c r="A115" t="s">
        <v>3521</v>
      </c>
      <c r="B115">
        <v>115</v>
      </c>
    </row>
    <row r="116" spans="1:2" x14ac:dyDescent="0.25">
      <c r="A116" t="s">
        <v>3513</v>
      </c>
      <c r="B116">
        <v>116</v>
      </c>
    </row>
    <row r="117" spans="1:2" x14ac:dyDescent="0.25">
      <c r="A117" t="s">
        <v>3508</v>
      </c>
      <c r="B117">
        <v>117</v>
      </c>
    </row>
    <row r="118" spans="1:2" x14ac:dyDescent="0.25">
      <c r="A118" t="s">
        <v>3518</v>
      </c>
      <c r="B118">
        <v>118</v>
      </c>
    </row>
    <row r="119" spans="1:2" x14ac:dyDescent="0.25">
      <c r="A119" t="s">
        <v>3515</v>
      </c>
      <c r="B119">
        <v>119</v>
      </c>
    </row>
    <row r="120" spans="1:2" x14ac:dyDescent="0.25">
      <c r="A120" t="s">
        <v>3519</v>
      </c>
      <c r="B120">
        <v>120</v>
      </c>
    </row>
    <row r="121" spans="1:2" x14ac:dyDescent="0.25">
      <c r="A121" t="s">
        <v>3537</v>
      </c>
      <c r="B121">
        <v>121</v>
      </c>
    </row>
    <row r="122" spans="1:2" x14ac:dyDescent="0.25">
      <c r="A122" t="s">
        <v>3544</v>
      </c>
      <c r="B122">
        <v>122</v>
      </c>
    </row>
    <row r="123" spans="1:2" x14ac:dyDescent="0.25">
      <c r="A123" t="s">
        <v>3540</v>
      </c>
      <c r="B123">
        <v>123</v>
      </c>
    </row>
    <row r="124" spans="1:2" x14ac:dyDescent="0.25">
      <c r="A124" t="s">
        <v>3546</v>
      </c>
      <c r="B124">
        <v>124</v>
      </c>
    </row>
    <row r="125" spans="1:2" x14ac:dyDescent="0.25">
      <c r="A125" t="s">
        <v>3541</v>
      </c>
      <c r="B125">
        <v>125</v>
      </c>
    </row>
    <row r="126" spans="1:2" x14ac:dyDescent="0.25">
      <c r="A126" t="s">
        <v>3542</v>
      </c>
      <c r="B126">
        <v>126</v>
      </c>
    </row>
    <row r="127" spans="1:2" x14ac:dyDescent="0.25">
      <c r="A127" t="s">
        <v>3539</v>
      </c>
      <c r="B127">
        <v>127</v>
      </c>
    </row>
    <row r="128" spans="1:2" x14ac:dyDescent="0.25">
      <c r="A128" t="s">
        <v>3550</v>
      </c>
      <c r="B128">
        <v>128</v>
      </c>
    </row>
    <row r="129" spans="1:2" x14ac:dyDescent="0.25">
      <c r="A129" t="s">
        <v>3547</v>
      </c>
      <c r="B129">
        <v>129</v>
      </c>
    </row>
    <row r="130" spans="1:2" x14ac:dyDescent="0.25">
      <c r="A130" t="s">
        <v>3551</v>
      </c>
      <c r="B130">
        <v>130</v>
      </c>
    </row>
    <row r="131" spans="1:2" x14ac:dyDescent="0.25">
      <c r="A131" t="s">
        <v>3543</v>
      </c>
      <c r="B131">
        <v>131</v>
      </c>
    </row>
    <row r="132" spans="1:2" x14ac:dyDescent="0.25">
      <c r="A132" t="s">
        <v>3538</v>
      </c>
      <c r="B132">
        <v>132</v>
      </c>
    </row>
    <row r="133" spans="1:2" x14ac:dyDescent="0.25">
      <c r="A133" t="s">
        <v>3548</v>
      </c>
      <c r="B133">
        <v>133</v>
      </c>
    </row>
    <row r="134" spans="1:2" x14ac:dyDescent="0.25">
      <c r="A134" t="s">
        <v>3545</v>
      </c>
      <c r="B134">
        <v>134</v>
      </c>
    </row>
    <row r="135" spans="1:2" x14ac:dyDescent="0.25">
      <c r="A135" t="s">
        <v>3549</v>
      </c>
      <c r="B135">
        <v>135</v>
      </c>
    </row>
    <row r="136" spans="1:2" x14ac:dyDescent="0.25">
      <c r="A136" t="s">
        <v>3567</v>
      </c>
      <c r="B136">
        <v>136</v>
      </c>
    </row>
    <row r="137" spans="1:2" x14ac:dyDescent="0.25">
      <c r="A137" t="s">
        <v>3574</v>
      </c>
      <c r="B137">
        <v>137</v>
      </c>
    </row>
    <row r="138" spans="1:2" x14ac:dyDescent="0.25">
      <c r="A138" t="s">
        <v>3570</v>
      </c>
      <c r="B138">
        <v>138</v>
      </c>
    </row>
    <row r="139" spans="1:2" x14ac:dyDescent="0.25">
      <c r="A139" t="s">
        <v>3576</v>
      </c>
      <c r="B139">
        <v>139</v>
      </c>
    </row>
    <row r="140" spans="1:2" x14ac:dyDescent="0.25">
      <c r="A140" t="s">
        <v>3571</v>
      </c>
      <c r="B140">
        <v>140</v>
      </c>
    </row>
    <row r="141" spans="1:2" x14ac:dyDescent="0.25">
      <c r="A141" t="s">
        <v>3572</v>
      </c>
      <c r="B141">
        <v>141</v>
      </c>
    </row>
    <row r="142" spans="1:2" x14ac:dyDescent="0.25">
      <c r="A142" t="s">
        <v>3569</v>
      </c>
      <c r="B142">
        <v>142</v>
      </c>
    </row>
    <row r="143" spans="1:2" x14ac:dyDescent="0.25">
      <c r="A143" t="s">
        <v>3580</v>
      </c>
      <c r="B143">
        <v>143</v>
      </c>
    </row>
    <row r="144" spans="1:2" x14ac:dyDescent="0.25">
      <c r="A144" t="s">
        <v>3577</v>
      </c>
      <c r="B144">
        <v>144</v>
      </c>
    </row>
    <row r="145" spans="1:2" x14ac:dyDescent="0.25">
      <c r="A145" t="s">
        <v>3581</v>
      </c>
      <c r="B145">
        <v>145</v>
      </c>
    </row>
    <row r="146" spans="1:2" x14ac:dyDescent="0.25">
      <c r="A146" t="s">
        <v>3573</v>
      </c>
      <c r="B146">
        <v>146</v>
      </c>
    </row>
    <row r="147" spans="1:2" x14ac:dyDescent="0.25">
      <c r="A147" t="s">
        <v>3568</v>
      </c>
      <c r="B147">
        <v>147</v>
      </c>
    </row>
    <row r="148" spans="1:2" x14ac:dyDescent="0.25">
      <c r="A148" t="s">
        <v>3578</v>
      </c>
      <c r="B148">
        <v>148</v>
      </c>
    </row>
    <row r="149" spans="1:2" x14ac:dyDescent="0.25">
      <c r="A149" t="s">
        <v>3575</v>
      </c>
      <c r="B149">
        <v>149</v>
      </c>
    </row>
    <row r="150" spans="1:2" x14ac:dyDescent="0.25">
      <c r="A150" t="s">
        <v>3579</v>
      </c>
      <c r="B150">
        <v>150</v>
      </c>
    </row>
    <row r="151" spans="1:2" x14ac:dyDescent="0.25">
      <c r="A151" t="s">
        <v>3597</v>
      </c>
      <c r="B151">
        <v>151</v>
      </c>
    </row>
    <row r="152" spans="1:2" x14ac:dyDescent="0.25">
      <c r="A152" t="s">
        <v>3604</v>
      </c>
      <c r="B152">
        <v>152</v>
      </c>
    </row>
    <row r="153" spans="1:2" x14ac:dyDescent="0.25">
      <c r="A153" t="s">
        <v>3600</v>
      </c>
      <c r="B153">
        <v>153</v>
      </c>
    </row>
    <row r="154" spans="1:2" x14ac:dyDescent="0.25">
      <c r="A154" t="s">
        <v>3606</v>
      </c>
      <c r="B154">
        <v>154</v>
      </c>
    </row>
    <row r="155" spans="1:2" x14ac:dyDescent="0.25">
      <c r="A155" t="s">
        <v>3601</v>
      </c>
      <c r="B155">
        <v>155</v>
      </c>
    </row>
    <row r="156" spans="1:2" x14ac:dyDescent="0.25">
      <c r="A156" t="s">
        <v>3602</v>
      </c>
      <c r="B156">
        <v>156</v>
      </c>
    </row>
    <row r="157" spans="1:2" x14ac:dyDescent="0.25">
      <c r="A157" t="s">
        <v>3599</v>
      </c>
      <c r="B157">
        <v>157</v>
      </c>
    </row>
    <row r="158" spans="1:2" x14ac:dyDescent="0.25">
      <c r="A158" t="s">
        <v>3610</v>
      </c>
      <c r="B158">
        <v>158</v>
      </c>
    </row>
    <row r="159" spans="1:2" x14ac:dyDescent="0.25">
      <c r="A159" t="s">
        <v>3607</v>
      </c>
      <c r="B159">
        <v>159</v>
      </c>
    </row>
    <row r="160" spans="1:2" x14ac:dyDescent="0.25">
      <c r="A160" t="s">
        <v>3611</v>
      </c>
      <c r="B160">
        <v>160</v>
      </c>
    </row>
    <row r="161" spans="1:2" x14ac:dyDescent="0.25">
      <c r="A161" t="s">
        <v>3603</v>
      </c>
      <c r="B161">
        <v>161</v>
      </c>
    </row>
    <row r="162" spans="1:2" x14ac:dyDescent="0.25">
      <c r="A162" t="s">
        <v>3598</v>
      </c>
      <c r="B162">
        <v>162</v>
      </c>
    </row>
    <row r="163" spans="1:2" x14ac:dyDescent="0.25">
      <c r="A163" t="s">
        <v>3608</v>
      </c>
      <c r="B163">
        <v>163</v>
      </c>
    </row>
    <row r="164" spans="1:2" x14ac:dyDescent="0.25">
      <c r="A164" t="s">
        <v>3605</v>
      </c>
      <c r="B164">
        <v>164</v>
      </c>
    </row>
    <row r="165" spans="1:2" x14ac:dyDescent="0.25">
      <c r="A165" t="s">
        <v>3609</v>
      </c>
      <c r="B165">
        <v>165</v>
      </c>
    </row>
    <row r="166" spans="1:2" x14ac:dyDescent="0.25">
      <c r="A166" t="s">
        <v>3627</v>
      </c>
      <c r="B166">
        <v>166</v>
      </c>
    </row>
    <row r="167" spans="1:2" x14ac:dyDescent="0.25">
      <c r="A167" t="s">
        <v>3634</v>
      </c>
      <c r="B167">
        <v>167</v>
      </c>
    </row>
    <row r="168" spans="1:2" x14ac:dyDescent="0.25">
      <c r="A168" t="s">
        <v>3630</v>
      </c>
      <c r="B168">
        <v>168</v>
      </c>
    </row>
    <row r="169" spans="1:2" x14ac:dyDescent="0.25">
      <c r="A169" t="s">
        <v>3636</v>
      </c>
      <c r="B169">
        <v>169</v>
      </c>
    </row>
    <row r="170" spans="1:2" x14ac:dyDescent="0.25">
      <c r="A170" t="s">
        <v>3631</v>
      </c>
      <c r="B170">
        <v>170</v>
      </c>
    </row>
    <row r="171" spans="1:2" x14ac:dyDescent="0.25">
      <c r="A171" t="s">
        <v>3632</v>
      </c>
      <c r="B171">
        <v>171</v>
      </c>
    </row>
    <row r="172" spans="1:2" x14ac:dyDescent="0.25">
      <c r="A172" t="s">
        <v>3629</v>
      </c>
      <c r="B172">
        <v>172</v>
      </c>
    </row>
    <row r="173" spans="1:2" x14ac:dyDescent="0.25">
      <c r="A173" t="s">
        <v>3640</v>
      </c>
      <c r="B173">
        <v>173</v>
      </c>
    </row>
    <row r="174" spans="1:2" x14ac:dyDescent="0.25">
      <c r="A174" t="s">
        <v>3637</v>
      </c>
      <c r="B174">
        <v>174</v>
      </c>
    </row>
    <row r="175" spans="1:2" x14ac:dyDescent="0.25">
      <c r="A175" t="s">
        <v>3641</v>
      </c>
      <c r="B175">
        <v>175</v>
      </c>
    </row>
    <row r="176" spans="1:2" x14ac:dyDescent="0.25">
      <c r="A176" t="s">
        <v>3633</v>
      </c>
      <c r="B176">
        <v>176</v>
      </c>
    </row>
    <row r="177" spans="1:2" x14ac:dyDescent="0.25">
      <c r="A177" t="s">
        <v>3628</v>
      </c>
      <c r="B177">
        <v>177</v>
      </c>
    </row>
    <row r="178" spans="1:2" x14ac:dyDescent="0.25">
      <c r="A178" t="s">
        <v>3638</v>
      </c>
      <c r="B178">
        <v>178</v>
      </c>
    </row>
    <row r="179" spans="1:2" x14ac:dyDescent="0.25">
      <c r="A179" t="s">
        <v>3635</v>
      </c>
      <c r="B179">
        <v>179</v>
      </c>
    </row>
    <row r="180" spans="1:2" x14ac:dyDescent="0.25">
      <c r="A180" t="s">
        <v>3639</v>
      </c>
      <c r="B180">
        <v>180</v>
      </c>
    </row>
    <row r="181" spans="1:2" x14ac:dyDescent="0.25">
      <c r="A181" t="s">
        <v>3657</v>
      </c>
      <c r="B181">
        <v>181</v>
      </c>
    </row>
    <row r="182" spans="1:2" x14ac:dyDescent="0.25">
      <c r="A182" t="s">
        <v>3664</v>
      </c>
      <c r="B182">
        <v>182</v>
      </c>
    </row>
    <row r="183" spans="1:2" x14ac:dyDescent="0.25">
      <c r="A183" t="s">
        <v>3660</v>
      </c>
      <c r="B183">
        <v>183</v>
      </c>
    </row>
    <row r="184" spans="1:2" x14ac:dyDescent="0.25">
      <c r="A184" t="s">
        <v>3666</v>
      </c>
      <c r="B184">
        <v>184</v>
      </c>
    </row>
    <row r="185" spans="1:2" x14ac:dyDescent="0.25">
      <c r="A185" t="s">
        <v>3661</v>
      </c>
      <c r="B185">
        <v>185</v>
      </c>
    </row>
    <row r="186" spans="1:2" x14ac:dyDescent="0.25">
      <c r="A186" t="s">
        <v>3662</v>
      </c>
      <c r="B186">
        <v>186</v>
      </c>
    </row>
    <row r="187" spans="1:2" x14ac:dyDescent="0.25">
      <c r="A187" t="s">
        <v>3659</v>
      </c>
      <c r="B187">
        <v>187</v>
      </c>
    </row>
    <row r="188" spans="1:2" x14ac:dyDescent="0.25">
      <c r="A188" t="s">
        <v>3670</v>
      </c>
      <c r="B188">
        <v>188</v>
      </c>
    </row>
    <row r="189" spans="1:2" x14ac:dyDescent="0.25">
      <c r="A189" t="s">
        <v>3667</v>
      </c>
      <c r="B189">
        <v>189</v>
      </c>
    </row>
    <row r="190" spans="1:2" x14ac:dyDescent="0.25">
      <c r="A190" t="s">
        <v>3671</v>
      </c>
      <c r="B190">
        <v>190</v>
      </c>
    </row>
    <row r="191" spans="1:2" x14ac:dyDescent="0.25">
      <c r="A191" t="s">
        <v>3663</v>
      </c>
      <c r="B191">
        <v>191</v>
      </c>
    </row>
    <row r="192" spans="1:2" x14ac:dyDescent="0.25">
      <c r="A192" t="s">
        <v>3658</v>
      </c>
      <c r="B192">
        <v>192</v>
      </c>
    </row>
    <row r="193" spans="1:2" x14ac:dyDescent="0.25">
      <c r="A193" t="s">
        <v>3668</v>
      </c>
      <c r="B193">
        <v>193</v>
      </c>
    </row>
    <row r="194" spans="1:2" x14ac:dyDescent="0.25">
      <c r="A194" t="s">
        <v>3665</v>
      </c>
      <c r="B194">
        <v>194</v>
      </c>
    </row>
    <row r="195" spans="1:2" x14ac:dyDescent="0.25">
      <c r="A195" t="s">
        <v>3669</v>
      </c>
      <c r="B195">
        <v>195</v>
      </c>
    </row>
    <row r="196" spans="1:2" x14ac:dyDescent="0.25">
      <c r="A196" t="s">
        <v>3687</v>
      </c>
      <c r="B196">
        <v>196</v>
      </c>
    </row>
    <row r="197" spans="1:2" x14ac:dyDescent="0.25">
      <c r="A197" t="s">
        <v>3694</v>
      </c>
      <c r="B197">
        <v>197</v>
      </c>
    </row>
    <row r="198" spans="1:2" x14ac:dyDescent="0.25">
      <c r="A198" t="s">
        <v>3690</v>
      </c>
      <c r="B198">
        <v>198</v>
      </c>
    </row>
    <row r="199" spans="1:2" x14ac:dyDescent="0.25">
      <c r="A199" t="s">
        <v>3696</v>
      </c>
      <c r="B199">
        <v>199</v>
      </c>
    </row>
    <row r="200" spans="1:2" x14ac:dyDescent="0.25">
      <c r="A200" t="s">
        <v>3691</v>
      </c>
      <c r="B200">
        <v>200</v>
      </c>
    </row>
    <row r="201" spans="1:2" x14ac:dyDescent="0.25">
      <c r="A201" t="s">
        <v>3692</v>
      </c>
      <c r="B201">
        <v>201</v>
      </c>
    </row>
    <row r="202" spans="1:2" x14ac:dyDescent="0.25">
      <c r="A202" t="s">
        <v>3689</v>
      </c>
      <c r="B202">
        <v>202</v>
      </c>
    </row>
    <row r="203" spans="1:2" x14ac:dyDescent="0.25">
      <c r="A203" t="s">
        <v>3700</v>
      </c>
      <c r="B203">
        <v>203</v>
      </c>
    </row>
    <row r="204" spans="1:2" x14ac:dyDescent="0.25">
      <c r="A204" t="s">
        <v>3697</v>
      </c>
      <c r="B204">
        <v>204</v>
      </c>
    </row>
    <row r="205" spans="1:2" x14ac:dyDescent="0.25">
      <c r="A205" t="s">
        <v>3701</v>
      </c>
      <c r="B205">
        <v>205</v>
      </c>
    </row>
    <row r="206" spans="1:2" x14ac:dyDescent="0.25">
      <c r="A206" t="s">
        <v>3693</v>
      </c>
      <c r="B206">
        <v>206</v>
      </c>
    </row>
    <row r="207" spans="1:2" x14ac:dyDescent="0.25">
      <c r="A207" t="s">
        <v>3688</v>
      </c>
      <c r="B207">
        <v>207</v>
      </c>
    </row>
    <row r="208" spans="1:2" x14ac:dyDescent="0.25">
      <c r="A208" t="s">
        <v>3698</v>
      </c>
      <c r="B208">
        <v>208</v>
      </c>
    </row>
    <row r="209" spans="1:2" x14ac:dyDescent="0.25">
      <c r="A209" t="s">
        <v>3695</v>
      </c>
      <c r="B209">
        <v>209</v>
      </c>
    </row>
    <row r="210" spans="1:2" x14ac:dyDescent="0.25">
      <c r="A210" t="s">
        <v>3699</v>
      </c>
      <c r="B210">
        <v>210</v>
      </c>
    </row>
    <row r="211" spans="1:2" x14ac:dyDescent="0.25">
      <c r="A211" t="s">
        <v>3717</v>
      </c>
      <c r="B211">
        <v>211</v>
      </c>
    </row>
    <row r="212" spans="1:2" x14ac:dyDescent="0.25">
      <c r="A212" t="s">
        <v>3724</v>
      </c>
      <c r="B212">
        <v>212</v>
      </c>
    </row>
    <row r="213" spans="1:2" x14ac:dyDescent="0.25">
      <c r="A213" t="s">
        <v>3720</v>
      </c>
      <c r="B213">
        <v>213</v>
      </c>
    </row>
    <row r="214" spans="1:2" x14ac:dyDescent="0.25">
      <c r="A214" t="s">
        <v>3726</v>
      </c>
      <c r="B214">
        <v>214</v>
      </c>
    </row>
    <row r="215" spans="1:2" x14ac:dyDescent="0.25">
      <c r="A215" t="s">
        <v>3721</v>
      </c>
      <c r="B215">
        <v>215</v>
      </c>
    </row>
    <row r="216" spans="1:2" x14ac:dyDescent="0.25">
      <c r="A216" t="s">
        <v>3722</v>
      </c>
      <c r="B216">
        <v>216</v>
      </c>
    </row>
    <row r="217" spans="1:2" x14ac:dyDescent="0.25">
      <c r="A217" t="s">
        <v>3719</v>
      </c>
      <c r="B217">
        <v>217</v>
      </c>
    </row>
    <row r="218" spans="1:2" x14ac:dyDescent="0.25">
      <c r="A218" t="s">
        <v>3730</v>
      </c>
      <c r="B218">
        <v>218</v>
      </c>
    </row>
    <row r="219" spans="1:2" x14ac:dyDescent="0.25">
      <c r="A219" t="s">
        <v>3727</v>
      </c>
      <c r="B219">
        <v>219</v>
      </c>
    </row>
    <row r="220" spans="1:2" x14ac:dyDescent="0.25">
      <c r="A220" t="s">
        <v>3731</v>
      </c>
      <c r="B220">
        <v>220</v>
      </c>
    </row>
    <row r="221" spans="1:2" x14ac:dyDescent="0.25">
      <c r="A221" t="s">
        <v>3723</v>
      </c>
      <c r="B221">
        <v>221</v>
      </c>
    </row>
    <row r="222" spans="1:2" x14ac:dyDescent="0.25">
      <c r="A222" t="s">
        <v>3718</v>
      </c>
      <c r="B222">
        <v>222</v>
      </c>
    </row>
    <row r="223" spans="1:2" x14ac:dyDescent="0.25">
      <c r="A223" t="s">
        <v>3728</v>
      </c>
      <c r="B223">
        <v>223</v>
      </c>
    </row>
    <row r="224" spans="1:2" x14ac:dyDescent="0.25">
      <c r="A224" t="s">
        <v>3725</v>
      </c>
      <c r="B224">
        <v>224</v>
      </c>
    </row>
    <row r="225" spans="1:2" x14ac:dyDescent="0.25">
      <c r="A225" t="s">
        <v>3729</v>
      </c>
      <c r="B225">
        <v>225</v>
      </c>
    </row>
    <row r="226" spans="1:2" x14ac:dyDescent="0.25">
      <c r="A226" t="s">
        <v>3747</v>
      </c>
      <c r="B226">
        <v>226</v>
      </c>
    </row>
    <row r="227" spans="1:2" x14ac:dyDescent="0.25">
      <c r="A227" t="s">
        <v>3754</v>
      </c>
      <c r="B227">
        <v>227</v>
      </c>
    </row>
    <row r="228" spans="1:2" x14ac:dyDescent="0.25">
      <c r="A228" t="s">
        <v>3750</v>
      </c>
      <c r="B228">
        <v>228</v>
      </c>
    </row>
    <row r="229" spans="1:2" x14ac:dyDescent="0.25">
      <c r="A229" t="s">
        <v>3756</v>
      </c>
      <c r="B229">
        <v>229</v>
      </c>
    </row>
    <row r="230" spans="1:2" x14ac:dyDescent="0.25">
      <c r="A230" t="s">
        <v>3751</v>
      </c>
      <c r="B230">
        <v>230</v>
      </c>
    </row>
    <row r="231" spans="1:2" x14ac:dyDescent="0.25">
      <c r="A231" t="s">
        <v>3752</v>
      </c>
      <c r="B231">
        <v>231</v>
      </c>
    </row>
    <row r="232" spans="1:2" x14ac:dyDescent="0.25">
      <c r="A232" t="s">
        <v>3749</v>
      </c>
      <c r="B232">
        <v>232</v>
      </c>
    </row>
    <row r="233" spans="1:2" x14ac:dyDescent="0.25">
      <c r="A233" t="s">
        <v>3760</v>
      </c>
      <c r="B233">
        <v>233</v>
      </c>
    </row>
    <row r="234" spans="1:2" x14ac:dyDescent="0.25">
      <c r="A234" t="s">
        <v>3757</v>
      </c>
      <c r="B234">
        <v>234</v>
      </c>
    </row>
    <row r="235" spans="1:2" x14ac:dyDescent="0.25">
      <c r="A235" t="s">
        <v>3761</v>
      </c>
      <c r="B235">
        <v>235</v>
      </c>
    </row>
    <row r="236" spans="1:2" x14ac:dyDescent="0.25">
      <c r="A236" t="s">
        <v>3753</v>
      </c>
      <c r="B236">
        <v>236</v>
      </c>
    </row>
    <row r="237" spans="1:2" x14ac:dyDescent="0.25">
      <c r="A237" t="s">
        <v>3748</v>
      </c>
      <c r="B237">
        <v>237</v>
      </c>
    </row>
    <row r="238" spans="1:2" x14ac:dyDescent="0.25">
      <c r="A238" t="s">
        <v>3758</v>
      </c>
      <c r="B238">
        <v>238</v>
      </c>
    </row>
    <row r="239" spans="1:2" x14ac:dyDescent="0.25">
      <c r="A239" t="s">
        <v>3755</v>
      </c>
      <c r="B239">
        <v>239</v>
      </c>
    </row>
    <row r="240" spans="1:2" x14ac:dyDescent="0.25">
      <c r="A240" t="s">
        <v>3759</v>
      </c>
      <c r="B240">
        <v>240</v>
      </c>
    </row>
    <row r="241" spans="1:2" x14ac:dyDescent="0.25">
      <c r="A241" t="s">
        <v>3777</v>
      </c>
      <c r="B241">
        <v>241</v>
      </c>
    </row>
    <row r="242" spans="1:2" x14ac:dyDescent="0.25">
      <c r="A242" t="s">
        <v>3784</v>
      </c>
      <c r="B242">
        <v>242</v>
      </c>
    </row>
    <row r="243" spans="1:2" x14ac:dyDescent="0.25">
      <c r="A243" t="s">
        <v>3780</v>
      </c>
      <c r="B243">
        <v>243</v>
      </c>
    </row>
    <row r="244" spans="1:2" x14ac:dyDescent="0.25">
      <c r="A244" t="s">
        <v>3786</v>
      </c>
      <c r="B244">
        <v>244</v>
      </c>
    </row>
    <row r="245" spans="1:2" x14ac:dyDescent="0.25">
      <c r="A245" t="s">
        <v>3781</v>
      </c>
      <c r="B245">
        <v>245</v>
      </c>
    </row>
    <row r="246" spans="1:2" x14ac:dyDescent="0.25">
      <c r="A246" t="s">
        <v>3782</v>
      </c>
      <c r="B246">
        <v>246</v>
      </c>
    </row>
    <row r="247" spans="1:2" x14ac:dyDescent="0.25">
      <c r="A247" t="s">
        <v>3779</v>
      </c>
      <c r="B247">
        <v>247</v>
      </c>
    </row>
    <row r="248" spans="1:2" x14ac:dyDescent="0.25">
      <c r="A248" t="s">
        <v>3790</v>
      </c>
      <c r="B248">
        <v>248</v>
      </c>
    </row>
    <row r="249" spans="1:2" x14ac:dyDescent="0.25">
      <c r="A249" t="s">
        <v>3787</v>
      </c>
      <c r="B249">
        <v>249</v>
      </c>
    </row>
    <row r="250" spans="1:2" x14ac:dyDescent="0.25">
      <c r="A250" t="s">
        <v>3791</v>
      </c>
      <c r="B250">
        <v>250</v>
      </c>
    </row>
    <row r="251" spans="1:2" x14ac:dyDescent="0.25">
      <c r="A251" t="s">
        <v>3783</v>
      </c>
      <c r="B251">
        <v>251</v>
      </c>
    </row>
    <row r="252" spans="1:2" x14ac:dyDescent="0.25">
      <c r="A252" t="s">
        <v>3778</v>
      </c>
      <c r="B252">
        <v>252</v>
      </c>
    </row>
    <row r="253" spans="1:2" x14ac:dyDescent="0.25">
      <c r="A253" t="s">
        <v>3788</v>
      </c>
      <c r="B253">
        <v>253</v>
      </c>
    </row>
    <row r="254" spans="1:2" x14ac:dyDescent="0.25">
      <c r="A254" t="s">
        <v>3785</v>
      </c>
      <c r="B254">
        <v>254</v>
      </c>
    </row>
    <row r="255" spans="1:2" x14ac:dyDescent="0.25">
      <c r="A255" t="s">
        <v>3789</v>
      </c>
      <c r="B255">
        <v>255</v>
      </c>
    </row>
    <row r="256" spans="1:2" x14ac:dyDescent="0.25">
      <c r="A256" t="s">
        <v>3807</v>
      </c>
      <c r="B256">
        <v>256</v>
      </c>
    </row>
    <row r="257" spans="1:2" x14ac:dyDescent="0.25">
      <c r="A257" t="s">
        <v>3814</v>
      </c>
      <c r="B257">
        <v>257</v>
      </c>
    </row>
    <row r="258" spans="1:2" x14ac:dyDescent="0.25">
      <c r="A258" t="s">
        <v>3810</v>
      </c>
      <c r="B258">
        <v>258</v>
      </c>
    </row>
    <row r="259" spans="1:2" x14ac:dyDescent="0.25">
      <c r="A259" t="s">
        <v>3816</v>
      </c>
      <c r="B259">
        <v>259</v>
      </c>
    </row>
    <row r="260" spans="1:2" x14ac:dyDescent="0.25">
      <c r="A260" t="s">
        <v>3811</v>
      </c>
      <c r="B260">
        <v>260</v>
      </c>
    </row>
    <row r="261" spans="1:2" x14ac:dyDescent="0.25">
      <c r="A261" t="s">
        <v>3812</v>
      </c>
      <c r="B261">
        <v>261</v>
      </c>
    </row>
    <row r="262" spans="1:2" x14ac:dyDescent="0.25">
      <c r="A262" t="s">
        <v>3809</v>
      </c>
      <c r="B262">
        <v>262</v>
      </c>
    </row>
    <row r="263" spans="1:2" x14ac:dyDescent="0.25">
      <c r="A263" t="s">
        <v>3820</v>
      </c>
      <c r="B263">
        <v>263</v>
      </c>
    </row>
    <row r="264" spans="1:2" x14ac:dyDescent="0.25">
      <c r="A264" t="s">
        <v>3817</v>
      </c>
      <c r="B264">
        <v>264</v>
      </c>
    </row>
    <row r="265" spans="1:2" x14ac:dyDescent="0.25">
      <c r="A265" t="s">
        <v>3821</v>
      </c>
      <c r="B265">
        <v>265</v>
      </c>
    </row>
    <row r="266" spans="1:2" x14ac:dyDescent="0.25">
      <c r="A266" t="s">
        <v>3813</v>
      </c>
      <c r="B266">
        <v>266</v>
      </c>
    </row>
    <row r="267" spans="1:2" x14ac:dyDescent="0.25">
      <c r="A267" t="s">
        <v>3808</v>
      </c>
      <c r="B267">
        <v>267</v>
      </c>
    </row>
    <row r="268" spans="1:2" x14ac:dyDescent="0.25">
      <c r="A268" t="s">
        <v>3818</v>
      </c>
      <c r="B268">
        <v>268</v>
      </c>
    </row>
    <row r="269" spans="1:2" x14ac:dyDescent="0.25">
      <c r="A269" t="s">
        <v>3815</v>
      </c>
      <c r="B269">
        <v>269</v>
      </c>
    </row>
    <row r="270" spans="1:2" x14ac:dyDescent="0.25">
      <c r="A270" t="s">
        <v>3819</v>
      </c>
      <c r="B270">
        <v>270</v>
      </c>
    </row>
    <row r="271" spans="1:2" x14ac:dyDescent="0.25">
      <c r="A271" t="s">
        <v>3837</v>
      </c>
      <c r="B271">
        <v>271</v>
      </c>
    </row>
    <row r="272" spans="1:2" x14ac:dyDescent="0.25">
      <c r="A272" t="s">
        <v>3844</v>
      </c>
      <c r="B272">
        <v>272</v>
      </c>
    </row>
    <row r="273" spans="1:2" x14ac:dyDescent="0.25">
      <c r="A273" t="s">
        <v>3840</v>
      </c>
      <c r="B273">
        <v>273</v>
      </c>
    </row>
    <row r="274" spans="1:2" x14ac:dyDescent="0.25">
      <c r="A274" t="s">
        <v>3846</v>
      </c>
      <c r="B274">
        <v>274</v>
      </c>
    </row>
    <row r="275" spans="1:2" x14ac:dyDescent="0.25">
      <c r="A275" t="s">
        <v>3841</v>
      </c>
      <c r="B275">
        <v>275</v>
      </c>
    </row>
    <row r="276" spans="1:2" x14ac:dyDescent="0.25">
      <c r="A276" t="s">
        <v>3842</v>
      </c>
      <c r="B276">
        <v>276</v>
      </c>
    </row>
    <row r="277" spans="1:2" x14ac:dyDescent="0.25">
      <c r="A277" t="s">
        <v>3839</v>
      </c>
      <c r="B277">
        <v>277</v>
      </c>
    </row>
    <row r="278" spans="1:2" x14ac:dyDescent="0.25">
      <c r="A278" t="s">
        <v>3850</v>
      </c>
      <c r="B278">
        <v>278</v>
      </c>
    </row>
    <row r="279" spans="1:2" x14ac:dyDescent="0.25">
      <c r="A279" t="s">
        <v>3847</v>
      </c>
      <c r="B279">
        <v>279</v>
      </c>
    </row>
    <row r="280" spans="1:2" x14ac:dyDescent="0.25">
      <c r="A280" t="s">
        <v>3851</v>
      </c>
      <c r="B280">
        <v>280</v>
      </c>
    </row>
    <row r="281" spans="1:2" x14ac:dyDescent="0.25">
      <c r="A281" t="s">
        <v>3843</v>
      </c>
      <c r="B281">
        <v>281</v>
      </c>
    </row>
    <row r="282" spans="1:2" x14ac:dyDescent="0.25">
      <c r="A282" t="s">
        <v>3838</v>
      </c>
      <c r="B282">
        <v>282</v>
      </c>
    </row>
    <row r="283" spans="1:2" x14ac:dyDescent="0.25">
      <c r="A283" t="s">
        <v>3848</v>
      </c>
      <c r="B283">
        <v>283</v>
      </c>
    </row>
    <row r="284" spans="1:2" x14ac:dyDescent="0.25">
      <c r="A284" t="s">
        <v>3845</v>
      </c>
      <c r="B284">
        <v>284</v>
      </c>
    </row>
    <row r="285" spans="1:2" x14ac:dyDescent="0.25">
      <c r="A285" t="s">
        <v>3849</v>
      </c>
      <c r="B285">
        <v>285</v>
      </c>
    </row>
    <row r="286" spans="1:2" x14ac:dyDescent="0.25">
      <c r="A286" t="s">
        <v>3867</v>
      </c>
      <c r="B286">
        <v>286</v>
      </c>
    </row>
    <row r="287" spans="1:2" x14ac:dyDescent="0.25">
      <c r="A287" t="s">
        <v>3874</v>
      </c>
      <c r="B287">
        <v>287</v>
      </c>
    </row>
    <row r="288" spans="1:2" x14ac:dyDescent="0.25">
      <c r="A288" t="s">
        <v>3870</v>
      </c>
      <c r="B288">
        <v>288</v>
      </c>
    </row>
    <row r="289" spans="1:2" x14ac:dyDescent="0.25">
      <c r="A289" t="s">
        <v>3876</v>
      </c>
      <c r="B289">
        <v>289</v>
      </c>
    </row>
    <row r="290" spans="1:2" x14ac:dyDescent="0.25">
      <c r="A290" t="s">
        <v>3871</v>
      </c>
      <c r="B290">
        <v>290</v>
      </c>
    </row>
    <row r="291" spans="1:2" x14ac:dyDescent="0.25">
      <c r="A291" t="s">
        <v>3872</v>
      </c>
      <c r="B291">
        <v>291</v>
      </c>
    </row>
    <row r="292" spans="1:2" x14ac:dyDescent="0.25">
      <c r="A292" t="s">
        <v>3869</v>
      </c>
      <c r="B292">
        <v>292</v>
      </c>
    </row>
    <row r="293" spans="1:2" x14ac:dyDescent="0.25">
      <c r="A293" t="s">
        <v>3880</v>
      </c>
      <c r="B293">
        <v>293</v>
      </c>
    </row>
    <row r="294" spans="1:2" x14ac:dyDescent="0.25">
      <c r="A294" t="s">
        <v>3877</v>
      </c>
      <c r="B294">
        <v>294</v>
      </c>
    </row>
    <row r="295" spans="1:2" x14ac:dyDescent="0.25">
      <c r="A295" t="s">
        <v>3881</v>
      </c>
      <c r="B295">
        <v>295</v>
      </c>
    </row>
    <row r="296" spans="1:2" x14ac:dyDescent="0.25">
      <c r="A296" t="s">
        <v>3873</v>
      </c>
      <c r="B296">
        <v>296</v>
      </c>
    </row>
    <row r="297" spans="1:2" x14ac:dyDescent="0.25">
      <c r="A297" t="s">
        <v>3868</v>
      </c>
      <c r="B297">
        <v>297</v>
      </c>
    </row>
    <row r="298" spans="1:2" x14ac:dyDescent="0.25">
      <c r="A298" t="s">
        <v>3878</v>
      </c>
      <c r="B298">
        <v>298</v>
      </c>
    </row>
    <row r="299" spans="1:2" x14ac:dyDescent="0.25">
      <c r="A299" t="s">
        <v>3875</v>
      </c>
      <c r="B299">
        <v>299</v>
      </c>
    </row>
    <row r="300" spans="1:2" x14ac:dyDescent="0.25">
      <c r="A300" t="s">
        <v>3879</v>
      </c>
      <c r="B300">
        <v>300</v>
      </c>
    </row>
    <row r="301" spans="1:2" x14ac:dyDescent="0.25">
      <c r="A301" t="s">
        <v>3897</v>
      </c>
      <c r="B301">
        <v>301</v>
      </c>
    </row>
    <row r="302" spans="1:2" x14ac:dyDescent="0.25">
      <c r="A302" t="s">
        <v>3904</v>
      </c>
      <c r="B302">
        <v>302</v>
      </c>
    </row>
    <row r="303" spans="1:2" x14ac:dyDescent="0.25">
      <c r="A303" t="s">
        <v>3900</v>
      </c>
      <c r="B303">
        <v>303</v>
      </c>
    </row>
    <row r="304" spans="1:2" x14ac:dyDescent="0.25">
      <c r="A304" t="s">
        <v>3906</v>
      </c>
      <c r="B304">
        <v>304</v>
      </c>
    </row>
    <row r="305" spans="1:2" x14ac:dyDescent="0.25">
      <c r="A305" t="s">
        <v>3901</v>
      </c>
      <c r="B305">
        <v>305</v>
      </c>
    </row>
    <row r="306" spans="1:2" x14ac:dyDescent="0.25">
      <c r="A306" t="s">
        <v>3902</v>
      </c>
      <c r="B306">
        <v>306</v>
      </c>
    </row>
    <row r="307" spans="1:2" x14ac:dyDescent="0.25">
      <c r="A307" t="s">
        <v>3899</v>
      </c>
      <c r="B307">
        <v>307</v>
      </c>
    </row>
    <row r="308" spans="1:2" x14ac:dyDescent="0.25">
      <c r="A308" t="s">
        <v>3910</v>
      </c>
      <c r="B308">
        <v>308</v>
      </c>
    </row>
    <row r="309" spans="1:2" x14ac:dyDescent="0.25">
      <c r="A309" t="s">
        <v>3907</v>
      </c>
      <c r="B309">
        <v>309</v>
      </c>
    </row>
    <row r="310" spans="1:2" x14ac:dyDescent="0.25">
      <c r="A310" t="s">
        <v>3911</v>
      </c>
      <c r="B310">
        <v>310</v>
      </c>
    </row>
    <row r="311" spans="1:2" x14ac:dyDescent="0.25">
      <c r="A311" t="s">
        <v>3903</v>
      </c>
      <c r="B311">
        <v>311</v>
      </c>
    </row>
    <row r="312" spans="1:2" x14ac:dyDescent="0.25">
      <c r="A312" t="s">
        <v>3898</v>
      </c>
      <c r="B312">
        <v>312</v>
      </c>
    </row>
    <row r="313" spans="1:2" x14ac:dyDescent="0.25">
      <c r="A313" t="s">
        <v>3908</v>
      </c>
      <c r="B313">
        <v>313</v>
      </c>
    </row>
    <row r="314" spans="1:2" x14ac:dyDescent="0.25">
      <c r="A314" t="s">
        <v>3905</v>
      </c>
      <c r="B314">
        <v>314</v>
      </c>
    </row>
    <row r="315" spans="1:2" x14ac:dyDescent="0.25">
      <c r="A315" t="s">
        <v>3909</v>
      </c>
      <c r="B315">
        <v>315</v>
      </c>
    </row>
    <row r="316" spans="1:2" x14ac:dyDescent="0.25">
      <c r="A316" t="s">
        <v>3927</v>
      </c>
      <c r="B316">
        <v>316</v>
      </c>
    </row>
    <row r="317" spans="1:2" x14ac:dyDescent="0.25">
      <c r="A317" t="s">
        <v>3934</v>
      </c>
      <c r="B317">
        <v>317</v>
      </c>
    </row>
    <row r="318" spans="1:2" x14ac:dyDescent="0.25">
      <c r="A318" t="s">
        <v>3930</v>
      </c>
      <c r="B318">
        <v>318</v>
      </c>
    </row>
    <row r="319" spans="1:2" x14ac:dyDescent="0.25">
      <c r="A319" t="s">
        <v>3936</v>
      </c>
      <c r="B319">
        <v>319</v>
      </c>
    </row>
    <row r="320" spans="1:2" x14ac:dyDescent="0.25">
      <c r="A320" t="s">
        <v>3931</v>
      </c>
      <c r="B320">
        <v>320</v>
      </c>
    </row>
    <row r="321" spans="1:2" x14ac:dyDescent="0.25">
      <c r="A321" t="s">
        <v>3932</v>
      </c>
      <c r="B321">
        <v>321</v>
      </c>
    </row>
    <row r="322" spans="1:2" x14ac:dyDescent="0.25">
      <c r="A322" t="s">
        <v>3929</v>
      </c>
      <c r="B322">
        <v>322</v>
      </c>
    </row>
    <row r="323" spans="1:2" x14ac:dyDescent="0.25">
      <c r="A323" t="s">
        <v>3940</v>
      </c>
      <c r="B323">
        <v>323</v>
      </c>
    </row>
    <row r="324" spans="1:2" x14ac:dyDescent="0.25">
      <c r="A324" t="s">
        <v>3937</v>
      </c>
      <c r="B324">
        <v>324</v>
      </c>
    </row>
    <row r="325" spans="1:2" x14ac:dyDescent="0.25">
      <c r="A325" t="s">
        <v>3941</v>
      </c>
      <c r="B325">
        <v>325</v>
      </c>
    </row>
    <row r="326" spans="1:2" x14ac:dyDescent="0.25">
      <c r="A326" t="s">
        <v>3933</v>
      </c>
      <c r="B326">
        <v>326</v>
      </c>
    </row>
    <row r="327" spans="1:2" x14ac:dyDescent="0.25">
      <c r="A327" t="s">
        <v>3928</v>
      </c>
      <c r="B327">
        <v>327</v>
      </c>
    </row>
    <row r="328" spans="1:2" x14ac:dyDescent="0.25">
      <c r="A328" t="s">
        <v>3938</v>
      </c>
      <c r="B328">
        <v>328</v>
      </c>
    </row>
    <row r="329" spans="1:2" x14ac:dyDescent="0.25">
      <c r="A329" t="s">
        <v>3935</v>
      </c>
      <c r="B329">
        <v>329</v>
      </c>
    </row>
    <row r="330" spans="1:2" x14ac:dyDescent="0.25">
      <c r="A330" t="s">
        <v>3939</v>
      </c>
      <c r="B330">
        <v>330</v>
      </c>
    </row>
    <row r="331" spans="1:2" x14ac:dyDescent="0.25">
      <c r="A331" t="s">
        <v>3957</v>
      </c>
      <c r="B331">
        <v>331</v>
      </c>
    </row>
    <row r="332" spans="1:2" x14ac:dyDescent="0.25">
      <c r="A332" t="s">
        <v>3964</v>
      </c>
      <c r="B332">
        <v>332</v>
      </c>
    </row>
    <row r="333" spans="1:2" x14ac:dyDescent="0.25">
      <c r="A333" t="s">
        <v>3960</v>
      </c>
      <c r="B333">
        <v>333</v>
      </c>
    </row>
    <row r="334" spans="1:2" x14ac:dyDescent="0.25">
      <c r="A334" t="s">
        <v>3966</v>
      </c>
      <c r="B334">
        <v>334</v>
      </c>
    </row>
    <row r="335" spans="1:2" x14ac:dyDescent="0.25">
      <c r="A335" t="s">
        <v>3961</v>
      </c>
      <c r="B335">
        <v>335</v>
      </c>
    </row>
    <row r="336" spans="1:2" x14ac:dyDescent="0.25">
      <c r="A336" t="s">
        <v>3962</v>
      </c>
      <c r="B336">
        <v>336</v>
      </c>
    </row>
    <row r="337" spans="1:2" x14ac:dyDescent="0.25">
      <c r="A337" t="s">
        <v>3959</v>
      </c>
      <c r="B337">
        <v>337</v>
      </c>
    </row>
    <row r="338" spans="1:2" x14ac:dyDescent="0.25">
      <c r="A338" t="s">
        <v>3970</v>
      </c>
      <c r="B338">
        <v>338</v>
      </c>
    </row>
    <row r="339" spans="1:2" x14ac:dyDescent="0.25">
      <c r="A339" t="s">
        <v>3967</v>
      </c>
      <c r="B339">
        <v>339</v>
      </c>
    </row>
    <row r="340" spans="1:2" x14ac:dyDescent="0.25">
      <c r="A340" t="s">
        <v>3971</v>
      </c>
      <c r="B340">
        <v>340</v>
      </c>
    </row>
    <row r="341" spans="1:2" x14ac:dyDescent="0.25">
      <c r="A341" t="s">
        <v>3963</v>
      </c>
      <c r="B341">
        <v>341</v>
      </c>
    </row>
    <row r="342" spans="1:2" x14ac:dyDescent="0.25">
      <c r="A342" t="s">
        <v>3958</v>
      </c>
      <c r="B342">
        <v>342</v>
      </c>
    </row>
    <row r="343" spans="1:2" x14ac:dyDescent="0.25">
      <c r="A343" t="s">
        <v>3968</v>
      </c>
      <c r="B343">
        <v>343</v>
      </c>
    </row>
    <row r="344" spans="1:2" x14ac:dyDescent="0.25">
      <c r="A344" t="s">
        <v>3965</v>
      </c>
      <c r="B344">
        <v>344</v>
      </c>
    </row>
    <row r="345" spans="1:2" x14ac:dyDescent="0.25">
      <c r="A345" t="s">
        <v>3969</v>
      </c>
      <c r="B345">
        <v>345</v>
      </c>
    </row>
    <row r="346" spans="1:2" x14ac:dyDescent="0.25">
      <c r="A346" t="s">
        <v>3987</v>
      </c>
      <c r="B346">
        <v>346</v>
      </c>
    </row>
    <row r="347" spans="1:2" x14ac:dyDescent="0.25">
      <c r="A347" t="s">
        <v>3994</v>
      </c>
      <c r="B347">
        <v>347</v>
      </c>
    </row>
    <row r="348" spans="1:2" x14ac:dyDescent="0.25">
      <c r="A348" t="s">
        <v>3990</v>
      </c>
      <c r="B348">
        <v>348</v>
      </c>
    </row>
    <row r="349" spans="1:2" x14ac:dyDescent="0.25">
      <c r="A349" t="s">
        <v>3996</v>
      </c>
      <c r="B349">
        <v>349</v>
      </c>
    </row>
    <row r="350" spans="1:2" x14ac:dyDescent="0.25">
      <c r="A350" t="s">
        <v>3991</v>
      </c>
      <c r="B350">
        <v>350</v>
      </c>
    </row>
    <row r="351" spans="1:2" x14ac:dyDescent="0.25">
      <c r="A351" t="s">
        <v>3992</v>
      </c>
      <c r="B351">
        <v>351</v>
      </c>
    </row>
    <row r="352" spans="1:2" x14ac:dyDescent="0.25">
      <c r="A352" t="s">
        <v>3989</v>
      </c>
      <c r="B352">
        <v>352</v>
      </c>
    </row>
    <row r="353" spans="1:2" x14ac:dyDescent="0.25">
      <c r="A353" t="s">
        <v>4000</v>
      </c>
      <c r="B353">
        <v>353</v>
      </c>
    </row>
    <row r="354" spans="1:2" x14ac:dyDescent="0.25">
      <c r="A354" t="s">
        <v>3997</v>
      </c>
      <c r="B354">
        <v>354</v>
      </c>
    </row>
    <row r="355" spans="1:2" x14ac:dyDescent="0.25">
      <c r="A355" t="s">
        <v>4001</v>
      </c>
      <c r="B355">
        <v>355</v>
      </c>
    </row>
    <row r="356" spans="1:2" x14ac:dyDescent="0.25">
      <c r="A356" t="s">
        <v>3993</v>
      </c>
      <c r="B356">
        <v>356</v>
      </c>
    </row>
    <row r="357" spans="1:2" x14ac:dyDescent="0.25">
      <c r="A357" t="s">
        <v>3988</v>
      </c>
      <c r="B357">
        <v>357</v>
      </c>
    </row>
    <row r="358" spans="1:2" x14ac:dyDescent="0.25">
      <c r="A358" t="s">
        <v>3998</v>
      </c>
      <c r="B358">
        <v>358</v>
      </c>
    </row>
    <row r="359" spans="1:2" x14ac:dyDescent="0.25">
      <c r="A359" t="s">
        <v>3995</v>
      </c>
      <c r="B359">
        <v>359</v>
      </c>
    </row>
    <row r="360" spans="1:2" x14ac:dyDescent="0.25">
      <c r="A360" t="s">
        <v>3999</v>
      </c>
      <c r="B360">
        <v>360</v>
      </c>
    </row>
    <row r="361" spans="1:2" x14ac:dyDescent="0.25">
      <c r="A361" t="s">
        <v>4017</v>
      </c>
      <c r="B361">
        <v>361</v>
      </c>
    </row>
    <row r="362" spans="1:2" x14ac:dyDescent="0.25">
      <c r="A362" t="s">
        <v>4024</v>
      </c>
      <c r="B362">
        <v>362</v>
      </c>
    </row>
    <row r="363" spans="1:2" x14ac:dyDescent="0.25">
      <c r="A363" t="s">
        <v>4020</v>
      </c>
      <c r="B363">
        <v>363</v>
      </c>
    </row>
    <row r="364" spans="1:2" x14ac:dyDescent="0.25">
      <c r="A364" t="s">
        <v>4026</v>
      </c>
      <c r="B364">
        <v>364</v>
      </c>
    </row>
    <row r="365" spans="1:2" x14ac:dyDescent="0.25">
      <c r="A365" t="s">
        <v>4021</v>
      </c>
      <c r="B365">
        <v>365</v>
      </c>
    </row>
    <row r="366" spans="1:2" x14ac:dyDescent="0.25">
      <c r="A366" t="s">
        <v>4022</v>
      </c>
      <c r="B366">
        <v>366</v>
      </c>
    </row>
    <row r="367" spans="1:2" x14ac:dyDescent="0.25">
      <c r="A367" t="s">
        <v>4019</v>
      </c>
      <c r="B367">
        <v>367</v>
      </c>
    </row>
    <row r="368" spans="1:2" x14ac:dyDescent="0.25">
      <c r="A368" t="s">
        <v>4030</v>
      </c>
      <c r="B368">
        <v>368</v>
      </c>
    </row>
    <row r="369" spans="1:2" x14ac:dyDescent="0.25">
      <c r="A369" t="s">
        <v>4027</v>
      </c>
      <c r="B369">
        <v>369</v>
      </c>
    </row>
    <row r="370" spans="1:2" x14ac:dyDescent="0.25">
      <c r="A370" t="s">
        <v>4031</v>
      </c>
      <c r="B370">
        <v>370</v>
      </c>
    </row>
    <row r="371" spans="1:2" x14ac:dyDescent="0.25">
      <c r="A371" t="s">
        <v>4023</v>
      </c>
      <c r="B371">
        <v>371</v>
      </c>
    </row>
    <row r="372" spans="1:2" x14ac:dyDescent="0.25">
      <c r="A372" t="s">
        <v>4018</v>
      </c>
      <c r="B372">
        <v>372</v>
      </c>
    </row>
    <row r="373" spans="1:2" x14ac:dyDescent="0.25">
      <c r="A373" t="s">
        <v>4028</v>
      </c>
      <c r="B373">
        <v>373</v>
      </c>
    </row>
    <row r="374" spans="1:2" x14ac:dyDescent="0.25">
      <c r="A374" t="s">
        <v>4025</v>
      </c>
      <c r="B374">
        <v>374</v>
      </c>
    </row>
    <row r="375" spans="1:2" x14ac:dyDescent="0.25">
      <c r="A375" t="s">
        <v>4029</v>
      </c>
      <c r="B375">
        <v>375</v>
      </c>
    </row>
    <row r="376" spans="1:2" x14ac:dyDescent="0.25">
      <c r="A376" t="s">
        <v>4047</v>
      </c>
      <c r="B376">
        <v>376</v>
      </c>
    </row>
    <row r="377" spans="1:2" x14ac:dyDescent="0.25">
      <c r="A377" t="s">
        <v>4054</v>
      </c>
      <c r="B377">
        <v>377</v>
      </c>
    </row>
    <row r="378" spans="1:2" x14ac:dyDescent="0.25">
      <c r="A378" t="s">
        <v>4050</v>
      </c>
      <c r="B378">
        <v>378</v>
      </c>
    </row>
    <row r="379" spans="1:2" x14ac:dyDescent="0.25">
      <c r="A379" t="s">
        <v>4056</v>
      </c>
      <c r="B379">
        <v>379</v>
      </c>
    </row>
    <row r="380" spans="1:2" x14ac:dyDescent="0.25">
      <c r="A380" t="s">
        <v>4051</v>
      </c>
      <c r="B380">
        <v>380</v>
      </c>
    </row>
    <row r="381" spans="1:2" x14ac:dyDescent="0.25">
      <c r="A381" t="s">
        <v>4052</v>
      </c>
      <c r="B381">
        <v>381</v>
      </c>
    </row>
    <row r="382" spans="1:2" x14ac:dyDescent="0.25">
      <c r="A382" t="s">
        <v>4049</v>
      </c>
      <c r="B382">
        <v>382</v>
      </c>
    </row>
    <row r="383" spans="1:2" x14ac:dyDescent="0.25">
      <c r="A383" t="s">
        <v>4060</v>
      </c>
      <c r="B383">
        <v>383</v>
      </c>
    </row>
    <row r="384" spans="1:2" x14ac:dyDescent="0.25">
      <c r="A384" t="s">
        <v>4057</v>
      </c>
      <c r="B384">
        <v>384</v>
      </c>
    </row>
    <row r="385" spans="1:2" x14ac:dyDescent="0.25">
      <c r="A385" t="s">
        <v>4061</v>
      </c>
      <c r="B385">
        <v>385</v>
      </c>
    </row>
    <row r="386" spans="1:2" x14ac:dyDescent="0.25">
      <c r="A386" t="s">
        <v>4053</v>
      </c>
      <c r="B386">
        <v>386</v>
      </c>
    </row>
    <row r="387" spans="1:2" x14ac:dyDescent="0.25">
      <c r="A387" t="s">
        <v>4048</v>
      </c>
      <c r="B387">
        <v>387</v>
      </c>
    </row>
    <row r="388" spans="1:2" x14ac:dyDescent="0.25">
      <c r="A388" t="s">
        <v>4058</v>
      </c>
      <c r="B388">
        <v>388</v>
      </c>
    </row>
    <row r="389" spans="1:2" x14ac:dyDescent="0.25">
      <c r="A389" t="s">
        <v>4055</v>
      </c>
      <c r="B389">
        <v>389</v>
      </c>
    </row>
    <row r="390" spans="1:2" x14ac:dyDescent="0.25">
      <c r="A390" t="s">
        <v>4059</v>
      </c>
      <c r="B390">
        <v>390</v>
      </c>
    </row>
    <row r="391" spans="1:2" x14ac:dyDescent="0.25">
      <c r="A391" t="s">
        <v>4077</v>
      </c>
      <c r="B391">
        <v>391</v>
      </c>
    </row>
    <row r="392" spans="1:2" x14ac:dyDescent="0.25">
      <c r="A392" t="s">
        <v>4084</v>
      </c>
      <c r="B392">
        <v>392</v>
      </c>
    </row>
    <row r="393" spans="1:2" x14ac:dyDescent="0.25">
      <c r="A393" t="s">
        <v>4080</v>
      </c>
      <c r="B393">
        <v>393</v>
      </c>
    </row>
    <row r="394" spans="1:2" x14ac:dyDescent="0.25">
      <c r="A394" t="s">
        <v>4086</v>
      </c>
      <c r="B394">
        <v>394</v>
      </c>
    </row>
    <row r="395" spans="1:2" x14ac:dyDescent="0.25">
      <c r="A395" t="s">
        <v>4081</v>
      </c>
      <c r="B395">
        <v>395</v>
      </c>
    </row>
    <row r="396" spans="1:2" x14ac:dyDescent="0.25">
      <c r="A396" t="s">
        <v>4082</v>
      </c>
      <c r="B396">
        <v>396</v>
      </c>
    </row>
    <row r="397" spans="1:2" x14ac:dyDescent="0.25">
      <c r="A397" t="s">
        <v>4079</v>
      </c>
      <c r="B397">
        <v>397</v>
      </c>
    </row>
    <row r="398" spans="1:2" x14ac:dyDescent="0.25">
      <c r="A398" t="s">
        <v>4090</v>
      </c>
      <c r="B398">
        <v>398</v>
      </c>
    </row>
    <row r="399" spans="1:2" x14ac:dyDescent="0.25">
      <c r="A399" t="s">
        <v>4087</v>
      </c>
      <c r="B399">
        <v>399</v>
      </c>
    </row>
    <row r="400" spans="1:2" x14ac:dyDescent="0.25">
      <c r="A400" t="s">
        <v>4091</v>
      </c>
      <c r="B400">
        <v>400</v>
      </c>
    </row>
    <row r="401" spans="1:2" x14ac:dyDescent="0.25">
      <c r="A401" t="s">
        <v>4083</v>
      </c>
      <c r="B401">
        <v>401</v>
      </c>
    </row>
    <row r="402" spans="1:2" x14ac:dyDescent="0.25">
      <c r="A402" t="s">
        <v>4078</v>
      </c>
      <c r="B402">
        <v>402</v>
      </c>
    </row>
    <row r="403" spans="1:2" x14ac:dyDescent="0.25">
      <c r="A403" t="s">
        <v>4088</v>
      </c>
      <c r="B403">
        <v>403</v>
      </c>
    </row>
    <row r="404" spans="1:2" x14ac:dyDescent="0.25">
      <c r="A404" t="s">
        <v>4085</v>
      </c>
      <c r="B404">
        <v>404</v>
      </c>
    </row>
    <row r="405" spans="1:2" x14ac:dyDescent="0.25">
      <c r="A405" t="s">
        <v>4089</v>
      </c>
      <c r="B405">
        <v>405</v>
      </c>
    </row>
    <row r="406" spans="1:2" x14ac:dyDescent="0.25">
      <c r="A406" t="s">
        <v>3312</v>
      </c>
      <c r="B406">
        <v>406</v>
      </c>
    </row>
    <row r="407" spans="1:2" x14ac:dyDescent="0.25">
      <c r="A407" t="s">
        <v>3342</v>
      </c>
      <c r="B407">
        <v>407</v>
      </c>
    </row>
    <row r="408" spans="1:2" x14ac:dyDescent="0.25">
      <c r="A408" t="s">
        <v>3372</v>
      </c>
      <c r="B408">
        <v>408</v>
      </c>
    </row>
    <row r="409" spans="1:2" x14ac:dyDescent="0.25">
      <c r="A409" t="s">
        <v>3402</v>
      </c>
      <c r="B409">
        <v>409</v>
      </c>
    </row>
    <row r="410" spans="1:2" x14ac:dyDescent="0.25">
      <c r="A410" t="s">
        <v>3432</v>
      </c>
      <c r="B410">
        <v>410</v>
      </c>
    </row>
    <row r="411" spans="1:2" x14ac:dyDescent="0.25">
      <c r="A411" t="s">
        <v>3462</v>
      </c>
      <c r="B411">
        <v>411</v>
      </c>
    </row>
    <row r="412" spans="1:2" x14ac:dyDescent="0.25">
      <c r="A412" t="s">
        <v>3492</v>
      </c>
      <c r="B412">
        <v>412</v>
      </c>
    </row>
    <row r="413" spans="1:2" x14ac:dyDescent="0.25">
      <c r="A413" t="s">
        <v>3522</v>
      </c>
      <c r="B413">
        <v>413</v>
      </c>
    </row>
    <row r="414" spans="1:2" x14ac:dyDescent="0.25">
      <c r="A414" t="s">
        <v>3552</v>
      </c>
      <c r="B414">
        <v>414</v>
      </c>
    </row>
    <row r="415" spans="1:2" x14ac:dyDescent="0.25">
      <c r="A415" t="s">
        <v>3582</v>
      </c>
      <c r="B415">
        <v>415</v>
      </c>
    </row>
    <row r="416" spans="1:2" x14ac:dyDescent="0.25">
      <c r="A416" t="s">
        <v>3612</v>
      </c>
      <c r="B416">
        <v>416</v>
      </c>
    </row>
    <row r="417" spans="1:2" x14ac:dyDescent="0.25">
      <c r="A417" t="s">
        <v>3642</v>
      </c>
      <c r="B417">
        <v>417</v>
      </c>
    </row>
    <row r="418" spans="1:2" x14ac:dyDescent="0.25">
      <c r="A418" t="s">
        <v>3672</v>
      </c>
      <c r="B418">
        <v>418</v>
      </c>
    </row>
    <row r="419" spans="1:2" x14ac:dyDescent="0.25">
      <c r="A419" t="s">
        <v>3702</v>
      </c>
      <c r="B419">
        <v>419</v>
      </c>
    </row>
    <row r="420" spans="1:2" x14ac:dyDescent="0.25">
      <c r="A420" t="s">
        <v>3732</v>
      </c>
      <c r="B420">
        <v>420</v>
      </c>
    </row>
    <row r="421" spans="1:2" x14ac:dyDescent="0.25">
      <c r="A421" t="s">
        <v>3762</v>
      </c>
      <c r="B421">
        <v>421</v>
      </c>
    </row>
    <row r="422" spans="1:2" x14ac:dyDescent="0.25">
      <c r="A422" t="s">
        <v>3792</v>
      </c>
      <c r="B422">
        <v>422</v>
      </c>
    </row>
    <row r="423" spans="1:2" x14ac:dyDescent="0.25">
      <c r="A423" t="s">
        <v>3822</v>
      </c>
      <c r="B423">
        <v>423</v>
      </c>
    </row>
    <row r="424" spans="1:2" x14ac:dyDescent="0.25">
      <c r="A424" t="s">
        <v>3852</v>
      </c>
      <c r="B424">
        <v>424</v>
      </c>
    </row>
    <row r="425" spans="1:2" x14ac:dyDescent="0.25">
      <c r="A425" t="s">
        <v>3882</v>
      </c>
      <c r="B425">
        <v>425</v>
      </c>
    </row>
    <row r="426" spans="1:2" x14ac:dyDescent="0.25">
      <c r="A426" t="s">
        <v>3912</v>
      </c>
      <c r="B426">
        <v>426</v>
      </c>
    </row>
    <row r="427" spans="1:2" x14ac:dyDescent="0.25">
      <c r="A427" t="s">
        <v>3942</v>
      </c>
      <c r="B427">
        <v>427</v>
      </c>
    </row>
    <row r="428" spans="1:2" x14ac:dyDescent="0.25">
      <c r="A428" t="s">
        <v>3972</v>
      </c>
      <c r="B428">
        <v>428</v>
      </c>
    </row>
    <row r="429" spans="1:2" x14ac:dyDescent="0.25">
      <c r="A429" t="s">
        <v>4002</v>
      </c>
      <c r="B429">
        <v>429</v>
      </c>
    </row>
    <row r="430" spans="1:2" x14ac:dyDescent="0.25">
      <c r="A430" t="s">
        <v>4032</v>
      </c>
      <c r="B430">
        <v>430</v>
      </c>
    </row>
    <row r="431" spans="1:2" x14ac:dyDescent="0.25">
      <c r="A431" t="s">
        <v>4062</v>
      </c>
      <c r="B431">
        <v>431</v>
      </c>
    </row>
    <row r="432" spans="1:2" x14ac:dyDescent="0.25">
      <c r="A432" t="s">
        <v>4092</v>
      </c>
      <c r="B432">
        <v>432</v>
      </c>
    </row>
    <row r="433" spans="1:2" x14ac:dyDescent="0.25">
      <c r="A433" t="s">
        <v>4107</v>
      </c>
      <c r="B433">
        <v>433</v>
      </c>
    </row>
    <row r="434" spans="1:2" x14ac:dyDescent="0.25">
      <c r="A434" t="s">
        <v>4107</v>
      </c>
      <c r="B434">
        <v>434</v>
      </c>
    </row>
    <row r="435" spans="1:2" x14ac:dyDescent="0.25">
      <c r="A435" t="s">
        <v>4151</v>
      </c>
      <c r="B435">
        <v>435</v>
      </c>
    </row>
    <row r="436" spans="1:2" x14ac:dyDescent="0.25">
      <c r="A436" t="s">
        <v>4181</v>
      </c>
      <c r="B436">
        <v>436</v>
      </c>
    </row>
    <row r="437" spans="1:2" x14ac:dyDescent="0.25">
      <c r="A437" t="s">
        <v>4211</v>
      </c>
      <c r="B437">
        <v>437</v>
      </c>
    </row>
    <row r="438" spans="1:2" x14ac:dyDescent="0.25">
      <c r="A438" t="s">
        <v>4241</v>
      </c>
      <c r="B438">
        <v>438</v>
      </c>
    </row>
    <row r="439" spans="1:2" x14ac:dyDescent="0.25">
      <c r="A439" t="s">
        <v>4271</v>
      </c>
      <c r="B439">
        <v>439</v>
      </c>
    </row>
    <row r="440" spans="1:2" x14ac:dyDescent="0.25">
      <c r="A440" t="s">
        <v>4301</v>
      </c>
      <c r="B440">
        <v>440</v>
      </c>
    </row>
    <row r="441" spans="1:2" x14ac:dyDescent="0.25">
      <c r="A441" t="s">
        <v>4331</v>
      </c>
      <c r="B441">
        <v>441</v>
      </c>
    </row>
    <row r="442" spans="1:2" x14ac:dyDescent="0.25">
      <c r="A442" t="s">
        <v>4361</v>
      </c>
      <c r="B442">
        <v>442</v>
      </c>
    </row>
    <row r="443" spans="1:2" x14ac:dyDescent="0.25">
      <c r="A443" t="s">
        <v>4391</v>
      </c>
      <c r="B443">
        <v>443</v>
      </c>
    </row>
    <row r="444" spans="1:2" x14ac:dyDescent="0.25">
      <c r="A444" t="s">
        <v>4421</v>
      </c>
      <c r="B444">
        <v>444</v>
      </c>
    </row>
    <row r="445" spans="1:2" x14ac:dyDescent="0.25">
      <c r="A445" t="s">
        <v>4451</v>
      </c>
      <c r="B445">
        <v>445</v>
      </c>
    </row>
    <row r="446" spans="1:2" x14ac:dyDescent="0.25">
      <c r="A446" t="s">
        <v>4481</v>
      </c>
      <c r="B446">
        <v>446</v>
      </c>
    </row>
    <row r="447" spans="1:2" x14ac:dyDescent="0.25">
      <c r="A447" t="s">
        <v>4511</v>
      </c>
      <c r="B447">
        <v>447</v>
      </c>
    </row>
    <row r="448" spans="1:2" x14ac:dyDescent="0.25">
      <c r="A448" t="s">
        <v>4541</v>
      </c>
      <c r="B448">
        <v>448</v>
      </c>
    </row>
    <row r="449" spans="1:2" x14ac:dyDescent="0.25">
      <c r="A449" t="s">
        <v>4114</v>
      </c>
      <c r="B449">
        <v>449</v>
      </c>
    </row>
    <row r="450" spans="1:2" x14ac:dyDescent="0.25">
      <c r="A450" t="s">
        <v>4114</v>
      </c>
      <c r="B450">
        <v>450</v>
      </c>
    </row>
    <row r="451" spans="1:2" x14ac:dyDescent="0.25">
      <c r="A451" t="s">
        <v>4598</v>
      </c>
      <c r="B451">
        <v>451</v>
      </c>
    </row>
    <row r="452" spans="1:2" x14ac:dyDescent="0.25">
      <c r="A452" t="s">
        <v>4628</v>
      </c>
      <c r="B452">
        <v>452</v>
      </c>
    </row>
    <row r="453" spans="1:2" x14ac:dyDescent="0.25">
      <c r="A453" t="s">
        <v>4658</v>
      </c>
      <c r="B453">
        <v>453</v>
      </c>
    </row>
    <row r="454" spans="1:2" x14ac:dyDescent="0.25">
      <c r="A454" t="s">
        <v>4688</v>
      </c>
      <c r="B454">
        <v>454</v>
      </c>
    </row>
    <row r="455" spans="1:2" x14ac:dyDescent="0.25">
      <c r="A455" t="s">
        <v>4718</v>
      </c>
      <c r="B455">
        <v>455</v>
      </c>
    </row>
    <row r="456" spans="1:2" x14ac:dyDescent="0.25">
      <c r="A456" t="s">
        <v>4110</v>
      </c>
      <c r="B456">
        <v>456</v>
      </c>
    </row>
    <row r="457" spans="1:2" x14ac:dyDescent="0.25">
      <c r="A457" t="s">
        <v>4110</v>
      </c>
      <c r="B457">
        <v>457</v>
      </c>
    </row>
    <row r="458" spans="1:2" x14ac:dyDescent="0.25">
      <c r="A458" t="s">
        <v>4773</v>
      </c>
      <c r="B458">
        <v>458</v>
      </c>
    </row>
    <row r="459" spans="1:2" x14ac:dyDescent="0.25">
      <c r="A459" t="s">
        <v>4803</v>
      </c>
      <c r="B459">
        <v>459</v>
      </c>
    </row>
    <row r="460" spans="1:2" x14ac:dyDescent="0.25">
      <c r="A460" t="s">
        <v>4833</v>
      </c>
      <c r="B460">
        <v>460</v>
      </c>
    </row>
    <row r="461" spans="1:2" x14ac:dyDescent="0.25">
      <c r="A461" t="s">
        <v>4863</v>
      </c>
      <c r="B461">
        <v>461</v>
      </c>
    </row>
    <row r="462" spans="1:2" x14ac:dyDescent="0.25">
      <c r="A462" t="s">
        <v>4893</v>
      </c>
      <c r="B462">
        <v>462</v>
      </c>
    </row>
    <row r="463" spans="1:2" x14ac:dyDescent="0.25">
      <c r="A463" t="s">
        <v>4923</v>
      </c>
      <c r="B463">
        <v>463</v>
      </c>
    </row>
    <row r="464" spans="1:2" x14ac:dyDescent="0.25">
      <c r="A464" t="s">
        <v>4953</v>
      </c>
      <c r="B464">
        <v>464</v>
      </c>
    </row>
    <row r="465" spans="1:2" x14ac:dyDescent="0.25">
      <c r="A465" t="s">
        <v>4983</v>
      </c>
      <c r="B465">
        <v>465</v>
      </c>
    </row>
    <row r="466" spans="1:2" x14ac:dyDescent="0.25">
      <c r="A466" t="s">
        <v>5013</v>
      </c>
      <c r="B466">
        <v>466</v>
      </c>
    </row>
    <row r="467" spans="1:2" x14ac:dyDescent="0.25">
      <c r="A467" t="s">
        <v>5043</v>
      </c>
      <c r="B467">
        <v>467</v>
      </c>
    </row>
    <row r="468" spans="1:2" x14ac:dyDescent="0.25">
      <c r="A468" t="s">
        <v>4116</v>
      </c>
      <c r="B468">
        <v>468</v>
      </c>
    </row>
    <row r="469" spans="1:2" x14ac:dyDescent="0.25">
      <c r="A469" t="s">
        <v>4116</v>
      </c>
      <c r="B469">
        <v>469</v>
      </c>
    </row>
    <row r="470" spans="1:2" x14ac:dyDescent="0.25">
      <c r="A470" t="s">
        <v>4111</v>
      </c>
      <c r="B470">
        <v>470</v>
      </c>
    </row>
    <row r="471" spans="1:2" x14ac:dyDescent="0.25">
      <c r="A471" t="s">
        <v>4111</v>
      </c>
      <c r="B471">
        <v>471</v>
      </c>
    </row>
    <row r="472" spans="1:2" x14ac:dyDescent="0.25">
      <c r="A472" t="s">
        <v>4112</v>
      </c>
      <c r="B472">
        <v>472</v>
      </c>
    </row>
    <row r="473" spans="1:2" x14ac:dyDescent="0.25">
      <c r="A473" t="s">
        <v>4112</v>
      </c>
      <c r="B473">
        <v>473</v>
      </c>
    </row>
    <row r="474" spans="1:2" x14ac:dyDescent="0.25">
      <c r="A474" t="s">
        <v>5136</v>
      </c>
      <c r="B474">
        <v>474</v>
      </c>
    </row>
    <row r="475" spans="1:2" x14ac:dyDescent="0.25">
      <c r="A475" t="s">
        <v>5166</v>
      </c>
      <c r="B475">
        <v>475</v>
      </c>
    </row>
    <row r="476" spans="1:2" x14ac:dyDescent="0.25">
      <c r="A476" t="s">
        <v>5196</v>
      </c>
      <c r="B476">
        <v>476</v>
      </c>
    </row>
    <row r="477" spans="1:2" x14ac:dyDescent="0.25">
      <c r="A477" t="s">
        <v>5226</v>
      </c>
      <c r="B477">
        <v>477</v>
      </c>
    </row>
    <row r="478" spans="1:2" x14ac:dyDescent="0.25">
      <c r="A478" t="s">
        <v>5256</v>
      </c>
      <c r="B478">
        <v>478</v>
      </c>
    </row>
    <row r="479" spans="1:2" x14ac:dyDescent="0.25">
      <c r="A479" t="s">
        <v>5286</v>
      </c>
      <c r="B479">
        <v>479</v>
      </c>
    </row>
    <row r="480" spans="1:2" x14ac:dyDescent="0.25">
      <c r="A480" t="s">
        <v>5316</v>
      </c>
      <c r="B480">
        <v>480</v>
      </c>
    </row>
    <row r="481" spans="1:2" x14ac:dyDescent="0.25">
      <c r="A481" t="s">
        <v>5346</v>
      </c>
      <c r="B481">
        <v>481</v>
      </c>
    </row>
    <row r="482" spans="1:2" x14ac:dyDescent="0.25">
      <c r="A482" t="s">
        <v>5376</v>
      </c>
      <c r="B482">
        <v>482</v>
      </c>
    </row>
    <row r="483" spans="1:2" x14ac:dyDescent="0.25">
      <c r="A483" t="s">
        <v>5406</v>
      </c>
      <c r="B483">
        <v>483</v>
      </c>
    </row>
    <row r="484" spans="1:2" x14ac:dyDescent="0.25">
      <c r="A484" t="s">
        <v>5436</v>
      </c>
      <c r="B484">
        <v>484</v>
      </c>
    </row>
    <row r="485" spans="1:2" x14ac:dyDescent="0.25">
      <c r="A485" t="s">
        <v>5466</v>
      </c>
      <c r="B485">
        <v>485</v>
      </c>
    </row>
    <row r="486" spans="1:2" x14ac:dyDescent="0.25">
      <c r="A486" t="s">
        <v>5496</v>
      </c>
      <c r="B486">
        <v>486</v>
      </c>
    </row>
    <row r="487" spans="1:2" x14ac:dyDescent="0.25">
      <c r="A487" t="s">
        <v>5526</v>
      </c>
      <c r="B487">
        <v>487</v>
      </c>
    </row>
    <row r="488" spans="1:2" x14ac:dyDescent="0.25">
      <c r="A488" t="s">
        <v>5556</v>
      </c>
      <c r="B488">
        <v>488</v>
      </c>
    </row>
    <row r="489" spans="1:2" x14ac:dyDescent="0.25">
      <c r="A489" t="s">
        <v>5586</v>
      </c>
      <c r="B489">
        <v>489</v>
      </c>
    </row>
    <row r="490" spans="1:2" x14ac:dyDescent="0.25">
      <c r="A490" t="s">
        <v>5616</v>
      </c>
      <c r="B490">
        <v>490</v>
      </c>
    </row>
    <row r="491" spans="1:2" x14ac:dyDescent="0.25">
      <c r="A491" t="s">
        <v>5646</v>
      </c>
      <c r="B491">
        <v>491</v>
      </c>
    </row>
    <row r="492" spans="1:2" x14ac:dyDescent="0.25">
      <c r="A492" t="s">
        <v>5676</v>
      </c>
      <c r="B492">
        <v>492</v>
      </c>
    </row>
    <row r="493" spans="1:2" x14ac:dyDescent="0.25">
      <c r="A493" t="s">
        <v>5706</v>
      </c>
      <c r="B493">
        <v>493</v>
      </c>
    </row>
    <row r="494" spans="1:2" x14ac:dyDescent="0.25">
      <c r="A494" t="s">
        <v>5736</v>
      </c>
      <c r="B494">
        <v>494</v>
      </c>
    </row>
    <row r="495" spans="1:2" x14ac:dyDescent="0.25">
      <c r="A495" t="s">
        <v>5766</v>
      </c>
      <c r="B495">
        <v>495</v>
      </c>
    </row>
    <row r="496" spans="1:2" x14ac:dyDescent="0.25">
      <c r="A496" t="s">
        <v>5796</v>
      </c>
      <c r="B496">
        <v>496</v>
      </c>
    </row>
    <row r="497" spans="1:2" x14ac:dyDescent="0.25">
      <c r="A497" t="s">
        <v>5826</v>
      </c>
      <c r="B497">
        <v>497</v>
      </c>
    </row>
    <row r="498" spans="1:2" x14ac:dyDescent="0.25">
      <c r="A498" t="s">
        <v>5856</v>
      </c>
      <c r="B498">
        <v>498</v>
      </c>
    </row>
    <row r="499" spans="1:2" x14ac:dyDescent="0.25">
      <c r="A499" t="s">
        <v>5886</v>
      </c>
      <c r="B499">
        <v>499</v>
      </c>
    </row>
    <row r="500" spans="1:2" x14ac:dyDescent="0.25">
      <c r="A500" t="s">
        <v>5916</v>
      </c>
      <c r="B500">
        <v>500</v>
      </c>
    </row>
    <row r="501" spans="1:2" x14ac:dyDescent="0.25">
      <c r="A501" t="s">
        <v>5946</v>
      </c>
      <c r="B501">
        <v>501</v>
      </c>
    </row>
    <row r="502" spans="1:2" x14ac:dyDescent="0.25">
      <c r="A502" t="s">
        <v>5976</v>
      </c>
      <c r="B502">
        <v>502</v>
      </c>
    </row>
    <row r="503" spans="1:2" x14ac:dyDescent="0.25">
      <c r="A503" t="s">
        <v>6006</v>
      </c>
      <c r="B503">
        <v>503</v>
      </c>
    </row>
    <row r="504" spans="1:2" x14ac:dyDescent="0.25">
      <c r="A504" t="s">
        <v>6036</v>
      </c>
      <c r="B504">
        <v>504</v>
      </c>
    </row>
    <row r="505" spans="1:2" x14ac:dyDescent="0.25">
      <c r="A505" t="s">
        <v>4109</v>
      </c>
      <c r="B505">
        <v>505</v>
      </c>
    </row>
    <row r="506" spans="1:2" x14ac:dyDescent="0.25">
      <c r="A506" t="s">
        <v>4109</v>
      </c>
      <c r="B506">
        <v>506</v>
      </c>
    </row>
    <row r="507" spans="1:2" x14ac:dyDescent="0.25">
      <c r="A507" t="s">
        <v>6083</v>
      </c>
      <c r="B507">
        <v>507</v>
      </c>
    </row>
    <row r="508" spans="1:2" x14ac:dyDescent="0.25">
      <c r="A508" t="s">
        <v>6113</v>
      </c>
      <c r="B508">
        <v>508</v>
      </c>
    </row>
    <row r="509" spans="1:2" x14ac:dyDescent="0.25">
      <c r="A509" t="s">
        <v>6143</v>
      </c>
      <c r="B509">
        <v>509</v>
      </c>
    </row>
    <row r="510" spans="1:2" x14ac:dyDescent="0.25">
      <c r="A510" t="s">
        <v>6173</v>
      </c>
      <c r="B510">
        <v>510</v>
      </c>
    </row>
    <row r="511" spans="1:2" x14ac:dyDescent="0.25">
      <c r="A511" t="s">
        <v>6203</v>
      </c>
      <c r="B511">
        <v>511</v>
      </c>
    </row>
    <row r="512" spans="1:2" x14ac:dyDescent="0.25">
      <c r="A512" t="s">
        <v>6233</v>
      </c>
      <c r="B512">
        <v>512</v>
      </c>
    </row>
    <row r="513" spans="1:2" x14ac:dyDescent="0.25">
      <c r="A513" t="s">
        <v>6263</v>
      </c>
      <c r="B513">
        <v>513</v>
      </c>
    </row>
    <row r="514" spans="1:2" x14ac:dyDescent="0.25">
      <c r="A514" t="s">
        <v>6293</v>
      </c>
      <c r="B514">
        <v>514</v>
      </c>
    </row>
    <row r="515" spans="1:2" x14ac:dyDescent="0.25">
      <c r="A515" t="s">
        <v>6323</v>
      </c>
      <c r="B515">
        <v>515</v>
      </c>
    </row>
    <row r="516" spans="1:2" x14ac:dyDescent="0.25">
      <c r="A516" t="s">
        <v>6353</v>
      </c>
      <c r="B516">
        <v>516</v>
      </c>
    </row>
    <row r="517" spans="1:2" x14ac:dyDescent="0.25">
      <c r="A517" t="s">
        <v>6383</v>
      </c>
      <c r="B517">
        <v>517</v>
      </c>
    </row>
    <row r="518" spans="1:2" x14ac:dyDescent="0.25">
      <c r="A518" t="s">
        <v>6413</v>
      </c>
      <c r="B518">
        <v>518</v>
      </c>
    </row>
    <row r="519" spans="1:2" x14ac:dyDescent="0.25">
      <c r="A519" t="s">
        <v>6443</v>
      </c>
      <c r="B519">
        <v>519</v>
      </c>
    </row>
    <row r="520" spans="1:2" x14ac:dyDescent="0.25">
      <c r="A520" t="s">
        <v>6473</v>
      </c>
      <c r="B520">
        <v>520</v>
      </c>
    </row>
    <row r="521" spans="1:2" x14ac:dyDescent="0.25">
      <c r="A521" t="s">
        <v>6503</v>
      </c>
      <c r="B521">
        <v>521</v>
      </c>
    </row>
    <row r="522" spans="1:2" x14ac:dyDescent="0.25">
      <c r="A522" t="s">
        <v>6533</v>
      </c>
      <c r="B522">
        <v>522</v>
      </c>
    </row>
    <row r="523" spans="1:2" x14ac:dyDescent="0.25">
      <c r="A523" t="s">
        <v>6563</v>
      </c>
      <c r="B523">
        <v>523</v>
      </c>
    </row>
    <row r="524" spans="1:2" x14ac:dyDescent="0.25">
      <c r="A524" t="s">
        <v>6593</v>
      </c>
      <c r="B524">
        <v>524</v>
      </c>
    </row>
    <row r="525" spans="1:2" x14ac:dyDescent="0.25">
      <c r="A525" t="s">
        <v>4120</v>
      </c>
      <c r="B525">
        <v>525</v>
      </c>
    </row>
    <row r="526" spans="1:2" x14ac:dyDescent="0.25">
      <c r="A526" t="s">
        <v>4120</v>
      </c>
      <c r="B526">
        <v>526</v>
      </c>
    </row>
    <row r="527" spans="1:2" x14ac:dyDescent="0.25">
      <c r="A527" t="s">
        <v>6638</v>
      </c>
      <c r="B527">
        <v>527</v>
      </c>
    </row>
    <row r="528" spans="1:2" x14ac:dyDescent="0.25">
      <c r="A528" t="s">
        <v>6668</v>
      </c>
      <c r="B528">
        <v>528</v>
      </c>
    </row>
    <row r="529" spans="1:2" x14ac:dyDescent="0.25">
      <c r="A529" t="s">
        <v>6698</v>
      </c>
      <c r="B529">
        <v>529</v>
      </c>
    </row>
    <row r="530" spans="1:2" x14ac:dyDescent="0.25">
      <c r="A530" t="s">
        <v>6728</v>
      </c>
      <c r="B530">
        <v>530</v>
      </c>
    </row>
    <row r="531" spans="1:2" x14ac:dyDescent="0.25">
      <c r="A531" t="s">
        <v>6758</v>
      </c>
      <c r="B531">
        <v>531</v>
      </c>
    </row>
    <row r="532" spans="1:2" x14ac:dyDescent="0.25">
      <c r="A532" t="s">
        <v>6788</v>
      </c>
      <c r="B532">
        <v>532</v>
      </c>
    </row>
    <row r="533" spans="1:2" x14ac:dyDescent="0.25">
      <c r="A533" t="s">
        <v>6818</v>
      </c>
      <c r="B533">
        <v>533</v>
      </c>
    </row>
    <row r="534" spans="1:2" x14ac:dyDescent="0.25">
      <c r="A534" t="s">
        <v>6848</v>
      </c>
      <c r="B534">
        <v>534</v>
      </c>
    </row>
    <row r="535" spans="1:2" x14ac:dyDescent="0.25">
      <c r="A535" t="s">
        <v>4117</v>
      </c>
      <c r="B535">
        <v>535</v>
      </c>
    </row>
    <row r="536" spans="1:2" x14ac:dyDescent="0.25">
      <c r="A536" t="s">
        <v>4117</v>
      </c>
      <c r="B536">
        <v>536</v>
      </c>
    </row>
    <row r="537" spans="1:2" x14ac:dyDescent="0.25">
      <c r="A537" t="s">
        <v>6891</v>
      </c>
      <c r="B537">
        <v>537</v>
      </c>
    </row>
    <row r="538" spans="1:2" x14ac:dyDescent="0.25">
      <c r="A538" t="s">
        <v>6921</v>
      </c>
      <c r="B538">
        <v>538</v>
      </c>
    </row>
    <row r="539" spans="1:2" x14ac:dyDescent="0.25">
      <c r="A539" t="s">
        <v>6951</v>
      </c>
      <c r="B539">
        <v>539</v>
      </c>
    </row>
    <row r="540" spans="1:2" x14ac:dyDescent="0.25">
      <c r="A540" t="s">
        <v>6981</v>
      </c>
      <c r="B540">
        <v>540</v>
      </c>
    </row>
    <row r="541" spans="1:2" x14ac:dyDescent="0.25">
      <c r="A541" t="s">
        <v>7011</v>
      </c>
      <c r="B541">
        <v>541</v>
      </c>
    </row>
    <row r="542" spans="1:2" x14ac:dyDescent="0.25">
      <c r="A542" t="s">
        <v>7041</v>
      </c>
      <c r="B542">
        <v>542</v>
      </c>
    </row>
    <row r="543" spans="1:2" x14ac:dyDescent="0.25">
      <c r="A543" t="s">
        <v>7071</v>
      </c>
      <c r="B543">
        <v>543</v>
      </c>
    </row>
    <row r="544" spans="1:2" x14ac:dyDescent="0.25">
      <c r="A544" t="s">
        <v>7101</v>
      </c>
      <c r="B544">
        <v>544</v>
      </c>
    </row>
    <row r="545" spans="1:2" x14ac:dyDescent="0.25">
      <c r="A545" t="s">
        <v>4121</v>
      </c>
      <c r="B545">
        <v>545</v>
      </c>
    </row>
    <row r="546" spans="1:2" x14ac:dyDescent="0.25">
      <c r="A546" t="s">
        <v>4121</v>
      </c>
      <c r="B546">
        <v>546</v>
      </c>
    </row>
    <row r="547" spans="1:2" x14ac:dyDescent="0.25">
      <c r="A547" t="s">
        <v>7142</v>
      </c>
      <c r="B547">
        <v>547</v>
      </c>
    </row>
    <row r="548" spans="1:2" x14ac:dyDescent="0.25">
      <c r="A548" t="s">
        <v>7172</v>
      </c>
      <c r="B548">
        <v>548</v>
      </c>
    </row>
    <row r="549" spans="1:2" x14ac:dyDescent="0.25">
      <c r="A549" t="s">
        <v>7202</v>
      </c>
      <c r="B549">
        <v>549</v>
      </c>
    </row>
    <row r="550" spans="1:2" x14ac:dyDescent="0.25">
      <c r="A550" t="s">
        <v>7232</v>
      </c>
      <c r="B550">
        <v>550</v>
      </c>
    </row>
    <row r="551" spans="1:2" x14ac:dyDescent="0.25">
      <c r="A551" t="s">
        <v>7262</v>
      </c>
      <c r="B551">
        <v>551</v>
      </c>
    </row>
    <row r="552" spans="1:2" x14ac:dyDescent="0.25">
      <c r="A552" t="s">
        <v>4113</v>
      </c>
      <c r="B552">
        <v>552</v>
      </c>
    </row>
    <row r="553" spans="1:2" x14ac:dyDescent="0.25">
      <c r="A553" t="s">
        <v>4113</v>
      </c>
      <c r="B553">
        <v>553</v>
      </c>
    </row>
    <row r="554" spans="1:2" x14ac:dyDescent="0.25">
      <c r="A554" t="s">
        <v>7301</v>
      </c>
      <c r="B554">
        <v>554</v>
      </c>
    </row>
    <row r="555" spans="1:2" x14ac:dyDescent="0.25">
      <c r="A555" t="s">
        <v>7331</v>
      </c>
      <c r="B555">
        <v>555</v>
      </c>
    </row>
    <row r="556" spans="1:2" x14ac:dyDescent="0.25">
      <c r="A556" t="s">
        <v>7361</v>
      </c>
      <c r="B556">
        <v>556</v>
      </c>
    </row>
    <row r="557" spans="1:2" x14ac:dyDescent="0.25">
      <c r="A557" t="s">
        <v>7391</v>
      </c>
      <c r="B557">
        <v>557</v>
      </c>
    </row>
    <row r="558" spans="1:2" x14ac:dyDescent="0.25">
      <c r="A558" t="s">
        <v>7421</v>
      </c>
      <c r="B558">
        <v>558</v>
      </c>
    </row>
    <row r="559" spans="1:2" x14ac:dyDescent="0.25">
      <c r="A559" t="s">
        <v>7451</v>
      </c>
      <c r="B559">
        <v>559</v>
      </c>
    </row>
    <row r="560" spans="1:2" x14ac:dyDescent="0.25">
      <c r="A560" t="s">
        <v>7481</v>
      </c>
      <c r="B560">
        <v>560</v>
      </c>
    </row>
    <row r="561" spans="1:2" x14ac:dyDescent="0.25">
      <c r="A561" t="s">
        <v>7511</v>
      </c>
      <c r="B561">
        <v>561</v>
      </c>
    </row>
    <row r="562" spans="1:2" x14ac:dyDescent="0.25">
      <c r="A562" t="s">
        <v>7541</v>
      </c>
      <c r="B562">
        <v>562</v>
      </c>
    </row>
    <row r="563" spans="1:2" x14ac:dyDescent="0.25">
      <c r="A563" t="s">
        <v>7571</v>
      </c>
      <c r="B563">
        <v>563</v>
      </c>
    </row>
    <row r="564" spans="1:2" x14ac:dyDescent="0.25">
      <c r="A564" t="s">
        <v>7601</v>
      </c>
      <c r="B564">
        <v>564</v>
      </c>
    </row>
    <row r="565" spans="1:2" x14ac:dyDescent="0.25">
      <c r="A565" t="s">
        <v>7631</v>
      </c>
      <c r="B565">
        <v>565</v>
      </c>
    </row>
    <row r="566" spans="1:2" x14ac:dyDescent="0.25">
      <c r="A566" t="s">
        <v>7661</v>
      </c>
      <c r="B566">
        <v>566</v>
      </c>
    </row>
    <row r="567" spans="1:2" x14ac:dyDescent="0.25">
      <c r="A567" t="s">
        <v>7691</v>
      </c>
      <c r="B567">
        <v>567</v>
      </c>
    </row>
    <row r="568" spans="1:2" x14ac:dyDescent="0.25">
      <c r="A568" t="s">
        <v>7721</v>
      </c>
      <c r="B568">
        <v>568</v>
      </c>
    </row>
    <row r="569" spans="1:2" x14ac:dyDescent="0.25">
      <c r="A569" t="s">
        <v>7751</v>
      </c>
      <c r="B569">
        <v>569</v>
      </c>
    </row>
    <row r="570" spans="1:2" x14ac:dyDescent="0.25">
      <c r="A570" t="s">
        <v>7781</v>
      </c>
      <c r="B570">
        <v>570</v>
      </c>
    </row>
    <row r="571" spans="1:2" x14ac:dyDescent="0.25">
      <c r="A571" t="s">
        <v>7811</v>
      </c>
      <c r="B571">
        <v>571</v>
      </c>
    </row>
    <row r="572" spans="1:2" x14ac:dyDescent="0.25">
      <c r="A572" t="s">
        <v>7841</v>
      </c>
      <c r="B572">
        <v>572</v>
      </c>
    </row>
    <row r="573" spans="1:2" x14ac:dyDescent="0.25">
      <c r="A573" t="s">
        <v>7871</v>
      </c>
      <c r="B573">
        <v>573</v>
      </c>
    </row>
    <row r="574" spans="1:2" x14ac:dyDescent="0.25">
      <c r="A574" t="s">
        <v>7901</v>
      </c>
      <c r="B574">
        <v>574</v>
      </c>
    </row>
    <row r="575" spans="1:2" x14ac:dyDescent="0.25">
      <c r="A575" t="s">
        <v>7931</v>
      </c>
      <c r="B575">
        <v>575</v>
      </c>
    </row>
    <row r="576" spans="1:2" x14ac:dyDescent="0.25">
      <c r="A576" t="s">
        <v>7961</v>
      </c>
      <c r="B576">
        <v>576</v>
      </c>
    </row>
    <row r="577" spans="1:2" x14ac:dyDescent="0.25">
      <c r="A577" t="s">
        <v>7991</v>
      </c>
      <c r="B577">
        <v>577</v>
      </c>
    </row>
    <row r="578" spans="1:2" x14ac:dyDescent="0.25">
      <c r="A578" t="s">
        <v>8021</v>
      </c>
      <c r="B578">
        <v>578</v>
      </c>
    </row>
    <row r="579" spans="1:2" x14ac:dyDescent="0.25">
      <c r="A579" t="s">
        <v>8051</v>
      </c>
      <c r="B579">
        <v>579</v>
      </c>
    </row>
    <row r="580" spans="1:2" x14ac:dyDescent="0.25">
      <c r="A580" t="s">
        <v>8081</v>
      </c>
      <c r="B580">
        <v>580</v>
      </c>
    </row>
    <row r="581" spans="1:2" x14ac:dyDescent="0.25">
      <c r="A581" t="s">
        <v>8111</v>
      </c>
      <c r="B581">
        <v>581</v>
      </c>
    </row>
    <row r="582" spans="1:2" x14ac:dyDescent="0.25">
      <c r="A582" t="s">
        <v>8141</v>
      </c>
      <c r="B582">
        <v>582</v>
      </c>
    </row>
    <row r="583" spans="1:2" x14ac:dyDescent="0.25">
      <c r="A583" t="s">
        <v>8171</v>
      </c>
      <c r="B583">
        <v>583</v>
      </c>
    </row>
    <row r="584" spans="1:2" x14ac:dyDescent="0.25">
      <c r="A584" t="s">
        <v>4108</v>
      </c>
      <c r="B584">
        <v>584</v>
      </c>
    </row>
    <row r="585" spans="1:2" x14ac:dyDescent="0.25">
      <c r="A585" t="s">
        <v>4108</v>
      </c>
      <c r="B585">
        <v>585</v>
      </c>
    </row>
    <row r="586" spans="1:2" x14ac:dyDescent="0.25">
      <c r="A586" t="s">
        <v>4118</v>
      </c>
      <c r="B586">
        <v>586</v>
      </c>
    </row>
    <row r="587" spans="1:2" x14ac:dyDescent="0.25">
      <c r="A587" t="s">
        <v>4118</v>
      </c>
      <c r="B587">
        <v>587</v>
      </c>
    </row>
    <row r="588" spans="1:2" x14ac:dyDescent="0.25">
      <c r="A588" t="s">
        <v>8213</v>
      </c>
      <c r="B588">
        <v>588</v>
      </c>
    </row>
    <row r="589" spans="1:2" x14ac:dyDescent="0.25">
      <c r="A589" t="s">
        <v>8243</v>
      </c>
      <c r="B589">
        <v>589</v>
      </c>
    </row>
    <row r="590" spans="1:2" x14ac:dyDescent="0.25">
      <c r="A590" t="s">
        <v>8273</v>
      </c>
      <c r="B590">
        <v>590</v>
      </c>
    </row>
    <row r="591" spans="1:2" x14ac:dyDescent="0.25">
      <c r="A591" t="s">
        <v>8303</v>
      </c>
      <c r="B591">
        <v>591</v>
      </c>
    </row>
    <row r="592" spans="1:2" x14ac:dyDescent="0.25">
      <c r="A592" t="s">
        <v>8333</v>
      </c>
      <c r="B592">
        <v>592</v>
      </c>
    </row>
    <row r="593" spans="1:2" x14ac:dyDescent="0.25">
      <c r="A593" t="s">
        <v>8363</v>
      </c>
      <c r="B593">
        <v>593</v>
      </c>
    </row>
    <row r="594" spans="1:2" x14ac:dyDescent="0.25">
      <c r="A594" t="s">
        <v>8393</v>
      </c>
      <c r="B594">
        <v>594</v>
      </c>
    </row>
    <row r="595" spans="1:2" x14ac:dyDescent="0.25">
      <c r="A595" t="s">
        <v>8423</v>
      </c>
      <c r="B595">
        <v>595</v>
      </c>
    </row>
    <row r="596" spans="1:2" x14ac:dyDescent="0.25">
      <c r="A596" t="s">
        <v>8453</v>
      </c>
      <c r="B596">
        <v>596</v>
      </c>
    </row>
    <row r="597" spans="1:2" x14ac:dyDescent="0.25">
      <c r="A597" t="s">
        <v>8483</v>
      </c>
      <c r="B597">
        <v>597</v>
      </c>
    </row>
    <row r="598" spans="1:2" x14ac:dyDescent="0.25">
      <c r="A598" t="s">
        <v>8513</v>
      </c>
      <c r="B598">
        <v>598</v>
      </c>
    </row>
    <row r="599" spans="1:2" x14ac:dyDescent="0.25">
      <c r="A599" t="s">
        <v>8543</v>
      </c>
      <c r="B599">
        <v>599</v>
      </c>
    </row>
    <row r="600" spans="1:2" x14ac:dyDescent="0.25">
      <c r="A600" t="s">
        <v>8573</v>
      </c>
      <c r="B600">
        <v>600</v>
      </c>
    </row>
    <row r="601" spans="1:2" x14ac:dyDescent="0.25">
      <c r="A601" t="s">
        <v>8603</v>
      </c>
      <c r="B601">
        <v>601</v>
      </c>
    </row>
    <row r="602" spans="1:2" x14ac:dyDescent="0.25">
      <c r="A602" t="s">
        <v>8633</v>
      </c>
      <c r="B602">
        <v>602</v>
      </c>
    </row>
    <row r="603" spans="1:2" x14ac:dyDescent="0.25">
      <c r="A603" t="s">
        <v>4115</v>
      </c>
      <c r="B603">
        <v>603</v>
      </c>
    </row>
    <row r="604" spans="1:2" x14ac:dyDescent="0.25">
      <c r="A604" t="s">
        <v>4115</v>
      </c>
      <c r="B604">
        <v>604</v>
      </c>
    </row>
    <row r="605" spans="1:2" x14ac:dyDescent="0.25">
      <c r="A605" t="s">
        <v>8666</v>
      </c>
      <c r="B605">
        <v>605</v>
      </c>
    </row>
    <row r="606" spans="1:2" x14ac:dyDescent="0.25">
      <c r="A606" t="s">
        <v>8696</v>
      </c>
      <c r="B606">
        <v>606</v>
      </c>
    </row>
    <row r="607" spans="1:2" x14ac:dyDescent="0.25">
      <c r="A607" t="s">
        <v>8726</v>
      </c>
      <c r="B607">
        <v>607</v>
      </c>
    </row>
    <row r="608" spans="1:2" x14ac:dyDescent="0.25">
      <c r="A608" t="s">
        <v>8756</v>
      </c>
      <c r="B608">
        <v>608</v>
      </c>
    </row>
    <row r="609" spans="1:2" x14ac:dyDescent="0.25">
      <c r="A609" t="s">
        <v>8786</v>
      </c>
      <c r="B609">
        <v>609</v>
      </c>
    </row>
    <row r="610" spans="1:2" x14ac:dyDescent="0.25">
      <c r="A610" t="s">
        <v>8816</v>
      </c>
      <c r="B610">
        <v>610</v>
      </c>
    </row>
    <row r="611" spans="1:2" x14ac:dyDescent="0.25">
      <c r="A611" t="s">
        <v>8846</v>
      </c>
      <c r="B611">
        <v>611</v>
      </c>
    </row>
    <row r="612" spans="1:2" x14ac:dyDescent="0.25">
      <c r="A612" t="s">
        <v>8876</v>
      </c>
      <c r="B612">
        <v>612</v>
      </c>
    </row>
    <row r="613" spans="1:2" x14ac:dyDescent="0.25">
      <c r="A613" t="s">
        <v>4119</v>
      </c>
      <c r="B613">
        <v>613</v>
      </c>
    </row>
    <row r="614" spans="1:2" x14ac:dyDescent="0.25">
      <c r="A614" t="s">
        <v>4119</v>
      </c>
      <c r="B614">
        <v>614</v>
      </c>
    </row>
    <row r="615" spans="1:2" x14ac:dyDescent="0.25">
      <c r="A615" t="s">
        <v>8907</v>
      </c>
      <c r="B615">
        <v>615</v>
      </c>
    </row>
    <row r="616" spans="1:2" x14ac:dyDescent="0.25">
      <c r="A616" t="s">
        <v>4136</v>
      </c>
      <c r="B616">
        <v>616</v>
      </c>
    </row>
    <row r="617" spans="1:2" x14ac:dyDescent="0.25">
      <c r="A617" t="s">
        <v>4143</v>
      </c>
      <c r="B617">
        <v>617</v>
      </c>
    </row>
    <row r="618" spans="1:2" x14ac:dyDescent="0.25">
      <c r="A618" t="s">
        <v>4139</v>
      </c>
      <c r="B618">
        <v>618</v>
      </c>
    </row>
    <row r="619" spans="1:2" x14ac:dyDescent="0.25">
      <c r="A619" t="s">
        <v>4145</v>
      </c>
      <c r="B619">
        <v>619</v>
      </c>
    </row>
    <row r="620" spans="1:2" x14ac:dyDescent="0.25">
      <c r="A620" t="s">
        <v>4140</v>
      </c>
      <c r="B620">
        <v>620</v>
      </c>
    </row>
    <row r="621" spans="1:2" x14ac:dyDescent="0.25">
      <c r="A621" t="s">
        <v>4141</v>
      </c>
      <c r="B621">
        <v>621</v>
      </c>
    </row>
    <row r="622" spans="1:2" x14ac:dyDescent="0.25">
      <c r="A622" t="s">
        <v>4138</v>
      </c>
      <c r="B622">
        <v>622</v>
      </c>
    </row>
    <row r="623" spans="1:2" x14ac:dyDescent="0.25">
      <c r="A623" t="s">
        <v>4149</v>
      </c>
      <c r="B623">
        <v>623</v>
      </c>
    </row>
    <row r="624" spans="1:2" x14ac:dyDescent="0.25">
      <c r="A624" t="s">
        <v>4146</v>
      </c>
      <c r="B624">
        <v>624</v>
      </c>
    </row>
    <row r="625" spans="1:2" x14ac:dyDescent="0.25">
      <c r="A625" t="s">
        <v>4150</v>
      </c>
      <c r="B625">
        <v>625</v>
      </c>
    </row>
    <row r="626" spans="1:2" x14ac:dyDescent="0.25">
      <c r="A626" t="s">
        <v>4142</v>
      </c>
      <c r="B626">
        <v>626</v>
      </c>
    </row>
    <row r="627" spans="1:2" x14ac:dyDescent="0.25">
      <c r="A627" t="s">
        <v>4137</v>
      </c>
      <c r="B627">
        <v>627</v>
      </c>
    </row>
    <row r="628" spans="1:2" x14ac:dyDescent="0.25">
      <c r="A628" t="s">
        <v>4147</v>
      </c>
      <c r="B628">
        <v>628</v>
      </c>
    </row>
    <row r="629" spans="1:2" x14ac:dyDescent="0.25">
      <c r="A629" t="s">
        <v>4144</v>
      </c>
      <c r="B629">
        <v>629</v>
      </c>
    </row>
    <row r="630" spans="1:2" x14ac:dyDescent="0.25">
      <c r="A630" t="s">
        <v>4148</v>
      </c>
      <c r="B630">
        <v>630</v>
      </c>
    </row>
    <row r="631" spans="1:2" x14ac:dyDescent="0.25">
      <c r="A631" t="s">
        <v>4166</v>
      </c>
      <c r="B631">
        <v>631</v>
      </c>
    </row>
    <row r="632" spans="1:2" x14ac:dyDescent="0.25">
      <c r="A632" t="s">
        <v>4173</v>
      </c>
      <c r="B632">
        <v>632</v>
      </c>
    </row>
    <row r="633" spans="1:2" x14ac:dyDescent="0.25">
      <c r="A633" t="s">
        <v>4169</v>
      </c>
      <c r="B633">
        <v>633</v>
      </c>
    </row>
    <row r="634" spans="1:2" x14ac:dyDescent="0.25">
      <c r="A634" t="s">
        <v>4175</v>
      </c>
      <c r="B634">
        <v>634</v>
      </c>
    </row>
    <row r="635" spans="1:2" x14ac:dyDescent="0.25">
      <c r="A635" t="s">
        <v>4170</v>
      </c>
      <c r="B635">
        <v>635</v>
      </c>
    </row>
    <row r="636" spans="1:2" x14ac:dyDescent="0.25">
      <c r="A636" t="s">
        <v>4171</v>
      </c>
      <c r="B636">
        <v>636</v>
      </c>
    </row>
    <row r="637" spans="1:2" x14ac:dyDescent="0.25">
      <c r="A637" t="s">
        <v>4168</v>
      </c>
      <c r="B637">
        <v>637</v>
      </c>
    </row>
    <row r="638" spans="1:2" x14ac:dyDescent="0.25">
      <c r="A638" t="s">
        <v>4179</v>
      </c>
      <c r="B638">
        <v>638</v>
      </c>
    </row>
    <row r="639" spans="1:2" x14ac:dyDescent="0.25">
      <c r="A639" t="s">
        <v>4176</v>
      </c>
      <c r="B639">
        <v>639</v>
      </c>
    </row>
    <row r="640" spans="1:2" x14ac:dyDescent="0.25">
      <c r="A640" t="s">
        <v>4180</v>
      </c>
      <c r="B640">
        <v>640</v>
      </c>
    </row>
    <row r="641" spans="1:2" x14ac:dyDescent="0.25">
      <c r="A641" t="s">
        <v>4172</v>
      </c>
      <c r="B641">
        <v>641</v>
      </c>
    </row>
    <row r="642" spans="1:2" x14ac:dyDescent="0.25">
      <c r="A642" t="s">
        <v>4167</v>
      </c>
      <c r="B642">
        <v>642</v>
      </c>
    </row>
    <row r="643" spans="1:2" x14ac:dyDescent="0.25">
      <c r="A643" t="s">
        <v>4177</v>
      </c>
      <c r="B643">
        <v>643</v>
      </c>
    </row>
    <row r="644" spans="1:2" x14ac:dyDescent="0.25">
      <c r="A644" t="s">
        <v>4174</v>
      </c>
      <c r="B644">
        <v>644</v>
      </c>
    </row>
    <row r="645" spans="1:2" x14ac:dyDescent="0.25">
      <c r="A645" t="s">
        <v>4178</v>
      </c>
      <c r="B645">
        <v>645</v>
      </c>
    </row>
    <row r="646" spans="1:2" x14ac:dyDescent="0.25">
      <c r="A646" t="s">
        <v>4196</v>
      </c>
      <c r="B646">
        <v>646</v>
      </c>
    </row>
    <row r="647" spans="1:2" x14ac:dyDescent="0.25">
      <c r="A647" t="s">
        <v>4203</v>
      </c>
      <c r="B647">
        <v>647</v>
      </c>
    </row>
    <row r="648" spans="1:2" x14ac:dyDescent="0.25">
      <c r="A648" t="s">
        <v>4199</v>
      </c>
      <c r="B648">
        <v>648</v>
      </c>
    </row>
    <row r="649" spans="1:2" x14ac:dyDescent="0.25">
      <c r="A649" t="s">
        <v>4205</v>
      </c>
      <c r="B649">
        <v>649</v>
      </c>
    </row>
    <row r="650" spans="1:2" x14ac:dyDescent="0.25">
      <c r="A650" t="s">
        <v>4200</v>
      </c>
      <c r="B650">
        <v>650</v>
      </c>
    </row>
    <row r="651" spans="1:2" x14ac:dyDescent="0.25">
      <c r="A651" t="s">
        <v>4201</v>
      </c>
      <c r="B651">
        <v>651</v>
      </c>
    </row>
    <row r="652" spans="1:2" x14ac:dyDescent="0.25">
      <c r="A652" t="s">
        <v>4198</v>
      </c>
      <c r="B652">
        <v>652</v>
      </c>
    </row>
    <row r="653" spans="1:2" x14ac:dyDescent="0.25">
      <c r="A653" t="s">
        <v>4209</v>
      </c>
      <c r="B653">
        <v>653</v>
      </c>
    </row>
    <row r="654" spans="1:2" x14ac:dyDescent="0.25">
      <c r="A654" t="s">
        <v>4206</v>
      </c>
      <c r="B654">
        <v>654</v>
      </c>
    </row>
    <row r="655" spans="1:2" x14ac:dyDescent="0.25">
      <c r="A655" t="s">
        <v>4210</v>
      </c>
      <c r="B655">
        <v>655</v>
      </c>
    </row>
    <row r="656" spans="1:2" x14ac:dyDescent="0.25">
      <c r="A656" t="s">
        <v>4202</v>
      </c>
      <c r="B656">
        <v>656</v>
      </c>
    </row>
    <row r="657" spans="1:2" x14ac:dyDescent="0.25">
      <c r="A657" t="s">
        <v>4197</v>
      </c>
      <c r="B657">
        <v>657</v>
      </c>
    </row>
    <row r="658" spans="1:2" x14ac:dyDescent="0.25">
      <c r="A658" t="s">
        <v>4207</v>
      </c>
      <c r="B658">
        <v>658</v>
      </c>
    </row>
    <row r="659" spans="1:2" x14ac:dyDescent="0.25">
      <c r="A659" t="s">
        <v>4204</v>
      </c>
      <c r="B659">
        <v>659</v>
      </c>
    </row>
    <row r="660" spans="1:2" x14ac:dyDescent="0.25">
      <c r="A660" t="s">
        <v>4208</v>
      </c>
      <c r="B660">
        <v>660</v>
      </c>
    </row>
    <row r="661" spans="1:2" x14ac:dyDescent="0.25">
      <c r="A661" t="s">
        <v>4226</v>
      </c>
      <c r="B661">
        <v>661</v>
      </c>
    </row>
    <row r="662" spans="1:2" x14ac:dyDescent="0.25">
      <c r="A662" t="s">
        <v>4233</v>
      </c>
      <c r="B662">
        <v>662</v>
      </c>
    </row>
    <row r="663" spans="1:2" x14ac:dyDescent="0.25">
      <c r="A663" t="s">
        <v>4229</v>
      </c>
      <c r="B663">
        <v>663</v>
      </c>
    </row>
    <row r="664" spans="1:2" x14ac:dyDescent="0.25">
      <c r="A664" t="s">
        <v>4235</v>
      </c>
      <c r="B664">
        <v>664</v>
      </c>
    </row>
    <row r="665" spans="1:2" x14ac:dyDescent="0.25">
      <c r="A665" t="s">
        <v>4230</v>
      </c>
      <c r="B665">
        <v>665</v>
      </c>
    </row>
    <row r="666" spans="1:2" x14ac:dyDescent="0.25">
      <c r="A666" t="s">
        <v>4231</v>
      </c>
      <c r="B666">
        <v>666</v>
      </c>
    </row>
    <row r="667" spans="1:2" x14ac:dyDescent="0.25">
      <c r="A667" t="s">
        <v>4228</v>
      </c>
      <c r="B667">
        <v>667</v>
      </c>
    </row>
    <row r="668" spans="1:2" x14ac:dyDescent="0.25">
      <c r="A668" t="s">
        <v>4239</v>
      </c>
      <c r="B668">
        <v>668</v>
      </c>
    </row>
    <row r="669" spans="1:2" x14ac:dyDescent="0.25">
      <c r="A669" t="s">
        <v>4236</v>
      </c>
      <c r="B669">
        <v>669</v>
      </c>
    </row>
    <row r="670" spans="1:2" x14ac:dyDescent="0.25">
      <c r="A670" t="s">
        <v>4240</v>
      </c>
      <c r="B670">
        <v>670</v>
      </c>
    </row>
    <row r="671" spans="1:2" x14ac:dyDescent="0.25">
      <c r="A671" t="s">
        <v>4232</v>
      </c>
      <c r="B671">
        <v>671</v>
      </c>
    </row>
    <row r="672" spans="1:2" x14ac:dyDescent="0.25">
      <c r="A672" t="s">
        <v>4227</v>
      </c>
      <c r="B672">
        <v>672</v>
      </c>
    </row>
    <row r="673" spans="1:2" x14ac:dyDescent="0.25">
      <c r="A673" t="s">
        <v>4237</v>
      </c>
      <c r="B673">
        <v>673</v>
      </c>
    </row>
    <row r="674" spans="1:2" x14ac:dyDescent="0.25">
      <c r="A674" t="s">
        <v>4234</v>
      </c>
      <c r="B674">
        <v>674</v>
      </c>
    </row>
    <row r="675" spans="1:2" x14ac:dyDescent="0.25">
      <c r="A675" t="s">
        <v>4238</v>
      </c>
      <c r="B675">
        <v>675</v>
      </c>
    </row>
    <row r="676" spans="1:2" x14ac:dyDescent="0.25">
      <c r="A676" t="s">
        <v>4256</v>
      </c>
      <c r="B676">
        <v>676</v>
      </c>
    </row>
    <row r="677" spans="1:2" x14ac:dyDescent="0.25">
      <c r="A677" t="s">
        <v>4263</v>
      </c>
      <c r="B677">
        <v>677</v>
      </c>
    </row>
    <row r="678" spans="1:2" x14ac:dyDescent="0.25">
      <c r="A678" t="s">
        <v>4259</v>
      </c>
      <c r="B678">
        <v>678</v>
      </c>
    </row>
    <row r="679" spans="1:2" x14ac:dyDescent="0.25">
      <c r="A679" t="s">
        <v>4265</v>
      </c>
      <c r="B679">
        <v>679</v>
      </c>
    </row>
    <row r="680" spans="1:2" x14ac:dyDescent="0.25">
      <c r="A680" t="s">
        <v>4260</v>
      </c>
      <c r="B680">
        <v>680</v>
      </c>
    </row>
    <row r="681" spans="1:2" x14ac:dyDescent="0.25">
      <c r="A681" t="s">
        <v>4261</v>
      </c>
      <c r="B681">
        <v>681</v>
      </c>
    </row>
    <row r="682" spans="1:2" x14ac:dyDescent="0.25">
      <c r="A682" t="s">
        <v>4258</v>
      </c>
      <c r="B682">
        <v>682</v>
      </c>
    </row>
    <row r="683" spans="1:2" x14ac:dyDescent="0.25">
      <c r="A683" t="s">
        <v>4269</v>
      </c>
      <c r="B683">
        <v>683</v>
      </c>
    </row>
    <row r="684" spans="1:2" x14ac:dyDescent="0.25">
      <c r="A684" t="s">
        <v>4266</v>
      </c>
      <c r="B684">
        <v>684</v>
      </c>
    </row>
    <row r="685" spans="1:2" x14ac:dyDescent="0.25">
      <c r="A685" t="s">
        <v>4270</v>
      </c>
      <c r="B685">
        <v>685</v>
      </c>
    </row>
    <row r="686" spans="1:2" x14ac:dyDescent="0.25">
      <c r="A686" t="s">
        <v>4262</v>
      </c>
      <c r="B686">
        <v>686</v>
      </c>
    </row>
    <row r="687" spans="1:2" x14ac:dyDescent="0.25">
      <c r="A687" t="s">
        <v>4257</v>
      </c>
      <c r="B687">
        <v>687</v>
      </c>
    </row>
    <row r="688" spans="1:2" x14ac:dyDescent="0.25">
      <c r="A688" t="s">
        <v>4267</v>
      </c>
      <c r="B688">
        <v>688</v>
      </c>
    </row>
    <row r="689" spans="1:2" x14ac:dyDescent="0.25">
      <c r="A689" t="s">
        <v>4264</v>
      </c>
      <c r="B689">
        <v>689</v>
      </c>
    </row>
    <row r="690" spans="1:2" x14ac:dyDescent="0.25">
      <c r="A690" t="s">
        <v>4268</v>
      </c>
      <c r="B690">
        <v>690</v>
      </c>
    </row>
    <row r="691" spans="1:2" x14ac:dyDescent="0.25">
      <c r="A691" t="s">
        <v>4286</v>
      </c>
      <c r="B691">
        <v>691</v>
      </c>
    </row>
    <row r="692" spans="1:2" x14ac:dyDescent="0.25">
      <c r="A692" t="s">
        <v>4293</v>
      </c>
      <c r="B692">
        <v>692</v>
      </c>
    </row>
    <row r="693" spans="1:2" x14ac:dyDescent="0.25">
      <c r="A693" t="s">
        <v>4289</v>
      </c>
      <c r="B693">
        <v>693</v>
      </c>
    </row>
    <row r="694" spans="1:2" x14ac:dyDescent="0.25">
      <c r="A694" t="s">
        <v>4295</v>
      </c>
      <c r="B694">
        <v>694</v>
      </c>
    </row>
    <row r="695" spans="1:2" x14ac:dyDescent="0.25">
      <c r="A695" t="s">
        <v>4290</v>
      </c>
      <c r="B695">
        <v>695</v>
      </c>
    </row>
    <row r="696" spans="1:2" x14ac:dyDescent="0.25">
      <c r="A696" t="s">
        <v>4291</v>
      </c>
      <c r="B696">
        <v>696</v>
      </c>
    </row>
    <row r="697" spans="1:2" x14ac:dyDescent="0.25">
      <c r="A697" t="s">
        <v>4288</v>
      </c>
      <c r="B697">
        <v>697</v>
      </c>
    </row>
    <row r="698" spans="1:2" x14ac:dyDescent="0.25">
      <c r="A698" t="s">
        <v>4299</v>
      </c>
      <c r="B698">
        <v>698</v>
      </c>
    </row>
    <row r="699" spans="1:2" x14ac:dyDescent="0.25">
      <c r="A699" t="s">
        <v>4296</v>
      </c>
      <c r="B699">
        <v>699</v>
      </c>
    </row>
    <row r="700" spans="1:2" x14ac:dyDescent="0.25">
      <c r="A700" t="s">
        <v>4300</v>
      </c>
      <c r="B700">
        <v>700</v>
      </c>
    </row>
    <row r="701" spans="1:2" x14ac:dyDescent="0.25">
      <c r="A701" t="s">
        <v>4292</v>
      </c>
      <c r="B701">
        <v>701</v>
      </c>
    </row>
    <row r="702" spans="1:2" x14ac:dyDescent="0.25">
      <c r="A702" t="s">
        <v>4287</v>
      </c>
      <c r="B702">
        <v>702</v>
      </c>
    </row>
    <row r="703" spans="1:2" x14ac:dyDescent="0.25">
      <c r="A703" t="s">
        <v>4297</v>
      </c>
      <c r="B703">
        <v>703</v>
      </c>
    </row>
    <row r="704" spans="1:2" x14ac:dyDescent="0.25">
      <c r="A704" t="s">
        <v>4294</v>
      </c>
      <c r="B704">
        <v>704</v>
      </c>
    </row>
    <row r="705" spans="1:2" x14ac:dyDescent="0.25">
      <c r="A705" t="s">
        <v>4298</v>
      </c>
      <c r="B705">
        <v>705</v>
      </c>
    </row>
    <row r="706" spans="1:2" x14ac:dyDescent="0.25">
      <c r="A706" t="s">
        <v>4316</v>
      </c>
      <c r="B706">
        <v>706</v>
      </c>
    </row>
    <row r="707" spans="1:2" x14ac:dyDescent="0.25">
      <c r="A707" t="s">
        <v>4323</v>
      </c>
      <c r="B707">
        <v>707</v>
      </c>
    </row>
    <row r="708" spans="1:2" x14ac:dyDescent="0.25">
      <c r="A708" t="s">
        <v>4319</v>
      </c>
      <c r="B708">
        <v>708</v>
      </c>
    </row>
    <row r="709" spans="1:2" x14ac:dyDescent="0.25">
      <c r="A709" t="s">
        <v>4325</v>
      </c>
      <c r="B709">
        <v>709</v>
      </c>
    </row>
    <row r="710" spans="1:2" x14ac:dyDescent="0.25">
      <c r="A710" t="s">
        <v>4320</v>
      </c>
      <c r="B710">
        <v>710</v>
      </c>
    </row>
    <row r="711" spans="1:2" x14ac:dyDescent="0.25">
      <c r="A711" t="s">
        <v>4321</v>
      </c>
      <c r="B711">
        <v>711</v>
      </c>
    </row>
    <row r="712" spans="1:2" x14ac:dyDescent="0.25">
      <c r="A712" t="s">
        <v>4318</v>
      </c>
      <c r="B712">
        <v>712</v>
      </c>
    </row>
    <row r="713" spans="1:2" x14ac:dyDescent="0.25">
      <c r="A713" t="s">
        <v>4329</v>
      </c>
      <c r="B713">
        <v>713</v>
      </c>
    </row>
    <row r="714" spans="1:2" x14ac:dyDescent="0.25">
      <c r="A714" t="s">
        <v>4326</v>
      </c>
      <c r="B714">
        <v>714</v>
      </c>
    </row>
    <row r="715" spans="1:2" x14ac:dyDescent="0.25">
      <c r="A715" t="s">
        <v>4330</v>
      </c>
      <c r="B715">
        <v>715</v>
      </c>
    </row>
    <row r="716" spans="1:2" x14ac:dyDescent="0.25">
      <c r="A716" t="s">
        <v>4322</v>
      </c>
      <c r="B716">
        <v>716</v>
      </c>
    </row>
    <row r="717" spans="1:2" x14ac:dyDescent="0.25">
      <c r="A717" t="s">
        <v>4317</v>
      </c>
      <c r="B717">
        <v>717</v>
      </c>
    </row>
    <row r="718" spans="1:2" x14ac:dyDescent="0.25">
      <c r="A718" t="s">
        <v>4327</v>
      </c>
      <c r="B718">
        <v>718</v>
      </c>
    </row>
    <row r="719" spans="1:2" x14ac:dyDescent="0.25">
      <c r="A719" t="s">
        <v>4324</v>
      </c>
      <c r="B719">
        <v>719</v>
      </c>
    </row>
    <row r="720" spans="1:2" x14ac:dyDescent="0.25">
      <c r="A720" t="s">
        <v>4328</v>
      </c>
      <c r="B720">
        <v>720</v>
      </c>
    </row>
    <row r="721" spans="1:2" x14ac:dyDescent="0.25">
      <c r="A721" t="s">
        <v>4346</v>
      </c>
      <c r="B721">
        <v>721</v>
      </c>
    </row>
    <row r="722" spans="1:2" x14ac:dyDescent="0.25">
      <c r="A722" t="s">
        <v>4353</v>
      </c>
      <c r="B722">
        <v>722</v>
      </c>
    </row>
    <row r="723" spans="1:2" x14ac:dyDescent="0.25">
      <c r="A723" t="s">
        <v>4349</v>
      </c>
      <c r="B723">
        <v>723</v>
      </c>
    </row>
    <row r="724" spans="1:2" x14ac:dyDescent="0.25">
      <c r="A724" t="s">
        <v>4355</v>
      </c>
      <c r="B724">
        <v>724</v>
      </c>
    </row>
    <row r="725" spans="1:2" x14ac:dyDescent="0.25">
      <c r="A725" t="s">
        <v>4350</v>
      </c>
      <c r="B725">
        <v>725</v>
      </c>
    </row>
    <row r="726" spans="1:2" x14ac:dyDescent="0.25">
      <c r="A726" t="s">
        <v>4351</v>
      </c>
      <c r="B726">
        <v>726</v>
      </c>
    </row>
    <row r="727" spans="1:2" x14ac:dyDescent="0.25">
      <c r="A727" t="s">
        <v>4348</v>
      </c>
      <c r="B727">
        <v>727</v>
      </c>
    </row>
    <row r="728" spans="1:2" x14ac:dyDescent="0.25">
      <c r="A728" t="s">
        <v>4359</v>
      </c>
      <c r="B728">
        <v>728</v>
      </c>
    </row>
    <row r="729" spans="1:2" x14ac:dyDescent="0.25">
      <c r="A729" t="s">
        <v>4356</v>
      </c>
      <c r="B729">
        <v>729</v>
      </c>
    </row>
    <row r="730" spans="1:2" x14ac:dyDescent="0.25">
      <c r="A730" t="s">
        <v>4360</v>
      </c>
      <c r="B730">
        <v>730</v>
      </c>
    </row>
    <row r="731" spans="1:2" x14ac:dyDescent="0.25">
      <c r="A731" t="s">
        <v>4352</v>
      </c>
      <c r="B731">
        <v>731</v>
      </c>
    </row>
    <row r="732" spans="1:2" x14ac:dyDescent="0.25">
      <c r="A732" t="s">
        <v>4347</v>
      </c>
      <c r="B732">
        <v>732</v>
      </c>
    </row>
    <row r="733" spans="1:2" x14ac:dyDescent="0.25">
      <c r="A733" t="s">
        <v>4357</v>
      </c>
      <c r="B733">
        <v>733</v>
      </c>
    </row>
    <row r="734" spans="1:2" x14ac:dyDescent="0.25">
      <c r="A734" t="s">
        <v>4354</v>
      </c>
      <c r="B734">
        <v>734</v>
      </c>
    </row>
    <row r="735" spans="1:2" x14ac:dyDescent="0.25">
      <c r="A735" t="s">
        <v>4358</v>
      </c>
      <c r="B735">
        <v>735</v>
      </c>
    </row>
    <row r="736" spans="1:2" x14ac:dyDescent="0.25">
      <c r="A736" t="s">
        <v>4376</v>
      </c>
      <c r="B736">
        <v>736</v>
      </c>
    </row>
    <row r="737" spans="1:2" x14ac:dyDescent="0.25">
      <c r="A737" t="s">
        <v>4383</v>
      </c>
      <c r="B737">
        <v>737</v>
      </c>
    </row>
    <row r="738" spans="1:2" x14ac:dyDescent="0.25">
      <c r="A738" t="s">
        <v>4379</v>
      </c>
      <c r="B738">
        <v>738</v>
      </c>
    </row>
    <row r="739" spans="1:2" x14ac:dyDescent="0.25">
      <c r="A739" t="s">
        <v>4385</v>
      </c>
      <c r="B739">
        <v>739</v>
      </c>
    </row>
    <row r="740" spans="1:2" x14ac:dyDescent="0.25">
      <c r="A740" t="s">
        <v>4380</v>
      </c>
      <c r="B740">
        <v>740</v>
      </c>
    </row>
    <row r="741" spans="1:2" x14ac:dyDescent="0.25">
      <c r="A741" t="s">
        <v>4381</v>
      </c>
      <c r="B741">
        <v>741</v>
      </c>
    </row>
    <row r="742" spans="1:2" x14ac:dyDescent="0.25">
      <c r="A742" t="s">
        <v>4378</v>
      </c>
      <c r="B742">
        <v>742</v>
      </c>
    </row>
    <row r="743" spans="1:2" x14ac:dyDescent="0.25">
      <c r="A743" t="s">
        <v>4389</v>
      </c>
      <c r="B743">
        <v>743</v>
      </c>
    </row>
    <row r="744" spans="1:2" x14ac:dyDescent="0.25">
      <c r="A744" t="s">
        <v>4386</v>
      </c>
      <c r="B744">
        <v>744</v>
      </c>
    </row>
    <row r="745" spans="1:2" x14ac:dyDescent="0.25">
      <c r="A745" t="s">
        <v>4390</v>
      </c>
      <c r="B745">
        <v>745</v>
      </c>
    </row>
    <row r="746" spans="1:2" x14ac:dyDescent="0.25">
      <c r="A746" t="s">
        <v>4382</v>
      </c>
      <c r="B746">
        <v>746</v>
      </c>
    </row>
    <row r="747" spans="1:2" x14ac:dyDescent="0.25">
      <c r="A747" t="s">
        <v>4377</v>
      </c>
      <c r="B747">
        <v>747</v>
      </c>
    </row>
    <row r="748" spans="1:2" x14ac:dyDescent="0.25">
      <c r="A748" t="s">
        <v>4387</v>
      </c>
      <c r="B748">
        <v>748</v>
      </c>
    </row>
    <row r="749" spans="1:2" x14ac:dyDescent="0.25">
      <c r="A749" t="s">
        <v>4384</v>
      </c>
      <c r="B749">
        <v>749</v>
      </c>
    </row>
    <row r="750" spans="1:2" x14ac:dyDescent="0.25">
      <c r="A750" t="s">
        <v>4388</v>
      </c>
      <c r="B750">
        <v>750</v>
      </c>
    </row>
    <row r="751" spans="1:2" x14ac:dyDescent="0.25">
      <c r="A751" t="s">
        <v>4406</v>
      </c>
      <c r="B751">
        <v>751</v>
      </c>
    </row>
    <row r="752" spans="1:2" x14ac:dyDescent="0.25">
      <c r="A752" t="s">
        <v>4413</v>
      </c>
      <c r="B752">
        <v>752</v>
      </c>
    </row>
    <row r="753" spans="1:2" x14ac:dyDescent="0.25">
      <c r="A753" t="s">
        <v>4409</v>
      </c>
      <c r="B753">
        <v>753</v>
      </c>
    </row>
    <row r="754" spans="1:2" x14ac:dyDescent="0.25">
      <c r="A754" t="s">
        <v>4415</v>
      </c>
      <c r="B754">
        <v>754</v>
      </c>
    </row>
    <row r="755" spans="1:2" x14ac:dyDescent="0.25">
      <c r="A755" t="s">
        <v>4410</v>
      </c>
      <c r="B755">
        <v>755</v>
      </c>
    </row>
    <row r="756" spans="1:2" x14ac:dyDescent="0.25">
      <c r="A756" t="s">
        <v>4411</v>
      </c>
      <c r="B756">
        <v>756</v>
      </c>
    </row>
    <row r="757" spans="1:2" x14ac:dyDescent="0.25">
      <c r="A757" t="s">
        <v>4408</v>
      </c>
      <c r="B757">
        <v>757</v>
      </c>
    </row>
    <row r="758" spans="1:2" x14ac:dyDescent="0.25">
      <c r="A758" t="s">
        <v>4419</v>
      </c>
      <c r="B758">
        <v>758</v>
      </c>
    </row>
    <row r="759" spans="1:2" x14ac:dyDescent="0.25">
      <c r="A759" t="s">
        <v>4416</v>
      </c>
      <c r="B759">
        <v>759</v>
      </c>
    </row>
    <row r="760" spans="1:2" x14ac:dyDescent="0.25">
      <c r="A760" t="s">
        <v>4420</v>
      </c>
      <c r="B760">
        <v>760</v>
      </c>
    </row>
    <row r="761" spans="1:2" x14ac:dyDescent="0.25">
      <c r="A761" t="s">
        <v>4412</v>
      </c>
      <c r="B761">
        <v>761</v>
      </c>
    </row>
    <row r="762" spans="1:2" x14ac:dyDescent="0.25">
      <c r="A762" t="s">
        <v>4407</v>
      </c>
      <c r="B762">
        <v>762</v>
      </c>
    </row>
    <row r="763" spans="1:2" x14ac:dyDescent="0.25">
      <c r="A763" t="s">
        <v>4417</v>
      </c>
      <c r="B763">
        <v>763</v>
      </c>
    </row>
    <row r="764" spans="1:2" x14ac:dyDescent="0.25">
      <c r="A764" t="s">
        <v>4414</v>
      </c>
      <c r="B764">
        <v>764</v>
      </c>
    </row>
    <row r="765" spans="1:2" x14ac:dyDescent="0.25">
      <c r="A765" t="s">
        <v>4418</v>
      </c>
      <c r="B765">
        <v>765</v>
      </c>
    </row>
    <row r="766" spans="1:2" x14ac:dyDescent="0.25">
      <c r="A766" t="s">
        <v>4436</v>
      </c>
      <c r="B766">
        <v>766</v>
      </c>
    </row>
    <row r="767" spans="1:2" x14ac:dyDescent="0.25">
      <c r="A767" t="s">
        <v>4443</v>
      </c>
      <c r="B767">
        <v>767</v>
      </c>
    </row>
    <row r="768" spans="1:2" x14ac:dyDescent="0.25">
      <c r="A768" t="s">
        <v>4439</v>
      </c>
      <c r="B768">
        <v>768</v>
      </c>
    </row>
    <row r="769" spans="1:2" x14ac:dyDescent="0.25">
      <c r="A769" t="s">
        <v>4445</v>
      </c>
      <c r="B769">
        <v>769</v>
      </c>
    </row>
    <row r="770" spans="1:2" x14ac:dyDescent="0.25">
      <c r="A770" t="s">
        <v>4440</v>
      </c>
      <c r="B770">
        <v>770</v>
      </c>
    </row>
    <row r="771" spans="1:2" x14ac:dyDescent="0.25">
      <c r="A771" t="s">
        <v>4441</v>
      </c>
      <c r="B771">
        <v>771</v>
      </c>
    </row>
    <row r="772" spans="1:2" x14ac:dyDescent="0.25">
      <c r="A772" t="s">
        <v>4438</v>
      </c>
      <c r="B772">
        <v>772</v>
      </c>
    </row>
    <row r="773" spans="1:2" x14ac:dyDescent="0.25">
      <c r="A773" t="s">
        <v>4449</v>
      </c>
      <c r="B773">
        <v>773</v>
      </c>
    </row>
    <row r="774" spans="1:2" x14ac:dyDescent="0.25">
      <c r="A774" t="s">
        <v>4446</v>
      </c>
      <c r="B774">
        <v>774</v>
      </c>
    </row>
    <row r="775" spans="1:2" x14ac:dyDescent="0.25">
      <c r="A775" t="s">
        <v>4450</v>
      </c>
      <c r="B775">
        <v>775</v>
      </c>
    </row>
    <row r="776" spans="1:2" x14ac:dyDescent="0.25">
      <c r="A776" t="s">
        <v>4442</v>
      </c>
      <c r="B776">
        <v>776</v>
      </c>
    </row>
    <row r="777" spans="1:2" x14ac:dyDescent="0.25">
      <c r="A777" t="s">
        <v>4437</v>
      </c>
      <c r="B777">
        <v>777</v>
      </c>
    </row>
    <row r="778" spans="1:2" x14ac:dyDescent="0.25">
      <c r="A778" t="s">
        <v>4447</v>
      </c>
      <c r="B778">
        <v>778</v>
      </c>
    </row>
    <row r="779" spans="1:2" x14ac:dyDescent="0.25">
      <c r="A779" t="s">
        <v>4444</v>
      </c>
      <c r="B779">
        <v>779</v>
      </c>
    </row>
    <row r="780" spans="1:2" x14ac:dyDescent="0.25">
      <c r="A780" t="s">
        <v>4448</v>
      </c>
      <c r="B780">
        <v>780</v>
      </c>
    </row>
    <row r="781" spans="1:2" x14ac:dyDescent="0.25">
      <c r="A781" t="s">
        <v>4466</v>
      </c>
      <c r="B781">
        <v>781</v>
      </c>
    </row>
    <row r="782" spans="1:2" x14ac:dyDescent="0.25">
      <c r="A782" t="s">
        <v>4473</v>
      </c>
      <c r="B782">
        <v>782</v>
      </c>
    </row>
    <row r="783" spans="1:2" x14ac:dyDescent="0.25">
      <c r="A783" t="s">
        <v>4469</v>
      </c>
      <c r="B783">
        <v>783</v>
      </c>
    </row>
    <row r="784" spans="1:2" x14ac:dyDescent="0.25">
      <c r="A784" t="s">
        <v>4475</v>
      </c>
      <c r="B784">
        <v>784</v>
      </c>
    </row>
    <row r="785" spans="1:2" x14ac:dyDescent="0.25">
      <c r="A785" t="s">
        <v>4470</v>
      </c>
      <c r="B785">
        <v>785</v>
      </c>
    </row>
    <row r="786" spans="1:2" x14ac:dyDescent="0.25">
      <c r="A786" t="s">
        <v>4471</v>
      </c>
      <c r="B786">
        <v>786</v>
      </c>
    </row>
    <row r="787" spans="1:2" x14ac:dyDescent="0.25">
      <c r="A787" t="s">
        <v>4468</v>
      </c>
      <c r="B787">
        <v>787</v>
      </c>
    </row>
    <row r="788" spans="1:2" x14ac:dyDescent="0.25">
      <c r="A788" t="s">
        <v>4479</v>
      </c>
      <c r="B788">
        <v>788</v>
      </c>
    </row>
    <row r="789" spans="1:2" x14ac:dyDescent="0.25">
      <c r="A789" t="s">
        <v>4476</v>
      </c>
      <c r="B789">
        <v>789</v>
      </c>
    </row>
    <row r="790" spans="1:2" x14ac:dyDescent="0.25">
      <c r="A790" t="s">
        <v>4480</v>
      </c>
      <c r="B790">
        <v>790</v>
      </c>
    </row>
    <row r="791" spans="1:2" x14ac:dyDescent="0.25">
      <c r="A791" t="s">
        <v>4472</v>
      </c>
      <c r="B791">
        <v>791</v>
      </c>
    </row>
    <row r="792" spans="1:2" x14ac:dyDescent="0.25">
      <c r="A792" t="s">
        <v>4467</v>
      </c>
      <c r="B792">
        <v>792</v>
      </c>
    </row>
    <row r="793" spans="1:2" x14ac:dyDescent="0.25">
      <c r="A793" t="s">
        <v>4477</v>
      </c>
      <c r="B793">
        <v>793</v>
      </c>
    </row>
    <row r="794" spans="1:2" x14ac:dyDescent="0.25">
      <c r="A794" t="s">
        <v>4474</v>
      </c>
      <c r="B794">
        <v>794</v>
      </c>
    </row>
    <row r="795" spans="1:2" x14ac:dyDescent="0.25">
      <c r="A795" t="s">
        <v>4478</v>
      </c>
      <c r="B795">
        <v>795</v>
      </c>
    </row>
    <row r="796" spans="1:2" x14ac:dyDescent="0.25">
      <c r="A796" t="s">
        <v>4496</v>
      </c>
      <c r="B796">
        <v>796</v>
      </c>
    </row>
    <row r="797" spans="1:2" x14ac:dyDescent="0.25">
      <c r="A797" t="s">
        <v>4503</v>
      </c>
      <c r="B797">
        <v>797</v>
      </c>
    </row>
    <row r="798" spans="1:2" x14ac:dyDescent="0.25">
      <c r="A798" t="s">
        <v>4499</v>
      </c>
      <c r="B798">
        <v>798</v>
      </c>
    </row>
    <row r="799" spans="1:2" x14ac:dyDescent="0.25">
      <c r="A799" t="s">
        <v>4505</v>
      </c>
      <c r="B799">
        <v>799</v>
      </c>
    </row>
    <row r="800" spans="1:2" x14ac:dyDescent="0.25">
      <c r="A800" t="s">
        <v>4500</v>
      </c>
      <c r="B800">
        <v>800</v>
      </c>
    </row>
    <row r="801" spans="1:2" x14ac:dyDescent="0.25">
      <c r="A801" t="s">
        <v>4501</v>
      </c>
      <c r="B801">
        <v>801</v>
      </c>
    </row>
    <row r="802" spans="1:2" x14ac:dyDescent="0.25">
      <c r="A802" t="s">
        <v>4498</v>
      </c>
      <c r="B802">
        <v>802</v>
      </c>
    </row>
    <row r="803" spans="1:2" x14ac:dyDescent="0.25">
      <c r="A803" t="s">
        <v>4509</v>
      </c>
      <c r="B803">
        <v>803</v>
      </c>
    </row>
    <row r="804" spans="1:2" x14ac:dyDescent="0.25">
      <c r="A804" t="s">
        <v>4506</v>
      </c>
      <c r="B804">
        <v>804</v>
      </c>
    </row>
    <row r="805" spans="1:2" x14ac:dyDescent="0.25">
      <c r="A805" t="s">
        <v>4510</v>
      </c>
      <c r="B805">
        <v>805</v>
      </c>
    </row>
    <row r="806" spans="1:2" x14ac:dyDescent="0.25">
      <c r="A806" t="s">
        <v>4502</v>
      </c>
      <c r="B806">
        <v>806</v>
      </c>
    </row>
    <row r="807" spans="1:2" x14ac:dyDescent="0.25">
      <c r="A807" t="s">
        <v>4497</v>
      </c>
      <c r="B807">
        <v>807</v>
      </c>
    </row>
    <row r="808" spans="1:2" x14ac:dyDescent="0.25">
      <c r="A808" t="s">
        <v>4507</v>
      </c>
      <c r="B808">
        <v>808</v>
      </c>
    </row>
    <row r="809" spans="1:2" x14ac:dyDescent="0.25">
      <c r="A809" t="s">
        <v>4504</v>
      </c>
      <c r="B809">
        <v>809</v>
      </c>
    </row>
    <row r="810" spans="1:2" x14ac:dyDescent="0.25">
      <c r="A810" t="s">
        <v>4508</v>
      </c>
      <c r="B810">
        <v>810</v>
      </c>
    </row>
    <row r="811" spans="1:2" x14ac:dyDescent="0.25">
      <c r="A811" t="s">
        <v>4526</v>
      </c>
      <c r="B811">
        <v>811</v>
      </c>
    </row>
    <row r="812" spans="1:2" x14ac:dyDescent="0.25">
      <c r="A812" t="s">
        <v>4533</v>
      </c>
      <c r="B812">
        <v>812</v>
      </c>
    </row>
    <row r="813" spans="1:2" x14ac:dyDescent="0.25">
      <c r="A813" t="s">
        <v>4529</v>
      </c>
      <c r="B813">
        <v>813</v>
      </c>
    </row>
    <row r="814" spans="1:2" x14ac:dyDescent="0.25">
      <c r="A814" t="s">
        <v>4535</v>
      </c>
      <c r="B814">
        <v>814</v>
      </c>
    </row>
    <row r="815" spans="1:2" x14ac:dyDescent="0.25">
      <c r="A815" t="s">
        <v>4530</v>
      </c>
      <c r="B815">
        <v>815</v>
      </c>
    </row>
    <row r="816" spans="1:2" x14ac:dyDescent="0.25">
      <c r="A816" t="s">
        <v>4531</v>
      </c>
      <c r="B816">
        <v>816</v>
      </c>
    </row>
    <row r="817" spans="1:2" x14ac:dyDescent="0.25">
      <c r="A817" t="s">
        <v>4528</v>
      </c>
      <c r="B817">
        <v>817</v>
      </c>
    </row>
    <row r="818" spans="1:2" x14ac:dyDescent="0.25">
      <c r="A818" t="s">
        <v>4539</v>
      </c>
      <c r="B818">
        <v>818</v>
      </c>
    </row>
    <row r="819" spans="1:2" x14ac:dyDescent="0.25">
      <c r="A819" t="s">
        <v>4536</v>
      </c>
      <c r="B819">
        <v>819</v>
      </c>
    </row>
    <row r="820" spans="1:2" x14ac:dyDescent="0.25">
      <c r="A820" t="s">
        <v>4540</v>
      </c>
      <c r="B820">
        <v>820</v>
      </c>
    </row>
    <row r="821" spans="1:2" x14ac:dyDescent="0.25">
      <c r="A821" t="s">
        <v>4532</v>
      </c>
      <c r="B821">
        <v>821</v>
      </c>
    </row>
    <row r="822" spans="1:2" x14ac:dyDescent="0.25">
      <c r="A822" t="s">
        <v>4527</v>
      </c>
      <c r="B822">
        <v>822</v>
      </c>
    </row>
    <row r="823" spans="1:2" x14ac:dyDescent="0.25">
      <c r="A823" t="s">
        <v>4537</v>
      </c>
      <c r="B823">
        <v>823</v>
      </c>
    </row>
    <row r="824" spans="1:2" x14ac:dyDescent="0.25">
      <c r="A824" t="s">
        <v>4534</v>
      </c>
      <c r="B824">
        <v>824</v>
      </c>
    </row>
    <row r="825" spans="1:2" x14ac:dyDescent="0.25">
      <c r="A825" t="s">
        <v>4538</v>
      </c>
      <c r="B825">
        <v>825</v>
      </c>
    </row>
    <row r="826" spans="1:2" x14ac:dyDescent="0.25">
      <c r="A826" t="s">
        <v>3319</v>
      </c>
      <c r="B826">
        <v>826</v>
      </c>
    </row>
    <row r="827" spans="1:2" x14ac:dyDescent="0.25">
      <c r="A827" t="s">
        <v>3349</v>
      </c>
      <c r="B827">
        <v>827</v>
      </c>
    </row>
    <row r="828" spans="1:2" x14ac:dyDescent="0.25">
      <c r="A828" t="s">
        <v>3379</v>
      </c>
      <c r="B828">
        <v>828</v>
      </c>
    </row>
    <row r="829" spans="1:2" x14ac:dyDescent="0.25">
      <c r="A829" t="s">
        <v>3409</v>
      </c>
      <c r="B829">
        <v>829</v>
      </c>
    </row>
    <row r="830" spans="1:2" x14ac:dyDescent="0.25">
      <c r="A830" t="s">
        <v>3439</v>
      </c>
      <c r="B830">
        <v>830</v>
      </c>
    </row>
    <row r="831" spans="1:2" x14ac:dyDescent="0.25">
      <c r="A831" t="s">
        <v>3469</v>
      </c>
      <c r="B831">
        <v>831</v>
      </c>
    </row>
    <row r="832" spans="1:2" x14ac:dyDescent="0.25">
      <c r="A832" t="s">
        <v>3499</v>
      </c>
      <c r="B832">
        <v>832</v>
      </c>
    </row>
    <row r="833" spans="1:2" x14ac:dyDescent="0.25">
      <c r="A833" t="s">
        <v>3529</v>
      </c>
      <c r="B833">
        <v>833</v>
      </c>
    </row>
    <row r="834" spans="1:2" x14ac:dyDescent="0.25">
      <c r="A834" t="s">
        <v>3559</v>
      </c>
      <c r="B834">
        <v>834</v>
      </c>
    </row>
    <row r="835" spans="1:2" x14ac:dyDescent="0.25">
      <c r="A835" t="s">
        <v>3589</v>
      </c>
      <c r="B835">
        <v>835</v>
      </c>
    </row>
    <row r="836" spans="1:2" x14ac:dyDescent="0.25">
      <c r="A836" t="s">
        <v>3619</v>
      </c>
      <c r="B836">
        <v>836</v>
      </c>
    </row>
    <row r="837" spans="1:2" x14ac:dyDescent="0.25">
      <c r="A837" t="s">
        <v>3649</v>
      </c>
      <c r="B837">
        <v>837</v>
      </c>
    </row>
    <row r="838" spans="1:2" x14ac:dyDescent="0.25">
      <c r="A838" t="s">
        <v>3679</v>
      </c>
      <c r="B838">
        <v>838</v>
      </c>
    </row>
    <row r="839" spans="1:2" x14ac:dyDescent="0.25">
      <c r="A839" t="s">
        <v>3709</v>
      </c>
      <c r="B839">
        <v>839</v>
      </c>
    </row>
    <row r="840" spans="1:2" x14ac:dyDescent="0.25">
      <c r="A840" t="s">
        <v>3739</v>
      </c>
      <c r="B840">
        <v>840</v>
      </c>
    </row>
    <row r="841" spans="1:2" x14ac:dyDescent="0.25">
      <c r="A841" t="s">
        <v>3769</v>
      </c>
      <c r="B841">
        <v>841</v>
      </c>
    </row>
    <row r="842" spans="1:2" x14ac:dyDescent="0.25">
      <c r="A842" t="s">
        <v>3799</v>
      </c>
      <c r="B842">
        <v>842</v>
      </c>
    </row>
    <row r="843" spans="1:2" x14ac:dyDescent="0.25">
      <c r="A843" t="s">
        <v>3829</v>
      </c>
      <c r="B843">
        <v>843</v>
      </c>
    </row>
    <row r="844" spans="1:2" x14ac:dyDescent="0.25">
      <c r="A844" t="s">
        <v>3859</v>
      </c>
      <c r="B844">
        <v>844</v>
      </c>
    </row>
    <row r="845" spans="1:2" x14ac:dyDescent="0.25">
      <c r="A845" t="s">
        <v>3889</v>
      </c>
      <c r="B845">
        <v>845</v>
      </c>
    </row>
    <row r="846" spans="1:2" x14ac:dyDescent="0.25">
      <c r="A846" t="s">
        <v>3919</v>
      </c>
      <c r="B846">
        <v>846</v>
      </c>
    </row>
    <row r="847" spans="1:2" x14ac:dyDescent="0.25">
      <c r="A847" t="s">
        <v>3949</v>
      </c>
      <c r="B847">
        <v>847</v>
      </c>
    </row>
    <row r="848" spans="1:2" x14ac:dyDescent="0.25">
      <c r="A848" t="s">
        <v>3979</v>
      </c>
      <c r="B848">
        <v>848</v>
      </c>
    </row>
    <row r="849" spans="1:2" x14ac:dyDescent="0.25">
      <c r="A849" t="s">
        <v>4009</v>
      </c>
      <c r="B849">
        <v>849</v>
      </c>
    </row>
    <row r="850" spans="1:2" x14ac:dyDescent="0.25">
      <c r="A850" t="s">
        <v>4039</v>
      </c>
      <c r="B850">
        <v>850</v>
      </c>
    </row>
    <row r="851" spans="1:2" x14ac:dyDescent="0.25">
      <c r="A851" t="s">
        <v>4069</v>
      </c>
      <c r="B851">
        <v>851</v>
      </c>
    </row>
    <row r="852" spans="1:2" x14ac:dyDescent="0.25">
      <c r="A852" t="s">
        <v>4099</v>
      </c>
      <c r="B852">
        <v>852</v>
      </c>
    </row>
    <row r="853" spans="1:2" x14ac:dyDescent="0.25">
      <c r="A853" t="s">
        <v>4128</v>
      </c>
      <c r="B853">
        <v>853</v>
      </c>
    </row>
    <row r="854" spans="1:2" x14ac:dyDescent="0.25">
      <c r="A854" t="s">
        <v>4128</v>
      </c>
      <c r="B854">
        <v>854</v>
      </c>
    </row>
    <row r="855" spans="1:2" x14ac:dyDescent="0.25">
      <c r="A855" t="s">
        <v>4158</v>
      </c>
      <c r="B855">
        <v>855</v>
      </c>
    </row>
    <row r="856" spans="1:2" x14ac:dyDescent="0.25">
      <c r="A856" t="s">
        <v>4188</v>
      </c>
      <c r="B856">
        <v>856</v>
      </c>
    </row>
    <row r="857" spans="1:2" x14ac:dyDescent="0.25">
      <c r="A857" t="s">
        <v>4218</v>
      </c>
      <c r="B857">
        <v>857</v>
      </c>
    </row>
    <row r="858" spans="1:2" x14ac:dyDescent="0.25">
      <c r="A858" t="s">
        <v>4248</v>
      </c>
      <c r="B858">
        <v>858</v>
      </c>
    </row>
    <row r="859" spans="1:2" x14ac:dyDescent="0.25">
      <c r="A859" t="s">
        <v>4278</v>
      </c>
      <c r="B859">
        <v>859</v>
      </c>
    </row>
    <row r="860" spans="1:2" x14ac:dyDescent="0.25">
      <c r="A860" t="s">
        <v>4308</v>
      </c>
      <c r="B860">
        <v>860</v>
      </c>
    </row>
    <row r="861" spans="1:2" x14ac:dyDescent="0.25">
      <c r="A861" t="s">
        <v>4338</v>
      </c>
      <c r="B861">
        <v>861</v>
      </c>
    </row>
    <row r="862" spans="1:2" x14ac:dyDescent="0.25">
      <c r="A862" t="s">
        <v>4368</v>
      </c>
      <c r="B862">
        <v>862</v>
      </c>
    </row>
    <row r="863" spans="1:2" x14ac:dyDescent="0.25">
      <c r="A863" t="s">
        <v>4398</v>
      </c>
      <c r="B863">
        <v>863</v>
      </c>
    </row>
    <row r="864" spans="1:2" x14ac:dyDescent="0.25">
      <c r="A864" t="s">
        <v>4428</v>
      </c>
      <c r="B864">
        <v>864</v>
      </c>
    </row>
    <row r="865" spans="1:2" x14ac:dyDescent="0.25">
      <c r="A865" t="s">
        <v>4458</v>
      </c>
      <c r="B865">
        <v>865</v>
      </c>
    </row>
    <row r="866" spans="1:2" x14ac:dyDescent="0.25">
      <c r="A866" t="s">
        <v>4488</v>
      </c>
      <c r="B866">
        <v>866</v>
      </c>
    </row>
    <row r="867" spans="1:2" x14ac:dyDescent="0.25">
      <c r="A867" t="s">
        <v>4518</v>
      </c>
      <c r="B867">
        <v>867</v>
      </c>
    </row>
    <row r="868" spans="1:2" x14ac:dyDescent="0.25">
      <c r="A868" t="s">
        <v>4548</v>
      </c>
      <c r="B868">
        <v>868</v>
      </c>
    </row>
    <row r="869" spans="1:2" x14ac:dyDescent="0.25">
      <c r="A869" t="s">
        <v>4562</v>
      </c>
      <c r="B869">
        <v>869</v>
      </c>
    </row>
    <row r="870" spans="1:2" x14ac:dyDescent="0.25">
      <c r="A870" t="s">
        <v>4562</v>
      </c>
      <c r="B870">
        <v>870</v>
      </c>
    </row>
    <row r="871" spans="1:2" x14ac:dyDescent="0.25">
      <c r="A871" t="s">
        <v>4605</v>
      </c>
      <c r="B871">
        <v>871</v>
      </c>
    </row>
    <row r="872" spans="1:2" x14ac:dyDescent="0.25">
      <c r="A872" t="s">
        <v>4635</v>
      </c>
      <c r="B872">
        <v>872</v>
      </c>
    </row>
    <row r="873" spans="1:2" x14ac:dyDescent="0.25">
      <c r="A873" t="s">
        <v>4665</v>
      </c>
      <c r="B873">
        <v>873</v>
      </c>
    </row>
    <row r="874" spans="1:2" x14ac:dyDescent="0.25">
      <c r="A874" t="s">
        <v>4695</v>
      </c>
      <c r="B874">
        <v>874</v>
      </c>
    </row>
    <row r="875" spans="1:2" x14ac:dyDescent="0.25">
      <c r="A875" t="s">
        <v>4725</v>
      </c>
      <c r="B875">
        <v>875</v>
      </c>
    </row>
    <row r="876" spans="1:2" x14ac:dyDescent="0.25">
      <c r="A876" t="s">
        <v>4558</v>
      </c>
      <c r="B876">
        <v>876</v>
      </c>
    </row>
    <row r="877" spans="1:2" x14ac:dyDescent="0.25">
      <c r="A877" t="s">
        <v>4558</v>
      </c>
      <c r="B877">
        <v>877</v>
      </c>
    </row>
    <row r="878" spans="1:2" x14ac:dyDescent="0.25">
      <c r="A878" t="s">
        <v>4780</v>
      </c>
      <c r="B878">
        <v>878</v>
      </c>
    </row>
    <row r="879" spans="1:2" x14ac:dyDescent="0.25">
      <c r="A879" t="s">
        <v>4810</v>
      </c>
      <c r="B879">
        <v>879</v>
      </c>
    </row>
    <row r="880" spans="1:2" x14ac:dyDescent="0.25">
      <c r="A880" t="s">
        <v>4840</v>
      </c>
      <c r="B880">
        <v>880</v>
      </c>
    </row>
    <row r="881" spans="1:2" x14ac:dyDescent="0.25">
      <c r="A881" t="s">
        <v>4870</v>
      </c>
      <c r="B881">
        <v>881</v>
      </c>
    </row>
    <row r="882" spans="1:2" x14ac:dyDescent="0.25">
      <c r="A882" t="s">
        <v>4900</v>
      </c>
      <c r="B882">
        <v>882</v>
      </c>
    </row>
    <row r="883" spans="1:2" x14ac:dyDescent="0.25">
      <c r="A883" t="s">
        <v>4930</v>
      </c>
      <c r="B883">
        <v>883</v>
      </c>
    </row>
    <row r="884" spans="1:2" x14ac:dyDescent="0.25">
      <c r="A884" t="s">
        <v>4960</v>
      </c>
      <c r="B884">
        <v>884</v>
      </c>
    </row>
    <row r="885" spans="1:2" x14ac:dyDescent="0.25">
      <c r="A885" t="s">
        <v>4990</v>
      </c>
      <c r="B885">
        <v>885</v>
      </c>
    </row>
    <row r="886" spans="1:2" x14ac:dyDescent="0.25">
      <c r="A886" t="s">
        <v>5020</v>
      </c>
      <c r="B886">
        <v>886</v>
      </c>
    </row>
    <row r="887" spans="1:2" x14ac:dyDescent="0.25">
      <c r="A887" t="s">
        <v>5050</v>
      </c>
      <c r="B887">
        <v>887</v>
      </c>
    </row>
    <row r="888" spans="1:2" x14ac:dyDescent="0.25">
      <c r="A888" t="s">
        <v>4564</v>
      </c>
      <c r="B888">
        <v>888</v>
      </c>
    </row>
    <row r="889" spans="1:2" x14ac:dyDescent="0.25">
      <c r="A889" t="s">
        <v>4564</v>
      </c>
      <c r="B889">
        <v>889</v>
      </c>
    </row>
    <row r="890" spans="1:2" x14ac:dyDescent="0.25">
      <c r="A890" t="s">
        <v>4559</v>
      </c>
      <c r="B890">
        <v>890</v>
      </c>
    </row>
    <row r="891" spans="1:2" x14ac:dyDescent="0.25">
      <c r="A891" t="s">
        <v>4559</v>
      </c>
      <c r="B891">
        <v>891</v>
      </c>
    </row>
    <row r="892" spans="1:2" x14ac:dyDescent="0.25">
      <c r="A892" t="s">
        <v>4560</v>
      </c>
      <c r="B892">
        <v>892</v>
      </c>
    </row>
    <row r="893" spans="1:2" x14ac:dyDescent="0.25">
      <c r="A893" t="s">
        <v>4560</v>
      </c>
      <c r="B893">
        <v>893</v>
      </c>
    </row>
    <row r="894" spans="1:2" x14ac:dyDescent="0.25">
      <c r="A894" t="s">
        <v>5143</v>
      </c>
      <c r="B894">
        <v>894</v>
      </c>
    </row>
    <row r="895" spans="1:2" x14ac:dyDescent="0.25">
      <c r="A895" t="s">
        <v>5173</v>
      </c>
      <c r="B895">
        <v>895</v>
      </c>
    </row>
    <row r="896" spans="1:2" x14ac:dyDescent="0.25">
      <c r="A896" t="s">
        <v>5203</v>
      </c>
      <c r="B896">
        <v>896</v>
      </c>
    </row>
    <row r="897" spans="1:2" x14ac:dyDescent="0.25">
      <c r="A897" t="s">
        <v>5233</v>
      </c>
      <c r="B897">
        <v>897</v>
      </c>
    </row>
    <row r="898" spans="1:2" x14ac:dyDescent="0.25">
      <c r="A898" t="s">
        <v>5263</v>
      </c>
      <c r="B898">
        <v>898</v>
      </c>
    </row>
    <row r="899" spans="1:2" x14ac:dyDescent="0.25">
      <c r="A899" t="s">
        <v>5293</v>
      </c>
      <c r="B899">
        <v>899</v>
      </c>
    </row>
    <row r="900" spans="1:2" x14ac:dyDescent="0.25">
      <c r="A900" t="s">
        <v>5323</v>
      </c>
      <c r="B900">
        <v>900</v>
      </c>
    </row>
    <row r="901" spans="1:2" x14ac:dyDescent="0.25">
      <c r="A901" t="s">
        <v>5353</v>
      </c>
      <c r="B901">
        <v>901</v>
      </c>
    </row>
    <row r="902" spans="1:2" x14ac:dyDescent="0.25">
      <c r="A902" t="s">
        <v>5383</v>
      </c>
      <c r="B902">
        <v>902</v>
      </c>
    </row>
    <row r="903" spans="1:2" x14ac:dyDescent="0.25">
      <c r="A903" t="s">
        <v>5413</v>
      </c>
      <c r="B903">
        <v>903</v>
      </c>
    </row>
    <row r="904" spans="1:2" x14ac:dyDescent="0.25">
      <c r="A904" t="s">
        <v>5443</v>
      </c>
      <c r="B904">
        <v>904</v>
      </c>
    </row>
    <row r="905" spans="1:2" x14ac:dyDescent="0.25">
      <c r="A905" t="s">
        <v>5473</v>
      </c>
      <c r="B905">
        <v>905</v>
      </c>
    </row>
    <row r="906" spans="1:2" x14ac:dyDescent="0.25">
      <c r="A906" t="s">
        <v>5503</v>
      </c>
      <c r="B906">
        <v>906</v>
      </c>
    </row>
    <row r="907" spans="1:2" x14ac:dyDescent="0.25">
      <c r="A907" t="s">
        <v>5533</v>
      </c>
      <c r="B907">
        <v>907</v>
      </c>
    </row>
    <row r="908" spans="1:2" x14ac:dyDescent="0.25">
      <c r="A908" t="s">
        <v>5563</v>
      </c>
      <c r="B908">
        <v>908</v>
      </c>
    </row>
    <row r="909" spans="1:2" x14ac:dyDescent="0.25">
      <c r="A909" t="s">
        <v>5593</v>
      </c>
      <c r="B909">
        <v>909</v>
      </c>
    </row>
    <row r="910" spans="1:2" x14ac:dyDescent="0.25">
      <c r="A910" t="s">
        <v>5623</v>
      </c>
      <c r="B910">
        <v>910</v>
      </c>
    </row>
    <row r="911" spans="1:2" x14ac:dyDescent="0.25">
      <c r="A911" t="s">
        <v>5653</v>
      </c>
      <c r="B911">
        <v>911</v>
      </c>
    </row>
    <row r="912" spans="1:2" x14ac:dyDescent="0.25">
      <c r="A912" t="s">
        <v>5683</v>
      </c>
      <c r="B912">
        <v>912</v>
      </c>
    </row>
    <row r="913" spans="1:2" x14ac:dyDescent="0.25">
      <c r="A913" t="s">
        <v>5713</v>
      </c>
      <c r="B913">
        <v>913</v>
      </c>
    </row>
    <row r="914" spans="1:2" x14ac:dyDescent="0.25">
      <c r="A914" t="s">
        <v>5743</v>
      </c>
      <c r="B914">
        <v>914</v>
      </c>
    </row>
    <row r="915" spans="1:2" x14ac:dyDescent="0.25">
      <c r="A915" t="s">
        <v>5773</v>
      </c>
      <c r="B915">
        <v>915</v>
      </c>
    </row>
    <row r="916" spans="1:2" x14ac:dyDescent="0.25">
      <c r="A916" t="s">
        <v>5803</v>
      </c>
      <c r="B916">
        <v>916</v>
      </c>
    </row>
    <row r="917" spans="1:2" x14ac:dyDescent="0.25">
      <c r="A917" t="s">
        <v>5833</v>
      </c>
      <c r="B917">
        <v>917</v>
      </c>
    </row>
    <row r="918" spans="1:2" x14ac:dyDescent="0.25">
      <c r="A918" t="s">
        <v>5863</v>
      </c>
      <c r="B918">
        <v>918</v>
      </c>
    </row>
    <row r="919" spans="1:2" x14ac:dyDescent="0.25">
      <c r="A919" t="s">
        <v>5893</v>
      </c>
      <c r="B919">
        <v>919</v>
      </c>
    </row>
    <row r="920" spans="1:2" x14ac:dyDescent="0.25">
      <c r="A920" t="s">
        <v>5923</v>
      </c>
      <c r="B920">
        <v>920</v>
      </c>
    </row>
    <row r="921" spans="1:2" x14ac:dyDescent="0.25">
      <c r="A921" t="s">
        <v>5953</v>
      </c>
      <c r="B921">
        <v>921</v>
      </c>
    </row>
    <row r="922" spans="1:2" x14ac:dyDescent="0.25">
      <c r="A922" t="s">
        <v>5983</v>
      </c>
      <c r="B922">
        <v>922</v>
      </c>
    </row>
    <row r="923" spans="1:2" x14ac:dyDescent="0.25">
      <c r="A923" t="s">
        <v>6013</v>
      </c>
      <c r="B923">
        <v>923</v>
      </c>
    </row>
    <row r="924" spans="1:2" x14ac:dyDescent="0.25">
      <c r="A924" t="s">
        <v>6043</v>
      </c>
      <c r="B924">
        <v>924</v>
      </c>
    </row>
    <row r="925" spans="1:2" x14ac:dyDescent="0.25">
      <c r="A925" t="s">
        <v>4557</v>
      </c>
      <c r="B925">
        <v>925</v>
      </c>
    </row>
    <row r="926" spans="1:2" x14ac:dyDescent="0.25">
      <c r="A926" t="s">
        <v>4557</v>
      </c>
      <c r="B926">
        <v>926</v>
      </c>
    </row>
    <row r="927" spans="1:2" x14ac:dyDescent="0.25">
      <c r="A927" t="s">
        <v>6090</v>
      </c>
      <c r="B927">
        <v>927</v>
      </c>
    </row>
    <row r="928" spans="1:2" x14ac:dyDescent="0.25">
      <c r="A928" t="s">
        <v>6120</v>
      </c>
      <c r="B928">
        <v>928</v>
      </c>
    </row>
    <row r="929" spans="1:2" x14ac:dyDescent="0.25">
      <c r="A929" t="s">
        <v>6150</v>
      </c>
      <c r="B929">
        <v>929</v>
      </c>
    </row>
    <row r="930" spans="1:2" x14ac:dyDescent="0.25">
      <c r="A930" t="s">
        <v>6180</v>
      </c>
      <c r="B930">
        <v>930</v>
      </c>
    </row>
    <row r="931" spans="1:2" x14ac:dyDescent="0.25">
      <c r="A931" t="s">
        <v>6210</v>
      </c>
      <c r="B931">
        <v>931</v>
      </c>
    </row>
    <row r="932" spans="1:2" x14ac:dyDescent="0.25">
      <c r="A932" t="s">
        <v>6240</v>
      </c>
      <c r="B932">
        <v>932</v>
      </c>
    </row>
    <row r="933" spans="1:2" x14ac:dyDescent="0.25">
      <c r="A933" t="s">
        <v>6270</v>
      </c>
      <c r="B933">
        <v>933</v>
      </c>
    </row>
    <row r="934" spans="1:2" x14ac:dyDescent="0.25">
      <c r="A934" t="s">
        <v>6300</v>
      </c>
      <c r="B934">
        <v>934</v>
      </c>
    </row>
    <row r="935" spans="1:2" x14ac:dyDescent="0.25">
      <c r="A935" t="s">
        <v>6330</v>
      </c>
      <c r="B935">
        <v>935</v>
      </c>
    </row>
    <row r="936" spans="1:2" x14ac:dyDescent="0.25">
      <c r="A936" t="s">
        <v>6360</v>
      </c>
      <c r="B936">
        <v>936</v>
      </c>
    </row>
    <row r="937" spans="1:2" x14ac:dyDescent="0.25">
      <c r="A937" t="s">
        <v>6390</v>
      </c>
      <c r="B937">
        <v>937</v>
      </c>
    </row>
    <row r="938" spans="1:2" x14ac:dyDescent="0.25">
      <c r="A938" t="s">
        <v>6420</v>
      </c>
      <c r="B938">
        <v>938</v>
      </c>
    </row>
    <row r="939" spans="1:2" x14ac:dyDescent="0.25">
      <c r="A939" t="s">
        <v>6450</v>
      </c>
      <c r="B939">
        <v>939</v>
      </c>
    </row>
    <row r="940" spans="1:2" x14ac:dyDescent="0.25">
      <c r="A940" t="s">
        <v>6480</v>
      </c>
      <c r="B940">
        <v>940</v>
      </c>
    </row>
    <row r="941" spans="1:2" x14ac:dyDescent="0.25">
      <c r="A941" t="s">
        <v>6510</v>
      </c>
      <c r="B941">
        <v>941</v>
      </c>
    </row>
    <row r="942" spans="1:2" x14ac:dyDescent="0.25">
      <c r="A942" t="s">
        <v>6540</v>
      </c>
      <c r="B942">
        <v>942</v>
      </c>
    </row>
    <row r="943" spans="1:2" x14ac:dyDescent="0.25">
      <c r="A943" t="s">
        <v>6570</v>
      </c>
      <c r="B943">
        <v>943</v>
      </c>
    </row>
    <row r="944" spans="1:2" x14ac:dyDescent="0.25">
      <c r="A944" t="s">
        <v>6600</v>
      </c>
      <c r="B944">
        <v>944</v>
      </c>
    </row>
    <row r="945" spans="1:2" x14ac:dyDescent="0.25">
      <c r="A945" t="s">
        <v>4568</v>
      </c>
      <c r="B945">
        <v>945</v>
      </c>
    </row>
    <row r="946" spans="1:2" x14ac:dyDescent="0.25">
      <c r="A946" t="s">
        <v>4568</v>
      </c>
      <c r="B946">
        <v>946</v>
      </c>
    </row>
    <row r="947" spans="1:2" x14ac:dyDescent="0.25">
      <c r="A947" t="s">
        <v>6645</v>
      </c>
      <c r="B947">
        <v>947</v>
      </c>
    </row>
    <row r="948" spans="1:2" x14ac:dyDescent="0.25">
      <c r="A948" t="s">
        <v>6675</v>
      </c>
      <c r="B948">
        <v>948</v>
      </c>
    </row>
    <row r="949" spans="1:2" x14ac:dyDescent="0.25">
      <c r="A949" t="s">
        <v>6705</v>
      </c>
      <c r="B949">
        <v>949</v>
      </c>
    </row>
    <row r="950" spans="1:2" x14ac:dyDescent="0.25">
      <c r="A950" t="s">
        <v>6735</v>
      </c>
      <c r="B950">
        <v>950</v>
      </c>
    </row>
    <row r="951" spans="1:2" x14ac:dyDescent="0.25">
      <c r="A951" t="s">
        <v>6765</v>
      </c>
      <c r="B951">
        <v>951</v>
      </c>
    </row>
    <row r="952" spans="1:2" x14ac:dyDescent="0.25">
      <c r="A952" t="s">
        <v>6795</v>
      </c>
      <c r="B952">
        <v>952</v>
      </c>
    </row>
    <row r="953" spans="1:2" x14ac:dyDescent="0.25">
      <c r="A953" t="s">
        <v>6825</v>
      </c>
      <c r="B953">
        <v>953</v>
      </c>
    </row>
    <row r="954" spans="1:2" x14ac:dyDescent="0.25">
      <c r="A954" t="s">
        <v>6855</v>
      </c>
      <c r="B954">
        <v>954</v>
      </c>
    </row>
    <row r="955" spans="1:2" x14ac:dyDescent="0.25">
      <c r="A955" t="s">
        <v>4565</v>
      </c>
      <c r="B955">
        <v>955</v>
      </c>
    </row>
    <row r="956" spans="1:2" x14ac:dyDescent="0.25">
      <c r="A956" t="s">
        <v>4565</v>
      </c>
      <c r="B956">
        <v>956</v>
      </c>
    </row>
    <row r="957" spans="1:2" x14ac:dyDescent="0.25">
      <c r="A957" t="s">
        <v>6898</v>
      </c>
      <c r="B957">
        <v>957</v>
      </c>
    </row>
    <row r="958" spans="1:2" x14ac:dyDescent="0.25">
      <c r="A958" t="s">
        <v>6928</v>
      </c>
      <c r="B958">
        <v>958</v>
      </c>
    </row>
    <row r="959" spans="1:2" x14ac:dyDescent="0.25">
      <c r="A959" t="s">
        <v>6958</v>
      </c>
      <c r="B959">
        <v>959</v>
      </c>
    </row>
    <row r="960" spans="1:2" x14ac:dyDescent="0.25">
      <c r="A960" t="s">
        <v>6988</v>
      </c>
      <c r="B960">
        <v>960</v>
      </c>
    </row>
    <row r="961" spans="1:2" x14ac:dyDescent="0.25">
      <c r="A961" t="s">
        <v>7018</v>
      </c>
      <c r="B961">
        <v>961</v>
      </c>
    </row>
    <row r="962" spans="1:2" x14ac:dyDescent="0.25">
      <c r="A962" t="s">
        <v>7048</v>
      </c>
      <c r="B962">
        <v>962</v>
      </c>
    </row>
    <row r="963" spans="1:2" x14ac:dyDescent="0.25">
      <c r="A963" t="s">
        <v>7078</v>
      </c>
      <c r="B963">
        <v>963</v>
      </c>
    </row>
    <row r="964" spans="1:2" x14ac:dyDescent="0.25">
      <c r="A964" t="s">
        <v>7108</v>
      </c>
      <c r="B964">
        <v>964</v>
      </c>
    </row>
    <row r="965" spans="1:2" x14ac:dyDescent="0.25">
      <c r="A965" t="s">
        <v>4569</v>
      </c>
      <c r="B965">
        <v>965</v>
      </c>
    </row>
    <row r="966" spans="1:2" x14ac:dyDescent="0.25">
      <c r="A966" t="s">
        <v>4569</v>
      </c>
      <c r="B966">
        <v>966</v>
      </c>
    </row>
    <row r="967" spans="1:2" x14ac:dyDescent="0.25">
      <c r="A967" t="s">
        <v>7149</v>
      </c>
      <c r="B967">
        <v>967</v>
      </c>
    </row>
    <row r="968" spans="1:2" x14ac:dyDescent="0.25">
      <c r="A968" t="s">
        <v>7179</v>
      </c>
      <c r="B968">
        <v>968</v>
      </c>
    </row>
    <row r="969" spans="1:2" x14ac:dyDescent="0.25">
      <c r="A969" t="s">
        <v>7209</v>
      </c>
      <c r="B969">
        <v>969</v>
      </c>
    </row>
    <row r="970" spans="1:2" x14ac:dyDescent="0.25">
      <c r="A970" t="s">
        <v>7239</v>
      </c>
      <c r="B970">
        <v>970</v>
      </c>
    </row>
    <row r="971" spans="1:2" x14ac:dyDescent="0.25">
      <c r="A971" t="s">
        <v>7269</v>
      </c>
      <c r="B971">
        <v>971</v>
      </c>
    </row>
    <row r="972" spans="1:2" x14ac:dyDescent="0.25">
      <c r="A972" t="s">
        <v>4561</v>
      </c>
      <c r="B972">
        <v>972</v>
      </c>
    </row>
    <row r="973" spans="1:2" x14ac:dyDescent="0.25">
      <c r="A973" t="s">
        <v>4561</v>
      </c>
      <c r="B973">
        <v>973</v>
      </c>
    </row>
    <row r="974" spans="1:2" x14ac:dyDescent="0.25">
      <c r="A974" t="s">
        <v>7308</v>
      </c>
      <c r="B974">
        <v>974</v>
      </c>
    </row>
    <row r="975" spans="1:2" x14ac:dyDescent="0.25">
      <c r="A975" t="s">
        <v>7338</v>
      </c>
      <c r="B975">
        <v>975</v>
      </c>
    </row>
    <row r="976" spans="1:2" x14ac:dyDescent="0.25">
      <c r="A976" t="s">
        <v>7368</v>
      </c>
      <c r="B976">
        <v>976</v>
      </c>
    </row>
    <row r="977" spans="1:2" x14ac:dyDescent="0.25">
      <c r="A977" t="s">
        <v>7398</v>
      </c>
      <c r="B977">
        <v>977</v>
      </c>
    </row>
    <row r="978" spans="1:2" x14ac:dyDescent="0.25">
      <c r="A978" t="s">
        <v>7428</v>
      </c>
      <c r="B978">
        <v>978</v>
      </c>
    </row>
    <row r="979" spans="1:2" x14ac:dyDescent="0.25">
      <c r="A979" t="s">
        <v>7458</v>
      </c>
      <c r="B979">
        <v>979</v>
      </c>
    </row>
    <row r="980" spans="1:2" x14ac:dyDescent="0.25">
      <c r="A980" t="s">
        <v>7488</v>
      </c>
      <c r="B980">
        <v>980</v>
      </c>
    </row>
    <row r="981" spans="1:2" x14ac:dyDescent="0.25">
      <c r="A981" t="s">
        <v>7518</v>
      </c>
      <c r="B981">
        <v>981</v>
      </c>
    </row>
    <row r="982" spans="1:2" x14ac:dyDescent="0.25">
      <c r="A982" t="s">
        <v>7548</v>
      </c>
      <c r="B982">
        <v>982</v>
      </c>
    </row>
    <row r="983" spans="1:2" x14ac:dyDescent="0.25">
      <c r="A983" t="s">
        <v>7578</v>
      </c>
      <c r="B983">
        <v>983</v>
      </c>
    </row>
    <row r="984" spans="1:2" x14ac:dyDescent="0.25">
      <c r="A984" t="s">
        <v>7608</v>
      </c>
      <c r="B984">
        <v>984</v>
      </c>
    </row>
    <row r="985" spans="1:2" x14ac:dyDescent="0.25">
      <c r="A985" t="s">
        <v>7638</v>
      </c>
      <c r="B985">
        <v>985</v>
      </c>
    </row>
    <row r="986" spans="1:2" x14ac:dyDescent="0.25">
      <c r="A986" t="s">
        <v>7668</v>
      </c>
      <c r="B986">
        <v>986</v>
      </c>
    </row>
    <row r="987" spans="1:2" x14ac:dyDescent="0.25">
      <c r="A987" t="s">
        <v>7698</v>
      </c>
      <c r="B987">
        <v>987</v>
      </c>
    </row>
    <row r="988" spans="1:2" x14ac:dyDescent="0.25">
      <c r="A988" t="s">
        <v>7728</v>
      </c>
      <c r="B988">
        <v>988</v>
      </c>
    </row>
    <row r="989" spans="1:2" x14ac:dyDescent="0.25">
      <c r="A989" t="s">
        <v>7758</v>
      </c>
      <c r="B989">
        <v>989</v>
      </c>
    </row>
    <row r="990" spans="1:2" x14ac:dyDescent="0.25">
      <c r="A990" t="s">
        <v>7788</v>
      </c>
      <c r="B990">
        <v>990</v>
      </c>
    </row>
    <row r="991" spans="1:2" x14ac:dyDescent="0.25">
      <c r="A991" t="s">
        <v>7818</v>
      </c>
      <c r="B991">
        <v>991</v>
      </c>
    </row>
    <row r="992" spans="1:2" x14ac:dyDescent="0.25">
      <c r="A992" t="s">
        <v>7848</v>
      </c>
      <c r="B992">
        <v>992</v>
      </c>
    </row>
    <row r="993" spans="1:2" x14ac:dyDescent="0.25">
      <c r="A993" t="s">
        <v>7878</v>
      </c>
      <c r="B993">
        <v>993</v>
      </c>
    </row>
    <row r="994" spans="1:2" x14ac:dyDescent="0.25">
      <c r="A994" t="s">
        <v>7908</v>
      </c>
      <c r="B994">
        <v>994</v>
      </c>
    </row>
    <row r="995" spans="1:2" x14ac:dyDescent="0.25">
      <c r="A995" t="s">
        <v>7938</v>
      </c>
      <c r="B995">
        <v>995</v>
      </c>
    </row>
    <row r="996" spans="1:2" x14ac:dyDescent="0.25">
      <c r="A996" t="s">
        <v>7968</v>
      </c>
      <c r="B996">
        <v>996</v>
      </c>
    </row>
    <row r="997" spans="1:2" x14ac:dyDescent="0.25">
      <c r="A997" t="s">
        <v>7998</v>
      </c>
      <c r="B997">
        <v>997</v>
      </c>
    </row>
    <row r="998" spans="1:2" x14ac:dyDescent="0.25">
      <c r="A998" t="s">
        <v>8028</v>
      </c>
      <c r="B998">
        <v>998</v>
      </c>
    </row>
    <row r="999" spans="1:2" x14ac:dyDescent="0.25">
      <c r="A999" t="s">
        <v>8058</v>
      </c>
      <c r="B999">
        <v>999</v>
      </c>
    </row>
    <row r="1000" spans="1:2" x14ac:dyDescent="0.25">
      <c r="A1000" t="s">
        <v>8088</v>
      </c>
      <c r="B1000">
        <v>1000</v>
      </c>
    </row>
    <row r="1001" spans="1:2" x14ac:dyDescent="0.25">
      <c r="A1001" t="s">
        <v>8118</v>
      </c>
      <c r="B1001">
        <v>1001</v>
      </c>
    </row>
    <row r="1002" spans="1:2" x14ac:dyDescent="0.25">
      <c r="A1002" t="s">
        <v>8148</v>
      </c>
      <c r="B1002">
        <v>1002</v>
      </c>
    </row>
    <row r="1003" spans="1:2" x14ac:dyDescent="0.25">
      <c r="A1003" t="s">
        <v>8178</v>
      </c>
      <c r="B1003">
        <v>1003</v>
      </c>
    </row>
    <row r="1004" spans="1:2" x14ac:dyDescent="0.25">
      <c r="A1004" t="s">
        <v>4556</v>
      </c>
      <c r="B1004">
        <v>1004</v>
      </c>
    </row>
    <row r="1005" spans="1:2" x14ac:dyDescent="0.25">
      <c r="A1005" t="s">
        <v>4556</v>
      </c>
      <c r="B1005">
        <v>1005</v>
      </c>
    </row>
    <row r="1006" spans="1:2" x14ac:dyDescent="0.25">
      <c r="A1006" t="s">
        <v>4566</v>
      </c>
      <c r="B1006">
        <v>1006</v>
      </c>
    </row>
    <row r="1007" spans="1:2" x14ac:dyDescent="0.25">
      <c r="A1007" t="s">
        <v>4566</v>
      </c>
      <c r="B1007">
        <v>1007</v>
      </c>
    </row>
    <row r="1008" spans="1:2" x14ac:dyDescent="0.25">
      <c r="A1008" t="s">
        <v>8220</v>
      </c>
      <c r="B1008">
        <v>1008</v>
      </c>
    </row>
    <row r="1009" spans="1:2" x14ac:dyDescent="0.25">
      <c r="A1009" t="s">
        <v>8250</v>
      </c>
      <c r="B1009">
        <v>1009</v>
      </c>
    </row>
    <row r="1010" spans="1:2" x14ac:dyDescent="0.25">
      <c r="A1010" t="s">
        <v>8280</v>
      </c>
      <c r="B1010">
        <v>1010</v>
      </c>
    </row>
    <row r="1011" spans="1:2" x14ac:dyDescent="0.25">
      <c r="A1011" t="s">
        <v>8310</v>
      </c>
      <c r="B1011">
        <v>1011</v>
      </c>
    </row>
    <row r="1012" spans="1:2" x14ac:dyDescent="0.25">
      <c r="A1012" t="s">
        <v>8340</v>
      </c>
      <c r="B1012">
        <v>1012</v>
      </c>
    </row>
    <row r="1013" spans="1:2" x14ac:dyDescent="0.25">
      <c r="A1013" t="s">
        <v>8370</v>
      </c>
      <c r="B1013">
        <v>1013</v>
      </c>
    </row>
    <row r="1014" spans="1:2" x14ac:dyDescent="0.25">
      <c r="A1014" t="s">
        <v>8400</v>
      </c>
      <c r="B1014">
        <v>1014</v>
      </c>
    </row>
    <row r="1015" spans="1:2" x14ac:dyDescent="0.25">
      <c r="A1015" t="s">
        <v>8430</v>
      </c>
      <c r="B1015">
        <v>1015</v>
      </c>
    </row>
    <row r="1016" spans="1:2" x14ac:dyDescent="0.25">
      <c r="A1016" t="s">
        <v>8460</v>
      </c>
      <c r="B1016">
        <v>1016</v>
      </c>
    </row>
    <row r="1017" spans="1:2" x14ac:dyDescent="0.25">
      <c r="A1017" t="s">
        <v>8490</v>
      </c>
      <c r="B1017">
        <v>1017</v>
      </c>
    </row>
    <row r="1018" spans="1:2" x14ac:dyDescent="0.25">
      <c r="A1018" t="s">
        <v>8520</v>
      </c>
      <c r="B1018">
        <v>1018</v>
      </c>
    </row>
    <row r="1019" spans="1:2" x14ac:dyDescent="0.25">
      <c r="A1019" t="s">
        <v>8550</v>
      </c>
      <c r="B1019">
        <v>1019</v>
      </c>
    </row>
    <row r="1020" spans="1:2" x14ac:dyDescent="0.25">
      <c r="A1020" t="s">
        <v>8580</v>
      </c>
      <c r="B1020">
        <v>1020</v>
      </c>
    </row>
    <row r="1021" spans="1:2" x14ac:dyDescent="0.25">
      <c r="A1021" t="s">
        <v>8610</v>
      </c>
      <c r="B1021">
        <v>1021</v>
      </c>
    </row>
    <row r="1022" spans="1:2" x14ac:dyDescent="0.25">
      <c r="A1022" t="s">
        <v>8640</v>
      </c>
      <c r="B1022">
        <v>1022</v>
      </c>
    </row>
    <row r="1023" spans="1:2" x14ac:dyDescent="0.25">
      <c r="A1023" t="s">
        <v>4563</v>
      </c>
      <c r="B1023">
        <v>1023</v>
      </c>
    </row>
    <row r="1024" spans="1:2" x14ac:dyDescent="0.25">
      <c r="A1024" t="s">
        <v>4563</v>
      </c>
      <c r="B1024">
        <v>1024</v>
      </c>
    </row>
    <row r="1025" spans="1:2" x14ac:dyDescent="0.25">
      <c r="A1025" t="s">
        <v>8673</v>
      </c>
      <c r="B1025">
        <v>1025</v>
      </c>
    </row>
    <row r="1026" spans="1:2" x14ac:dyDescent="0.25">
      <c r="A1026" t="s">
        <v>8703</v>
      </c>
      <c r="B1026">
        <v>1026</v>
      </c>
    </row>
    <row r="1027" spans="1:2" x14ac:dyDescent="0.25">
      <c r="A1027" t="s">
        <v>8733</v>
      </c>
      <c r="B1027">
        <v>1027</v>
      </c>
    </row>
    <row r="1028" spans="1:2" x14ac:dyDescent="0.25">
      <c r="A1028" t="s">
        <v>8763</v>
      </c>
      <c r="B1028">
        <v>1028</v>
      </c>
    </row>
    <row r="1029" spans="1:2" x14ac:dyDescent="0.25">
      <c r="A1029" t="s">
        <v>8793</v>
      </c>
      <c r="B1029">
        <v>1029</v>
      </c>
    </row>
    <row r="1030" spans="1:2" x14ac:dyDescent="0.25">
      <c r="A1030" t="s">
        <v>8823</v>
      </c>
      <c r="B1030">
        <v>1030</v>
      </c>
    </row>
    <row r="1031" spans="1:2" x14ac:dyDescent="0.25">
      <c r="A1031" t="s">
        <v>8853</v>
      </c>
      <c r="B1031">
        <v>1031</v>
      </c>
    </row>
    <row r="1032" spans="1:2" x14ac:dyDescent="0.25">
      <c r="A1032" t="s">
        <v>8883</v>
      </c>
      <c r="B1032">
        <v>1032</v>
      </c>
    </row>
    <row r="1033" spans="1:2" x14ac:dyDescent="0.25">
      <c r="A1033" t="s">
        <v>4567</v>
      </c>
      <c r="B1033">
        <v>1033</v>
      </c>
    </row>
    <row r="1034" spans="1:2" x14ac:dyDescent="0.25">
      <c r="A1034" t="s">
        <v>4567</v>
      </c>
      <c r="B1034">
        <v>1034</v>
      </c>
    </row>
    <row r="1035" spans="1:2" x14ac:dyDescent="0.25">
      <c r="A1035" t="s">
        <v>8914</v>
      </c>
      <c r="B1035">
        <v>1035</v>
      </c>
    </row>
    <row r="1036" spans="1:2" x14ac:dyDescent="0.25">
      <c r="A1036" t="s">
        <v>4583</v>
      </c>
      <c r="B1036">
        <v>1036</v>
      </c>
    </row>
    <row r="1037" spans="1:2" x14ac:dyDescent="0.25">
      <c r="A1037" t="s">
        <v>4590</v>
      </c>
      <c r="B1037">
        <v>1037</v>
      </c>
    </row>
    <row r="1038" spans="1:2" x14ac:dyDescent="0.25">
      <c r="A1038" t="s">
        <v>4586</v>
      </c>
      <c r="B1038">
        <v>1038</v>
      </c>
    </row>
    <row r="1039" spans="1:2" x14ac:dyDescent="0.25">
      <c r="A1039" t="s">
        <v>4592</v>
      </c>
      <c r="B1039">
        <v>1039</v>
      </c>
    </row>
    <row r="1040" spans="1:2" x14ac:dyDescent="0.25">
      <c r="A1040" t="s">
        <v>4587</v>
      </c>
      <c r="B1040">
        <v>1040</v>
      </c>
    </row>
    <row r="1041" spans="1:2" x14ac:dyDescent="0.25">
      <c r="A1041" t="s">
        <v>4588</v>
      </c>
      <c r="B1041">
        <v>1041</v>
      </c>
    </row>
    <row r="1042" spans="1:2" x14ac:dyDescent="0.25">
      <c r="A1042" t="s">
        <v>4585</v>
      </c>
      <c r="B1042">
        <v>1042</v>
      </c>
    </row>
    <row r="1043" spans="1:2" x14ac:dyDescent="0.25">
      <c r="A1043" t="s">
        <v>4596</v>
      </c>
      <c r="B1043">
        <v>1043</v>
      </c>
    </row>
    <row r="1044" spans="1:2" x14ac:dyDescent="0.25">
      <c r="A1044" t="s">
        <v>4593</v>
      </c>
      <c r="B1044">
        <v>1044</v>
      </c>
    </row>
    <row r="1045" spans="1:2" x14ac:dyDescent="0.25">
      <c r="A1045" t="s">
        <v>4597</v>
      </c>
      <c r="B1045">
        <v>1045</v>
      </c>
    </row>
    <row r="1046" spans="1:2" x14ac:dyDescent="0.25">
      <c r="A1046" t="s">
        <v>4589</v>
      </c>
      <c r="B1046">
        <v>1046</v>
      </c>
    </row>
    <row r="1047" spans="1:2" x14ac:dyDescent="0.25">
      <c r="A1047" t="s">
        <v>4584</v>
      </c>
      <c r="B1047">
        <v>1047</v>
      </c>
    </row>
    <row r="1048" spans="1:2" x14ac:dyDescent="0.25">
      <c r="A1048" t="s">
        <v>4594</v>
      </c>
      <c r="B1048">
        <v>1048</v>
      </c>
    </row>
    <row r="1049" spans="1:2" x14ac:dyDescent="0.25">
      <c r="A1049" t="s">
        <v>4591</v>
      </c>
      <c r="B1049">
        <v>1049</v>
      </c>
    </row>
    <row r="1050" spans="1:2" x14ac:dyDescent="0.25">
      <c r="A1050" t="s">
        <v>4595</v>
      </c>
      <c r="B1050">
        <v>1050</v>
      </c>
    </row>
    <row r="1051" spans="1:2" x14ac:dyDescent="0.25">
      <c r="A1051" t="s">
        <v>4613</v>
      </c>
      <c r="B1051">
        <v>1051</v>
      </c>
    </row>
    <row r="1052" spans="1:2" x14ac:dyDescent="0.25">
      <c r="A1052" t="s">
        <v>4620</v>
      </c>
      <c r="B1052">
        <v>1052</v>
      </c>
    </row>
    <row r="1053" spans="1:2" x14ac:dyDescent="0.25">
      <c r="A1053" t="s">
        <v>4616</v>
      </c>
      <c r="B1053">
        <v>1053</v>
      </c>
    </row>
    <row r="1054" spans="1:2" x14ac:dyDescent="0.25">
      <c r="A1054" t="s">
        <v>4622</v>
      </c>
      <c r="B1054">
        <v>1054</v>
      </c>
    </row>
    <row r="1055" spans="1:2" x14ac:dyDescent="0.25">
      <c r="A1055" t="s">
        <v>4617</v>
      </c>
      <c r="B1055">
        <v>1055</v>
      </c>
    </row>
    <row r="1056" spans="1:2" x14ac:dyDescent="0.25">
      <c r="A1056" t="s">
        <v>4618</v>
      </c>
      <c r="B1056">
        <v>1056</v>
      </c>
    </row>
    <row r="1057" spans="1:2" x14ac:dyDescent="0.25">
      <c r="A1057" t="s">
        <v>4615</v>
      </c>
      <c r="B1057">
        <v>1057</v>
      </c>
    </row>
    <row r="1058" spans="1:2" x14ac:dyDescent="0.25">
      <c r="A1058" t="s">
        <v>4626</v>
      </c>
      <c r="B1058">
        <v>1058</v>
      </c>
    </row>
    <row r="1059" spans="1:2" x14ac:dyDescent="0.25">
      <c r="A1059" t="s">
        <v>4623</v>
      </c>
      <c r="B1059">
        <v>1059</v>
      </c>
    </row>
    <row r="1060" spans="1:2" x14ac:dyDescent="0.25">
      <c r="A1060" t="s">
        <v>4627</v>
      </c>
      <c r="B1060">
        <v>1060</v>
      </c>
    </row>
    <row r="1061" spans="1:2" x14ac:dyDescent="0.25">
      <c r="A1061" t="s">
        <v>4619</v>
      </c>
      <c r="B1061">
        <v>1061</v>
      </c>
    </row>
    <row r="1062" spans="1:2" x14ac:dyDescent="0.25">
      <c r="A1062" t="s">
        <v>4614</v>
      </c>
      <c r="B1062">
        <v>1062</v>
      </c>
    </row>
    <row r="1063" spans="1:2" x14ac:dyDescent="0.25">
      <c r="A1063" t="s">
        <v>4624</v>
      </c>
      <c r="B1063">
        <v>1063</v>
      </c>
    </row>
    <row r="1064" spans="1:2" x14ac:dyDescent="0.25">
      <c r="A1064" t="s">
        <v>4621</v>
      </c>
      <c r="B1064">
        <v>1064</v>
      </c>
    </row>
    <row r="1065" spans="1:2" x14ac:dyDescent="0.25">
      <c r="A1065" t="s">
        <v>4625</v>
      </c>
      <c r="B1065">
        <v>1065</v>
      </c>
    </row>
    <row r="1066" spans="1:2" x14ac:dyDescent="0.25">
      <c r="A1066" t="s">
        <v>4643</v>
      </c>
      <c r="B1066">
        <v>1066</v>
      </c>
    </row>
    <row r="1067" spans="1:2" x14ac:dyDescent="0.25">
      <c r="A1067" t="s">
        <v>4650</v>
      </c>
      <c r="B1067">
        <v>1067</v>
      </c>
    </row>
    <row r="1068" spans="1:2" x14ac:dyDescent="0.25">
      <c r="A1068" t="s">
        <v>4646</v>
      </c>
      <c r="B1068">
        <v>1068</v>
      </c>
    </row>
    <row r="1069" spans="1:2" x14ac:dyDescent="0.25">
      <c r="A1069" t="s">
        <v>4652</v>
      </c>
      <c r="B1069">
        <v>1069</v>
      </c>
    </row>
    <row r="1070" spans="1:2" x14ac:dyDescent="0.25">
      <c r="A1070" t="s">
        <v>4647</v>
      </c>
      <c r="B1070">
        <v>1070</v>
      </c>
    </row>
    <row r="1071" spans="1:2" x14ac:dyDescent="0.25">
      <c r="A1071" t="s">
        <v>4648</v>
      </c>
      <c r="B1071">
        <v>1071</v>
      </c>
    </row>
    <row r="1072" spans="1:2" x14ac:dyDescent="0.25">
      <c r="A1072" t="s">
        <v>4645</v>
      </c>
      <c r="B1072">
        <v>1072</v>
      </c>
    </row>
    <row r="1073" spans="1:2" x14ac:dyDescent="0.25">
      <c r="A1073" t="s">
        <v>4656</v>
      </c>
      <c r="B1073">
        <v>1073</v>
      </c>
    </row>
    <row r="1074" spans="1:2" x14ac:dyDescent="0.25">
      <c r="A1074" t="s">
        <v>4653</v>
      </c>
      <c r="B1074">
        <v>1074</v>
      </c>
    </row>
    <row r="1075" spans="1:2" x14ac:dyDescent="0.25">
      <c r="A1075" t="s">
        <v>4657</v>
      </c>
      <c r="B1075">
        <v>1075</v>
      </c>
    </row>
    <row r="1076" spans="1:2" x14ac:dyDescent="0.25">
      <c r="A1076" t="s">
        <v>4649</v>
      </c>
      <c r="B1076">
        <v>1076</v>
      </c>
    </row>
    <row r="1077" spans="1:2" x14ac:dyDescent="0.25">
      <c r="A1077" t="s">
        <v>4644</v>
      </c>
      <c r="B1077">
        <v>1077</v>
      </c>
    </row>
    <row r="1078" spans="1:2" x14ac:dyDescent="0.25">
      <c r="A1078" t="s">
        <v>4654</v>
      </c>
      <c r="B1078">
        <v>1078</v>
      </c>
    </row>
    <row r="1079" spans="1:2" x14ac:dyDescent="0.25">
      <c r="A1079" t="s">
        <v>4651</v>
      </c>
      <c r="B1079">
        <v>1079</v>
      </c>
    </row>
    <row r="1080" spans="1:2" x14ac:dyDescent="0.25">
      <c r="A1080" t="s">
        <v>4655</v>
      </c>
      <c r="B1080">
        <v>1080</v>
      </c>
    </row>
    <row r="1081" spans="1:2" x14ac:dyDescent="0.25">
      <c r="A1081" t="s">
        <v>4673</v>
      </c>
      <c r="B1081">
        <v>1081</v>
      </c>
    </row>
    <row r="1082" spans="1:2" x14ac:dyDescent="0.25">
      <c r="A1082" t="s">
        <v>4680</v>
      </c>
      <c r="B1082">
        <v>1082</v>
      </c>
    </row>
    <row r="1083" spans="1:2" x14ac:dyDescent="0.25">
      <c r="A1083" t="s">
        <v>4676</v>
      </c>
      <c r="B1083">
        <v>1083</v>
      </c>
    </row>
    <row r="1084" spans="1:2" x14ac:dyDescent="0.25">
      <c r="A1084" t="s">
        <v>4682</v>
      </c>
      <c r="B1084">
        <v>1084</v>
      </c>
    </row>
    <row r="1085" spans="1:2" x14ac:dyDescent="0.25">
      <c r="A1085" t="s">
        <v>4677</v>
      </c>
      <c r="B1085">
        <v>1085</v>
      </c>
    </row>
    <row r="1086" spans="1:2" x14ac:dyDescent="0.25">
      <c r="A1086" t="s">
        <v>4678</v>
      </c>
      <c r="B1086">
        <v>1086</v>
      </c>
    </row>
    <row r="1087" spans="1:2" x14ac:dyDescent="0.25">
      <c r="A1087" t="s">
        <v>4675</v>
      </c>
      <c r="B1087">
        <v>1087</v>
      </c>
    </row>
    <row r="1088" spans="1:2" x14ac:dyDescent="0.25">
      <c r="A1088" t="s">
        <v>4686</v>
      </c>
      <c r="B1088">
        <v>1088</v>
      </c>
    </row>
    <row r="1089" spans="1:2" x14ac:dyDescent="0.25">
      <c r="A1089" t="s">
        <v>4683</v>
      </c>
      <c r="B1089">
        <v>1089</v>
      </c>
    </row>
    <row r="1090" spans="1:2" x14ac:dyDescent="0.25">
      <c r="A1090" t="s">
        <v>4687</v>
      </c>
      <c r="B1090">
        <v>1090</v>
      </c>
    </row>
    <row r="1091" spans="1:2" x14ac:dyDescent="0.25">
      <c r="A1091" t="s">
        <v>4679</v>
      </c>
      <c r="B1091">
        <v>1091</v>
      </c>
    </row>
    <row r="1092" spans="1:2" x14ac:dyDescent="0.25">
      <c r="A1092" t="s">
        <v>4674</v>
      </c>
      <c r="B1092">
        <v>1092</v>
      </c>
    </row>
    <row r="1093" spans="1:2" x14ac:dyDescent="0.25">
      <c r="A1093" t="s">
        <v>4684</v>
      </c>
      <c r="B1093">
        <v>1093</v>
      </c>
    </row>
    <row r="1094" spans="1:2" x14ac:dyDescent="0.25">
      <c r="A1094" t="s">
        <v>4681</v>
      </c>
      <c r="B1094">
        <v>1094</v>
      </c>
    </row>
    <row r="1095" spans="1:2" x14ac:dyDescent="0.25">
      <c r="A1095" t="s">
        <v>4685</v>
      </c>
      <c r="B1095">
        <v>1095</v>
      </c>
    </row>
    <row r="1096" spans="1:2" x14ac:dyDescent="0.25">
      <c r="A1096" t="s">
        <v>4703</v>
      </c>
      <c r="B1096">
        <v>1096</v>
      </c>
    </row>
    <row r="1097" spans="1:2" x14ac:dyDescent="0.25">
      <c r="A1097" t="s">
        <v>4710</v>
      </c>
      <c r="B1097">
        <v>1097</v>
      </c>
    </row>
    <row r="1098" spans="1:2" x14ac:dyDescent="0.25">
      <c r="A1098" t="s">
        <v>4706</v>
      </c>
      <c r="B1098">
        <v>1098</v>
      </c>
    </row>
    <row r="1099" spans="1:2" x14ac:dyDescent="0.25">
      <c r="A1099" t="s">
        <v>4712</v>
      </c>
      <c r="B1099">
        <v>1099</v>
      </c>
    </row>
    <row r="1100" spans="1:2" x14ac:dyDescent="0.25">
      <c r="A1100" t="s">
        <v>4707</v>
      </c>
      <c r="B1100">
        <v>1100</v>
      </c>
    </row>
    <row r="1101" spans="1:2" x14ac:dyDescent="0.25">
      <c r="A1101" t="s">
        <v>4708</v>
      </c>
      <c r="B1101">
        <v>1101</v>
      </c>
    </row>
    <row r="1102" spans="1:2" x14ac:dyDescent="0.25">
      <c r="A1102" t="s">
        <v>4705</v>
      </c>
      <c r="B1102">
        <v>1102</v>
      </c>
    </row>
    <row r="1103" spans="1:2" x14ac:dyDescent="0.25">
      <c r="A1103" t="s">
        <v>4716</v>
      </c>
      <c r="B1103">
        <v>1103</v>
      </c>
    </row>
    <row r="1104" spans="1:2" x14ac:dyDescent="0.25">
      <c r="A1104" t="s">
        <v>4713</v>
      </c>
      <c r="B1104">
        <v>1104</v>
      </c>
    </row>
    <row r="1105" spans="1:2" x14ac:dyDescent="0.25">
      <c r="A1105" t="s">
        <v>4717</v>
      </c>
      <c r="B1105">
        <v>1105</v>
      </c>
    </row>
    <row r="1106" spans="1:2" x14ac:dyDescent="0.25">
      <c r="A1106" t="s">
        <v>4709</v>
      </c>
      <c r="B1106">
        <v>1106</v>
      </c>
    </row>
    <row r="1107" spans="1:2" x14ac:dyDescent="0.25">
      <c r="A1107" t="s">
        <v>4704</v>
      </c>
      <c r="B1107">
        <v>1107</v>
      </c>
    </row>
    <row r="1108" spans="1:2" x14ac:dyDescent="0.25">
      <c r="A1108" t="s">
        <v>4714</v>
      </c>
      <c r="B1108">
        <v>1108</v>
      </c>
    </row>
    <row r="1109" spans="1:2" x14ac:dyDescent="0.25">
      <c r="A1109" t="s">
        <v>4711</v>
      </c>
      <c r="B1109">
        <v>1109</v>
      </c>
    </row>
    <row r="1110" spans="1:2" x14ac:dyDescent="0.25">
      <c r="A1110" t="s">
        <v>4715</v>
      </c>
      <c r="B1110">
        <v>1110</v>
      </c>
    </row>
    <row r="1111" spans="1:2" x14ac:dyDescent="0.25">
      <c r="A1111" t="s">
        <v>3315</v>
      </c>
      <c r="B1111">
        <v>1111</v>
      </c>
    </row>
    <row r="1112" spans="1:2" x14ac:dyDescent="0.25">
      <c r="A1112" t="s">
        <v>3345</v>
      </c>
      <c r="B1112">
        <v>1112</v>
      </c>
    </row>
    <row r="1113" spans="1:2" x14ac:dyDescent="0.25">
      <c r="A1113" t="s">
        <v>3375</v>
      </c>
      <c r="B1113">
        <v>1113</v>
      </c>
    </row>
    <row r="1114" spans="1:2" x14ac:dyDescent="0.25">
      <c r="A1114" t="s">
        <v>3405</v>
      </c>
      <c r="B1114">
        <v>1114</v>
      </c>
    </row>
    <row r="1115" spans="1:2" x14ac:dyDescent="0.25">
      <c r="A1115" t="s">
        <v>3435</v>
      </c>
      <c r="B1115">
        <v>1115</v>
      </c>
    </row>
    <row r="1116" spans="1:2" x14ac:dyDescent="0.25">
      <c r="A1116" t="s">
        <v>3465</v>
      </c>
      <c r="B1116">
        <v>1116</v>
      </c>
    </row>
    <row r="1117" spans="1:2" x14ac:dyDescent="0.25">
      <c r="A1117" t="s">
        <v>3495</v>
      </c>
      <c r="B1117">
        <v>1117</v>
      </c>
    </row>
    <row r="1118" spans="1:2" x14ac:dyDescent="0.25">
      <c r="A1118" t="s">
        <v>3525</v>
      </c>
      <c r="B1118">
        <v>1118</v>
      </c>
    </row>
    <row r="1119" spans="1:2" x14ac:dyDescent="0.25">
      <c r="A1119" t="s">
        <v>3555</v>
      </c>
      <c r="B1119">
        <v>1119</v>
      </c>
    </row>
    <row r="1120" spans="1:2" x14ac:dyDescent="0.25">
      <c r="A1120" t="s">
        <v>3585</v>
      </c>
      <c r="B1120">
        <v>1120</v>
      </c>
    </row>
    <row r="1121" spans="1:2" x14ac:dyDescent="0.25">
      <c r="A1121" t="s">
        <v>3615</v>
      </c>
      <c r="B1121">
        <v>1121</v>
      </c>
    </row>
    <row r="1122" spans="1:2" x14ac:dyDescent="0.25">
      <c r="A1122" t="s">
        <v>3645</v>
      </c>
      <c r="B1122">
        <v>1122</v>
      </c>
    </row>
    <row r="1123" spans="1:2" x14ac:dyDescent="0.25">
      <c r="A1123" t="s">
        <v>3675</v>
      </c>
      <c r="B1123">
        <v>1123</v>
      </c>
    </row>
    <row r="1124" spans="1:2" x14ac:dyDescent="0.25">
      <c r="A1124" t="s">
        <v>3705</v>
      </c>
      <c r="B1124">
        <v>1124</v>
      </c>
    </row>
    <row r="1125" spans="1:2" x14ac:dyDescent="0.25">
      <c r="A1125" t="s">
        <v>3735</v>
      </c>
      <c r="B1125">
        <v>1125</v>
      </c>
    </row>
    <row r="1126" spans="1:2" x14ac:dyDescent="0.25">
      <c r="A1126" t="s">
        <v>3765</v>
      </c>
      <c r="B1126">
        <v>1126</v>
      </c>
    </row>
    <row r="1127" spans="1:2" x14ac:dyDescent="0.25">
      <c r="A1127" t="s">
        <v>3795</v>
      </c>
      <c r="B1127">
        <v>1127</v>
      </c>
    </row>
    <row r="1128" spans="1:2" x14ac:dyDescent="0.25">
      <c r="A1128" t="s">
        <v>3825</v>
      </c>
      <c r="B1128">
        <v>1128</v>
      </c>
    </row>
    <row r="1129" spans="1:2" x14ac:dyDescent="0.25">
      <c r="A1129" t="s">
        <v>3855</v>
      </c>
      <c r="B1129">
        <v>1129</v>
      </c>
    </row>
    <row r="1130" spans="1:2" x14ac:dyDescent="0.25">
      <c r="A1130" t="s">
        <v>3885</v>
      </c>
      <c r="B1130">
        <v>1130</v>
      </c>
    </row>
    <row r="1131" spans="1:2" x14ac:dyDescent="0.25">
      <c r="A1131" t="s">
        <v>3915</v>
      </c>
      <c r="B1131">
        <v>1131</v>
      </c>
    </row>
    <row r="1132" spans="1:2" x14ac:dyDescent="0.25">
      <c r="A1132" t="s">
        <v>3945</v>
      </c>
      <c r="B1132">
        <v>1132</v>
      </c>
    </row>
    <row r="1133" spans="1:2" x14ac:dyDescent="0.25">
      <c r="A1133" t="s">
        <v>3975</v>
      </c>
      <c r="B1133">
        <v>1133</v>
      </c>
    </row>
    <row r="1134" spans="1:2" x14ac:dyDescent="0.25">
      <c r="A1134" t="s">
        <v>4005</v>
      </c>
      <c r="B1134">
        <v>1134</v>
      </c>
    </row>
    <row r="1135" spans="1:2" x14ac:dyDescent="0.25">
      <c r="A1135" t="s">
        <v>4035</v>
      </c>
      <c r="B1135">
        <v>1135</v>
      </c>
    </row>
    <row r="1136" spans="1:2" x14ac:dyDescent="0.25">
      <c r="A1136" t="s">
        <v>4065</v>
      </c>
      <c r="B1136">
        <v>1136</v>
      </c>
    </row>
    <row r="1137" spans="1:2" x14ac:dyDescent="0.25">
      <c r="A1137" t="s">
        <v>4095</v>
      </c>
      <c r="B1137">
        <v>1137</v>
      </c>
    </row>
    <row r="1138" spans="1:2" x14ac:dyDescent="0.25">
      <c r="A1138" t="s">
        <v>4124</v>
      </c>
      <c r="B1138">
        <v>1138</v>
      </c>
    </row>
    <row r="1139" spans="1:2" x14ac:dyDescent="0.25">
      <c r="A1139" t="s">
        <v>4124</v>
      </c>
      <c r="B1139">
        <v>1139</v>
      </c>
    </row>
    <row r="1140" spans="1:2" x14ac:dyDescent="0.25">
      <c r="A1140" t="s">
        <v>4154</v>
      </c>
      <c r="B1140">
        <v>1140</v>
      </c>
    </row>
    <row r="1141" spans="1:2" x14ac:dyDescent="0.25">
      <c r="A1141" t="s">
        <v>4184</v>
      </c>
      <c r="B1141">
        <v>1141</v>
      </c>
    </row>
    <row r="1142" spans="1:2" x14ac:dyDescent="0.25">
      <c r="A1142" t="s">
        <v>4214</v>
      </c>
      <c r="B1142">
        <v>1142</v>
      </c>
    </row>
    <row r="1143" spans="1:2" x14ac:dyDescent="0.25">
      <c r="A1143" t="s">
        <v>4244</v>
      </c>
      <c r="B1143">
        <v>1143</v>
      </c>
    </row>
    <row r="1144" spans="1:2" x14ac:dyDescent="0.25">
      <c r="A1144" t="s">
        <v>4274</v>
      </c>
      <c r="B1144">
        <v>1144</v>
      </c>
    </row>
    <row r="1145" spans="1:2" x14ac:dyDescent="0.25">
      <c r="A1145" t="s">
        <v>4304</v>
      </c>
      <c r="B1145">
        <v>1145</v>
      </c>
    </row>
    <row r="1146" spans="1:2" x14ac:dyDescent="0.25">
      <c r="A1146" t="s">
        <v>4334</v>
      </c>
      <c r="B1146">
        <v>1146</v>
      </c>
    </row>
    <row r="1147" spans="1:2" x14ac:dyDescent="0.25">
      <c r="A1147" t="s">
        <v>4364</v>
      </c>
      <c r="B1147">
        <v>1147</v>
      </c>
    </row>
    <row r="1148" spans="1:2" x14ac:dyDescent="0.25">
      <c r="A1148" t="s">
        <v>4394</v>
      </c>
      <c r="B1148">
        <v>1148</v>
      </c>
    </row>
    <row r="1149" spans="1:2" x14ac:dyDescent="0.25">
      <c r="A1149" t="s">
        <v>4424</v>
      </c>
      <c r="B1149">
        <v>1149</v>
      </c>
    </row>
    <row r="1150" spans="1:2" x14ac:dyDescent="0.25">
      <c r="A1150" t="s">
        <v>4454</v>
      </c>
      <c r="B1150">
        <v>1150</v>
      </c>
    </row>
    <row r="1151" spans="1:2" x14ac:dyDescent="0.25">
      <c r="A1151" t="s">
        <v>4484</v>
      </c>
      <c r="B1151">
        <v>1151</v>
      </c>
    </row>
    <row r="1152" spans="1:2" x14ac:dyDescent="0.25">
      <c r="A1152" t="s">
        <v>4514</v>
      </c>
      <c r="B1152">
        <v>1152</v>
      </c>
    </row>
    <row r="1153" spans="1:2" x14ac:dyDescent="0.25">
      <c r="A1153" t="s">
        <v>4544</v>
      </c>
      <c r="B1153">
        <v>1153</v>
      </c>
    </row>
    <row r="1154" spans="1:2" x14ac:dyDescent="0.25">
      <c r="A1154" t="s">
        <v>4572</v>
      </c>
      <c r="B1154">
        <v>1154</v>
      </c>
    </row>
    <row r="1155" spans="1:2" x14ac:dyDescent="0.25">
      <c r="A1155" t="s">
        <v>4572</v>
      </c>
      <c r="B1155">
        <v>1155</v>
      </c>
    </row>
    <row r="1156" spans="1:2" x14ac:dyDescent="0.25">
      <c r="A1156" t="s">
        <v>4601</v>
      </c>
      <c r="B1156">
        <v>1156</v>
      </c>
    </row>
    <row r="1157" spans="1:2" x14ac:dyDescent="0.25">
      <c r="A1157" t="s">
        <v>4631</v>
      </c>
      <c r="B1157">
        <v>1157</v>
      </c>
    </row>
    <row r="1158" spans="1:2" x14ac:dyDescent="0.25">
      <c r="A1158" t="s">
        <v>4661</v>
      </c>
      <c r="B1158">
        <v>1158</v>
      </c>
    </row>
    <row r="1159" spans="1:2" x14ac:dyDescent="0.25">
      <c r="A1159" t="s">
        <v>4691</v>
      </c>
      <c r="B1159">
        <v>1159</v>
      </c>
    </row>
    <row r="1160" spans="1:2" x14ac:dyDescent="0.25">
      <c r="A1160" t="s">
        <v>4721</v>
      </c>
      <c r="B1160">
        <v>1160</v>
      </c>
    </row>
    <row r="1161" spans="1:2" x14ac:dyDescent="0.25">
      <c r="A1161" t="s">
        <v>4735</v>
      </c>
      <c r="B1161">
        <v>1161</v>
      </c>
    </row>
    <row r="1162" spans="1:2" x14ac:dyDescent="0.25">
      <c r="A1162" t="s">
        <v>4735</v>
      </c>
      <c r="B1162">
        <v>1162</v>
      </c>
    </row>
    <row r="1163" spans="1:2" x14ac:dyDescent="0.25">
      <c r="A1163" t="s">
        <v>4776</v>
      </c>
      <c r="B1163">
        <v>1163</v>
      </c>
    </row>
    <row r="1164" spans="1:2" x14ac:dyDescent="0.25">
      <c r="A1164" t="s">
        <v>4806</v>
      </c>
      <c r="B1164">
        <v>1164</v>
      </c>
    </row>
    <row r="1165" spans="1:2" x14ac:dyDescent="0.25">
      <c r="A1165" t="s">
        <v>4836</v>
      </c>
      <c r="B1165">
        <v>1165</v>
      </c>
    </row>
    <row r="1166" spans="1:2" x14ac:dyDescent="0.25">
      <c r="A1166" t="s">
        <v>4866</v>
      </c>
      <c r="B1166">
        <v>1166</v>
      </c>
    </row>
    <row r="1167" spans="1:2" x14ac:dyDescent="0.25">
      <c r="A1167" t="s">
        <v>4896</v>
      </c>
      <c r="B1167">
        <v>1167</v>
      </c>
    </row>
    <row r="1168" spans="1:2" x14ac:dyDescent="0.25">
      <c r="A1168" t="s">
        <v>4926</v>
      </c>
      <c r="B1168">
        <v>1168</v>
      </c>
    </row>
    <row r="1169" spans="1:2" x14ac:dyDescent="0.25">
      <c r="A1169" t="s">
        <v>4956</v>
      </c>
      <c r="B1169">
        <v>1169</v>
      </c>
    </row>
    <row r="1170" spans="1:2" x14ac:dyDescent="0.25">
      <c r="A1170" t="s">
        <v>4986</v>
      </c>
      <c r="B1170">
        <v>1170</v>
      </c>
    </row>
    <row r="1171" spans="1:2" x14ac:dyDescent="0.25">
      <c r="A1171" t="s">
        <v>5016</v>
      </c>
      <c r="B1171">
        <v>1171</v>
      </c>
    </row>
    <row r="1172" spans="1:2" x14ac:dyDescent="0.25">
      <c r="A1172" t="s">
        <v>5046</v>
      </c>
      <c r="B1172">
        <v>1172</v>
      </c>
    </row>
    <row r="1173" spans="1:2" x14ac:dyDescent="0.25">
      <c r="A1173" t="s">
        <v>4740</v>
      </c>
      <c r="B1173">
        <v>1173</v>
      </c>
    </row>
    <row r="1174" spans="1:2" x14ac:dyDescent="0.25">
      <c r="A1174" t="s">
        <v>4740</v>
      </c>
      <c r="B1174">
        <v>1174</v>
      </c>
    </row>
    <row r="1175" spans="1:2" x14ac:dyDescent="0.25">
      <c r="A1175" t="s">
        <v>4736</v>
      </c>
      <c r="B1175">
        <v>1175</v>
      </c>
    </row>
    <row r="1176" spans="1:2" x14ac:dyDescent="0.25">
      <c r="A1176" t="s">
        <v>4736</v>
      </c>
      <c r="B1176">
        <v>1176</v>
      </c>
    </row>
    <row r="1177" spans="1:2" x14ac:dyDescent="0.25">
      <c r="A1177" t="s">
        <v>4737</v>
      </c>
      <c r="B1177">
        <v>1177</v>
      </c>
    </row>
    <row r="1178" spans="1:2" x14ac:dyDescent="0.25">
      <c r="A1178" t="s">
        <v>4737</v>
      </c>
      <c r="B1178">
        <v>1178</v>
      </c>
    </row>
    <row r="1179" spans="1:2" x14ac:dyDescent="0.25">
      <c r="A1179" t="s">
        <v>5139</v>
      </c>
      <c r="B1179">
        <v>1179</v>
      </c>
    </row>
    <row r="1180" spans="1:2" x14ac:dyDescent="0.25">
      <c r="A1180" t="s">
        <v>5169</v>
      </c>
      <c r="B1180">
        <v>1180</v>
      </c>
    </row>
    <row r="1181" spans="1:2" x14ac:dyDescent="0.25">
      <c r="A1181" t="s">
        <v>5199</v>
      </c>
      <c r="B1181">
        <v>1181</v>
      </c>
    </row>
    <row r="1182" spans="1:2" x14ac:dyDescent="0.25">
      <c r="A1182" t="s">
        <v>5229</v>
      </c>
      <c r="B1182">
        <v>1182</v>
      </c>
    </row>
    <row r="1183" spans="1:2" x14ac:dyDescent="0.25">
      <c r="A1183" t="s">
        <v>5259</v>
      </c>
      <c r="B1183">
        <v>1183</v>
      </c>
    </row>
    <row r="1184" spans="1:2" x14ac:dyDescent="0.25">
      <c r="A1184" t="s">
        <v>5289</v>
      </c>
      <c r="B1184">
        <v>1184</v>
      </c>
    </row>
    <row r="1185" spans="1:2" x14ac:dyDescent="0.25">
      <c r="A1185" t="s">
        <v>5319</v>
      </c>
      <c r="B1185">
        <v>1185</v>
      </c>
    </row>
    <row r="1186" spans="1:2" x14ac:dyDescent="0.25">
      <c r="A1186" t="s">
        <v>5349</v>
      </c>
      <c r="B1186">
        <v>1186</v>
      </c>
    </row>
    <row r="1187" spans="1:2" x14ac:dyDescent="0.25">
      <c r="A1187" t="s">
        <v>5379</v>
      </c>
      <c r="B1187">
        <v>1187</v>
      </c>
    </row>
    <row r="1188" spans="1:2" x14ac:dyDescent="0.25">
      <c r="A1188" t="s">
        <v>5409</v>
      </c>
      <c r="B1188">
        <v>1188</v>
      </c>
    </row>
    <row r="1189" spans="1:2" x14ac:dyDescent="0.25">
      <c r="A1189" t="s">
        <v>5439</v>
      </c>
      <c r="B1189">
        <v>1189</v>
      </c>
    </row>
    <row r="1190" spans="1:2" x14ac:dyDescent="0.25">
      <c r="A1190" t="s">
        <v>5469</v>
      </c>
      <c r="B1190">
        <v>1190</v>
      </c>
    </row>
    <row r="1191" spans="1:2" x14ac:dyDescent="0.25">
      <c r="A1191" t="s">
        <v>5499</v>
      </c>
      <c r="B1191">
        <v>1191</v>
      </c>
    </row>
    <row r="1192" spans="1:2" x14ac:dyDescent="0.25">
      <c r="A1192" t="s">
        <v>5529</v>
      </c>
      <c r="B1192">
        <v>1192</v>
      </c>
    </row>
    <row r="1193" spans="1:2" x14ac:dyDescent="0.25">
      <c r="A1193" t="s">
        <v>5559</v>
      </c>
      <c r="B1193">
        <v>1193</v>
      </c>
    </row>
    <row r="1194" spans="1:2" x14ac:dyDescent="0.25">
      <c r="A1194" t="s">
        <v>5589</v>
      </c>
      <c r="B1194">
        <v>1194</v>
      </c>
    </row>
    <row r="1195" spans="1:2" x14ac:dyDescent="0.25">
      <c r="A1195" t="s">
        <v>5619</v>
      </c>
      <c r="B1195">
        <v>1195</v>
      </c>
    </row>
    <row r="1196" spans="1:2" x14ac:dyDescent="0.25">
      <c r="A1196" t="s">
        <v>5649</v>
      </c>
      <c r="B1196">
        <v>1196</v>
      </c>
    </row>
    <row r="1197" spans="1:2" x14ac:dyDescent="0.25">
      <c r="A1197" t="s">
        <v>5679</v>
      </c>
      <c r="B1197">
        <v>1197</v>
      </c>
    </row>
    <row r="1198" spans="1:2" x14ac:dyDescent="0.25">
      <c r="A1198" t="s">
        <v>5709</v>
      </c>
      <c r="B1198">
        <v>1198</v>
      </c>
    </row>
    <row r="1199" spans="1:2" x14ac:dyDescent="0.25">
      <c r="A1199" t="s">
        <v>5739</v>
      </c>
      <c r="B1199">
        <v>1199</v>
      </c>
    </row>
    <row r="1200" spans="1:2" x14ac:dyDescent="0.25">
      <c r="A1200" t="s">
        <v>5769</v>
      </c>
      <c r="B1200">
        <v>1200</v>
      </c>
    </row>
    <row r="1201" spans="1:2" x14ac:dyDescent="0.25">
      <c r="A1201" t="s">
        <v>5799</v>
      </c>
      <c r="B1201">
        <v>1201</v>
      </c>
    </row>
    <row r="1202" spans="1:2" x14ac:dyDescent="0.25">
      <c r="A1202" t="s">
        <v>5829</v>
      </c>
      <c r="B1202">
        <v>1202</v>
      </c>
    </row>
    <row r="1203" spans="1:2" x14ac:dyDescent="0.25">
      <c r="A1203" t="s">
        <v>5859</v>
      </c>
      <c r="B1203">
        <v>1203</v>
      </c>
    </row>
    <row r="1204" spans="1:2" x14ac:dyDescent="0.25">
      <c r="A1204" t="s">
        <v>5889</v>
      </c>
      <c r="B1204">
        <v>1204</v>
      </c>
    </row>
    <row r="1205" spans="1:2" x14ac:dyDescent="0.25">
      <c r="A1205" t="s">
        <v>5919</v>
      </c>
      <c r="B1205">
        <v>1205</v>
      </c>
    </row>
    <row r="1206" spans="1:2" x14ac:dyDescent="0.25">
      <c r="A1206" t="s">
        <v>5949</v>
      </c>
      <c r="B1206">
        <v>1206</v>
      </c>
    </row>
    <row r="1207" spans="1:2" x14ac:dyDescent="0.25">
      <c r="A1207" t="s">
        <v>5979</v>
      </c>
      <c r="B1207">
        <v>1207</v>
      </c>
    </row>
    <row r="1208" spans="1:2" x14ac:dyDescent="0.25">
      <c r="A1208" t="s">
        <v>6009</v>
      </c>
      <c r="B1208">
        <v>1208</v>
      </c>
    </row>
    <row r="1209" spans="1:2" x14ac:dyDescent="0.25">
      <c r="A1209" t="s">
        <v>6039</v>
      </c>
      <c r="B1209">
        <v>1209</v>
      </c>
    </row>
    <row r="1210" spans="1:2" x14ac:dyDescent="0.25">
      <c r="A1210" t="s">
        <v>4734</v>
      </c>
      <c r="B1210">
        <v>1210</v>
      </c>
    </row>
    <row r="1211" spans="1:2" x14ac:dyDescent="0.25">
      <c r="A1211" t="s">
        <v>4734</v>
      </c>
      <c r="B1211">
        <v>1211</v>
      </c>
    </row>
    <row r="1212" spans="1:2" x14ac:dyDescent="0.25">
      <c r="A1212" t="s">
        <v>6086</v>
      </c>
      <c r="B1212">
        <v>1212</v>
      </c>
    </row>
    <row r="1213" spans="1:2" x14ac:dyDescent="0.25">
      <c r="A1213" t="s">
        <v>6116</v>
      </c>
      <c r="B1213">
        <v>1213</v>
      </c>
    </row>
    <row r="1214" spans="1:2" x14ac:dyDescent="0.25">
      <c r="A1214" t="s">
        <v>6146</v>
      </c>
      <c r="B1214">
        <v>1214</v>
      </c>
    </row>
    <row r="1215" spans="1:2" x14ac:dyDescent="0.25">
      <c r="A1215" t="s">
        <v>6176</v>
      </c>
      <c r="B1215">
        <v>1215</v>
      </c>
    </row>
    <row r="1216" spans="1:2" x14ac:dyDescent="0.25">
      <c r="A1216" t="s">
        <v>6206</v>
      </c>
      <c r="B1216">
        <v>1216</v>
      </c>
    </row>
    <row r="1217" spans="1:2" x14ac:dyDescent="0.25">
      <c r="A1217" t="s">
        <v>6236</v>
      </c>
      <c r="B1217">
        <v>1217</v>
      </c>
    </row>
    <row r="1218" spans="1:2" x14ac:dyDescent="0.25">
      <c r="A1218" t="s">
        <v>6266</v>
      </c>
      <c r="B1218">
        <v>1218</v>
      </c>
    </row>
    <row r="1219" spans="1:2" x14ac:dyDescent="0.25">
      <c r="A1219" t="s">
        <v>6296</v>
      </c>
      <c r="B1219">
        <v>1219</v>
      </c>
    </row>
    <row r="1220" spans="1:2" x14ac:dyDescent="0.25">
      <c r="A1220" t="s">
        <v>6326</v>
      </c>
      <c r="B1220">
        <v>1220</v>
      </c>
    </row>
    <row r="1221" spans="1:2" x14ac:dyDescent="0.25">
      <c r="A1221" t="s">
        <v>6356</v>
      </c>
      <c r="B1221">
        <v>1221</v>
      </c>
    </row>
    <row r="1222" spans="1:2" x14ac:dyDescent="0.25">
      <c r="A1222" t="s">
        <v>6386</v>
      </c>
      <c r="B1222">
        <v>1222</v>
      </c>
    </row>
    <row r="1223" spans="1:2" x14ac:dyDescent="0.25">
      <c r="A1223" t="s">
        <v>6416</v>
      </c>
      <c r="B1223">
        <v>1223</v>
      </c>
    </row>
    <row r="1224" spans="1:2" x14ac:dyDescent="0.25">
      <c r="A1224" t="s">
        <v>6446</v>
      </c>
      <c r="B1224">
        <v>1224</v>
      </c>
    </row>
    <row r="1225" spans="1:2" x14ac:dyDescent="0.25">
      <c r="A1225" t="s">
        <v>6476</v>
      </c>
      <c r="B1225">
        <v>1225</v>
      </c>
    </row>
    <row r="1226" spans="1:2" x14ac:dyDescent="0.25">
      <c r="A1226" t="s">
        <v>6506</v>
      </c>
      <c r="B1226">
        <v>1226</v>
      </c>
    </row>
    <row r="1227" spans="1:2" x14ac:dyDescent="0.25">
      <c r="A1227" t="s">
        <v>6536</v>
      </c>
      <c r="B1227">
        <v>1227</v>
      </c>
    </row>
    <row r="1228" spans="1:2" x14ac:dyDescent="0.25">
      <c r="A1228" t="s">
        <v>6566</v>
      </c>
      <c r="B1228">
        <v>1228</v>
      </c>
    </row>
    <row r="1229" spans="1:2" x14ac:dyDescent="0.25">
      <c r="A1229" t="s">
        <v>6596</v>
      </c>
      <c r="B1229">
        <v>1229</v>
      </c>
    </row>
    <row r="1230" spans="1:2" x14ac:dyDescent="0.25">
      <c r="A1230" t="s">
        <v>4744</v>
      </c>
      <c r="B1230">
        <v>1230</v>
      </c>
    </row>
    <row r="1231" spans="1:2" x14ac:dyDescent="0.25">
      <c r="A1231" t="s">
        <v>4744</v>
      </c>
      <c r="B1231">
        <v>1231</v>
      </c>
    </row>
    <row r="1232" spans="1:2" x14ac:dyDescent="0.25">
      <c r="A1232" t="s">
        <v>6641</v>
      </c>
      <c r="B1232">
        <v>1232</v>
      </c>
    </row>
    <row r="1233" spans="1:2" x14ac:dyDescent="0.25">
      <c r="A1233" t="s">
        <v>6671</v>
      </c>
      <c r="B1233">
        <v>1233</v>
      </c>
    </row>
    <row r="1234" spans="1:2" x14ac:dyDescent="0.25">
      <c r="A1234" t="s">
        <v>6701</v>
      </c>
      <c r="B1234">
        <v>1234</v>
      </c>
    </row>
    <row r="1235" spans="1:2" x14ac:dyDescent="0.25">
      <c r="A1235" t="s">
        <v>6731</v>
      </c>
      <c r="B1235">
        <v>1235</v>
      </c>
    </row>
    <row r="1236" spans="1:2" x14ac:dyDescent="0.25">
      <c r="A1236" t="s">
        <v>6761</v>
      </c>
      <c r="B1236">
        <v>1236</v>
      </c>
    </row>
    <row r="1237" spans="1:2" x14ac:dyDescent="0.25">
      <c r="A1237" t="s">
        <v>6791</v>
      </c>
      <c r="B1237">
        <v>1237</v>
      </c>
    </row>
    <row r="1238" spans="1:2" x14ac:dyDescent="0.25">
      <c r="A1238" t="s">
        <v>6821</v>
      </c>
      <c r="B1238">
        <v>1238</v>
      </c>
    </row>
    <row r="1239" spans="1:2" x14ac:dyDescent="0.25">
      <c r="A1239" t="s">
        <v>6851</v>
      </c>
      <c r="B1239">
        <v>1239</v>
      </c>
    </row>
    <row r="1240" spans="1:2" x14ac:dyDescent="0.25">
      <c r="A1240" t="s">
        <v>4741</v>
      </c>
      <c r="B1240">
        <v>1240</v>
      </c>
    </row>
    <row r="1241" spans="1:2" x14ac:dyDescent="0.25">
      <c r="A1241" t="s">
        <v>4741</v>
      </c>
      <c r="B1241">
        <v>1241</v>
      </c>
    </row>
    <row r="1242" spans="1:2" x14ac:dyDescent="0.25">
      <c r="A1242" t="s">
        <v>6894</v>
      </c>
      <c r="B1242">
        <v>1242</v>
      </c>
    </row>
    <row r="1243" spans="1:2" x14ac:dyDescent="0.25">
      <c r="A1243" t="s">
        <v>6924</v>
      </c>
      <c r="B1243">
        <v>1243</v>
      </c>
    </row>
    <row r="1244" spans="1:2" x14ac:dyDescent="0.25">
      <c r="A1244" t="s">
        <v>6954</v>
      </c>
      <c r="B1244">
        <v>1244</v>
      </c>
    </row>
    <row r="1245" spans="1:2" x14ac:dyDescent="0.25">
      <c r="A1245" t="s">
        <v>6984</v>
      </c>
      <c r="B1245">
        <v>1245</v>
      </c>
    </row>
    <row r="1246" spans="1:2" x14ac:dyDescent="0.25">
      <c r="A1246" t="s">
        <v>7014</v>
      </c>
      <c r="B1246">
        <v>1246</v>
      </c>
    </row>
    <row r="1247" spans="1:2" x14ac:dyDescent="0.25">
      <c r="A1247" t="s">
        <v>7044</v>
      </c>
      <c r="B1247">
        <v>1247</v>
      </c>
    </row>
    <row r="1248" spans="1:2" x14ac:dyDescent="0.25">
      <c r="A1248" t="s">
        <v>7074</v>
      </c>
      <c r="B1248">
        <v>1248</v>
      </c>
    </row>
    <row r="1249" spans="1:2" x14ac:dyDescent="0.25">
      <c r="A1249" t="s">
        <v>7104</v>
      </c>
      <c r="B1249">
        <v>1249</v>
      </c>
    </row>
    <row r="1250" spans="1:2" x14ac:dyDescent="0.25">
      <c r="A1250" t="s">
        <v>4745</v>
      </c>
      <c r="B1250">
        <v>1250</v>
      </c>
    </row>
    <row r="1251" spans="1:2" x14ac:dyDescent="0.25">
      <c r="A1251" t="s">
        <v>4745</v>
      </c>
      <c r="B1251">
        <v>1251</v>
      </c>
    </row>
    <row r="1252" spans="1:2" x14ac:dyDescent="0.25">
      <c r="A1252" t="s">
        <v>7145</v>
      </c>
      <c r="B1252">
        <v>1252</v>
      </c>
    </row>
    <row r="1253" spans="1:2" x14ac:dyDescent="0.25">
      <c r="A1253" t="s">
        <v>7175</v>
      </c>
      <c r="B1253">
        <v>1253</v>
      </c>
    </row>
    <row r="1254" spans="1:2" x14ac:dyDescent="0.25">
      <c r="A1254" t="s">
        <v>7205</v>
      </c>
      <c r="B1254">
        <v>1254</v>
      </c>
    </row>
    <row r="1255" spans="1:2" x14ac:dyDescent="0.25">
      <c r="A1255" t="s">
        <v>7235</v>
      </c>
      <c r="B1255">
        <v>1255</v>
      </c>
    </row>
    <row r="1256" spans="1:2" x14ac:dyDescent="0.25">
      <c r="A1256" t="s">
        <v>7265</v>
      </c>
      <c r="B1256">
        <v>1256</v>
      </c>
    </row>
    <row r="1257" spans="1:2" x14ac:dyDescent="0.25">
      <c r="A1257" t="s">
        <v>4738</v>
      </c>
      <c r="B1257">
        <v>1257</v>
      </c>
    </row>
    <row r="1258" spans="1:2" x14ac:dyDescent="0.25">
      <c r="A1258" t="s">
        <v>4738</v>
      </c>
      <c r="B1258">
        <v>1258</v>
      </c>
    </row>
    <row r="1259" spans="1:2" x14ac:dyDescent="0.25">
      <c r="A1259" t="s">
        <v>7304</v>
      </c>
      <c r="B1259">
        <v>1259</v>
      </c>
    </row>
    <row r="1260" spans="1:2" x14ac:dyDescent="0.25">
      <c r="A1260" t="s">
        <v>7334</v>
      </c>
      <c r="B1260">
        <v>1260</v>
      </c>
    </row>
    <row r="1261" spans="1:2" x14ac:dyDescent="0.25">
      <c r="A1261" t="s">
        <v>7364</v>
      </c>
      <c r="B1261">
        <v>1261</v>
      </c>
    </row>
    <row r="1262" spans="1:2" x14ac:dyDescent="0.25">
      <c r="A1262" t="s">
        <v>7394</v>
      </c>
      <c r="B1262">
        <v>1262</v>
      </c>
    </row>
    <row r="1263" spans="1:2" x14ac:dyDescent="0.25">
      <c r="A1263" t="s">
        <v>7424</v>
      </c>
      <c r="B1263">
        <v>1263</v>
      </c>
    </row>
    <row r="1264" spans="1:2" x14ac:dyDescent="0.25">
      <c r="A1264" t="s">
        <v>7454</v>
      </c>
      <c r="B1264">
        <v>1264</v>
      </c>
    </row>
    <row r="1265" spans="1:2" x14ac:dyDescent="0.25">
      <c r="A1265" t="s">
        <v>7484</v>
      </c>
      <c r="B1265">
        <v>1265</v>
      </c>
    </row>
    <row r="1266" spans="1:2" x14ac:dyDescent="0.25">
      <c r="A1266" t="s">
        <v>7514</v>
      </c>
      <c r="B1266">
        <v>1266</v>
      </c>
    </row>
    <row r="1267" spans="1:2" x14ac:dyDescent="0.25">
      <c r="A1267" t="s">
        <v>7544</v>
      </c>
      <c r="B1267">
        <v>1267</v>
      </c>
    </row>
    <row r="1268" spans="1:2" x14ac:dyDescent="0.25">
      <c r="A1268" t="s">
        <v>7574</v>
      </c>
      <c r="B1268">
        <v>1268</v>
      </c>
    </row>
    <row r="1269" spans="1:2" x14ac:dyDescent="0.25">
      <c r="A1269" t="s">
        <v>7604</v>
      </c>
      <c r="B1269">
        <v>1269</v>
      </c>
    </row>
    <row r="1270" spans="1:2" x14ac:dyDescent="0.25">
      <c r="A1270" t="s">
        <v>7634</v>
      </c>
      <c r="B1270">
        <v>1270</v>
      </c>
    </row>
    <row r="1271" spans="1:2" x14ac:dyDescent="0.25">
      <c r="A1271" t="s">
        <v>7664</v>
      </c>
      <c r="B1271">
        <v>1271</v>
      </c>
    </row>
    <row r="1272" spans="1:2" x14ac:dyDescent="0.25">
      <c r="A1272" t="s">
        <v>7694</v>
      </c>
      <c r="B1272">
        <v>1272</v>
      </c>
    </row>
    <row r="1273" spans="1:2" x14ac:dyDescent="0.25">
      <c r="A1273" t="s">
        <v>7724</v>
      </c>
      <c r="B1273">
        <v>1273</v>
      </c>
    </row>
    <row r="1274" spans="1:2" x14ac:dyDescent="0.25">
      <c r="A1274" t="s">
        <v>7754</v>
      </c>
      <c r="B1274">
        <v>1274</v>
      </c>
    </row>
    <row r="1275" spans="1:2" x14ac:dyDescent="0.25">
      <c r="A1275" t="s">
        <v>7784</v>
      </c>
      <c r="B1275">
        <v>1275</v>
      </c>
    </row>
    <row r="1276" spans="1:2" x14ac:dyDescent="0.25">
      <c r="A1276" t="s">
        <v>7814</v>
      </c>
      <c r="B1276">
        <v>1276</v>
      </c>
    </row>
    <row r="1277" spans="1:2" x14ac:dyDescent="0.25">
      <c r="A1277" t="s">
        <v>7844</v>
      </c>
      <c r="B1277">
        <v>1277</v>
      </c>
    </row>
    <row r="1278" spans="1:2" x14ac:dyDescent="0.25">
      <c r="A1278" t="s">
        <v>7874</v>
      </c>
      <c r="B1278">
        <v>1278</v>
      </c>
    </row>
    <row r="1279" spans="1:2" x14ac:dyDescent="0.25">
      <c r="A1279" t="s">
        <v>7904</v>
      </c>
      <c r="B1279">
        <v>1279</v>
      </c>
    </row>
    <row r="1280" spans="1:2" x14ac:dyDescent="0.25">
      <c r="A1280" t="s">
        <v>7934</v>
      </c>
      <c r="B1280">
        <v>1280</v>
      </c>
    </row>
    <row r="1281" spans="1:2" x14ac:dyDescent="0.25">
      <c r="A1281" t="s">
        <v>7964</v>
      </c>
      <c r="B1281">
        <v>1281</v>
      </c>
    </row>
    <row r="1282" spans="1:2" x14ac:dyDescent="0.25">
      <c r="A1282" t="s">
        <v>7994</v>
      </c>
      <c r="B1282">
        <v>1282</v>
      </c>
    </row>
    <row r="1283" spans="1:2" x14ac:dyDescent="0.25">
      <c r="A1283" t="s">
        <v>8024</v>
      </c>
      <c r="B1283">
        <v>1283</v>
      </c>
    </row>
    <row r="1284" spans="1:2" x14ac:dyDescent="0.25">
      <c r="A1284" t="s">
        <v>8054</v>
      </c>
      <c r="B1284">
        <v>1284</v>
      </c>
    </row>
    <row r="1285" spans="1:2" x14ac:dyDescent="0.25">
      <c r="A1285" t="s">
        <v>8084</v>
      </c>
      <c r="B1285">
        <v>1285</v>
      </c>
    </row>
    <row r="1286" spans="1:2" x14ac:dyDescent="0.25">
      <c r="A1286" t="s">
        <v>8114</v>
      </c>
      <c r="B1286">
        <v>1286</v>
      </c>
    </row>
    <row r="1287" spans="1:2" x14ac:dyDescent="0.25">
      <c r="A1287" t="s">
        <v>8144</v>
      </c>
      <c r="B1287">
        <v>1287</v>
      </c>
    </row>
    <row r="1288" spans="1:2" x14ac:dyDescent="0.25">
      <c r="A1288" t="s">
        <v>8174</v>
      </c>
      <c r="B1288">
        <v>1288</v>
      </c>
    </row>
    <row r="1289" spans="1:2" x14ac:dyDescent="0.25">
      <c r="A1289" t="s">
        <v>4733</v>
      </c>
      <c r="B1289">
        <v>1289</v>
      </c>
    </row>
    <row r="1290" spans="1:2" x14ac:dyDescent="0.25">
      <c r="A1290" t="s">
        <v>4733</v>
      </c>
      <c r="B1290">
        <v>1290</v>
      </c>
    </row>
    <row r="1291" spans="1:2" x14ac:dyDescent="0.25">
      <c r="A1291" t="s">
        <v>4742</v>
      </c>
      <c r="B1291">
        <v>1291</v>
      </c>
    </row>
    <row r="1292" spans="1:2" x14ac:dyDescent="0.25">
      <c r="A1292" t="s">
        <v>4742</v>
      </c>
      <c r="B1292">
        <v>1292</v>
      </c>
    </row>
    <row r="1293" spans="1:2" x14ac:dyDescent="0.25">
      <c r="A1293" t="s">
        <v>8216</v>
      </c>
      <c r="B1293">
        <v>1293</v>
      </c>
    </row>
    <row r="1294" spans="1:2" x14ac:dyDescent="0.25">
      <c r="A1294" t="s">
        <v>8246</v>
      </c>
      <c r="B1294">
        <v>1294</v>
      </c>
    </row>
    <row r="1295" spans="1:2" x14ac:dyDescent="0.25">
      <c r="A1295" t="s">
        <v>8276</v>
      </c>
      <c r="B1295">
        <v>1295</v>
      </c>
    </row>
    <row r="1296" spans="1:2" x14ac:dyDescent="0.25">
      <c r="A1296" t="s">
        <v>8306</v>
      </c>
      <c r="B1296">
        <v>1296</v>
      </c>
    </row>
    <row r="1297" spans="1:2" x14ac:dyDescent="0.25">
      <c r="A1297" t="s">
        <v>8336</v>
      </c>
      <c r="B1297">
        <v>1297</v>
      </c>
    </row>
    <row r="1298" spans="1:2" x14ac:dyDescent="0.25">
      <c r="A1298" t="s">
        <v>8366</v>
      </c>
      <c r="B1298">
        <v>1298</v>
      </c>
    </row>
    <row r="1299" spans="1:2" x14ac:dyDescent="0.25">
      <c r="A1299" t="s">
        <v>8396</v>
      </c>
      <c r="B1299">
        <v>1299</v>
      </c>
    </row>
    <row r="1300" spans="1:2" x14ac:dyDescent="0.25">
      <c r="A1300" t="s">
        <v>8426</v>
      </c>
      <c r="B1300">
        <v>1300</v>
      </c>
    </row>
    <row r="1301" spans="1:2" x14ac:dyDescent="0.25">
      <c r="A1301" t="s">
        <v>8456</v>
      </c>
      <c r="B1301">
        <v>1301</v>
      </c>
    </row>
    <row r="1302" spans="1:2" x14ac:dyDescent="0.25">
      <c r="A1302" t="s">
        <v>8486</v>
      </c>
      <c r="B1302">
        <v>1302</v>
      </c>
    </row>
    <row r="1303" spans="1:2" x14ac:dyDescent="0.25">
      <c r="A1303" t="s">
        <v>8516</v>
      </c>
      <c r="B1303">
        <v>1303</v>
      </c>
    </row>
    <row r="1304" spans="1:2" x14ac:dyDescent="0.25">
      <c r="A1304" t="s">
        <v>8546</v>
      </c>
      <c r="B1304">
        <v>1304</v>
      </c>
    </row>
    <row r="1305" spans="1:2" x14ac:dyDescent="0.25">
      <c r="A1305" t="s">
        <v>8576</v>
      </c>
      <c r="B1305">
        <v>1305</v>
      </c>
    </row>
    <row r="1306" spans="1:2" x14ac:dyDescent="0.25">
      <c r="A1306" t="s">
        <v>8606</v>
      </c>
      <c r="B1306">
        <v>1306</v>
      </c>
    </row>
    <row r="1307" spans="1:2" x14ac:dyDescent="0.25">
      <c r="A1307" t="s">
        <v>8636</v>
      </c>
      <c r="B1307">
        <v>1307</v>
      </c>
    </row>
    <row r="1308" spans="1:2" x14ac:dyDescent="0.25">
      <c r="A1308" t="s">
        <v>4739</v>
      </c>
      <c r="B1308">
        <v>1308</v>
      </c>
    </row>
    <row r="1309" spans="1:2" x14ac:dyDescent="0.25">
      <c r="A1309" t="s">
        <v>4739</v>
      </c>
      <c r="B1309">
        <v>1309</v>
      </c>
    </row>
    <row r="1310" spans="1:2" x14ac:dyDescent="0.25">
      <c r="A1310" t="s">
        <v>8669</v>
      </c>
      <c r="B1310">
        <v>1310</v>
      </c>
    </row>
    <row r="1311" spans="1:2" x14ac:dyDescent="0.25">
      <c r="A1311" t="s">
        <v>8699</v>
      </c>
      <c r="B1311">
        <v>1311</v>
      </c>
    </row>
    <row r="1312" spans="1:2" x14ac:dyDescent="0.25">
      <c r="A1312" t="s">
        <v>8729</v>
      </c>
      <c r="B1312">
        <v>1312</v>
      </c>
    </row>
    <row r="1313" spans="1:2" x14ac:dyDescent="0.25">
      <c r="A1313" t="s">
        <v>8759</v>
      </c>
      <c r="B1313">
        <v>1313</v>
      </c>
    </row>
    <row r="1314" spans="1:2" x14ac:dyDescent="0.25">
      <c r="A1314" t="s">
        <v>8789</v>
      </c>
      <c r="B1314">
        <v>1314</v>
      </c>
    </row>
    <row r="1315" spans="1:2" x14ac:dyDescent="0.25">
      <c r="A1315" t="s">
        <v>8819</v>
      </c>
      <c r="B1315">
        <v>1315</v>
      </c>
    </row>
    <row r="1316" spans="1:2" x14ac:dyDescent="0.25">
      <c r="A1316" t="s">
        <v>8849</v>
      </c>
      <c r="B1316">
        <v>1316</v>
      </c>
    </row>
    <row r="1317" spans="1:2" x14ac:dyDescent="0.25">
      <c r="A1317" t="s">
        <v>8879</v>
      </c>
      <c r="B1317">
        <v>1317</v>
      </c>
    </row>
    <row r="1318" spans="1:2" x14ac:dyDescent="0.25">
      <c r="A1318" t="s">
        <v>4743</v>
      </c>
      <c r="B1318">
        <v>1318</v>
      </c>
    </row>
    <row r="1319" spans="1:2" x14ac:dyDescent="0.25">
      <c r="A1319" t="s">
        <v>4743</v>
      </c>
      <c r="B1319">
        <v>1319</v>
      </c>
    </row>
    <row r="1320" spans="1:2" x14ac:dyDescent="0.25">
      <c r="A1320" t="s">
        <v>8910</v>
      </c>
      <c r="B1320">
        <v>1320</v>
      </c>
    </row>
    <row r="1321" spans="1:2" x14ac:dyDescent="0.25">
      <c r="A1321" t="s">
        <v>4758</v>
      </c>
      <c r="B1321">
        <v>1321</v>
      </c>
    </row>
    <row r="1322" spans="1:2" x14ac:dyDescent="0.25">
      <c r="A1322" t="s">
        <v>4765</v>
      </c>
      <c r="B1322">
        <v>1322</v>
      </c>
    </row>
    <row r="1323" spans="1:2" x14ac:dyDescent="0.25">
      <c r="A1323" t="s">
        <v>4761</v>
      </c>
      <c r="B1323">
        <v>1323</v>
      </c>
    </row>
    <row r="1324" spans="1:2" x14ac:dyDescent="0.25">
      <c r="A1324" t="s">
        <v>4767</v>
      </c>
      <c r="B1324">
        <v>1324</v>
      </c>
    </row>
    <row r="1325" spans="1:2" x14ac:dyDescent="0.25">
      <c r="A1325" t="s">
        <v>4762</v>
      </c>
      <c r="B1325">
        <v>1325</v>
      </c>
    </row>
    <row r="1326" spans="1:2" x14ac:dyDescent="0.25">
      <c r="A1326" t="s">
        <v>4763</v>
      </c>
      <c r="B1326">
        <v>1326</v>
      </c>
    </row>
    <row r="1327" spans="1:2" x14ac:dyDescent="0.25">
      <c r="A1327" t="s">
        <v>4760</v>
      </c>
      <c r="B1327">
        <v>1327</v>
      </c>
    </row>
    <row r="1328" spans="1:2" x14ac:dyDescent="0.25">
      <c r="A1328" t="s">
        <v>4771</v>
      </c>
      <c r="B1328">
        <v>1328</v>
      </c>
    </row>
    <row r="1329" spans="1:2" x14ac:dyDescent="0.25">
      <c r="A1329" t="s">
        <v>4768</v>
      </c>
      <c r="B1329">
        <v>1329</v>
      </c>
    </row>
    <row r="1330" spans="1:2" x14ac:dyDescent="0.25">
      <c r="A1330" t="s">
        <v>4772</v>
      </c>
      <c r="B1330">
        <v>1330</v>
      </c>
    </row>
    <row r="1331" spans="1:2" x14ac:dyDescent="0.25">
      <c r="A1331" t="s">
        <v>4764</v>
      </c>
      <c r="B1331">
        <v>1331</v>
      </c>
    </row>
    <row r="1332" spans="1:2" x14ac:dyDescent="0.25">
      <c r="A1332" t="s">
        <v>4759</v>
      </c>
      <c r="B1332">
        <v>1332</v>
      </c>
    </row>
    <row r="1333" spans="1:2" x14ac:dyDescent="0.25">
      <c r="A1333" t="s">
        <v>4769</v>
      </c>
      <c r="B1333">
        <v>1333</v>
      </c>
    </row>
    <row r="1334" spans="1:2" x14ac:dyDescent="0.25">
      <c r="A1334" t="s">
        <v>4766</v>
      </c>
      <c r="B1334">
        <v>1334</v>
      </c>
    </row>
    <row r="1335" spans="1:2" x14ac:dyDescent="0.25">
      <c r="A1335" t="s">
        <v>4770</v>
      </c>
      <c r="B1335">
        <v>1335</v>
      </c>
    </row>
    <row r="1336" spans="1:2" x14ac:dyDescent="0.25">
      <c r="A1336" t="s">
        <v>4788</v>
      </c>
      <c r="B1336">
        <v>1336</v>
      </c>
    </row>
    <row r="1337" spans="1:2" x14ac:dyDescent="0.25">
      <c r="A1337" t="s">
        <v>4795</v>
      </c>
      <c r="B1337">
        <v>1337</v>
      </c>
    </row>
    <row r="1338" spans="1:2" x14ac:dyDescent="0.25">
      <c r="A1338" t="s">
        <v>4791</v>
      </c>
      <c r="B1338">
        <v>1338</v>
      </c>
    </row>
    <row r="1339" spans="1:2" x14ac:dyDescent="0.25">
      <c r="A1339" t="s">
        <v>4797</v>
      </c>
      <c r="B1339">
        <v>1339</v>
      </c>
    </row>
    <row r="1340" spans="1:2" x14ac:dyDescent="0.25">
      <c r="A1340" t="s">
        <v>4792</v>
      </c>
      <c r="B1340">
        <v>1340</v>
      </c>
    </row>
    <row r="1341" spans="1:2" x14ac:dyDescent="0.25">
      <c r="A1341" t="s">
        <v>4793</v>
      </c>
      <c r="B1341">
        <v>1341</v>
      </c>
    </row>
    <row r="1342" spans="1:2" x14ac:dyDescent="0.25">
      <c r="A1342" t="s">
        <v>4790</v>
      </c>
      <c r="B1342">
        <v>1342</v>
      </c>
    </row>
    <row r="1343" spans="1:2" x14ac:dyDescent="0.25">
      <c r="A1343" t="s">
        <v>4801</v>
      </c>
      <c r="B1343">
        <v>1343</v>
      </c>
    </row>
    <row r="1344" spans="1:2" x14ac:dyDescent="0.25">
      <c r="A1344" t="s">
        <v>4798</v>
      </c>
      <c r="B1344">
        <v>1344</v>
      </c>
    </row>
    <row r="1345" spans="1:2" x14ac:dyDescent="0.25">
      <c r="A1345" t="s">
        <v>4802</v>
      </c>
      <c r="B1345">
        <v>1345</v>
      </c>
    </row>
    <row r="1346" spans="1:2" x14ac:dyDescent="0.25">
      <c r="A1346" t="s">
        <v>4794</v>
      </c>
      <c r="B1346">
        <v>1346</v>
      </c>
    </row>
    <row r="1347" spans="1:2" x14ac:dyDescent="0.25">
      <c r="A1347" t="s">
        <v>4789</v>
      </c>
      <c r="B1347">
        <v>1347</v>
      </c>
    </row>
    <row r="1348" spans="1:2" x14ac:dyDescent="0.25">
      <c r="A1348" t="s">
        <v>4799</v>
      </c>
      <c r="B1348">
        <v>1348</v>
      </c>
    </row>
    <row r="1349" spans="1:2" x14ac:dyDescent="0.25">
      <c r="A1349" t="s">
        <v>4796</v>
      </c>
      <c r="B1349">
        <v>1349</v>
      </c>
    </row>
    <row r="1350" spans="1:2" x14ac:dyDescent="0.25">
      <c r="A1350" t="s">
        <v>4800</v>
      </c>
      <c r="B1350">
        <v>1350</v>
      </c>
    </row>
    <row r="1351" spans="1:2" x14ac:dyDescent="0.25">
      <c r="A1351" t="s">
        <v>4818</v>
      </c>
      <c r="B1351">
        <v>1351</v>
      </c>
    </row>
    <row r="1352" spans="1:2" x14ac:dyDescent="0.25">
      <c r="A1352" t="s">
        <v>4825</v>
      </c>
      <c r="B1352">
        <v>1352</v>
      </c>
    </row>
    <row r="1353" spans="1:2" x14ac:dyDescent="0.25">
      <c r="A1353" t="s">
        <v>4821</v>
      </c>
      <c r="B1353">
        <v>1353</v>
      </c>
    </row>
    <row r="1354" spans="1:2" x14ac:dyDescent="0.25">
      <c r="A1354" t="s">
        <v>4827</v>
      </c>
      <c r="B1354">
        <v>1354</v>
      </c>
    </row>
    <row r="1355" spans="1:2" x14ac:dyDescent="0.25">
      <c r="A1355" t="s">
        <v>4822</v>
      </c>
      <c r="B1355">
        <v>1355</v>
      </c>
    </row>
    <row r="1356" spans="1:2" x14ac:dyDescent="0.25">
      <c r="A1356" t="s">
        <v>4823</v>
      </c>
      <c r="B1356">
        <v>1356</v>
      </c>
    </row>
    <row r="1357" spans="1:2" x14ac:dyDescent="0.25">
      <c r="A1357" t="s">
        <v>4820</v>
      </c>
      <c r="B1357">
        <v>1357</v>
      </c>
    </row>
    <row r="1358" spans="1:2" x14ac:dyDescent="0.25">
      <c r="A1358" t="s">
        <v>4831</v>
      </c>
      <c r="B1358">
        <v>1358</v>
      </c>
    </row>
    <row r="1359" spans="1:2" x14ac:dyDescent="0.25">
      <c r="A1359" t="s">
        <v>4828</v>
      </c>
      <c r="B1359">
        <v>1359</v>
      </c>
    </row>
    <row r="1360" spans="1:2" x14ac:dyDescent="0.25">
      <c r="A1360" t="s">
        <v>4832</v>
      </c>
      <c r="B1360">
        <v>1360</v>
      </c>
    </row>
    <row r="1361" spans="1:2" x14ac:dyDescent="0.25">
      <c r="A1361" t="s">
        <v>4824</v>
      </c>
      <c r="B1361">
        <v>1361</v>
      </c>
    </row>
    <row r="1362" spans="1:2" x14ac:dyDescent="0.25">
      <c r="A1362" t="s">
        <v>4819</v>
      </c>
      <c r="B1362">
        <v>1362</v>
      </c>
    </row>
    <row r="1363" spans="1:2" x14ac:dyDescent="0.25">
      <c r="A1363" t="s">
        <v>4829</v>
      </c>
      <c r="B1363">
        <v>1363</v>
      </c>
    </row>
    <row r="1364" spans="1:2" x14ac:dyDescent="0.25">
      <c r="A1364" t="s">
        <v>4826</v>
      </c>
      <c r="B1364">
        <v>1364</v>
      </c>
    </row>
    <row r="1365" spans="1:2" x14ac:dyDescent="0.25">
      <c r="A1365" t="s">
        <v>4830</v>
      </c>
      <c r="B1365">
        <v>1365</v>
      </c>
    </row>
    <row r="1366" spans="1:2" x14ac:dyDescent="0.25">
      <c r="A1366" t="s">
        <v>4848</v>
      </c>
      <c r="B1366">
        <v>1366</v>
      </c>
    </row>
    <row r="1367" spans="1:2" x14ac:dyDescent="0.25">
      <c r="A1367" t="s">
        <v>4855</v>
      </c>
      <c r="B1367">
        <v>1367</v>
      </c>
    </row>
    <row r="1368" spans="1:2" x14ac:dyDescent="0.25">
      <c r="A1368" t="s">
        <v>4851</v>
      </c>
      <c r="B1368">
        <v>1368</v>
      </c>
    </row>
    <row r="1369" spans="1:2" x14ac:dyDescent="0.25">
      <c r="A1369" t="s">
        <v>4857</v>
      </c>
      <c r="B1369">
        <v>1369</v>
      </c>
    </row>
    <row r="1370" spans="1:2" x14ac:dyDescent="0.25">
      <c r="A1370" t="s">
        <v>4852</v>
      </c>
      <c r="B1370">
        <v>1370</v>
      </c>
    </row>
    <row r="1371" spans="1:2" x14ac:dyDescent="0.25">
      <c r="A1371" t="s">
        <v>4853</v>
      </c>
      <c r="B1371">
        <v>1371</v>
      </c>
    </row>
    <row r="1372" spans="1:2" x14ac:dyDescent="0.25">
      <c r="A1372" t="s">
        <v>4850</v>
      </c>
      <c r="B1372">
        <v>1372</v>
      </c>
    </row>
    <row r="1373" spans="1:2" x14ac:dyDescent="0.25">
      <c r="A1373" t="s">
        <v>4861</v>
      </c>
      <c r="B1373">
        <v>1373</v>
      </c>
    </row>
    <row r="1374" spans="1:2" x14ac:dyDescent="0.25">
      <c r="A1374" t="s">
        <v>4858</v>
      </c>
      <c r="B1374">
        <v>1374</v>
      </c>
    </row>
    <row r="1375" spans="1:2" x14ac:dyDescent="0.25">
      <c r="A1375" t="s">
        <v>4862</v>
      </c>
      <c r="B1375">
        <v>1375</v>
      </c>
    </row>
    <row r="1376" spans="1:2" x14ac:dyDescent="0.25">
      <c r="A1376" t="s">
        <v>4854</v>
      </c>
      <c r="B1376">
        <v>1376</v>
      </c>
    </row>
    <row r="1377" spans="1:2" x14ac:dyDescent="0.25">
      <c r="A1377" t="s">
        <v>4849</v>
      </c>
      <c r="B1377">
        <v>1377</v>
      </c>
    </row>
    <row r="1378" spans="1:2" x14ac:dyDescent="0.25">
      <c r="A1378" t="s">
        <v>4859</v>
      </c>
      <c r="B1378">
        <v>1378</v>
      </c>
    </row>
    <row r="1379" spans="1:2" x14ac:dyDescent="0.25">
      <c r="A1379" t="s">
        <v>4856</v>
      </c>
      <c r="B1379">
        <v>1379</v>
      </c>
    </row>
    <row r="1380" spans="1:2" x14ac:dyDescent="0.25">
      <c r="A1380" t="s">
        <v>4860</v>
      </c>
      <c r="B1380">
        <v>1380</v>
      </c>
    </row>
    <row r="1381" spans="1:2" x14ac:dyDescent="0.25">
      <c r="A1381" t="s">
        <v>4878</v>
      </c>
      <c r="B1381">
        <v>1381</v>
      </c>
    </row>
    <row r="1382" spans="1:2" x14ac:dyDescent="0.25">
      <c r="A1382" t="s">
        <v>4885</v>
      </c>
      <c r="B1382">
        <v>1382</v>
      </c>
    </row>
    <row r="1383" spans="1:2" x14ac:dyDescent="0.25">
      <c r="A1383" t="s">
        <v>4881</v>
      </c>
      <c r="B1383">
        <v>1383</v>
      </c>
    </row>
    <row r="1384" spans="1:2" x14ac:dyDescent="0.25">
      <c r="A1384" t="s">
        <v>4887</v>
      </c>
      <c r="B1384">
        <v>1384</v>
      </c>
    </row>
    <row r="1385" spans="1:2" x14ac:dyDescent="0.25">
      <c r="A1385" t="s">
        <v>4882</v>
      </c>
      <c r="B1385">
        <v>1385</v>
      </c>
    </row>
    <row r="1386" spans="1:2" x14ac:dyDescent="0.25">
      <c r="A1386" t="s">
        <v>4883</v>
      </c>
      <c r="B1386">
        <v>1386</v>
      </c>
    </row>
    <row r="1387" spans="1:2" x14ac:dyDescent="0.25">
      <c r="A1387" t="s">
        <v>4880</v>
      </c>
      <c r="B1387">
        <v>1387</v>
      </c>
    </row>
    <row r="1388" spans="1:2" x14ac:dyDescent="0.25">
      <c r="A1388" t="s">
        <v>4891</v>
      </c>
      <c r="B1388">
        <v>1388</v>
      </c>
    </row>
    <row r="1389" spans="1:2" x14ac:dyDescent="0.25">
      <c r="A1389" t="s">
        <v>4888</v>
      </c>
      <c r="B1389">
        <v>1389</v>
      </c>
    </row>
    <row r="1390" spans="1:2" x14ac:dyDescent="0.25">
      <c r="A1390" t="s">
        <v>4892</v>
      </c>
      <c r="B1390">
        <v>1390</v>
      </c>
    </row>
    <row r="1391" spans="1:2" x14ac:dyDescent="0.25">
      <c r="A1391" t="s">
        <v>4884</v>
      </c>
      <c r="B1391">
        <v>1391</v>
      </c>
    </row>
    <row r="1392" spans="1:2" x14ac:dyDescent="0.25">
      <c r="A1392" t="s">
        <v>4879</v>
      </c>
      <c r="B1392">
        <v>1392</v>
      </c>
    </row>
    <row r="1393" spans="1:2" x14ac:dyDescent="0.25">
      <c r="A1393" t="s">
        <v>4889</v>
      </c>
      <c r="B1393">
        <v>1393</v>
      </c>
    </row>
    <row r="1394" spans="1:2" x14ac:dyDescent="0.25">
      <c r="A1394" t="s">
        <v>4886</v>
      </c>
      <c r="B1394">
        <v>1394</v>
      </c>
    </row>
    <row r="1395" spans="1:2" x14ac:dyDescent="0.25">
      <c r="A1395" t="s">
        <v>4890</v>
      </c>
      <c r="B1395">
        <v>1395</v>
      </c>
    </row>
    <row r="1396" spans="1:2" x14ac:dyDescent="0.25">
      <c r="A1396" t="s">
        <v>4908</v>
      </c>
      <c r="B1396">
        <v>1396</v>
      </c>
    </row>
    <row r="1397" spans="1:2" x14ac:dyDescent="0.25">
      <c r="A1397" t="s">
        <v>4915</v>
      </c>
      <c r="B1397">
        <v>1397</v>
      </c>
    </row>
    <row r="1398" spans="1:2" x14ac:dyDescent="0.25">
      <c r="A1398" t="s">
        <v>4911</v>
      </c>
      <c r="B1398">
        <v>1398</v>
      </c>
    </row>
    <row r="1399" spans="1:2" x14ac:dyDescent="0.25">
      <c r="A1399" t="s">
        <v>4917</v>
      </c>
      <c r="B1399">
        <v>1399</v>
      </c>
    </row>
    <row r="1400" spans="1:2" x14ac:dyDescent="0.25">
      <c r="A1400" t="s">
        <v>4912</v>
      </c>
      <c r="B1400">
        <v>1400</v>
      </c>
    </row>
    <row r="1401" spans="1:2" x14ac:dyDescent="0.25">
      <c r="A1401" t="s">
        <v>4913</v>
      </c>
      <c r="B1401">
        <v>1401</v>
      </c>
    </row>
    <row r="1402" spans="1:2" x14ac:dyDescent="0.25">
      <c r="A1402" t="s">
        <v>4910</v>
      </c>
      <c r="B1402">
        <v>1402</v>
      </c>
    </row>
    <row r="1403" spans="1:2" x14ac:dyDescent="0.25">
      <c r="A1403" t="s">
        <v>4921</v>
      </c>
      <c r="B1403">
        <v>1403</v>
      </c>
    </row>
    <row r="1404" spans="1:2" x14ac:dyDescent="0.25">
      <c r="A1404" t="s">
        <v>4918</v>
      </c>
      <c r="B1404">
        <v>1404</v>
      </c>
    </row>
    <row r="1405" spans="1:2" x14ac:dyDescent="0.25">
      <c r="A1405" t="s">
        <v>4922</v>
      </c>
      <c r="B1405">
        <v>1405</v>
      </c>
    </row>
    <row r="1406" spans="1:2" x14ac:dyDescent="0.25">
      <c r="A1406" t="s">
        <v>4914</v>
      </c>
      <c r="B1406">
        <v>1406</v>
      </c>
    </row>
    <row r="1407" spans="1:2" x14ac:dyDescent="0.25">
      <c r="A1407" t="s">
        <v>4909</v>
      </c>
      <c r="B1407">
        <v>1407</v>
      </c>
    </row>
    <row r="1408" spans="1:2" x14ac:dyDescent="0.25">
      <c r="A1408" t="s">
        <v>4919</v>
      </c>
      <c r="B1408">
        <v>1408</v>
      </c>
    </row>
    <row r="1409" spans="1:2" x14ac:dyDescent="0.25">
      <c r="A1409" t="s">
        <v>4916</v>
      </c>
      <c r="B1409">
        <v>1409</v>
      </c>
    </row>
    <row r="1410" spans="1:2" x14ac:dyDescent="0.25">
      <c r="A1410" t="s">
        <v>4920</v>
      </c>
      <c r="B1410">
        <v>1410</v>
      </c>
    </row>
    <row r="1411" spans="1:2" x14ac:dyDescent="0.25">
      <c r="A1411" t="s">
        <v>4938</v>
      </c>
      <c r="B1411">
        <v>1411</v>
      </c>
    </row>
    <row r="1412" spans="1:2" x14ac:dyDescent="0.25">
      <c r="A1412" t="s">
        <v>4945</v>
      </c>
      <c r="B1412">
        <v>1412</v>
      </c>
    </row>
    <row r="1413" spans="1:2" x14ac:dyDescent="0.25">
      <c r="A1413" t="s">
        <v>4941</v>
      </c>
      <c r="B1413">
        <v>1413</v>
      </c>
    </row>
    <row r="1414" spans="1:2" x14ac:dyDescent="0.25">
      <c r="A1414" t="s">
        <v>4947</v>
      </c>
      <c r="B1414">
        <v>1414</v>
      </c>
    </row>
    <row r="1415" spans="1:2" x14ac:dyDescent="0.25">
      <c r="A1415" t="s">
        <v>4942</v>
      </c>
      <c r="B1415">
        <v>1415</v>
      </c>
    </row>
    <row r="1416" spans="1:2" x14ac:dyDescent="0.25">
      <c r="A1416" t="s">
        <v>4943</v>
      </c>
      <c r="B1416">
        <v>1416</v>
      </c>
    </row>
    <row r="1417" spans="1:2" x14ac:dyDescent="0.25">
      <c r="A1417" t="s">
        <v>4940</v>
      </c>
      <c r="B1417">
        <v>1417</v>
      </c>
    </row>
    <row r="1418" spans="1:2" x14ac:dyDescent="0.25">
      <c r="A1418" t="s">
        <v>4951</v>
      </c>
      <c r="B1418">
        <v>1418</v>
      </c>
    </row>
    <row r="1419" spans="1:2" x14ac:dyDescent="0.25">
      <c r="A1419" t="s">
        <v>4948</v>
      </c>
      <c r="B1419">
        <v>1419</v>
      </c>
    </row>
    <row r="1420" spans="1:2" x14ac:dyDescent="0.25">
      <c r="A1420" t="s">
        <v>4952</v>
      </c>
      <c r="B1420">
        <v>1420</v>
      </c>
    </row>
    <row r="1421" spans="1:2" x14ac:dyDescent="0.25">
      <c r="A1421" t="s">
        <v>4944</v>
      </c>
      <c r="B1421">
        <v>1421</v>
      </c>
    </row>
    <row r="1422" spans="1:2" x14ac:dyDescent="0.25">
      <c r="A1422" t="s">
        <v>4939</v>
      </c>
      <c r="B1422">
        <v>1422</v>
      </c>
    </row>
    <row r="1423" spans="1:2" x14ac:dyDescent="0.25">
      <c r="A1423" t="s">
        <v>4949</v>
      </c>
      <c r="B1423">
        <v>1423</v>
      </c>
    </row>
    <row r="1424" spans="1:2" x14ac:dyDescent="0.25">
      <c r="A1424" t="s">
        <v>4946</v>
      </c>
      <c r="B1424">
        <v>1424</v>
      </c>
    </row>
    <row r="1425" spans="1:2" x14ac:dyDescent="0.25">
      <c r="A1425" t="s">
        <v>4950</v>
      </c>
      <c r="B1425">
        <v>1425</v>
      </c>
    </row>
    <row r="1426" spans="1:2" x14ac:dyDescent="0.25">
      <c r="A1426" t="s">
        <v>4968</v>
      </c>
      <c r="B1426">
        <v>1426</v>
      </c>
    </row>
    <row r="1427" spans="1:2" x14ac:dyDescent="0.25">
      <c r="A1427" t="s">
        <v>4975</v>
      </c>
      <c r="B1427">
        <v>1427</v>
      </c>
    </row>
    <row r="1428" spans="1:2" x14ac:dyDescent="0.25">
      <c r="A1428" t="s">
        <v>4971</v>
      </c>
      <c r="B1428">
        <v>1428</v>
      </c>
    </row>
    <row r="1429" spans="1:2" x14ac:dyDescent="0.25">
      <c r="A1429" t="s">
        <v>4977</v>
      </c>
      <c r="B1429">
        <v>1429</v>
      </c>
    </row>
    <row r="1430" spans="1:2" x14ac:dyDescent="0.25">
      <c r="A1430" t="s">
        <v>4972</v>
      </c>
      <c r="B1430">
        <v>1430</v>
      </c>
    </row>
    <row r="1431" spans="1:2" x14ac:dyDescent="0.25">
      <c r="A1431" t="s">
        <v>4973</v>
      </c>
      <c r="B1431">
        <v>1431</v>
      </c>
    </row>
    <row r="1432" spans="1:2" x14ac:dyDescent="0.25">
      <c r="A1432" t="s">
        <v>4970</v>
      </c>
      <c r="B1432">
        <v>1432</v>
      </c>
    </row>
    <row r="1433" spans="1:2" x14ac:dyDescent="0.25">
      <c r="A1433" t="s">
        <v>4981</v>
      </c>
      <c r="B1433">
        <v>1433</v>
      </c>
    </row>
    <row r="1434" spans="1:2" x14ac:dyDescent="0.25">
      <c r="A1434" t="s">
        <v>4978</v>
      </c>
      <c r="B1434">
        <v>1434</v>
      </c>
    </row>
    <row r="1435" spans="1:2" x14ac:dyDescent="0.25">
      <c r="A1435" t="s">
        <v>4982</v>
      </c>
      <c r="B1435">
        <v>1435</v>
      </c>
    </row>
    <row r="1436" spans="1:2" x14ac:dyDescent="0.25">
      <c r="A1436" t="s">
        <v>4974</v>
      </c>
      <c r="B1436">
        <v>1436</v>
      </c>
    </row>
    <row r="1437" spans="1:2" x14ac:dyDescent="0.25">
      <c r="A1437" t="s">
        <v>4969</v>
      </c>
      <c r="B1437">
        <v>1437</v>
      </c>
    </row>
    <row r="1438" spans="1:2" x14ac:dyDescent="0.25">
      <c r="A1438" t="s">
        <v>4979</v>
      </c>
      <c r="B1438">
        <v>1438</v>
      </c>
    </row>
    <row r="1439" spans="1:2" x14ac:dyDescent="0.25">
      <c r="A1439" t="s">
        <v>4976</v>
      </c>
      <c r="B1439">
        <v>1439</v>
      </c>
    </row>
    <row r="1440" spans="1:2" x14ac:dyDescent="0.25">
      <c r="A1440" t="s">
        <v>4980</v>
      </c>
      <c r="B1440">
        <v>1440</v>
      </c>
    </row>
    <row r="1441" spans="1:2" x14ac:dyDescent="0.25">
      <c r="A1441" t="s">
        <v>4998</v>
      </c>
      <c r="B1441">
        <v>1441</v>
      </c>
    </row>
    <row r="1442" spans="1:2" x14ac:dyDescent="0.25">
      <c r="A1442" t="s">
        <v>5005</v>
      </c>
      <c r="B1442">
        <v>1442</v>
      </c>
    </row>
    <row r="1443" spans="1:2" x14ac:dyDescent="0.25">
      <c r="A1443" t="s">
        <v>5001</v>
      </c>
      <c r="B1443">
        <v>1443</v>
      </c>
    </row>
    <row r="1444" spans="1:2" x14ac:dyDescent="0.25">
      <c r="A1444" t="s">
        <v>5007</v>
      </c>
      <c r="B1444">
        <v>1444</v>
      </c>
    </row>
    <row r="1445" spans="1:2" x14ac:dyDescent="0.25">
      <c r="A1445" t="s">
        <v>5002</v>
      </c>
      <c r="B1445">
        <v>1445</v>
      </c>
    </row>
    <row r="1446" spans="1:2" x14ac:dyDescent="0.25">
      <c r="A1446" t="s">
        <v>5003</v>
      </c>
      <c r="B1446">
        <v>1446</v>
      </c>
    </row>
    <row r="1447" spans="1:2" x14ac:dyDescent="0.25">
      <c r="A1447" t="s">
        <v>5000</v>
      </c>
      <c r="B1447">
        <v>1447</v>
      </c>
    </row>
    <row r="1448" spans="1:2" x14ac:dyDescent="0.25">
      <c r="A1448" t="s">
        <v>5011</v>
      </c>
      <c r="B1448">
        <v>1448</v>
      </c>
    </row>
    <row r="1449" spans="1:2" x14ac:dyDescent="0.25">
      <c r="A1449" t="s">
        <v>5008</v>
      </c>
      <c r="B1449">
        <v>1449</v>
      </c>
    </row>
    <row r="1450" spans="1:2" x14ac:dyDescent="0.25">
      <c r="A1450" t="s">
        <v>5012</v>
      </c>
      <c r="B1450">
        <v>1450</v>
      </c>
    </row>
    <row r="1451" spans="1:2" x14ac:dyDescent="0.25">
      <c r="A1451" t="s">
        <v>5004</v>
      </c>
      <c r="B1451">
        <v>1451</v>
      </c>
    </row>
    <row r="1452" spans="1:2" x14ac:dyDescent="0.25">
      <c r="A1452" t="s">
        <v>4999</v>
      </c>
      <c r="B1452">
        <v>1452</v>
      </c>
    </row>
    <row r="1453" spans="1:2" x14ac:dyDescent="0.25">
      <c r="A1453" t="s">
        <v>5009</v>
      </c>
      <c r="B1453">
        <v>1453</v>
      </c>
    </row>
    <row r="1454" spans="1:2" x14ac:dyDescent="0.25">
      <c r="A1454" t="s">
        <v>5006</v>
      </c>
      <c r="B1454">
        <v>1454</v>
      </c>
    </row>
    <row r="1455" spans="1:2" x14ac:dyDescent="0.25">
      <c r="A1455" t="s">
        <v>5010</v>
      </c>
      <c r="B1455">
        <v>1455</v>
      </c>
    </row>
    <row r="1456" spans="1:2" x14ac:dyDescent="0.25">
      <c r="A1456" t="s">
        <v>5028</v>
      </c>
      <c r="B1456">
        <v>1456</v>
      </c>
    </row>
    <row r="1457" spans="1:2" x14ac:dyDescent="0.25">
      <c r="A1457" t="s">
        <v>5035</v>
      </c>
      <c r="B1457">
        <v>1457</v>
      </c>
    </row>
    <row r="1458" spans="1:2" x14ac:dyDescent="0.25">
      <c r="A1458" t="s">
        <v>5031</v>
      </c>
      <c r="B1458">
        <v>1458</v>
      </c>
    </row>
    <row r="1459" spans="1:2" x14ac:dyDescent="0.25">
      <c r="A1459" t="s">
        <v>5037</v>
      </c>
      <c r="B1459">
        <v>1459</v>
      </c>
    </row>
    <row r="1460" spans="1:2" x14ac:dyDescent="0.25">
      <c r="A1460" t="s">
        <v>5032</v>
      </c>
      <c r="B1460">
        <v>1460</v>
      </c>
    </row>
    <row r="1461" spans="1:2" x14ac:dyDescent="0.25">
      <c r="A1461" t="s">
        <v>5033</v>
      </c>
      <c r="B1461">
        <v>1461</v>
      </c>
    </row>
    <row r="1462" spans="1:2" x14ac:dyDescent="0.25">
      <c r="A1462" t="s">
        <v>5030</v>
      </c>
      <c r="B1462">
        <v>1462</v>
      </c>
    </row>
    <row r="1463" spans="1:2" x14ac:dyDescent="0.25">
      <c r="A1463" t="s">
        <v>5041</v>
      </c>
      <c r="B1463">
        <v>1463</v>
      </c>
    </row>
    <row r="1464" spans="1:2" x14ac:dyDescent="0.25">
      <c r="A1464" t="s">
        <v>5038</v>
      </c>
      <c r="B1464">
        <v>1464</v>
      </c>
    </row>
    <row r="1465" spans="1:2" x14ac:dyDescent="0.25">
      <c r="A1465" t="s">
        <v>5042</v>
      </c>
      <c r="B1465">
        <v>1465</v>
      </c>
    </row>
    <row r="1466" spans="1:2" x14ac:dyDescent="0.25">
      <c r="A1466" t="s">
        <v>5034</v>
      </c>
      <c r="B1466">
        <v>1466</v>
      </c>
    </row>
    <row r="1467" spans="1:2" x14ac:dyDescent="0.25">
      <c r="A1467" t="s">
        <v>5029</v>
      </c>
      <c r="B1467">
        <v>1467</v>
      </c>
    </row>
    <row r="1468" spans="1:2" x14ac:dyDescent="0.25">
      <c r="A1468" t="s">
        <v>5039</v>
      </c>
      <c r="B1468">
        <v>1468</v>
      </c>
    </row>
    <row r="1469" spans="1:2" x14ac:dyDescent="0.25">
      <c r="A1469" t="s">
        <v>5036</v>
      </c>
      <c r="B1469">
        <v>1469</v>
      </c>
    </row>
    <row r="1470" spans="1:2" x14ac:dyDescent="0.25">
      <c r="A1470" t="s">
        <v>5040</v>
      </c>
      <c r="B1470">
        <v>1470</v>
      </c>
    </row>
    <row r="1471" spans="1:2" x14ac:dyDescent="0.25">
      <c r="A1471" t="s">
        <v>3321</v>
      </c>
      <c r="B1471">
        <v>1471</v>
      </c>
    </row>
    <row r="1472" spans="1:2" x14ac:dyDescent="0.25">
      <c r="A1472" t="s">
        <v>3351</v>
      </c>
      <c r="B1472">
        <v>1472</v>
      </c>
    </row>
    <row r="1473" spans="1:2" x14ac:dyDescent="0.25">
      <c r="A1473" t="s">
        <v>3381</v>
      </c>
      <c r="B1473">
        <v>1473</v>
      </c>
    </row>
    <row r="1474" spans="1:2" x14ac:dyDescent="0.25">
      <c r="A1474" t="s">
        <v>3411</v>
      </c>
      <c r="B1474">
        <v>1474</v>
      </c>
    </row>
    <row r="1475" spans="1:2" x14ac:dyDescent="0.25">
      <c r="A1475" t="s">
        <v>3441</v>
      </c>
      <c r="B1475">
        <v>1475</v>
      </c>
    </row>
    <row r="1476" spans="1:2" x14ac:dyDescent="0.25">
      <c r="A1476" t="s">
        <v>3471</v>
      </c>
      <c r="B1476">
        <v>1476</v>
      </c>
    </row>
    <row r="1477" spans="1:2" x14ac:dyDescent="0.25">
      <c r="A1477" t="s">
        <v>3501</v>
      </c>
      <c r="B1477">
        <v>1477</v>
      </c>
    </row>
    <row r="1478" spans="1:2" x14ac:dyDescent="0.25">
      <c r="A1478" t="s">
        <v>3531</v>
      </c>
      <c r="B1478">
        <v>1478</v>
      </c>
    </row>
    <row r="1479" spans="1:2" x14ac:dyDescent="0.25">
      <c r="A1479" t="s">
        <v>3561</v>
      </c>
      <c r="B1479">
        <v>1479</v>
      </c>
    </row>
    <row r="1480" spans="1:2" x14ac:dyDescent="0.25">
      <c r="A1480" t="s">
        <v>3591</v>
      </c>
      <c r="B1480">
        <v>1480</v>
      </c>
    </row>
    <row r="1481" spans="1:2" x14ac:dyDescent="0.25">
      <c r="A1481" t="s">
        <v>3621</v>
      </c>
      <c r="B1481">
        <v>1481</v>
      </c>
    </row>
    <row r="1482" spans="1:2" x14ac:dyDescent="0.25">
      <c r="A1482" t="s">
        <v>3651</v>
      </c>
      <c r="B1482">
        <v>1482</v>
      </c>
    </row>
    <row r="1483" spans="1:2" x14ac:dyDescent="0.25">
      <c r="A1483" t="s">
        <v>3681</v>
      </c>
      <c r="B1483">
        <v>1483</v>
      </c>
    </row>
    <row r="1484" spans="1:2" x14ac:dyDescent="0.25">
      <c r="A1484" t="s">
        <v>3711</v>
      </c>
      <c r="B1484">
        <v>1484</v>
      </c>
    </row>
    <row r="1485" spans="1:2" x14ac:dyDescent="0.25">
      <c r="A1485" t="s">
        <v>3741</v>
      </c>
      <c r="B1485">
        <v>1485</v>
      </c>
    </row>
    <row r="1486" spans="1:2" x14ac:dyDescent="0.25">
      <c r="A1486" t="s">
        <v>3771</v>
      </c>
      <c r="B1486">
        <v>1486</v>
      </c>
    </row>
    <row r="1487" spans="1:2" x14ac:dyDescent="0.25">
      <c r="A1487" t="s">
        <v>3801</v>
      </c>
      <c r="B1487">
        <v>1487</v>
      </c>
    </row>
    <row r="1488" spans="1:2" x14ac:dyDescent="0.25">
      <c r="A1488" t="s">
        <v>3831</v>
      </c>
      <c r="B1488">
        <v>1488</v>
      </c>
    </row>
    <row r="1489" spans="1:2" x14ac:dyDescent="0.25">
      <c r="A1489" t="s">
        <v>3861</v>
      </c>
      <c r="B1489">
        <v>1489</v>
      </c>
    </row>
    <row r="1490" spans="1:2" x14ac:dyDescent="0.25">
      <c r="A1490" t="s">
        <v>3891</v>
      </c>
      <c r="B1490">
        <v>1490</v>
      </c>
    </row>
    <row r="1491" spans="1:2" x14ac:dyDescent="0.25">
      <c r="A1491" t="s">
        <v>3921</v>
      </c>
      <c r="B1491">
        <v>1491</v>
      </c>
    </row>
    <row r="1492" spans="1:2" x14ac:dyDescent="0.25">
      <c r="A1492" t="s">
        <v>3951</v>
      </c>
      <c r="B1492">
        <v>1492</v>
      </c>
    </row>
    <row r="1493" spans="1:2" x14ac:dyDescent="0.25">
      <c r="A1493" t="s">
        <v>3981</v>
      </c>
      <c r="B1493">
        <v>1493</v>
      </c>
    </row>
    <row r="1494" spans="1:2" x14ac:dyDescent="0.25">
      <c r="A1494" t="s">
        <v>4011</v>
      </c>
      <c r="B1494">
        <v>1494</v>
      </c>
    </row>
    <row r="1495" spans="1:2" x14ac:dyDescent="0.25">
      <c r="A1495" t="s">
        <v>4041</v>
      </c>
      <c r="B1495">
        <v>1495</v>
      </c>
    </row>
    <row r="1496" spans="1:2" x14ac:dyDescent="0.25">
      <c r="A1496" t="s">
        <v>4071</v>
      </c>
      <c r="B1496">
        <v>1496</v>
      </c>
    </row>
    <row r="1497" spans="1:2" x14ac:dyDescent="0.25">
      <c r="A1497" t="s">
        <v>4101</v>
      </c>
      <c r="B1497">
        <v>1497</v>
      </c>
    </row>
    <row r="1498" spans="1:2" x14ac:dyDescent="0.25">
      <c r="A1498" t="s">
        <v>4130</v>
      </c>
      <c r="B1498">
        <v>1498</v>
      </c>
    </row>
    <row r="1499" spans="1:2" x14ac:dyDescent="0.25">
      <c r="A1499" t="s">
        <v>4130</v>
      </c>
      <c r="B1499">
        <v>1499</v>
      </c>
    </row>
    <row r="1500" spans="1:2" x14ac:dyDescent="0.25">
      <c r="A1500" t="s">
        <v>4160</v>
      </c>
      <c r="B1500">
        <v>1500</v>
      </c>
    </row>
    <row r="1501" spans="1:2" x14ac:dyDescent="0.25">
      <c r="A1501" t="s">
        <v>4190</v>
      </c>
      <c r="B1501">
        <v>1501</v>
      </c>
    </row>
    <row r="1502" spans="1:2" x14ac:dyDescent="0.25">
      <c r="A1502" t="s">
        <v>4220</v>
      </c>
      <c r="B1502">
        <v>1502</v>
      </c>
    </row>
    <row r="1503" spans="1:2" x14ac:dyDescent="0.25">
      <c r="A1503" t="s">
        <v>4250</v>
      </c>
      <c r="B1503">
        <v>1503</v>
      </c>
    </row>
    <row r="1504" spans="1:2" x14ac:dyDescent="0.25">
      <c r="A1504" t="s">
        <v>4280</v>
      </c>
      <c r="B1504">
        <v>1504</v>
      </c>
    </row>
    <row r="1505" spans="1:2" x14ac:dyDescent="0.25">
      <c r="A1505" t="s">
        <v>4310</v>
      </c>
      <c r="B1505">
        <v>1505</v>
      </c>
    </row>
    <row r="1506" spans="1:2" x14ac:dyDescent="0.25">
      <c r="A1506" t="s">
        <v>4340</v>
      </c>
      <c r="B1506">
        <v>1506</v>
      </c>
    </row>
    <row r="1507" spans="1:2" x14ac:dyDescent="0.25">
      <c r="A1507" t="s">
        <v>4370</v>
      </c>
      <c r="B1507">
        <v>1507</v>
      </c>
    </row>
    <row r="1508" spans="1:2" x14ac:dyDescent="0.25">
      <c r="A1508" t="s">
        <v>4400</v>
      </c>
      <c r="B1508">
        <v>1508</v>
      </c>
    </row>
    <row r="1509" spans="1:2" x14ac:dyDescent="0.25">
      <c r="A1509" t="s">
        <v>4430</v>
      </c>
      <c r="B1509">
        <v>1509</v>
      </c>
    </row>
    <row r="1510" spans="1:2" x14ac:dyDescent="0.25">
      <c r="A1510" t="s">
        <v>4460</v>
      </c>
      <c r="B1510">
        <v>1510</v>
      </c>
    </row>
    <row r="1511" spans="1:2" x14ac:dyDescent="0.25">
      <c r="A1511" t="s">
        <v>4490</v>
      </c>
      <c r="B1511">
        <v>1511</v>
      </c>
    </row>
    <row r="1512" spans="1:2" x14ac:dyDescent="0.25">
      <c r="A1512" t="s">
        <v>4520</v>
      </c>
      <c r="B1512">
        <v>1512</v>
      </c>
    </row>
    <row r="1513" spans="1:2" x14ac:dyDescent="0.25">
      <c r="A1513" t="s">
        <v>4550</v>
      </c>
      <c r="B1513">
        <v>1513</v>
      </c>
    </row>
    <row r="1514" spans="1:2" x14ac:dyDescent="0.25">
      <c r="A1514" t="s">
        <v>4577</v>
      </c>
      <c r="B1514">
        <v>1514</v>
      </c>
    </row>
    <row r="1515" spans="1:2" x14ac:dyDescent="0.25">
      <c r="A1515" t="s">
        <v>4577</v>
      </c>
      <c r="B1515">
        <v>1515</v>
      </c>
    </row>
    <row r="1516" spans="1:2" x14ac:dyDescent="0.25">
      <c r="A1516" t="s">
        <v>4607</v>
      </c>
      <c r="B1516">
        <v>1516</v>
      </c>
    </row>
    <row r="1517" spans="1:2" x14ac:dyDescent="0.25">
      <c r="A1517" t="s">
        <v>4637</v>
      </c>
      <c r="B1517">
        <v>1517</v>
      </c>
    </row>
    <row r="1518" spans="1:2" x14ac:dyDescent="0.25">
      <c r="A1518" t="s">
        <v>4667</v>
      </c>
      <c r="B1518">
        <v>1518</v>
      </c>
    </row>
    <row r="1519" spans="1:2" x14ac:dyDescent="0.25">
      <c r="A1519" t="s">
        <v>4697</v>
      </c>
      <c r="B1519">
        <v>1519</v>
      </c>
    </row>
    <row r="1520" spans="1:2" x14ac:dyDescent="0.25">
      <c r="A1520" t="s">
        <v>4727</v>
      </c>
      <c r="B1520">
        <v>1520</v>
      </c>
    </row>
    <row r="1521" spans="1:2" x14ac:dyDescent="0.25">
      <c r="A1521" t="s">
        <v>4752</v>
      </c>
      <c r="B1521">
        <v>1521</v>
      </c>
    </row>
    <row r="1522" spans="1:2" x14ac:dyDescent="0.25">
      <c r="A1522" t="s">
        <v>4752</v>
      </c>
      <c r="B1522">
        <v>1522</v>
      </c>
    </row>
    <row r="1523" spans="1:2" x14ac:dyDescent="0.25">
      <c r="A1523" t="s">
        <v>4782</v>
      </c>
      <c r="B1523">
        <v>1523</v>
      </c>
    </row>
    <row r="1524" spans="1:2" x14ac:dyDescent="0.25">
      <c r="A1524" t="s">
        <v>4812</v>
      </c>
      <c r="B1524">
        <v>1524</v>
      </c>
    </row>
    <row r="1525" spans="1:2" x14ac:dyDescent="0.25">
      <c r="A1525" t="s">
        <v>4842</v>
      </c>
      <c r="B1525">
        <v>1525</v>
      </c>
    </row>
    <row r="1526" spans="1:2" x14ac:dyDescent="0.25">
      <c r="A1526" t="s">
        <v>4872</v>
      </c>
      <c r="B1526">
        <v>1526</v>
      </c>
    </row>
    <row r="1527" spans="1:2" x14ac:dyDescent="0.25">
      <c r="A1527" t="s">
        <v>4902</v>
      </c>
      <c r="B1527">
        <v>1527</v>
      </c>
    </row>
    <row r="1528" spans="1:2" x14ac:dyDescent="0.25">
      <c r="A1528" t="s">
        <v>4932</v>
      </c>
      <c r="B1528">
        <v>1528</v>
      </c>
    </row>
    <row r="1529" spans="1:2" x14ac:dyDescent="0.25">
      <c r="A1529" t="s">
        <v>4962</v>
      </c>
      <c r="B1529">
        <v>1529</v>
      </c>
    </row>
    <row r="1530" spans="1:2" x14ac:dyDescent="0.25">
      <c r="A1530" t="s">
        <v>4992</v>
      </c>
      <c r="B1530">
        <v>1530</v>
      </c>
    </row>
    <row r="1531" spans="1:2" x14ac:dyDescent="0.25">
      <c r="A1531" t="s">
        <v>5022</v>
      </c>
      <c r="B1531">
        <v>1531</v>
      </c>
    </row>
    <row r="1532" spans="1:2" x14ac:dyDescent="0.25">
      <c r="A1532" t="s">
        <v>5052</v>
      </c>
      <c r="B1532">
        <v>1532</v>
      </c>
    </row>
    <row r="1533" spans="1:2" x14ac:dyDescent="0.25">
      <c r="A1533" t="s">
        <v>5064</v>
      </c>
      <c r="B1533">
        <v>1533</v>
      </c>
    </row>
    <row r="1534" spans="1:2" x14ac:dyDescent="0.25">
      <c r="A1534" t="s">
        <v>5064</v>
      </c>
      <c r="B1534">
        <v>1534</v>
      </c>
    </row>
    <row r="1535" spans="1:2" x14ac:dyDescent="0.25">
      <c r="A1535" t="s">
        <v>5060</v>
      </c>
      <c r="B1535">
        <v>1535</v>
      </c>
    </row>
    <row r="1536" spans="1:2" x14ac:dyDescent="0.25">
      <c r="A1536" t="s">
        <v>5060</v>
      </c>
      <c r="B1536">
        <v>1536</v>
      </c>
    </row>
    <row r="1537" spans="1:2" x14ac:dyDescent="0.25">
      <c r="A1537" t="s">
        <v>5061</v>
      </c>
      <c r="B1537">
        <v>1537</v>
      </c>
    </row>
    <row r="1538" spans="1:2" x14ac:dyDescent="0.25">
      <c r="A1538" t="s">
        <v>5061</v>
      </c>
      <c r="B1538">
        <v>1538</v>
      </c>
    </row>
    <row r="1539" spans="1:2" x14ac:dyDescent="0.25">
      <c r="A1539" t="s">
        <v>5145</v>
      </c>
      <c r="B1539">
        <v>1539</v>
      </c>
    </row>
    <row r="1540" spans="1:2" x14ac:dyDescent="0.25">
      <c r="A1540" t="s">
        <v>5175</v>
      </c>
      <c r="B1540">
        <v>1540</v>
      </c>
    </row>
    <row r="1541" spans="1:2" x14ac:dyDescent="0.25">
      <c r="A1541" t="s">
        <v>5205</v>
      </c>
      <c r="B1541">
        <v>1541</v>
      </c>
    </row>
    <row r="1542" spans="1:2" x14ac:dyDescent="0.25">
      <c r="A1542" t="s">
        <v>5235</v>
      </c>
      <c r="B1542">
        <v>1542</v>
      </c>
    </row>
    <row r="1543" spans="1:2" x14ac:dyDescent="0.25">
      <c r="A1543" t="s">
        <v>5265</v>
      </c>
      <c r="B1543">
        <v>1543</v>
      </c>
    </row>
    <row r="1544" spans="1:2" x14ac:dyDescent="0.25">
      <c r="A1544" t="s">
        <v>5295</v>
      </c>
      <c r="B1544">
        <v>1544</v>
      </c>
    </row>
    <row r="1545" spans="1:2" x14ac:dyDescent="0.25">
      <c r="A1545" t="s">
        <v>5325</v>
      </c>
      <c r="B1545">
        <v>1545</v>
      </c>
    </row>
    <row r="1546" spans="1:2" x14ac:dyDescent="0.25">
      <c r="A1546" t="s">
        <v>5355</v>
      </c>
      <c r="B1546">
        <v>1546</v>
      </c>
    </row>
    <row r="1547" spans="1:2" x14ac:dyDescent="0.25">
      <c r="A1547" t="s">
        <v>5385</v>
      </c>
      <c r="B1547">
        <v>1547</v>
      </c>
    </row>
    <row r="1548" spans="1:2" x14ac:dyDescent="0.25">
      <c r="A1548" t="s">
        <v>5415</v>
      </c>
      <c r="B1548">
        <v>1548</v>
      </c>
    </row>
    <row r="1549" spans="1:2" x14ac:dyDescent="0.25">
      <c r="A1549" t="s">
        <v>5445</v>
      </c>
      <c r="B1549">
        <v>1549</v>
      </c>
    </row>
    <row r="1550" spans="1:2" x14ac:dyDescent="0.25">
      <c r="A1550" t="s">
        <v>5475</v>
      </c>
      <c r="B1550">
        <v>1550</v>
      </c>
    </row>
    <row r="1551" spans="1:2" x14ac:dyDescent="0.25">
      <c r="A1551" t="s">
        <v>5505</v>
      </c>
      <c r="B1551">
        <v>1551</v>
      </c>
    </row>
    <row r="1552" spans="1:2" x14ac:dyDescent="0.25">
      <c r="A1552" t="s">
        <v>5535</v>
      </c>
      <c r="B1552">
        <v>1552</v>
      </c>
    </row>
    <row r="1553" spans="1:2" x14ac:dyDescent="0.25">
      <c r="A1553" t="s">
        <v>5565</v>
      </c>
      <c r="B1553">
        <v>1553</v>
      </c>
    </row>
    <row r="1554" spans="1:2" x14ac:dyDescent="0.25">
      <c r="A1554" t="s">
        <v>5595</v>
      </c>
      <c r="B1554">
        <v>1554</v>
      </c>
    </row>
    <row r="1555" spans="1:2" x14ac:dyDescent="0.25">
      <c r="A1555" t="s">
        <v>5625</v>
      </c>
      <c r="B1555">
        <v>1555</v>
      </c>
    </row>
    <row r="1556" spans="1:2" x14ac:dyDescent="0.25">
      <c r="A1556" t="s">
        <v>5655</v>
      </c>
      <c r="B1556">
        <v>1556</v>
      </c>
    </row>
    <row r="1557" spans="1:2" x14ac:dyDescent="0.25">
      <c r="A1557" t="s">
        <v>5685</v>
      </c>
      <c r="B1557">
        <v>1557</v>
      </c>
    </row>
    <row r="1558" spans="1:2" x14ac:dyDescent="0.25">
      <c r="A1558" t="s">
        <v>5715</v>
      </c>
      <c r="B1558">
        <v>1558</v>
      </c>
    </row>
    <row r="1559" spans="1:2" x14ac:dyDescent="0.25">
      <c r="A1559" t="s">
        <v>5745</v>
      </c>
      <c r="B1559">
        <v>1559</v>
      </c>
    </row>
    <row r="1560" spans="1:2" x14ac:dyDescent="0.25">
      <c r="A1560" t="s">
        <v>5775</v>
      </c>
      <c r="B1560">
        <v>1560</v>
      </c>
    </row>
    <row r="1561" spans="1:2" x14ac:dyDescent="0.25">
      <c r="A1561" t="s">
        <v>5805</v>
      </c>
      <c r="B1561">
        <v>1561</v>
      </c>
    </row>
    <row r="1562" spans="1:2" x14ac:dyDescent="0.25">
      <c r="A1562" t="s">
        <v>5835</v>
      </c>
      <c r="B1562">
        <v>1562</v>
      </c>
    </row>
    <row r="1563" spans="1:2" x14ac:dyDescent="0.25">
      <c r="A1563" t="s">
        <v>5865</v>
      </c>
      <c r="B1563">
        <v>1563</v>
      </c>
    </row>
    <row r="1564" spans="1:2" x14ac:dyDescent="0.25">
      <c r="A1564" t="s">
        <v>5895</v>
      </c>
      <c r="B1564">
        <v>1564</v>
      </c>
    </row>
    <row r="1565" spans="1:2" x14ac:dyDescent="0.25">
      <c r="A1565" t="s">
        <v>5925</v>
      </c>
      <c r="B1565">
        <v>1565</v>
      </c>
    </row>
    <row r="1566" spans="1:2" x14ac:dyDescent="0.25">
      <c r="A1566" t="s">
        <v>5955</v>
      </c>
      <c r="B1566">
        <v>1566</v>
      </c>
    </row>
    <row r="1567" spans="1:2" x14ac:dyDescent="0.25">
      <c r="A1567" t="s">
        <v>5985</v>
      </c>
      <c r="B1567">
        <v>1567</v>
      </c>
    </row>
    <row r="1568" spans="1:2" x14ac:dyDescent="0.25">
      <c r="A1568" t="s">
        <v>6015</v>
      </c>
      <c r="B1568">
        <v>1568</v>
      </c>
    </row>
    <row r="1569" spans="1:2" x14ac:dyDescent="0.25">
      <c r="A1569" t="s">
        <v>6045</v>
      </c>
      <c r="B1569">
        <v>1569</v>
      </c>
    </row>
    <row r="1570" spans="1:2" x14ac:dyDescent="0.25">
      <c r="A1570" t="s">
        <v>5059</v>
      </c>
      <c r="B1570">
        <v>1570</v>
      </c>
    </row>
    <row r="1571" spans="1:2" x14ac:dyDescent="0.25">
      <c r="A1571" t="s">
        <v>5059</v>
      </c>
      <c r="B1571">
        <v>1571</v>
      </c>
    </row>
    <row r="1572" spans="1:2" x14ac:dyDescent="0.25">
      <c r="A1572" t="s">
        <v>6092</v>
      </c>
      <c r="B1572">
        <v>1572</v>
      </c>
    </row>
    <row r="1573" spans="1:2" x14ac:dyDescent="0.25">
      <c r="A1573" t="s">
        <v>6122</v>
      </c>
      <c r="B1573">
        <v>1573</v>
      </c>
    </row>
    <row r="1574" spans="1:2" x14ac:dyDescent="0.25">
      <c r="A1574" t="s">
        <v>6152</v>
      </c>
      <c r="B1574">
        <v>1574</v>
      </c>
    </row>
    <row r="1575" spans="1:2" x14ac:dyDescent="0.25">
      <c r="A1575" t="s">
        <v>6182</v>
      </c>
      <c r="B1575">
        <v>1575</v>
      </c>
    </row>
    <row r="1576" spans="1:2" x14ac:dyDescent="0.25">
      <c r="A1576" t="s">
        <v>6212</v>
      </c>
      <c r="B1576">
        <v>1576</v>
      </c>
    </row>
    <row r="1577" spans="1:2" x14ac:dyDescent="0.25">
      <c r="A1577" t="s">
        <v>6242</v>
      </c>
      <c r="B1577">
        <v>1577</v>
      </c>
    </row>
    <row r="1578" spans="1:2" x14ac:dyDescent="0.25">
      <c r="A1578" t="s">
        <v>6272</v>
      </c>
      <c r="B1578">
        <v>1578</v>
      </c>
    </row>
    <row r="1579" spans="1:2" x14ac:dyDescent="0.25">
      <c r="A1579" t="s">
        <v>6302</v>
      </c>
      <c r="B1579">
        <v>1579</v>
      </c>
    </row>
    <row r="1580" spans="1:2" x14ac:dyDescent="0.25">
      <c r="A1580" t="s">
        <v>6332</v>
      </c>
      <c r="B1580">
        <v>1580</v>
      </c>
    </row>
    <row r="1581" spans="1:2" x14ac:dyDescent="0.25">
      <c r="A1581" t="s">
        <v>6362</v>
      </c>
      <c r="B1581">
        <v>1581</v>
      </c>
    </row>
    <row r="1582" spans="1:2" x14ac:dyDescent="0.25">
      <c r="A1582" t="s">
        <v>6392</v>
      </c>
      <c r="B1582">
        <v>1582</v>
      </c>
    </row>
    <row r="1583" spans="1:2" x14ac:dyDescent="0.25">
      <c r="A1583" t="s">
        <v>6422</v>
      </c>
      <c r="B1583">
        <v>1583</v>
      </c>
    </row>
    <row r="1584" spans="1:2" x14ac:dyDescent="0.25">
      <c r="A1584" t="s">
        <v>6452</v>
      </c>
      <c r="B1584">
        <v>1584</v>
      </c>
    </row>
    <row r="1585" spans="1:2" x14ac:dyDescent="0.25">
      <c r="A1585" t="s">
        <v>6482</v>
      </c>
      <c r="B1585">
        <v>1585</v>
      </c>
    </row>
    <row r="1586" spans="1:2" x14ac:dyDescent="0.25">
      <c r="A1586" t="s">
        <v>6512</v>
      </c>
      <c r="B1586">
        <v>1586</v>
      </c>
    </row>
    <row r="1587" spans="1:2" x14ac:dyDescent="0.25">
      <c r="A1587" t="s">
        <v>6542</v>
      </c>
      <c r="B1587">
        <v>1587</v>
      </c>
    </row>
    <row r="1588" spans="1:2" x14ac:dyDescent="0.25">
      <c r="A1588" t="s">
        <v>6572</v>
      </c>
      <c r="B1588">
        <v>1588</v>
      </c>
    </row>
    <row r="1589" spans="1:2" x14ac:dyDescent="0.25">
      <c r="A1589" t="s">
        <v>6602</v>
      </c>
      <c r="B1589">
        <v>1589</v>
      </c>
    </row>
    <row r="1590" spans="1:2" x14ac:dyDescent="0.25">
      <c r="A1590" t="s">
        <v>5068</v>
      </c>
      <c r="B1590">
        <v>1590</v>
      </c>
    </row>
    <row r="1591" spans="1:2" x14ac:dyDescent="0.25">
      <c r="A1591" t="s">
        <v>5068</v>
      </c>
      <c r="B1591">
        <v>1591</v>
      </c>
    </row>
    <row r="1592" spans="1:2" x14ac:dyDescent="0.25">
      <c r="A1592" t="s">
        <v>6647</v>
      </c>
      <c r="B1592">
        <v>1592</v>
      </c>
    </row>
    <row r="1593" spans="1:2" x14ac:dyDescent="0.25">
      <c r="A1593" t="s">
        <v>6677</v>
      </c>
      <c r="B1593">
        <v>1593</v>
      </c>
    </row>
    <row r="1594" spans="1:2" x14ac:dyDescent="0.25">
      <c r="A1594" t="s">
        <v>6707</v>
      </c>
      <c r="B1594">
        <v>1594</v>
      </c>
    </row>
    <row r="1595" spans="1:2" x14ac:dyDescent="0.25">
      <c r="A1595" t="s">
        <v>6737</v>
      </c>
      <c r="B1595">
        <v>1595</v>
      </c>
    </row>
    <row r="1596" spans="1:2" x14ac:dyDescent="0.25">
      <c r="A1596" t="s">
        <v>6767</v>
      </c>
      <c r="B1596">
        <v>1596</v>
      </c>
    </row>
    <row r="1597" spans="1:2" x14ac:dyDescent="0.25">
      <c r="A1597" t="s">
        <v>6797</v>
      </c>
      <c r="B1597">
        <v>1597</v>
      </c>
    </row>
    <row r="1598" spans="1:2" x14ac:dyDescent="0.25">
      <c r="A1598" t="s">
        <v>6827</v>
      </c>
      <c r="B1598">
        <v>1598</v>
      </c>
    </row>
    <row r="1599" spans="1:2" x14ac:dyDescent="0.25">
      <c r="A1599" t="s">
        <v>6857</v>
      </c>
      <c r="B1599">
        <v>1599</v>
      </c>
    </row>
    <row r="1600" spans="1:2" x14ac:dyDescent="0.25">
      <c r="A1600" t="s">
        <v>5065</v>
      </c>
      <c r="B1600">
        <v>1600</v>
      </c>
    </row>
    <row r="1601" spans="1:2" x14ac:dyDescent="0.25">
      <c r="A1601" t="s">
        <v>5065</v>
      </c>
      <c r="B1601">
        <v>1601</v>
      </c>
    </row>
    <row r="1602" spans="1:2" x14ac:dyDescent="0.25">
      <c r="A1602" t="s">
        <v>6900</v>
      </c>
      <c r="B1602">
        <v>1602</v>
      </c>
    </row>
    <row r="1603" spans="1:2" x14ac:dyDescent="0.25">
      <c r="A1603" t="s">
        <v>6930</v>
      </c>
      <c r="B1603">
        <v>1603</v>
      </c>
    </row>
    <row r="1604" spans="1:2" x14ac:dyDescent="0.25">
      <c r="A1604" t="s">
        <v>6960</v>
      </c>
      <c r="B1604">
        <v>1604</v>
      </c>
    </row>
    <row r="1605" spans="1:2" x14ac:dyDescent="0.25">
      <c r="A1605" t="s">
        <v>6990</v>
      </c>
      <c r="B1605">
        <v>1605</v>
      </c>
    </row>
    <row r="1606" spans="1:2" x14ac:dyDescent="0.25">
      <c r="A1606" t="s">
        <v>7020</v>
      </c>
      <c r="B1606">
        <v>1606</v>
      </c>
    </row>
    <row r="1607" spans="1:2" x14ac:dyDescent="0.25">
      <c r="A1607" t="s">
        <v>7050</v>
      </c>
      <c r="B1607">
        <v>1607</v>
      </c>
    </row>
    <row r="1608" spans="1:2" x14ac:dyDescent="0.25">
      <c r="A1608" t="s">
        <v>7080</v>
      </c>
      <c r="B1608">
        <v>1608</v>
      </c>
    </row>
    <row r="1609" spans="1:2" x14ac:dyDescent="0.25">
      <c r="A1609" t="s">
        <v>7110</v>
      </c>
      <c r="B1609">
        <v>1609</v>
      </c>
    </row>
    <row r="1610" spans="1:2" x14ac:dyDescent="0.25">
      <c r="A1610" t="s">
        <v>5069</v>
      </c>
      <c r="B1610">
        <v>1610</v>
      </c>
    </row>
    <row r="1611" spans="1:2" x14ac:dyDescent="0.25">
      <c r="A1611" t="s">
        <v>5069</v>
      </c>
      <c r="B1611">
        <v>1611</v>
      </c>
    </row>
    <row r="1612" spans="1:2" x14ac:dyDescent="0.25">
      <c r="A1612" t="s">
        <v>7151</v>
      </c>
      <c r="B1612">
        <v>1612</v>
      </c>
    </row>
    <row r="1613" spans="1:2" x14ac:dyDescent="0.25">
      <c r="A1613" t="s">
        <v>7181</v>
      </c>
      <c r="B1613">
        <v>1613</v>
      </c>
    </row>
    <row r="1614" spans="1:2" x14ac:dyDescent="0.25">
      <c r="A1614" t="s">
        <v>7211</v>
      </c>
      <c r="B1614">
        <v>1614</v>
      </c>
    </row>
    <row r="1615" spans="1:2" x14ac:dyDescent="0.25">
      <c r="A1615" t="s">
        <v>7241</v>
      </c>
      <c r="B1615">
        <v>1615</v>
      </c>
    </row>
    <row r="1616" spans="1:2" x14ac:dyDescent="0.25">
      <c r="A1616" t="s">
        <v>7271</v>
      </c>
      <c r="B1616">
        <v>1616</v>
      </c>
    </row>
    <row r="1617" spans="1:2" x14ac:dyDescent="0.25">
      <c r="A1617" t="s">
        <v>5062</v>
      </c>
      <c r="B1617">
        <v>1617</v>
      </c>
    </row>
    <row r="1618" spans="1:2" x14ac:dyDescent="0.25">
      <c r="A1618" t="s">
        <v>5062</v>
      </c>
      <c r="B1618">
        <v>1618</v>
      </c>
    </row>
    <row r="1619" spans="1:2" x14ac:dyDescent="0.25">
      <c r="A1619" t="s">
        <v>7310</v>
      </c>
      <c r="B1619">
        <v>1619</v>
      </c>
    </row>
    <row r="1620" spans="1:2" x14ac:dyDescent="0.25">
      <c r="A1620" t="s">
        <v>7340</v>
      </c>
      <c r="B1620">
        <v>1620</v>
      </c>
    </row>
    <row r="1621" spans="1:2" x14ac:dyDescent="0.25">
      <c r="A1621" t="s">
        <v>7370</v>
      </c>
      <c r="B1621">
        <v>1621</v>
      </c>
    </row>
    <row r="1622" spans="1:2" x14ac:dyDescent="0.25">
      <c r="A1622" t="s">
        <v>7400</v>
      </c>
      <c r="B1622">
        <v>1622</v>
      </c>
    </row>
    <row r="1623" spans="1:2" x14ac:dyDescent="0.25">
      <c r="A1623" t="s">
        <v>7430</v>
      </c>
      <c r="B1623">
        <v>1623</v>
      </c>
    </row>
    <row r="1624" spans="1:2" x14ac:dyDescent="0.25">
      <c r="A1624" t="s">
        <v>7460</v>
      </c>
      <c r="B1624">
        <v>1624</v>
      </c>
    </row>
    <row r="1625" spans="1:2" x14ac:dyDescent="0.25">
      <c r="A1625" t="s">
        <v>7490</v>
      </c>
      <c r="B1625">
        <v>1625</v>
      </c>
    </row>
    <row r="1626" spans="1:2" x14ac:dyDescent="0.25">
      <c r="A1626" t="s">
        <v>7520</v>
      </c>
      <c r="B1626">
        <v>1626</v>
      </c>
    </row>
    <row r="1627" spans="1:2" x14ac:dyDescent="0.25">
      <c r="A1627" t="s">
        <v>7550</v>
      </c>
      <c r="B1627">
        <v>1627</v>
      </c>
    </row>
    <row r="1628" spans="1:2" x14ac:dyDescent="0.25">
      <c r="A1628" t="s">
        <v>7580</v>
      </c>
      <c r="B1628">
        <v>1628</v>
      </c>
    </row>
    <row r="1629" spans="1:2" x14ac:dyDescent="0.25">
      <c r="A1629" t="s">
        <v>7610</v>
      </c>
      <c r="B1629">
        <v>1629</v>
      </c>
    </row>
    <row r="1630" spans="1:2" x14ac:dyDescent="0.25">
      <c r="A1630" t="s">
        <v>7640</v>
      </c>
      <c r="B1630">
        <v>1630</v>
      </c>
    </row>
    <row r="1631" spans="1:2" x14ac:dyDescent="0.25">
      <c r="A1631" t="s">
        <v>7670</v>
      </c>
      <c r="B1631">
        <v>1631</v>
      </c>
    </row>
    <row r="1632" spans="1:2" x14ac:dyDescent="0.25">
      <c r="A1632" t="s">
        <v>7700</v>
      </c>
      <c r="B1632">
        <v>1632</v>
      </c>
    </row>
    <row r="1633" spans="1:2" x14ac:dyDescent="0.25">
      <c r="A1633" t="s">
        <v>7730</v>
      </c>
      <c r="B1633">
        <v>1633</v>
      </c>
    </row>
    <row r="1634" spans="1:2" x14ac:dyDescent="0.25">
      <c r="A1634" t="s">
        <v>7760</v>
      </c>
      <c r="B1634">
        <v>1634</v>
      </c>
    </row>
    <row r="1635" spans="1:2" x14ac:dyDescent="0.25">
      <c r="A1635" t="s">
        <v>7790</v>
      </c>
      <c r="B1635">
        <v>1635</v>
      </c>
    </row>
    <row r="1636" spans="1:2" x14ac:dyDescent="0.25">
      <c r="A1636" t="s">
        <v>7820</v>
      </c>
      <c r="B1636">
        <v>1636</v>
      </c>
    </row>
    <row r="1637" spans="1:2" x14ac:dyDescent="0.25">
      <c r="A1637" t="s">
        <v>7850</v>
      </c>
      <c r="B1637">
        <v>1637</v>
      </c>
    </row>
    <row r="1638" spans="1:2" x14ac:dyDescent="0.25">
      <c r="A1638" t="s">
        <v>7880</v>
      </c>
      <c r="B1638">
        <v>1638</v>
      </c>
    </row>
    <row r="1639" spans="1:2" x14ac:dyDescent="0.25">
      <c r="A1639" t="s">
        <v>7910</v>
      </c>
      <c r="B1639">
        <v>1639</v>
      </c>
    </row>
    <row r="1640" spans="1:2" x14ac:dyDescent="0.25">
      <c r="A1640" t="s">
        <v>7940</v>
      </c>
      <c r="B1640">
        <v>1640</v>
      </c>
    </row>
    <row r="1641" spans="1:2" x14ac:dyDescent="0.25">
      <c r="A1641" t="s">
        <v>7970</v>
      </c>
      <c r="B1641">
        <v>1641</v>
      </c>
    </row>
    <row r="1642" spans="1:2" x14ac:dyDescent="0.25">
      <c r="A1642" t="s">
        <v>8000</v>
      </c>
      <c r="B1642">
        <v>1642</v>
      </c>
    </row>
    <row r="1643" spans="1:2" x14ac:dyDescent="0.25">
      <c r="A1643" t="s">
        <v>8030</v>
      </c>
      <c r="B1643">
        <v>1643</v>
      </c>
    </row>
    <row r="1644" spans="1:2" x14ac:dyDescent="0.25">
      <c r="A1644" t="s">
        <v>8060</v>
      </c>
      <c r="B1644">
        <v>1644</v>
      </c>
    </row>
    <row r="1645" spans="1:2" x14ac:dyDescent="0.25">
      <c r="A1645" t="s">
        <v>8090</v>
      </c>
      <c r="B1645">
        <v>1645</v>
      </c>
    </row>
    <row r="1646" spans="1:2" x14ac:dyDescent="0.25">
      <c r="A1646" t="s">
        <v>8120</v>
      </c>
      <c r="B1646">
        <v>1646</v>
      </c>
    </row>
    <row r="1647" spans="1:2" x14ac:dyDescent="0.25">
      <c r="A1647" t="s">
        <v>8150</v>
      </c>
      <c r="B1647">
        <v>1647</v>
      </c>
    </row>
    <row r="1648" spans="1:2" x14ac:dyDescent="0.25">
      <c r="A1648" t="s">
        <v>8180</v>
      </c>
      <c r="B1648">
        <v>1648</v>
      </c>
    </row>
    <row r="1649" spans="1:2" x14ac:dyDescent="0.25">
      <c r="A1649" t="s">
        <v>5058</v>
      </c>
      <c r="B1649">
        <v>1649</v>
      </c>
    </row>
    <row r="1650" spans="1:2" x14ac:dyDescent="0.25">
      <c r="A1650" t="s">
        <v>5058</v>
      </c>
      <c r="B1650">
        <v>1650</v>
      </c>
    </row>
    <row r="1651" spans="1:2" x14ac:dyDescent="0.25">
      <c r="A1651" t="s">
        <v>5066</v>
      </c>
      <c r="B1651">
        <v>1651</v>
      </c>
    </row>
    <row r="1652" spans="1:2" x14ac:dyDescent="0.25">
      <c r="A1652" t="s">
        <v>5066</v>
      </c>
      <c r="B1652">
        <v>1652</v>
      </c>
    </row>
    <row r="1653" spans="1:2" x14ac:dyDescent="0.25">
      <c r="A1653" t="s">
        <v>8222</v>
      </c>
      <c r="B1653">
        <v>1653</v>
      </c>
    </row>
    <row r="1654" spans="1:2" x14ac:dyDescent="0.25">
      <c r="A1654" t="s">
        <v>8252</v>
      </c>
      <c r="B1654">
        <v>1654</v>
      </c>
    </row>
    <row r="1655" spans="1:2" x14ac:dyDescent="0.25">
      <c r="A1655" t="s">
        <v>8282</v>
      </c>
      <c r="B1655">
        <v>1655</v>
      </c>
    </row>
    <row r="1656" spans="1:2" x14ac:dyDescent="0.25">
      <c r="A1656" t="s">
        <v>8312</v>
      </c>
      <c r="B1656">
        <v>1656</v>
      </c>
    </row>
    <row r="1657" spans="1:2" x14ac:dyDescent="0.25">
      <c r="A1657" t="s">
        <v>8342</v>
      </c>
      <c r="B1657">
        <v>1657</v>
      </c>
    </row>
    <row r="1658" spans="1:2" x14ac:dyDescent="0.25">
      <c r="A1658" t="s">
        <v>8372</v>
      </c>
      <c r="B1658">
        <v>1658</v>
      </c>
    </row>
    <row r="1659" spans="1:2" x14ac:dyDescent="0.25">
      <c r="A1659" t="s">
        <v>8402</v>
      </c>
      <c r="B1659">
        <v>1659</v>
      </c>
    </row>
    <row r="1660" spans="1:2" x14ac:dyDescent="0.25">
      <c r="A1660" t="s">
        <v>8432</v>
      </c>
      <c r="B1660">
        <v>1660</v>
      </c>
    </row>
    <row r="1661" spans="1:2" x14ac:dyDescent="0.25">
      <c r="A1661" t="s">
        <v>8462</v>
      </c>
      <c r="B1661">
        <v>1661</v>
      </c>
    </row>
    <row r="1662" spans="1:2" x14ac:dyDescent="0.25">
      <c r="A1662" t="s">
        <v>8492</v>
      </c>
      <c r="B1662">
        <v>1662</v>
      </c>
    </row>
    <row r="1663" spans="1:2" x14ac:dyDescent="0.25">
      <c r="A1663" t="s">
        <v>8522</v>
      </c>
      <c r="B1663">
        <v>1663</v>
      </c>
    </row>
    <row r="1664" spans="1:2" x14ac:dyDescent="0.25">
      <c r="A1664" t="s">
        <v>8552</v>
      </c>
      <c r="B1664">
        <v>1664</v>
      </c>
    </row>
    <row r="1665" spans="1:2" x14ac:dyDescent="0.25">
      <c r="A1665" t="s">
        <v>8582</v>
      </c>
      <c r="B1665">
        <v>1665</v>
      </c>
    </row>
    <row r="1666" spans="1:2" x14ac:dyDescent="0.25">
      <c r="A1666" t="s">
        <v>8612</v>
      </c>
      <c r="B1666">
        <v>1666</v>
      </c>
    </row>
    <row r="1667" spans="1:2" x14ac:dyDescent="0.25">
      <c r="A1667" t="s">
        <v>8642</v>
      </c>
      <c r="B1667">
        <v>1667</v>
      </c>
    </row>
    <row r="1668" spans="1:2" x14ac:dyDescent="0.25">
      <c r="A1668" t="s">
        <v>5063</v>
      </c>
      <c r="B1668">
        <v>1668</v>
      </c>
    </row>
    <row r="1669" spans="1:2" x14ac:dyDescent="0.25">
      <c r="A1669" t="s">
        <v>5063</v>
      </c>
      <c r="B1669">
        <v>1669</v>
      </c>
    </row>
    <row r="1670" spans="1:2" x14ac:dyDescent="0.25">
      <c r="A1670" t="s">
        <v>8675</v>
      </c>
      <c r="B1670">
        <v>1670</v>
      </c>
    </row>
    <row r="1671" spans="1:2" x14ac:dyDescent="0.25">
      <c r="A1671" t="s">
        <v>8705</v>
      </c>
      <c r="B1671">
        <v>1671</v>
      </c>
    </row>
    <row r="1672" spans="1:2" x14ac:dyDescent="0.25">
      <c r="A1672" t="s">
        <v>8735</v>
      </c>
      <c r="B1672">
        <v>1672</v>
      </c>
    </row>
    <row r="1673" spans="1:2" x14ac:dyDescent="0.25">
      <c r="A1673" t="s">
        <v>8765</v>
      </c>
      <c r="B1673">
        <v>1673</v>
      </c>
    </row>
    <row r="1674" spans="1:2" x14ac:dyDescent="0.25">
      <c r="A1674" t="s">
        <v>8795</v>
      </c>
      <c r="B1674">
        <v>1674</v>
      </c>
    </row>
    <row r="1675" spans="1:2" x14ac:dyDescent="0.25">
      <c r="A1675" t="s">
        <v>8825</v>
      </c>
      <c r="B1675">
        <v>1675</v>
      </c>
    </row>
    <row r="1676" spans="1:2" x14ac:dyDescent="0.25">
      <c r="A1676" t="s">
        <v>8855</v>
      </c>
      <c r="B1676">
        <v>1676</v>
      </c>
    </row>
    <row r="1677" spans="1:2" x14ac:dyDescent="0.25">
      <c r="A1677" t="s">
        <v>8885</v>
      </c>
      <c r="B1677">
        <v>1677</v>
      </c>
    </row>
    <row r="1678" spans="1:2" x14ac:dyDescent="0.25">
      <c r="A1678" t="s">
        <v>5067</v>
      </c>
      <c r="B1678">
        <v>1678</v>
      </c>
    </row>
    <row r="1679" spans="1:2" x14ac:dyDescent="0.25">
      <c r="A1679" t="s">
        <v>5067</v>
      </c>
      <c r="B1679">
        <v>1679</v>
      </c>
    </row>
    <row r="1680" spans="1:2" x14ac:dyDescent="0.25">
      <c r="A1680" t="s">
        <v>8916</v>
      </c>
      <c r="B1680">
        <v>1680</v>
      </c>
    </row>
    <row r="1681" spans="1:2" x14ac:dyDescent="0.25">
      <c r="A1681" t="s">
        <v>3316</v>
      </c>
      <c r="B1681">
        <v>1681</v>
      </c>
    </row>
    <row r="1682" spans="1:2" x14ac:dyDescent="0.25">
      <c r="A1682" t="s">
        <v>3346</v>
      </c>
      <c r="B1682">
        <v>1682</v>
      </c>
    </row>
    <row r="1683" spans="1:2" x14ac:dyDescent="0.25">
      <c r="A1683" t="s">
        <v>3376</v>
      </c>
      <c r="B1683">
        <v>1683</v>
      </c>
    </row>
    <row r="1684" spans="1:2" x14ac:dyDescent="0.25">
      <c r="A1684" t="s">
        <v>3406</v>
      </c>
      <c r="B1684">
        <v>1684</v>
      </c>
    </row>
    <row r="1685" spans="1:2" x14ac:dyDescent="0.25">
      <c r="A1685" t="s">
        <v>3436</v>
      </c>
      <c r="B1685">
        <v>1685</v>
      </c>
    </row>
    <row r="1686" spans="1:2" x14ac:dyDescent="0.25">
      <c r="A1686" t="s">
        <v>3466</v>
      </c>
      <c r="B1686">
        <v>1686</v>
      </c>
    </row>
    <row r="1687" spans="1:2" x14ac:dyDescent="0.25">
      <c r="A1687" t="s">
        <v>3496</v>
      </c>
      <c r="B1687">
        <v>1687</v>
      </c>
    </row>
    <row r="1688" spans="1:2" x14ac:dyDescent="0.25">
      <c r="A1688" t="s">
        <v>3526</v>
      </c>
      <c r="B1688">
        <v>1688</v>
      </c>
    </row>
    <row r="1689" spans="1:2" x14ac:dyDescent="0.25">
      <c r="A1689" t="s">
        <v>3556</v>
      </c>
      <c r="B1689">
        <v>1689</v>
      </c>
    </row>
    <row r="1690" spans="1:2" x14ac:dyDescent="0.25">
      <c r="A1690" t="s">
        <v>3586</v>
      </c>
      <c r="B1690">
        <v>1690</v>
      </c>
    </row>
    <row r="1691" spans="1:2" x14ac:dyDescent="0.25">
      <c r="A1691" t="s">
        <v>3616</v>
      </c>
      <c r="B1691">
        <v>1691</v>
      </c>
    </row>
    <row r="1692" spans="1:2" x14ac:dyDescent="0.25">
      <c r="A1692" t="s">
        <v>3646</v>
      </c>
      <c r="B1692">
        <v>1692</v>
      </c>
    </row>
    <row r="1693" spans="1:2" x14ac:dyDescent="0.25">
      <c r="A1693" t="s">
        <v>3676</v>
      </c>
      <c r="B1693">
        <v>1693</v>
      </c>
    </row>
    <row r="1694" spans="1:2" x14ac:dyDescent="0.25">
      <c r="A1694" t="s">
        <v>3706</v>
      </c>
      <c r="B1694">
        <v>1694</v>
      </c>
    </row>
    <row r="1695" spans="1:2" x14ac:dyDescent="0.25">
      <c r="A1695" t="s">
        <v>3736</v>
      </c>
      <c r="B1695">
        <v>1695</v>
      </c>
    </row>
    <row r="1696" spans="1:2" x14ac:dyDescent="0.25">
      <c r="A1696" t="s">
        <v>3766</v>
      </c>
      <c r="B1696">
        <v>1696</v>
      </c>
    </row>
    <row r="1697" spans="1:2" x14ac:dyDescent="0.25">
      <c r="A1697" t="s">
        <v>3796</v>
      </c>
      <c r="B1697">
        <v>1697</v>
      </c>
    </row>
    <row r="1698" spans="1:2" x14ac:dyDescent="0.25">
      <c r="A1698" t="s">
        <v>3826</v>
      </c>
      <c r="B1698">
        <v>1698</v>
      </c>
    </row>
    <row r="1699" spans="1:2" x14ac:dyDescent="0.25">
      <c r="A1699" t="s">
        <v>3856</v>
      </c>
      <c r="B1699">
        <v>1699</v>
      </c>
    </row>
    <row r="1700" spans="1:2" x14ac:dyDescent="0.25">
      <c r="A1700" t="s">
        <v>3886</v>
      </c>
      <c r="B1700">
        <v>1700</v>
      </c>
    </row>
    <row r="1701" spans="1:2" x14ac:dyDescent="0.25">
      <c r="A1701" t="s">
        <v>3916</v>
      </c>
      <c r="B1701">
        <v>1701</v>
      </c>
    </row>
    <row r="1702" spans="1:2" x14ac:dyDescent="0.25">
      <c r="A1702" t="s">
        <v>3946</v>
      </c>
      <c r="B1702">
        <v>1702</v>
      </c>
    </row>
    <row r="1703" spans="1:2" x14ac:dyDescent="0.25">
      <c r="A1703" t="s">
        <v>3976</v>
      </c>
      <c r="B1703">
        <v>1703</v>
      </c>
    </row>
    <row r="1704" spans="1:2" x14ac:dyDescent="0.25">
      <c r="A1704" t="s">
        <v>4006</v>
      </c>
      <c r="B1704">
        <v>1704</v>
      </c>
    </row>
    <row r="1705" spans="1:2" x14ac:dyDescent="0.25">
      <c r="A1705" t="s">
        <v>4036</v>
      </c>
      <c r="B1705">
        <v>1705</v>
      </c>
    </row>
    <row r="1706" spans="1:2" x14ac:dyDescent="0.25">
      <c r="A1706" t="s">
        <v>4066</v>
      </c>
      <c r="B1706">
        <v>1706</v>
      </c>
    </row>
    <row r="1707" spans="1:2" x14ac:dyDescent="0.25">
      <c r="A1707" t="s">
        <v>4096</v>
      </c>
      <c r="B1707">
        <v>1707</v>
      </c>
    </row>
    <row r="1708" spans="1:2" x14ac:dyDescent="0.25">
      <c r="A1708" t="s">
        <v>4125</v>
      </c>
      <c r="B1708">
        <v>1708</v>
      </c>
    </row>
    <row r="1709" spans="1:2" x14ac:dyDescent="0.25">
      <c r="A1709" t="s">
        <v>4125</v>
      </c>
      <c r="B1709">
        <v>1709</v>
      </c>
    </row>
    <row r="1710" spans="1:2" x14ac:dyDescent="0.25">
      <c r="A1710" t="s">
        <v>4155</v>
      </c>
      <c r="B1710">
        <v>1710</v>
      </c>
    </row>
    <row r="1711" spans="1:2" x14ac:dyDescent="0.25">
      <c r="A1711" t="s">
        <v>4185</v>
      </c>
      <c r="B1711">
        <v>1711</v>
      </c>
    </row>
    <row r="1712" spans="1:2" x14ac:dyDescent="0.25">
      <c r="A1712" t="s">
        <v>4215</v>
      </c>
      <c r="B1712">
        <v>1712</v>
      </c>
    </row>
    <row r="1713" spans="1:2" x14ac:dyDescent="0.25">
      <c r="A1713" t="s">
        <v>4245</v>
      </c>
      <c r="B1713">
        <v>1713</v>
      </c>
    </row>
    <row r="1714" spans="1:2" x14ac:dyDescent="0.25">
      <c r="A1714" t="s">
        <v>4275</v>
      </c>
      <c r="B1714">
        <v>1714</v>
      </c>
    </row>
    <row r="1715" spans="1:2" x14ac:dyDescent="0.25">
      <c r="A1715" t="s">
        <v>4305</v>
      </c>
      <c r="B1715">
        <v>1715</v>
      </c>
    </row>
    <row r="1716" spans="1:2" x14ac:dyDescent="0.25">
      <c r="A1716" t="s">
        <v>4335</v>
      </c>
      <c r="B1716">
        <v>1716</v>
      </c>
    </row>
    <row r="1717" spans="1:2" x14ac:dyDescent="0.25">
      <c r="A1717" t="s">
        <v>4365</v>
      </c>
      <c r="B1717">
        <v>1717</v>
      </c>
    </row>
    <row r="1718" spans="1:2" x14ac:dyDescent="0.25">
      <c r="A1718" t="s">
        <v>4395</v>
      </c>
      <c r="B1718">
        <v>1718</v>
      </c>
    </row>
    <row r="1719" spans="1:2" x14ac:dyDescent="0.25">
      <c r="A1719" t="s">
        <v>4425</v>
      </c>
      <c r="B1719">
        <v>1719</v>
      </c>
    </row>
    <row r="1720" spans="1:2" x14ac:dyDescent="0.25">
      <c r="A1720" t="s">
        <v>4455</v>
      </c>
      <c r="B1720">
        <v>1720</v>
      </c>
    </row>
    <row r="1721" spans="1:2" x14ac:dyDescent="0.25">
      <c r="A1721" t="s">
        <v>4485</v>
      </c>
      <c r="B1721">
        <v>1721</v>
      </c>
    </row>
    <row r="1722" spans="1:2" x14ac:dyDescent="0.25">
      <c r="A1722" t="s">
        <v>4515</v>
      </c>
      <c r="B1722">
        <v>1722</v>
      </c>
    </row>
    <row r="1723" spans="1:2" x14ac:dyDescent="0.25">
      <c r="A1723" t="s">
        <v>4545</v>
      </c>
      <c r="B1723">
        <v>1723</v>
      </c>
    </row>
    <row r="1724" spans="1:2" x14ac:dyDescent="0.25">
      <c r="A1724" t="s">
        <v>4573</v>
      </c>
      <c r="B1724">
        <v>1724</v>
      </c>
    </row>
    <row r="1725" spans="1:2" x14ac:dyDescent="0.25">
      <c r="A1725" t="s">
        <v>4573</v>
      </c>
      <c r="B1725">
        <v>1725</v>
      </c>
    </row>
    <row r="1726" spans="1:2" x14ac:dyDescent="0.25">
      <c r="A1726" t="s">
        <v>4602</v>
      </c>
      <c r="B1726">
        <v>1726</v>
      </c>
    </row>
    <row r="1727" spans="1:2" x14ac:dyDescent="0.25">
      <c r="A1727" t="s">
        <v>4632</v>
      </c>
      <c r="B1727">
        <v>1727</v>
      </c>
    </row>
    <row r="1728" spans="1:2" x14ac:dyDescent="0.25">
      <c r="A1728" t="s">
        <v>4662</v>
      </c>
      <c r="B1728">
        <v>1728</v>
      </c>
    </row>
    <row r="1729" spans="1:2" x14ac:dyDescent="0.25">
      <c r="A1729" t="s">
        <v>4692</v>
      </c>
      <c r="B1729">
        <v>1729</v>
      </c>
    </row>
    <row r="1730" spans="1:2" x14ac:dyDescent="0.25">
      <c r="A1730" t="s">
        <v>4722</v>
      </c>
      <c r="B1730">
        <v>1730</v>
      </c>
    </row>
    <row r="1731" spans="1:2" x14ac:dyDescent="0.25">
      <c r="A1731" t="s">
        <v>4748</v>
      </c>
      <c r="B1731">
        <v>1731</v>
      </c>
    </row>
    <row r="1732" spans="1:2" x14ac:dyDescent="0.25">
      <c r="A1732" t="s">
        <v>4748</v>
      </c>
      <c r="B1732">
        <v>1732</v>
      </c>
    </row>
    <row r="1733" spans="1:2" x14ac:dyDescent="0.25">
      <c r="A1733" t="s">
        <v>4777</v>
      </c>
      <c r="B1733">
        <v>1733</v>
      </c>
    </row>
    <row r="1734" spans="1:2" x14ac:dyDescent="0.25">
      <c r="A1734" t="s">
        <v>4807</v>
      </c>
      <c r="B1734">
        <v>1734</v>
      </c>
    </row>
    <row r="1735" spans="1:2" x14ac:dyDescent="0.25">
      <c r="A1735" t="s">
        <v>4837</v>
      </c>
      <c r="B1735">
        <v>1735</v>
      </c>
    </row>
    <row r="1736" spans="1:2" x14ac:dyDescent="0.25">
      <c r="A1736" t="s">
        <v>4867</v>
      </c>
      <c r="B1736">
        <v>1736</v>
      </c>
    </row>
    <row r="1737" spans="1:2" x14ac:dyDescent="0.25">
      <c r="A1737" t="s">
        <v>4897</v>
      </c>
      <c r="B1737">
        <v>1737</v>
      </c>
    </row>
    <row r="1738" spans="1:2" x14ac:dyDescent="0.25">
      <c r="A1738" t="s">
        <v>4927</v>
      </c>
      <c r="B1738">
        <v>1738</v>
      </c>
    </row>
    <row r="1739" spans="1:2" x14ac:dyDescent="0.25">
      <c r="A1739" t="s">
        <v>4957</v>
      </c>
      <c r="B1739">
        <v>1739</v>
      </c>
    </row>
    <row r="1740" spans="1:2" x14ac:dyDescent="0.25">
      <c r="A1740" t="s">
        <v>4987</v>
      </c>
      <c r="B1740">
        <v>1740</v>
      </c>
    </row>
    <row r="1741" spans="1:2" x14ac:dyDescent="0.25">
      <c r="A1741" t="s">
        <v>5017</v>
      </c>
      <c r="B1741">
        <v>1741</v>
      </c>
    </row>
    <row r="1742" spans="1:2" x14ac:dyDescent="0.25">
      <c r="A1742" t="s">
        <v>5047</v>
      </c>
      <c r="B1742">
        <v>1742</v>
      </c>
    </row>
    <row r="1743" spans="1:2" x14ac:dyDescent="0.25">
      <c r="A1743" t="s">
        <v>5072</v>
      </c>
      <c r="B1743">
        <v>1743</v>
      </c>
    </row>
    <row r="1744" spans="1:2" x14ac:dyDescent="0.25">
      <c r="A1744" t="s">
        <v>5072</v>
      </c>
      <c r="B1744">
        <v>1744</v>
      </c>
    </row>
    <row r="1745" spans="1:2" x14ac:dyDescent="0.25">
      <c r="A1745" t="s">
        <v>5083</v>
      </c>
      <c r="B1745">
        <v>1745</v>
      </c>
    </row>
    <row r="1746" spans="1:2" x14ac:dyDescent="0.25">
      <c r="A1746" t="s">
        <v>5083</v>
      </c>
      <c r="B1746">
        <v>1746</v>
      </c>
    </row>
    <row r="1747" spans="1:2" x14ac:dyDescent="0.25">
      <c r="A1747" t="s">
        <v>5084</v>
      </c>
      <c r="B1747">
        <v>1747</v>
      </c>
    </row>
    <row r="1748" spans="1:2" x14ac:dyDescent="0.25">
      <c r="A1748" t="s">
        <v>5084</v>
      </c>
      <c r="B1748">
        <v>1748</v>
      </c>
    </row>
    <row r="1749" spans="1:2" x14ac:dyDescent="0.25">
      <c r="A1749" t="s">
        <v>5140</v>
      </c>
      <c r="B1749">
        <v>1749</v>
      </c>
    </row>
    <row r="1750" spans="1:2" x14ac:dyDescent="0.25">
      <c r="A1750" t="s">
        <v>5170</v>
      </c>
      <c r="B1750">
        <v>1750</v>
      </c>
    </row>
    <row r="1751" spans="1:2" x14ac:dyDescent="0.25">
      <c r="A1751" t="s">
        <v>5200</v>
      </c>
      <c r="B1751">
        <v>1751</v>
      </c>
    </row>
    <row r="1752" spans="1:2" x14ac:dyDescent="0.25">
      <c r="A1752" t="s">
        <v>5230</v>
      </c>
      <c r="B1752">
        <v>1752</v>
      </c>
    </row>
    <row r="1753" spans="1:2" x14ac:dyDescent="0.25">
      <c r="A1753" t="s">
        <v>5260</v>
      </c>
      <c r="B1753">
        <v>1753</v>
      </c>
    </row>
    <row r="1754" spans="1:2" x14ac:dyDescent="0.25">
      <c r="A1754" t="s">
        <v>5290</v>
      </c>
      <c r="B1754">
        <v>1754</v>
      </c>
    </row>
    <row r="1755" spans="1:2" x14ac:dyDescent="0.25">
      <c r="A1755" t="s">
        <v>5320</v>
      </c>
      <c r="B1755">
        <v>1755</v>
      </c>
    </row>
    <row r="1756" spans="1:2" x14ac:dyDescent="0.25">
      <c r="A1756" t="s">
        <v>5350</v>
      </c>
      <c r="B1756">
        <v>1756</v>
      </c>
    </row>
    <row r="1757" spans="1:2" x14ac:dyDescent="0.25">
      <c r="A1757" t="s">
        <v>5380</v>
      </c>
      <c r="B1757">
        <v>1757</v>
      </c>
    </row>
    <row r="1758" spans="1:2" x14ac:dyDescent="0.25">
      <c r="A1758" t="s">
        <v>5410</v>
      </c>
      <c r="B1758">
        <v>1758</v>
      </c>
    </row>
    <row r="1759" spans="1:2" x14ac:dyDescent="0.25">
      <c r="A1759" t="s">
        <v>5440</v>
      </c>
      <c r="B1759">
        <v>1759</v>
      </c>
    </row>
    <row r="1760" spans="1:2" x14ac:dyDescent="0.25">
      <c r="A1760" t="s">
        <v>5470</v>
      </c>
      <c r="B1760">
        <v>1760</v>
      </c>
    </row>
    <row r="1761" spans="1:2" x14ac:dyDescent="0.25">
      <c r="A1761" t="s">
        <v>5500</v>
      </c>
      <c r="B1761">
        <v>1761</v>
      </c>
    </row>
    <row r="1762" spans="1:2" x14ac:dyDescent="0.25">
      <c r="A1762" t="s">
        <v>5530</v>
      </c>
      <c r="B1762">
        <v>1762</v>
      </c>
    </row>
    <row r="1763" spans="1:2" x14ac:dyDescent="0.25">
      <c r="A1763" t="s">
        <v>5560</v>
      </c>
      <c r="B1763">
        <v>1763</v>
      </c>
    </row>
    <row r="1764" spans="1:2" x14ac:dyDescent="0.25">
      <c r="A1764" t="s">
        <v>5590</v>
      </c>
      <c r="B1764">
        <v>1764</v>
      </c>
    </row>
    <row r="1765" spans="1:2" x14ac:dyDescent="0.25">
      <c r="A1765" t="s">
        <v>5620</v>
      </c>
      <c r="B1765">
        <v>1765</v>
      </c>
    </row>
    <row r="1766" spans="1:2" x14ac:dyDescent="0.25">
      <c r="A1766" t="s">
        <v>5650</v>
      </c>
      <c r="B1766">
        <v>1766</v>
      </c>
    </row>
    <row r="1767" spans="1:2" x14ac:dyDescent="0.25">
      <c r="A1767" t="s">
        <v>5680</v>
      </c>
      <c r="B1767">
        <v>1767</v>
      </c>
    </row>
    <row r="1768" spans="1:2" x14ac:dyDescent="0.25">
      <c r="A1768" t="s">
        <v>5710</v>
      </c>
      <c r="B1768">
        <v>1768</v>
      </c>
    </row>
    <row r="1769" spans="1:2" x14ac:dyDescent="0.25">
      <c r="A1769" t="s">
        <v>5740</v>
      </c>
      <c r="B1769">
        <v>1769</v>
      </c>
    </row>
    <row r="1770" spans="1:2" x14ac:dyDescent="0.25">
      <c r="A1770" t="s">
        <v>5770</v>
      </c>
      <c r="B1770">
        <v>1770</v>
      </c>
    </row>
    <row r="1771" spans="1:2" x14ac:dyDescent="0.25">
      <c r="A1771" t="s">
        <v>5800</v>
      </c>
      <c r="B1771">
        <v>1771</v>
      </c>
    </row>
    <row r="1772" spans="1:2" x14ac:dyDescent="0.25">
      <c r="A1772" t="s">
        <v>5830</v>
      </c>
      <c r="B1772">
        <v>1772</v>
      </c>
    </row>
    <row r="1773" spans="1:2" x14ac:dyDescent="0.25">
      <c r="A1773" t="s">
        <v>5860</v>
      </c>
      <c r="B1773">
        <v>1773</v>
      </c>
    </row>
    <row r="1774" spans="1:2" x14ac:dyDescent="0.25">
      <c r="A1774" t="s">
        <v>5890</v>
      </c>
      <c r="B1774">
        <v>1774</v>
      </c>
    </row>
    <row r="1775" spans="1:2" x14ac:dyDescent="0.25">
      <c r="A1775" t="s">
        <v>5920</v>
      </c>
      <c r="B1775">
        <v>1775</v>
      </c>
    </row>
    <row r="1776" spans="1:2" x14ac:dyDescent="0.25">
      <c r="A1776" t="s">
        <v>5950</v>
      </c>
      <c r="B1776">
        <v>1776</v>
      </c>
    </row>
    <row r="1777" spans="1:2" x14ac:dyDescent="0.25">
      <c r="A1777" t="s">
        <v>5980</v>
      </c>
      <c r="B1777">
        <v>1777</v>
      </c>
    </row>
    <row r="1778" spans="1:2" x14ac:dyDescent="0.25">
      <c r="A1778" t="s">
        <v>6010</v>
      </c>
      <c r="B1778">
        <v>1778</v>
      </c>
    </row>
    <row r="1779" spans="1:2" x14ac:dyDescent="0.25">
      <c r="A1779" t="s">
        <v>6040</v>
      </c>
      <c r="B1779">
        <v>1779</v>
      </c>
    </row>
    <row r="1780" spans="1:2" x14ac:dyDescent="0.25">
      <c r="A1780" t="s">
        <v>5082</v>
      </c>
      <c r="B1780">
        <v>1780</v>
      </c>
    </row>
    <row r="1781" spans="1:2" x14ac:dyDescent="0.25">
      <c r="A1781" t="s">
        <v>5082</v>
      </c>
      <c r="B1781">
        <v>1781</v>
      </c>
    </row>
    <row r="1782" spans="1:2" x14ac:dyDescent="0.25">
      <c r="A1782" t="s">
        <v>6087</v>
      </c>
      <c r="B1782">
        <v>1782</v>
      </c>
    </row>
    <row r="1783" spans="1:2" x14ac:dyDescent="0.25">
      <c r="A1783" t="s">
        <v>6117</v>
      </c>
      <c r="B1783">
        <v>1783</v>
      </c>
    </row>
    <row r="1784" spans="1:2" x14ac:dyDescent="0.25">
      <c r="A1784" t="s">
        <v>6147</v>
      </c>
      <c r="B1784">
        <v>1784</v>
      </c>
    </row>
    <row r="1785" spans="1:2" x14ac:dyDescent="0.25">
      <c r="A1785" t="s">
        <v>6177</v>
      </c>
      <c r="B1785">
        <v>1785</v>
      </c>
    </row>
    <row r="1786" spans="1:2" x14ac:dyDescent="0.25">
      <c r="A1786" t="s">
        <v>6207</v>
      </c>
      <c r="B1786">
        <v>1786</v>
      </c>
    </row>
    <row r="1787" spans="1:2" x14ac:dyDescent="0.25">
      <c r="A1787" t="s">
        <v>6237</v>
      </c>
      <c r="B1787">
        <v>1787</v>
      </c>
    </row>
    <row r="1788" spans="1:2" x14ac:dyDescent="0.25">
      <c r="A1788" t="s">
        <v>6267</v>
      </c>
      <c r="B1788">
        <v>1788</v>
      </c>
    </row>
    <row r="1789" spans="1:2" x14ac:dyDescent="0.25">
      <c r="A1789" t="s">
        <v>6297</v>
      </c>
      <c r="B1789">
        <v>1789</v>
      </c>
    </row>
    <row r="1790" spans="1:2" x14ac:dyDescent="0.25">
      <c r="A1790" t="s">
        <v>6327</v>
      </c>
      <c r="B1790">
        <v>1790</v>
      </c>
    </row>
    <row r="1791" spans="1:2" x14ac:dyDescent="0.25">
      <c r="A1791" t="s">
        <v>6357</v>
      </c>
      <c r="B1791">
        <v>1791</v>
      </c>
    </row>
    <row r="1792" spans="1:2" x14ac:dyDescent="0.25">
      <c r="A1792" t="s">
        <v>6387</v>
      </c>
      <c r="B1792">
        <v>1792</v>
      </c>
    </row>
    <row r="1793" spans="1:2" x14ac:dyDescent="0.25">
      <c r="A1793" t="s">
        <v>6417</v>
      </c>
      <c r="B1793">
        <v>1793</v>
      </c>
    </row>
    <row r="1794" spans="1:2" x14ac:dyDescent="0.25">
      <c r="A1794" t="s">
        <v>6447</v>
      </c>
      <c r="B1794">
        <v>1794</v>
      </c>
    </row>
    <row r="1795" spans="1:2" x14ac:dyDescent="0.25">
      <c r="A1795" t="s">
        <v>6477</v>
      </c>
      <c r="B1795">
        <v>1795</v>
      </c>
    </row>
    <row r="1796" spans="1:2" x14ac:dyDescent="0.25">
      <c r="A1796" t="s">
        <v>6507</v>
      </c>
      <c r="B1796">
        <v>1796</v>
      </c>
    </row>
    <row r="1797" spans="1:2" x14ac:dyDescent="0.25">
      <c r="A1797" t="s">
        <v>6537</v>
      </c>
      <c r="B1797">
        <v>1797</v>
      </c>
    </row>
    <row r="1798" spans="1:2" x14ac:dyDescent="0.25">
      <c r="A1798" t="s">
        <v>6567</v>
      </c>
      <c r="B1798">
        <v>1798</v>
      </c>
    </row>
    <row r="1799" spans="1:2" x14ac:dyDescent="0.25">
      <c r="A1799" t="s">
        <v>6597</v>
      </c>
      <c r="B1799">
        <v>1799</v>
      </c>
    </row>
    <row r="1800" spans="1:2" x14ac:dyDescent="0.25">
      <c r="A1800" t="s">
        <v>5090</v>
      </c>
      <c r="B1800">
        <v>1800</v>
      </c>
    </row>
    <row r="1801" spans="1:2" x14ac:dyDescent="0.25">
      <c r="A1801" t="s">
        <v>5090</v>
      </c>
      <c r="B1801">
        <v>1801</v>
      </c>
    </row>
    <row r="1802" spans="1:2" x14ac:dyDescent="0.25">
      <c r="A1802" t="s">
        <v>6642</v>
      </c>
      <c r="B1802">
        <v>1802</v>
      </c>
    </row>
    <row r="1803" spans="1:2" x14ac:dyDescent="0.25">
      <c r="A1803" t="s">
        <v>6672</v>
      </c>
      <c r="B1803">
        <v>1803</v>
      </c>
    </row>
    <row r="1804" spans="1:2" x14ac:dyDescent="0.25">
      <c r="A1804" t="s">
        <v>6702</v>
      </c>
      <c r="B1804">
        <v>1804</v>
      </c>
    </row>
    <row r="1805" spans="1:2" x14ac:dyDescent="0.25">
      <c r="A1805" t="s">
        <v>6732</v>
      </c>
      <c r="B1805">
        <v>1805</v>
      </c>
    </row>
    <row r="1806" spans="1:2" x14ac:dyDescent="0.25">
      <c r="A1806" t="s">
        <v>6762</v>
      </c>
      <c r="B1806">
        <v>1806</v>
      </c>
    </row>
    <row r="1807" spans="1:2" x14ac:dyDescent="0.25">
      <c r="A1807" t="s">
        <v>6792</v>
      </c>
      <c r="B1807">
        <v>1807</v>
      </c>
    </row>
    <row r="1808" spans="1:2" x14ac:dyDescent="0.25">
      <c r="A1808" t="s">
        <v>6822</v>
      </c>
      <c r="B1808">
        <v>1808</v>
      </c>
    </row>
    <row r="1809" spans="1:2" x14ac:dyDescent="0.25">
      <c r="A1809" t="s">
        <v>6852</v>
      </c>
      <c r="B1809">
        <v>1809</v>
      </c>
    </row>
    <row r="1810" spans="1:2" x14ac:dyDescent="0.25">
      <c r="A1810" t="s">
        <v>5087</v>
      </c>
      <c r="B1810">
        <v>1810</v>
      </c>
    </row>
    <row r="1811" spans="1:2" x14ac:dyDescent="0.25">
      <c r="A1811" t="s">
        <v>5087</v>
      </c>
      <c r="B1811">
        <v>1811</v>
      </c>
    </row>
    <row r="1812" spans="1:2" x14ac:dyDescent="0.25">
      <c r="A1812" t="s">
        <v>6895</v>
      </c>
      <c r="B1812">
        <v>1812</v>
      </c>
    </row>
    <row r="1813" spans="1:2" x14ac:dyDescent="0.25">
      <c r="A1813" t="s">
        <v>6925</v>
      </c>
      <c r="B1813">
        <v>1813</v>
      </c>
    </row>
    <row r="1814" spans="1:2" x14ac:dyDescent="0.25">
      <c r="A1814" t="s">
        <v>6955</v>
      </c>
      <c r="B1814">
        <v>1814</v>
      </c>
    </row>
    <row r="1815" spans="1:2" x14ac:dyDescent="0.25">
      <c r="A1815" t="s">
        <v>6985</v>
      </c>
      <c r="B1815">
        <v>1815</v>
      </c>
    </row>
    <row r="1816" spans="1:2" x14ac:dyDescent="0.25">
      <c r="A1816" t="s">
        <v>7015</v>
      </c>
      <c r="B1816">
        <v>1816</v>
      </c>
    </row>
    <row r="1817" spans="1:2" x14ac:dyDescent="0.25">
      <c r="A1817" t="s">
        <v>7045</v>
      </c>
      <c r="B1817">
        <v>1817</v>
      </c>
    </row>
    <row r="1818" spans="1:2" x14ac:dyDescent="0.25">
      <c r="A1818" t="s">
        <v>7075</v>
      </c>
      <c r="B1818">
        <v>1818</v>
      </c>
    </row>
    <row r="1819" spans="1:2" x14ac:dyDescent="0.25">
      <c r="A1819" t="s">
        <v>7105</v>
      </c>
      <c r="B1819">
        <v>1819</v>
      </c>
    </row>
    <row r="1820" spans="1:2" x14ac:dyDescent="0.25">
      <c r="A1820" t="s">
        <v>5091</v>
      </c>
      <c r="B1820">
        <v>1820</v>
      </c>
    </row>
    <row r="1821" spans="1:2" x14ac:dyDescent="0.25">
      <c r="A1821" t="s">
        <v>5091</v>
      </c>
      <c r="B1821">
        <v>1821</v>
      </c>
    </row>
    <row r="1822" spans="1:2" x14ac:dyDescent="0.25">
      <c r="A1822" t="s">
        <v>7146</v>
      </c>
      <c r="B1822">
        <v>1822</v>
      </c>
    </row>
    <row r="1823" spans="1:2" x14ac:dyDescent="0.25">
      <c r="A1823" t="s">
        <v>7176</v>
      </c>
      <c r="B1823">
        <v>1823</v>
      </c>
    </row>
    <row r="1824" spans="1:2" x14ac:dyDescent="0.25">
      <c r="A1824" t="s">
        <v>7206</v>
      </c>
      <c r="B1824">
        <v>1824</v>
      </c>
    </row>
    <row r="1825" spans="1:2" x14ac:dyDescent="0.25">
      <c r="A1825" t="s">
        <v>7236</v>
      </c>
      <c r="B1825">
        <v>1825</v>
      </c>
    </row>
    <row r="1826" spans="1:2" x14ac:dyDescent="0.25">
      <c r="A1826" t="s">
        <v>7266</v>
      </c>
      <c r="B1826">
        <v>1826</v>
      </c>
    </row>
    <row r="1827" spans="1:2" x14ac:dyDescent="0.25">
      <c r="A1827" t="s">
        <v>5085</v>
      </c>
      <c r="B1827">
        <v>1827</v>
      </c>
    </row>
    <row r="1828" spans="1:2" x14ac:dyDescent="0.25">
      <c r="A1828" t="s">
        <v>5085</v>
      </c>
      <c r="B1828">
        <v>1828</v>
      </c>
    </row>
    <row r="1829" spans="1:2" x14ac:dyDescent="0.25">
      <c r="A1829" t="s">
        <v>7305</v>
      </c>
      <c r="B1829">
        <v>1829</v>
      </c>
    </row>
    <row r="1830" spans="1:2" x14ac:dyDescent="0.25">
      <c r="A1830" t="s">
        <v>7335</v>
      </c>
      <c r="B1830">
        <v>1830</v>
      </c>
    </row>
    <row r="1831" spans="1:2" x14ac:dyDescent="0.25">
      <c r="A1831" t="s">
        <v>7365</v>
      </c>
      <c r="B1831">
        <v>1831</v>
      </c>
    </row>
    <row r="1832" spans="1:2" x14ac:dyDescent="0.25">
      <c r="A1832" t="s">
        <v>7395</v>
      </c>
      <c r="B1832">
        <v>1832</v>
      </c>
    </row>
    <row r="1833" spans="1:2" x14ac:dyDescent="0.25">
      <c r="A1833" t="s">
        <v>7425</v>
      </c>
      <c r="B1833">
        <v>1833</v>
      </c>
    </row>
    <row r="1834" spans="1:2" x14ac:dyDescent="0.25">
      <c r="A1834" t="s">
        <v>7455</v>
      </c>
      <c r="B1834">
        <v>1834</v>
      </c>
    </row>
    <row r="1835" spans="1:2" x14ac:dyDescent="0.25">
      <c r="A1835" t="s">
        <v>7485</v>
      </c>
      <c r="B1835">
        <v>1835</v>
      </c>
    </row>
    <row r="1836" spans="1:2" x14ac:dyDescent="0.25">
      <c r="A1836" t="s">
        <v>7515</v>
      </c>
      <c r="B1836">
        <v>1836</v>
      </c>
    </row>
    <row r="1837" spans="1:2" x14ac:dyDescent="0.25">
      <c r="A1837" t="s">
        <v>7545</v>
      </c>
      <c r="B1837">
        <v>1837</v>
      </c>
    </row>
    <row r="1838" spans="1:2" x14ac:dyDescent="0.25">
      <c r="A1838" t="s">
        <v>7575</v>
      </c>
      <c r="B1838">
        <v>1838</v>
      </c>
    </row>
    <row r="1839" spans="1:2" x14ac:dyDescent="0.25">
      <c r="A1839" t="s">
        <v>7605</v>
      </c>
      <c r="B1839">
        <v>1839</v>
      </c>
    </row>
    <row r="1840" spans="1:2" x14ac:dyDescent="0.25">
      <c r="A1840" t="s">
        <v>7635</v>
      </c>
      <c r="B1840">
        <v>1840</v>
      </c>
    </row>
    <row r="1841" spans="1:2" x14ac:dyDescent="0.25">
      <c r="A1841" t="s">
        <v>7665</v>
      </c>
      <c r="B1841">
        <v>1841</v>
      </c>
    </row>
    <row r="1842" spans="1:2" x14ac:dyDescent="0.25">
      <c r="A1842" t="s">
        <v>7695</v>
      </c>
      <c r="B1842">
        <v>1842</v>
      </c>
    </row>
    <row r="1843" spans="1:2" x14ac:dyDescent="0.25">
      <c r="A1843" t="s">
        <v>7725</v>
      </c>
      <c r="B1843">
        <v>1843</v>
      </c>
    </row>
    <row r="1844" spans="1:2" x14ac:dyDescent="0.25">
      <c r="A1844" t="s">
        <v>7755</v>
      </c>
      <c r="B1844">
        <v>1844</v>
      </c>
    </row>
    <row r="1845" spans="1:2" x14ac:dyDescent="0.25">
      <c r="A1845" t="s">
        <v>7785</v>
      </c>
      <c r="B1845">
        <v>1845</v>
      </c>
    </row>
    <row r="1846" spans="1:2" x14ac:dyDescent="0.25">
      <c r="A1846" t="s">
        <v>7815</v>
      </c>
      <c r="B1846">
        <v>1846</v>
      </c>
    </row>
    <row r="1847" spans="1:2" x14ac:dyDescent="0.25">
      <c r="A1847" t="s">
        <v>7845</v>
      </c>
      <c r="B1847">
        <v>1847</v>
      </c>
    </row>
    <row r="1848" spans="1:2" x14ac:dyDescent="0.25">
      <c r="A1848" t="s">
        <v>7875</v>
      </c>
      <c r="B1848">
        <v>1848</v>
      </c>
    </row>
    <row r="1849" spans="1:2" x14ac:dyDescent="0.25">
      <c r="A1849" t="s">
        <v>7905</v>
      </c>
      <c r="B1849">
        <v>1849</v>
      </c>
    </row>
    <row r="1850" spans="1:2" x14ac:dyDescent="0.25">
      <c r="A1850" t="s">
        <v>7935</v>
      </c>
      <c r="B1850">
        <v>1850</v>
      </c>
    </row>
    <row r="1851" spans="1:2" x14ac:dyDescent="0.25">
      <c r="A1851" t="s">
        <v>7965</v>
      </c>
      <c r="B1851">
        <v>1851</v>
      </c>
    </row>
    <row r="1852" spans="1:2" x14ac:dyDescent="0.25">
      <c r="A1852" t="s">
        <v>7995</v>
      </c>
      <c r="B1852">
        <v>1852</v>
      </c>
    </row>
    <row r="1853" spans="1:2" x14ac:dyDescent="0.25">
      <c r="A1853" t="s">
        <v>8025</v>
      </c>
      <c r="B1853">
        <v>1853</v>
      </c>
    </row>
    <row r="1854" spans="1:2" x14ac:dyDescent="0.25">
      <c r="A1854" t="s">
        <v>8055</v>
      </c>
      <c r="B1854">
        <v>1854</v>
      </c>
    </row>
    <row r="1855" spans="1:2" x14ac:dyDescent="0.25">
      <c r="A1855" t="s">
        <v>8085</v>
      </c>
      <c r="B1855">
        <v>1855</v>
      </c>
    </row>
    <row r="1856" spans="1:2" x14ac:dyDescent="0.25">
      <c r="A1856" t="s">
        <v>8115</v>
      </c>
      <c r="B1856">
        <v>1856</v>
      </c>
    </row>
    <row r="1857" spans="1:2" x14ac:dyDescent="0.25">
      <c r="A1857" t="s">
        <v>8145</v>
      </c>
      <c r="B1857">
        <v>1857</v>
      </c>
    </row>
    <row r="1858" spans="1:2" x14ac:dyDescent="0.25">
      <c r="A1858" t="s">
        <v>8175</v>
      </c>
      <c r="B1858">
        <v>1858</v>
      </c>
    </row>
    <row r="1859" spans="1:2" x14ac:dyDescent="0.25">
      <c r="A1859" t="s">
        <v>5081</v>
      </c>
      <c r="B1859">
        <v>1859</v>
      </c>
    </row>
    <row r="1860" spans="1:2" x14ac:dyDescent="0.25">
      <c r="A1860" t="s">
        <v>5081</v>
      </c>
      <c r="B1860">
        <v>1860</v>
      </c>
    </row>
    <row r="1861" spans="1:2" x14ac:dyDescent="0.25">
      <c r="A1861" t="s">
        <v>5088</v>
      </c>
      <c r="B1861">
        <v>1861</v>
      </c>
    </row>
    <row r="1862" spans="1:2" x14ac:dyDescent="0.25">
      <c r="A1862" t="s">
        <v>5088</v>
      </c>
      <c r="B1862">
        <v>1862</v>
      </c>
    </row>
    <row r="1863" spans="1:2" x14ac:dyDescent="0.25">
      <c r="A1863" t="s">
        <v>8217</v>
      </c>
      <c r="B1863">
        <v>1863</v>
      </c>
    </row>
    <row r="1864" spans="1:2" x14ac:dyDescent="0.25">
      <c r="A1864" t="s">
        <v>8247</v>
      </c>
      <c r="B1864">
        <v>1864</v>
      </c>
    </row>
    <row r="1865" spans="1:2" x14ac:dyDescent="0.25">
      <c r="A1865" t="s">
        <v>8277</v>
      </c>
      <c r="B1865">
        <v>1865</v>
      </c>
    </row>
    <row r="1866" spans="1:2" x14ac:dyDescent="0.25">
      <c r="A1866" t="s">
        <v>8307</v>
      </c>
      <c r="B1866">
        <v>1866</v>
      </c>
    </row>
    <row r="1867" spans="1:2" x14ac:dyDescent="0.25">
      <c r="A1867" t="s">
        <v>8337</v>
      </c>
      <c r="B1867">
        <v>1867</v>
      </c>
    </row>
    <row r="1868" spans="1:2" x14ac:dyDescent="0.25">
      <c r="A1868" t="s">
        <v>8367</v>
      </c>
      <c r="B1868">
        <v>1868</v>
      </c>
    </row>
    <row r="1869" spans="1:2" x14ac:dyDescent="0.25">
      <c r="A1869" t="s">
        <v>8397</v>
      </c>
      <c r="B1869">
        <v>1869</v>
      </c>
    </row>
    <row r="1870" spans="1:2" x14ac:dyDescent="0.25">
      <c r="A1870" t="s">
        <v>8427</v>
      </c>
      <c r="B1870">
        <v>1870</v>
      </c>
    </row>
    <row r="1871" spans="1:2" x14ac:dyDescent="0.25">
      <c r="A1871" t="s">
        <v>8457</v>
      </c>
      <c r="B1871">
        <v>1871</v>
      </c>
    </row>
    <row r="1872" spans="1:2" x14ac:dyDescent="0.25">
      <c r="A1872" t="s">
        <v>8487</v>
      </c>
      <c r="B1872">
        <v>1872</v>
      </c>
    </row>
    <row r="1873" spans="1:2" x14ac:dyDescent="0.25">
      <c r="A1873" t="s">
        <v>8517</v>
      </c>
      <c r="B1873">
        <v>1873</v>
      </c>
    </row>
    <row r="1874" spans="1:2" x14ac:dyDescent="0.25">
      <c r="A1874" t="s">
        <v>8547</v>
      </c>
      <c r="B1874">
        <v>1874</v>
      </c>
    </row>
    <row r="1875" spans="1:2" x14ac:dyDescent="0.25">
      <c r="A1875" t="s">
        <v>8577</v>
      </c>
      <c r="B1875">
        <v>1875</v>
      </c>
    </row>
    <row r="1876" spans="1:2" x14ac:dyDescent="0.25">
      <c r="A1876" t="s">
        <v>8607</v>
      </c>
      <c r="B1876">
        <v>1876</v>
      </c>
    </row>
    <row r="1877" spans="1:2" x14ac:dyDescent="0.25">
      <c r="A1877" t="s">
        <v>8637</v>
      </c>
      <c r="B1877">
        <v>1877</v>
      </c>
    </row>
    <row r="1878" spans="1:2" x14ac:dyDescent="0.25">
      <c r="A1878" t="s">
        <v>5086</v>
      </c>
      <c r="B1878">
        <v>1878</v>
      </c>
    </row>
    <row r="1879" spans="1:2" x14ac:dyDescent="0.25">
      <c r="A1879" t="s">
        <v>5086</v>
      </c>
      <c r="B1879">
        <v>1879</v>
      </c>
    </row>
    <row r="1880" spans="1:2" x14ac:dyDescent="0.25">
      <c r="A1880" t="s">
        <v>8670</v>
      </c>
      <c r="B1880">
        <v>1880</v>
      </c>
    </row>
    <row r="1881" spans="1:2" x14ac:dyDescent="0.25">
      <c r="A1881" t="s">
        <v>8700</v>
      </c>
      <c r="B1881">
        <v>1881</v>
      </c>
    </row>
    <row r="1882" spans="1:2" x14ac:dyDescent="0.25">
      <c r="A1882" t="s">
        <v>8730</v>
      </c>
      <c r="B1882">
        <v>1882</v>
      </c>
    </row>
    <row r="1883" spans="1:2" x14ac:dyDescent="0.25">
      <c r="A1883" t="s">
        <v>8760</v>
      </c>
      <c r="B1883">
        <v>1883</v>
      </c>
    </row>
    <row r="1884" spans="1:2" x14ac:dyDescent="0.25">
      <c r="A1884" t="s">
        <v>8790</v>
      </c>
      <c r="B1884">
        <v>1884</v>
      </c>
    </row>
    <row r="1885" spans="1:2" x14ac:dyDescent="0.25">
      <c r="A1885" t="s">
        <v>8820</v>
      </c>
      <c r="B1885">
        <v>1885</v>
      </c>
    </row>
    <row r="1886" spans="1:2" x14ac:dyDescent="0.25">
      <c r="A1886" t="s">
        <v>8850</v>
      </c>
      <c r="B1886">
        <v>1886</v>
      </c>
    </row>
    <row r="1887" spans="1:2" x14ac:dyDescent="0.25">
      <c r="A1887" t="s">
        <v>8880</v>
      </c>
      <c r="B1887">
        <v>1887</v>
      </c>
    </row>
    <row r="1888" spans="1:2" x14ac:dyDescent="0.25">
      <c r="A1888" t="s">
        <v>5089</v>
      </c>
      <c r="B1888">
        <v>1888</v>
      </c>
    </row>
    <row r="1889" spans="1:2" x14ac:dyDescent="0.25">
      <c r="A1889" t="s">
        <v>5089</v>
      </c>
      <c r="B1889">
        <v>1889</v>
      </c>
    </row>
    <row r="1890" spans="1:2" x14ac:dyDescent="0.25">
      <c r="A1890" t="s">
        <v>8911</v>
      </c>
      <c r="B1890">
        <v>1890</v>
      </c>
    </row>
    <row r="1891" spans="1:2" x14ac:dyDescent="0.25">
      <c r="A1891" t="s">
        <v>3317</v>
      </c>
      <c r="B1891">
        <v>1891</v>
      </c>
    </row>
    <row r="1892" spans="1:2" x14ac:dyDescent="0.25">
      <c r="A1892" t="s">
        <v>3347</v>
      </c>
      <c r="B1892">
        <v>1892</v>
      </c>
    </row>
    <row r="1893" spans="1:2" x14ac:dyDescent="0.25">
      <c r="A1893" t="s">
        <v>3377</v>
      </c>
      <c r="B1893">
        <v>1893</v>
      </c>
    </row>
    <row r="1894" spans="1:2" x14ac:dyDescent="0.25">
      <c r="A1894" t="s">
        <v>3407</v>
      </c>
      <c r="B1894">
        <v>1894</v>
      </c>
    </row>
    <row r="1895" spans="1:2" x14ac:dyDescent="0.25">
      <c r="A1895" t="s">
        <v>3437</v>
      </c>
      <c r="B1895">
        <v>1895</v>
      </c>
    </row>
    <row r="1896" spans="1:2" x14ac:dyDescent="0.25">
      <c r="A1896" t="s">
        <v>3467</v>
      </c>
      <c r="B1896">
        <v>1896</v>
      </c>
    </row>
    <row r="1897" spans="1:2" x14ac:dyDescent="0.25">
      <c r="A1897" t="s">
        <v>3497</v>
      </c>
      <c r="B1897">
        <v>1897</v>
      </c>
    </row>
    <row r="1898" spans="1:2" x14ac:dyDescent="0.25">
      <c r="A1898" t="s">
        <v>3527</v>
      </c>
      <c r="B1898">
        <v>1898</v>
      </c>
    </row>
    <row r="1899" spans="1:2" x14ac:dyDescent="0.25">
      <c r="A1899" t="s">
        <v>3557</v>
      </c>
      <c r="B1899">
        <v>1899</v>
      </c>
    </row>
    <row r="1900" spans="1:2" x14ac:dyDescent="0.25">
      <c r="A1900" t="s">
        <v>3587</v>
      </c>
      <c r="B1900">
        <v>1900</v>
      </c>
    </row>
    <row r="1901" spans="1:2" x14ac:dyDescent="0.25">
      <c r="A1901" t="s">
        <v>3617</v>
      </c>
      <c r="B1901">
        <v>1901</v>
      </c>
    </row>
    <row r="1902" spans="1:2" x14ac:dyDescent="0.25">
      <c r="A1902" t="s">
        <v>3647</v>
      </c>
      <c r="B1902">
        <v>1902</v>
      </c>
    </row>
    <row r="1903" spans="1:2" x14ac:dyDescent="0.25">
      <c r="A1903" t="s">
        <v>3677</v>
      </c>
      <c r="B1903">
        <v>1903</v>
      </c>
    </row>
    <row r="1904" spans="1:2" x14ac:dyDescent="0.25">
      <c r="A1904" t="s">
        <v>3707</v>
      </c>
      <c r="B1904">
        <v>1904</v>
      </c>
    </row>
    <row r="1905" spans="1:2" x14ac:dyDescent="0.25">
      <c r="A1905" t="s">
        <v>3737</v>
      </c>
      <c r="B1905">
        <v>1905</v>
      </c>
    </row>
    <row r="1906" spans="1:2" x14ac:dyDescent="0.25">
      <c r="A1906" t="s">
        <v>3767</v>
      </c>
      <c r="B1906">
        <v>1906</v>
      </c>
    </row>
    <row r="1907" spans="1:2" x14ac:dyDescent="0.25">
      <c r="A1907" t="s">
        <v>3797</v>
      </c>
      <c r="B1907">
        <v>1907</v>
      </c>
    </row>
    <row r="1908" spans="1:2" x14ac:dyDescent="0.25">
      <c r="A1908" t="s">
        <v>3827</v>
      </c>
      <c r="B1908">
        <v>1908</v>
      </c>
    </row>
    <row r="1909" spans="1:2" x14ac:dyDescent="0.25">
      <c r="A1909" t="s">
        <v>3857</v>
      </c>
      <c r="B1909">
        <v>1909</v>
      </c>
    </row>
    <row r="1910" spans="1:2" x14ac:dyDescent="0.25">
      <c r="A1910" t="s">
        <v>3887</v>
      </c>
      <c r="B1910">
        <v>1910</v>
      </c>
    </row>
    <row r="1911" spans="1:2" x14ac:dyDescent="0.25">
      <c r="A1911" t="s">
        <v>3917</v>
      </c>
      <c r="B1911">
        <v>1911</v>
      </c>
    </row>
    <row r="1912" spans="1:2" x14ac:dyDescent="0.25">
      <c r="A1912" t="s">
        <v>3947</v>
      </c>
      <c r="B1912">
        <v>1912</v>
      </c>
    </row>
    <row r="1913" spans="1:2" x14ac:dyDescent="0.25">
      <c r="A1913" t="s">
        <v>3977</v>
      </c>
      <c r="B1913">
        <v>1913</v>
      </c>
    </row>
    <row r="1914" spans="1:2" x14ac:dyDescent="0.25">
      <c r="A1914" t="s">
        <v>4007</v>
      </c>
      <c r="B1914">
        <v>1914</v>
      </c>
    </row>
    <row r="1915" spans="1:2" x14ac:dyDescent="0.25">
      <c r="A1915" t="s">
        <v>4037</v>
      </c>
      <c r="B1915">
        <v>1915</v>
      </c>
    </row>
    <row r="1916" spans="1:2" x14ac:dyDescent="0.25">
      <c r="A1916" t="s">
        <v>4067</v>
      </c>
      <c r="B1916">
        <v>1916</v>
      </c>
    </row>
    <row r="1917" spans="1:2" x14ac:dyDescent="0.25">
      <c r="A1917" t="s">
        <v>4097</v>
      </c>
      <c r="B1917">
        <v>1917</v>
      </c>
    </row>
    <row r="1918" spans="1:2" x14ac:dyDescent="0.25">
      <c r="A1918" t="s">
        <v>4126</v>
      </c>
      <c r="B1918">
        <v>1918</v>
      </c>
    </row>
    <row r="1919" spans="1:2" x14ac:dyDescent="0.25">
      <c r="A1919" t="s">
        <v>4126</v>
      </c>
      <c r="B1919">
        <v>1919</v>
      </c>
    </row>
    <row r="1920" spans="1:2" x14ac:dyDescent="0.25">
      <c r="A1920" t="s">
        <v>4156</v>
      </c>
      <c r="B1920">
        <v>1920</v>
      </c>
    </row>
    <row r="1921" spans="1:2" x14ac:dyDescent="0.25">
      <c r="A1921" t="s">
        <v>4186</v>
      </c>
      <c r="B1921">
        <v>1921</v>
      </c>
    </row>
    <row r="1922" spans="1:2" x14ac:dyDescent="0.25">
      <c r="A1922" t="s">
        <v>4216</v>
      </c>
      <c r="B1922">
        <v>1922</v>
      </c>
    </row>
    <row r="1923" spans="1:2" x14ac:dyDescent="0.25">
      <c r="A1923" t="s">
        <v>4246</v>
      </c>
      <c r="B1923">
        <v>1923</v>
      </c>
    </row>
    <row r="1924" spans="1:2" x14ac:dyDescent="0.25">
      <c r="A1924" t="s">
        <v>4276</v>
      </c>
      <c r="B1924">
        <v>1924</v>
      </c>
    </row>
    <row r="1925" spans="1:2" x14ac:dyDescent="0.25">
      <c r="A1925" t="s">
        <v>4306</v>
      </c>
      <c r="B1925">
        <v>1925</v>
      </c>
    </row>
    <row r="1926" spans="1:2" x14ac:dyDescent="0.25">
      <c r="A1926" t="s">
        <v>4336</v>
      </c>
      <c r="B1926">
        <v>1926</v>
      </c>
    </row>
    <row r="1927" spans="1:2" x14ac:dyDescent="0.25">
      <c r="A1927" t="s">
        <v>4366</v>
      </c>
      <c r="B1927">
        <v>1927</v>
      </c>
    </row>
    <row r="1928" spans="1:2" x14ac:dyDescent="0.25">
      <c r="A1928" t="s">
        <v>4396</v>
      </c>
      <c r="B1928">
        <v>1928</v>
      </c>
    </row>
    <row r="1929" spans="1:2" x14ac:dyDescent="0.25">
      <c r="A1929" t="s">
        <v>4426</v>
      </c>
      <c r="B1929">
        <v>1929</v>
      </c>
    </row>
    <row r="1930" spans="1:2" x14ac:dyDescent="0.25">
      <c r="A1930" t="s">
        <v>4456</v>
      </c>
      <c r="B1930">
        <v>1930</v>
      </c>
    </row>
    <row r="1931" spans="1:2" x14ac:dyDescent="0.25">
      <c r="A1931" t="s">
        <v>4486</v>
      </c>
      <c r="B1931">
        <v>1931</v>
      </c>
    </row>
    <row r="1932" spans="1:2" x14ac:dyDescent="0.25">
      <c r="A1932" t="s">
        <v>4516</v>
      </c>
      <c r="B1932">
        <v>1932</v>
      </c>
    </row>
    <row r="1933" spans="1:2" x14ac:dyDescent="0.25">
      <c r="A1933" t="s">
        <v>4546</v>
      </c>
      <c r="B1933">
        <v>1933</v>
      </c>
    </row>
    <row r="1934" spans="1:2" x14ac:dyDescent="0.25">
      <c r="A1934" t="s">
        <v>4574</v>
      </c>
      <c r="B1934">
        <v>1934</v>
      </c>
    </row>
    <row r="1935" spans="1:2" x14ac:dyDescent="0.25">
      <c r="A1935" t="s">
        <v>4574</v>
      </c>
      <c r="B1935">
        <v>1935</v>
      </c>
    </row>
    <row r="1936" spans="1:2" x14ac:dyDescent="0.25">
      <c r="A1936" t="s">
        <v>4603</v>
      </c>
      <c r="B1936">
        <v>1936</v>
      </c>
    </row>
    <row r="1937" spans="1:2" x14ac:dyDescent="0.25">
      <c r="A1937" t="s">
        <v>4633</v>
      </c>
      <c r="B1937">
        <v>1937</v>
      </c>
    </row>
    <row r="1938" spans="1:2" x14ac:dyDescent="0.25">
      <c r="A1938" t="s">
        <v>4663</v>
      </c>
      <c r="B1938">
        <v>1938</v>
      </c>
    </row>
    <row r="1939" spans="1:2" x14ac:dyDescent="0.25">
      <c r="A1939" t="s">
        <v>4693</v>
      </c>
      <c r="B1939">
        <v>1939</v>
      </c>
    </row>
    <row r="1940" spans="1:2" x14ac:dyDescent="0.25">
      <c r="A1940" t="s">
        <v>4723</v>
      </c>
      <c r="B1940">
        <v>1940</v>
      </c>
    </row>
    <row r="1941" spans="1:2" x14ac:dyDescent="0.25">
      <c r="A1941" t="s">
        <v>4749</v>
      </c>
      <c r="B1941">
        <v>1941</v>
      </c>
    </row>
    <row r="1942" spans="1:2" x14ac:dyDescent="0.25">
      <c r="A1942" t="s">
        <v>4749</v>
      </c>
      <c r="B1942">
        <v>1942</v>
      </c>
    </row>
    <row r="1943" spans="1:2" x14ac:dyDescent="0.25">
      <c r="A1943" t="s">
        <v>4778</v>
      </c>
      <c r="B1943">
        <v>1943</v>
      </c>
    </row>
    <row r="1944" spans="1:2" x14ac:dyDescent="0.25">
      <c r="A1944" t="s">
        <v>4808</v>
      </c>
      <c r="B1944">
        <v>1944</v>
      </c>
    </row>
    <row r="1945" spans="1:2" x14ac:dyDescent="0.25">
      <c r="A1945" t="s">
        <v>4838</v>
      </c>
      <c r="B1945">
        <v>1945</v>
      </c>
    </row>
    <row r="1946" spans="1:2" x14ac:dyDescent="0.25">
      <c r="A1946" t="s">
        <v>4868</v>
      </c>
      <c r="B1946">
        <v>1946</v>
      </c>
    </row>
    <row r="1947" spans="1:2" x14ac:dyDescent="0.25">
      <c r="A1947" t="s">
        <v>4898</v>
      </c>
      <c r="B1947">
        <v>1947</v>
      </c>
    </row>
    <row r="1948" spans="1:2" x14ac:dyDescent="0.25">
      <c r="A1948" t="s">
        <v>4928</v>
      </c>
      <c r="B1948">
        <v>1948</v>
      </c>
    </row>
    <row r="1949" spans="1:2" x14ac:dyDescent="0.25">
      <c r="A1949" t="s">
        <v>4958</v>
      </c>
      <c r="B1949">
        <v>1949</v>
      </c>
    </row>
    <row r="1950" spans="1:2" x14ac:dyDescent="0.25">
      <c r="A1950" t="s">
        <v>4988</v>
      </c>
      <c r="B1950">
        <v>1950</v>
      </c>
    </row>
    <row r="1951" spans="1:2" x14ac:dyDescent="0.25">
      <c r="A1951" t="s">
        <v>5018</v>
      </c>
      <c r="B1951">
        <v>1951</v>
      </c>
    </row>
    <row r="1952" spans="1:2" x14ac:dyDescent="0.25">
      <c r="A1952" t="s">
        <v>5048</v>
      </c>
      <c r="B1952">
        <v>1952</v>
      </c>
    </row>
    <row r="1953" spans="1:2" x14ac:dyDescent="0.25">
      <c r="A1953" t="s">
        <v>5073</v>
      </c>
      <c r="B1953">
        <v>1953</v>
      </c>
    </row>
    <row r="1954" spans="1:2" x14ac:dyDescent="0.25">
      <c r="A1954" t="s">
        <v>5073</v>
      </c>
      <c r="B1954">
        <v>1954</v>
      </c>
    </row>
    <row r="1955" spans="1:2" x14ac:dyDescent="0.25">
      <c r="A1955" t="s">
        <v>5094</v>
      </c>
      <c r="B1955">
        <v>1955</v>
      </c>
    </row>
    <row r="1956" spans="1:2" x14ac:dyDescent="0.25">
      <c r="A1956" t="s">
        <v>5094</v>
      </c>
      <c r="B1956">
        <v>1956</v>
      </c>
    </row>
    <row r="1957" spans="1:2" x14ac:dyDescent="0.25">
      <c r="A1957" t="s">
        <v>5104</v>
      </c>
      <c r="B1957">
        <v>1957</v>
      </c>
    </row>
    <row r="1958" spans="1:2" x14ac:dyDescent="0.25">
      <c r="A1958" t="s">
        <v>5104</v>
      </c>
      <c r="B1958">
        <v>1958</v>
      </c>
    </row>
    <row r="1959" spans="1:2" x14ac:dyDescent="0.25">
      <c r="A1959" t="s">
        <v>5141</v>
      </c>
      <c r="B1959">
        <v>1959</v>
      </c>
    </row>
    <row r="1960" spans="1:2" x14ac:dyDescent="0.25">
      <c r="A1960" t="s">
        <v>5171</v>
      </c>
      <c r="B1960">
        <v>1960</v>
      </c>
    </row>
    <row r="1961" spans="1:2" x14ac:dyDescent="0.25">
      <c r="A1961" t="s">
        <v>5201</v>
      </c>
      <c r="B1961">
        <v>1961</v>
      </c>
    </row>
    <row r="1962" spans="1:2" x14ac:dyDescent="0.25">
      <c r="A1962" t="s">
        <v>5231</v>
      </c>
      <c r="B1962">
        <v>1962</v>
      </c>
    </row>
    <row r="1963" spans="1:2" x14ac:dyDescent="0.25">
      <c r="A1963" t="s">
        <v>5261</v>
      </c>
      <c r="B1963">
        <v>1963</v>
      </c>
    </row>
    <row r="1964" spans="1:2" x14ac:dyDescent="0.25">
      <c r="A1964" t="s">
        <v>5291</v>
      </c>
      <c r="B1964">
        <v>1964</v>
      </c>
    </row>
    <row r="1965" spans="1:2" x14ac:dyDescent="0.25">
      <c r="A1965" t="s">
        <v>5321</v>
      </c>
      <c r="B1965">
        <v>1965</v>
      </c>
    </row>
    <row r="1966" spans="1:2" x14ac:dyDescent="0.25">
      <c r="A1966" t="s">
        <v>5351</v>
      </c>
      <c r="B1966">
        <v>1966</v>
      </c>
    </row>
    <row r="1967" spans="1:2" x14ac:dyDescent="0.25">
      <c r="A1967" t="s">
        <v>5381</v>
      </c>
      <c r="B1967">
        <v>1967</v>
      </c>
    </row>
    <row r="1968" spans="1:2" x14ac:dyDescent="0.25">
      <c r="A1968" t="s">
        <v>5411</v>
      </c>
      <c r="B1968">
        <v>1968</v>
      </c>
    </row>
    <row r="1969" spans="1:2" x14ac:dyDescent="0.25">
      <c r="A1969" t="s">
        <v>5441</v>
      </c>
      <c r="B1969">
        <v>1969</v>
      </c>
    </row>
    <row r="1970" spans="1:2" x14ac:dyDescent="0.25">
      <c r="A1970" t="s">
        <v>5471</v>
      </c>
      <c r="B1970">
        <v>1970</v>
      </c>
    </row>
    <row r="1971" spans="1:2" x14ac:dyDescent="0.25">
      <c r="A1971" t="s">
        <v>5501</v>
      </c>
      <c r="B1971">
        <v>1971</v>
      </c>
    </row>
    <row r="1972" spans="1:2" x14ac:dyDescent="0.25">
      <c r="A1972" t="s">
        <v>5531</v>
      </c>
      <c r="B1972">
        <v>1972</v>
      </c>
    </row>
    <row r="1973" spans="1:2" x14ac:dyDescent="0.25">
      <c r="A1973" t="s">
        <v>5561</v>
      </c>
      <c r="B1973">
        <v>1973</v>
      </c>
    </row>
    <row r="1974" spans="1:2" x14ac:dyDescent="0.25">
      <c r="A1974" t="s">
        <v>5591</v>
      </c>
      <c r="B1974">
        <v>1974</v>
      </c>
    </row>
    <row r="1975" spans="1:2" x14ac:dyDescent="0.25">
      <c r="A1975" t="s">
        <v>5621</v>
      </c>
      <c r="B1975">
        <v>1975</v>
      </c>
    </row>
    <row r="1976" spans="1:2" x14ac:dyDescent="0.25">
      <c r="A1976" t="s">
        <v>5651</v>
      </c>
      <c r="B1976">
        <v>1976</v>
      </c>
    </row>
    <row r="1977" spans="1:2" x14ac:dyDescent="0.25">
      <c r="A1977" t="s">
        <v>5681</v>
      </c>
      <c r="B1977">
        <v>1977</v>
      </c>
    </row>
    <row r="1978" spans="1:2" x14ac:dyDescent="0.25">
      <c r="A1978" t="s">
        <v>5711</v>
      </c>
      <c r="B1978">
        <v>1978</v>
      </c>
    </row>
    <row r="1979" spans="1:2" x14ac:dyDescent="0.25">
      <c r="A1979" t="s">
        <v>5741</v>
      </c>
      <c r="B1979">
        <v>1979</v>
      </c>
    </row>
    <row r="1980" spans="1:2" x14ac:dyDescent="0.25">
      <c r="A1980" t="s">
        <v>5771</v>
      </c>
      <c r="B1980">
        <v>1980</v>
      </c>
    </row>
    <row r="1981" spans="1:2" x14ac:dyDescent="0.25">
      <c r="A1981" t="s">
        <v>5801</v>
      </c>
      <c r="B1981">
        <v>1981</v>
      </c>
    </row>
    <row r="1982" spans="1:2" x14ac:dyDescent="0.25">
      <c r="A1982" t="s">
        <v>5831</v>
      </c>
      <c r="B1982">
        <v>1982</v>
      </c>
    </row>
    <row r="1983" spans="1:2" x14ac:dyDescent="0.25">
      <c r="A1983" t="s">
        <v>5861</v>
      </c>
      <c r="B1983">
        <v>1983</v>
      </c>
    </row>
    <row r="1984" spans="1:2" x14ac:dyDescent="0.25">
      <c r="A1984" t="s">
        <v>5891</v>
      </c>
      <c r="B1984">
        <v>1984</v>
      </c>
    </row>
    <row r="1985" spans="1:2" x14ac:dyDescent="0.25">
      <c r="A1985" t="s">
        <v>5921</v>
      </c>
      <c r="B1985">
        <v>1985</v>
      </c>
    </row>
    <row r="1986" spans="1:2" x14ac:dyDescent="0.25">
      <c r="A1986" t="s">
        <v>5951</v>
      </c>
      <c r="B1986">
        <v>1986</v>
      </c>
    </row>
    <row r="1987" spans="1:2" x14ac:dyDescent="0.25">
      <c r="A1987" t="s">
        <v>5981</v>
      </c>
      <c r="B1987">
        <v>1987</v>
      </c>
    </row>
    <row r="1988" spans="1:2" x14ac:dyDescent="0.25">
      <c r="A1988" t="s">
        <v>6011</v>
      </c>
      <c r="B1988">
        <v>1988</v>
      </c>
    </row>
    <row r="1989" spans="1:2" x14ac:dyDescent="0.25">
      <c r="A1989" t="s">
        <v>6041</v>
      </c>
      <c r="B1989">
        <v>1989</v>
      </c>
    </row>
    <row r="1990" spans="1:2" x14ac:dyDescent="0.25">
      <c r="A1990" t="s">
        <v>5103</v>
      </c>
      <c r="B1990">
        <v>1990</v>
      </c>
    </row>
    <row r="1991" spans="1:2" x14ac:dyDescent="0.25">
      <c r="A1991" t="s">
        <v>5103</v>
      </c>
      <c r="B1991">
        <v>1991</v>
      </c>
    </row>
    <row r="1992" spans="1:2" x14ac:dyDescent="0.25">
      <c r="A1992" t="s">
        <v>6088</v>
      </c>
      <c r="B1992">
        <v>1992</v>
      </c>
    </row>
    <row r="1993" spans="1:2" x14ac:dyDescent="0.25">
      <c r="A1993" t="s">
        <v>6118</v>
      </c>
      <c r="B1993">
        <v>1993</v>
      </c>
    </row>
    <row r="1994" spans="1:2" x14ac:dyDescent="0.25">
      <c r="A1994" t="s">
        <v>6148</v>
      </c>
      <c r="B1994">
        <v>1994</v>
      </c>
    </row>
    <row r="1995" spans="1:2" x14ac:dyDescent="0.25">
      <c r="A1995" t="s">
        <v>6178</v>
      </c>
      <c r="B1995">
        <v>1995</v>
      </c>
    </row>
    <row r="1996" spans="1:2" x14ac:dyDescent="0.25">
      <c r="A1996" t="s">
        <v>6208</v>
      </c>
      <c r="B1996">
        <v>1996</v>
      </c>
    </row>
    <row r="1997" spans="1:2" x14ac:dyDescent="0.25">
      <c r="A1997" t="s">
        <v>6238</v>
      </c>
      <c r="B1997">
        <v>1997</v>
      </c>
    </row>
    <row r="1998" spans="1:2" x14ac:dyDescent="0.25">
      <c r="A1998" t="s">
        <v>6268</v>
      </c>
      <c r="B1998">
        <v>1998</v>
      </c>
    </row>
    <row r="1999" spans="1:2" x14ac:dyDescent="0.25">
      <c r="A1999" t="s">
        <v>6298</v>
      </c>
      <c r="B1999">
        <v>1999</v>
      </c>
    </row>
    <row r="2000" spans="1:2" x14ac:dyDescent="0.25">
      <c r="A2000" t="s">
        <v>6328</v>
      </c>
      <c r="B2000">
        <v>2000</v>
      </c>
    </row>
    <row r="2001" spans="1:2" x14ac:dyDescent="0.25">
      <c r="A2001" t="s">
        <v>6358</v>
      </c>
      <c r="B2001">
        <v>2001</v>
      </c>
    </row>
    <row r="2002" spans="1:2" x14ac:dyDescent="0.25">
      <c r="A2002" t="s">
        <v>6388</v>
      </c>
      <c r="B2002">
        <v>2002</v>
      </c>
    </row>
    <row r="2003" spans="1:2" x14ac:dyDescent="0.25">
      <c r="A2003" t="s">
        <v>6418</v>
      </c>
      <c r="B2003">
        <v>2003</v>
      </c>
    </row>
    <row r="2004" spans="1:2" x14ac:dyDescent="0.25">
      <c r="A2004" t="s">
        <v>6448</v>
      </c>
      <c r="B2004">
        <v>2004</v>
      </c>
    </row>
    <row r="2005" spans="1:2" x14ac:dyDescent="0.25">
      <c r="A2005" t="s">
        <v>6478</v>
      </c>
      <c r="B2005">
        <v>2005</v>
      </c>
    </row>
    <row r="2006" spans="1:2" x14ac:dyDescent="0.25">
      <c r="A2006" t="s">
        <v>6508</v>
      </c>
      <c r="B2006">
        <v>2006</v>
      </c>
    </row>
    <row r="2007" spans="1:2" x14ac:dyDescent="0.25">
      <c r="A2007" t="s">
        <v>6538</v>
      </c>
      <c r="B2007">
        <v>2007</v>
      </c>
    </row>
    <row r="2008" spans="1:2" x14ac:dyDescent="0.25">
      <c r="A2008" t="s">
        <v>6568</v>
      </c>
      <c r="B2008">
        <v>2008</v>
      </c>
    </row>
    <row r="2009" spans="1:2" x14ac:dyDescent="0.25">
      <c r="A2009" t="s">
        <v>6598</v>
      </c>
      <c r="B2009">
        <v>2009</v>
      </c>
    </row>
    <row r="2010" spans="1:2" x14ac:dyDescent="0.25">
      <c r="A2010" t="s">
        <v>5110</v>
      </c>
      <c r="B2010">
        <v>2010</v>
      </c>
    </row>
    <row r="2011" spans="1:2" x14ac:dyDescent="0.25">
      <c r="A2011" t="s">
        <v>5110</v>
      </c>
      <c r="B2011">
        <v>2011</v>
      </c>
    </row>
    <row r="2012" spans="1:2" x14ac:dyDescent="0.25">
      <c r="A2012" t="s">
        <v>6643</v>
      </c>
      <c r="B2012">
        <v>2012</v>
      </c>
    </row>
    <row r="2013" spans="1:2" x14ac:dyDescent="0.25">
      <c r="A2013" t="s">
        <v>6673</v>
      </c>
      <c r="B2013">
        <v>2013</v>
      </c>
    </row>
    <row r="2014" spans="1:2" x14ac:dyDescent="0.25">
      <c r="A2014" t="s">
        <v>6703</v>
      </c>
      <c r="B2014">
        <v>2014</v>
      </c>
    </row>
    <row r="2015" spans="1:2" x14ac:dyDescent="0.25">
      <c r="A2015" t="s">
        <v>6733</v>
      </c>
      <c r="B2015">
        <v>2015</v>
      </c>
    </row>
    <row r="2016" spans="1:2" x14ac:dyDescent="0.25">
      <c r="A2016" t="s">
        <v>6763</v>
      </c>
      <c r="B2016">
        <v>2016</v>
      </c>
    </row>
    <row r="2017" spans="1:2" x14ac:dyDescent="0.25">
      <c r="A2017" t="s">
        <v>6793</v>
      </c>
      <c r="B2017">
        <v>2017</v>
      </c>
    </row>
    <row r="2018" spans="1:2" x14ac:dyDescent="0.25">
      <c r="A2018" t="s">
        <v>6823</v>
      </c>
      <c r="B2018">
        <v>2018</v>
      </c>
    </row>
    <row r="2019" spans="1:2" x14ac:dyDescent="0.25">
      <c r="A2019" t="s">
        <v>6853</v>
      </c>
      <c r="B2019">
        <v>2019</v>
      </c>
    </row>
    <row r="2020" spans="1:2" x14ac:dyDescent="0.25">
      <c r="A2020" t="s">
        <v>5107</v>
      </c>
      <c r="B2020">
        <v>2020</v>
      </c>
    </row>
    <row r="2021" spans="1:2" x14ac:dyDescent="0.25">
      <c r="A2021" t="s">
        <v>5107</v>
      </c>
      <c r="B2021">
        <v>2021</v>
      </c>
    </row>
    <row r="2022" spans="1:2" x14ac:dyDescent="0.25">
      <c r="A2022" t="s">
        <v>6896</v>
      </c>
      <c r="B2022">
        <v>2022</v>
      </c>
    </row>
    <row r="2023" spans="1:2" x14ac:dyDescent="0.25">
      <c r="A2023" t="s">
        <v>6926</v>
      </c>
      <c r="B2023">
        <v>2023</v>
      </c>
    </row>
    <row r="2024" spans="1:2" x14ac:dyDescent="0.25">
      <c r="A2024" t="s">
        <v>6956</v>
      </c>
      <c r="B2024">
        <v>2024</v>
      </c>
    </row>
    <row r="2025" spans="1:2" x14ac:dyDescent="0.25">
      <c r="A2025" t="s">
        <v>6986</v>
      </c>
      <c r="B2025">
        <v>2025</v>
      </c>
    </row>
    <row r="2026" spans="1:2" x14ac:dyDescent="0.25">
      <c r="A2026" t="s">
        <v>7016</v>
      </c>
      <c r="B2026">
        <v>2026</v>
      </c>
    </row>
    <row r="2027" spans="1:2" x14ac:dyDescent="0.25">
      <c r="A2027" t="s">
        <v>7046</v>
      </c>
      <c r="B2027">
        <v>2027</v>
      </c>
    </row>
    <row r="2028" spans="1:2" x14ac:dyDescent="0.25">
      <c r="A2028" t="s">
        <v>7076</v>
      </c>
      <c r="B2028">
        <v>2028</v>
      </c>
    </row>
    <row r="2029" spans="1:2" x14ac:dyDescent="0.25">
      <c r="A2029" t="s">
        <v>7106</v>
      </c>
      <c r="B2029">
        <v>2029</v>
      </c>
    </row>
    <row r="2030" spans="1:2" x14ac:dyDescent="0.25">
      <c r="A2030" t="s">
        <v>5111</v>
      </c>
      <c r="B2030">
        <v>2030</v>
      </c>
    </row>
    <row r="2031" spans="1:2" x14ac:dyDescent="0.25">
      <c r="A2031" t="s">
        <v>5111</v>
      </c>
      <c r="B2031">
        <v>2031</v>
      </c>
    </row>
    <row r="2032" spans="1:2" x14ac:dyDescent="0.25">
      <c r="A2032" t="s">
        <v>7147</v>
      </c>
      <c r="B2032">
        <v>2032</v>
      </c>
    </row>
    <row r="2033" spans="1:2" x14ac:dyDescent="0.25">
      <c r="A2033" t="s">
        <v>7177</v>
      </c>
      <c r="B2033">
        <v>2033</v>
      </c>
    </row>
    <row r="2034" spans="1:2" x14ac:dyDescent="0.25">
      <c r="A2034" t="s">
        <v>7207</v>
      </c>
      <c r="B2034">
        <v>2034</v>
      </c>
    </row>
    <row r="2035" spans="1:2" x14ac:dyDescent="0.25">
      <c r="A2035" t="s">
        <v>7237</v>
      </c>
      <c r="B2035">
        <v>2035</v>
      </c>
    </row>
    <row r="2036" spans="1:2" x14ac:dyDescent="0.25">
      <c r="A2036" t="s">
        <v>7267</v>
      </c>
      <c r="B2036">
        <v>2036</v>
      </c>
    </row>
    <row r="2037" spans="1:2" x14ac:dyDescent="0.25">
      <c r="A2037" t="s">
        <v>5105</v>
      </c>
      <c r="B2037">
        <v>2037</v>
      </c>
    </row>
    <row r="2038" spans="1:2" x14ac:dyDescent="0.25">
      <c r="A2038" t="s">
        <v>5105</v>
      </c>
      <c r="B2038">
        <v>2038</v>
      </c>
    </row>
    <row r="2039" spans="1:2" x14ac:dyDescent="0.25">
      <c r="A2039" t="s">
        <v>7306</v>
      </c>
      <c r="B2039">
        <v>2039</v>
      </c>
    </row>
    <row r="2040" spans="1:2" x14ac:dyDescent="0.25">
      <c r="A2040" t="s">
        <v>7336</v>
      </c>
      <c r="B2040">
        <v>2040</v>
      </c>
    </row>
    <row r="2041" spans="1:2" x14ac:dyDescent="0.25">
      <c r="A2041" t="s">
        <v>7366</v>
      </c>
      <c r="B2041">
        <v>2041</v>
      </c>
    </row>
    <row r="2042" spans="1:2" x14ac:dyDescent="0.25">
      <c r="A2042" t="s">
        <v>7396</v>
      </c>
      <c r="B2042">
        <v>2042</v>
      </c>
    </row>
    <row r="2043" spans="1:2" x14ac:dyDescent="0.25">
      <c r="A2043" t="s">
        <v>7426</v>
      </c>
      <c r="B2043">
        <v>2043</v>
      </c>
    </row>
    <row r="2044" spans="1:2" x14ac:dyDescent="0.25">
      <c r="A2044" t="s">
        <v>7456</v>
      </c>
      <c r="B2044">
        <v>2044</v>
      </c>
    </row>
    <row r="2045" spans="1:2" x14ac:dyDescent="0.25">
      <c r="A2045" t="s">
        <v>7486</v>
      </c>
      <c r="B2045">
        <v>2045</v>
      </c>
    </row>
    <row r="2046" spans="1:2" x14ac:dyDescent="0.25">
      <c r="A2046" t="s">
        <v>7516</v>
      </c>
      <c r="B2046">
        <v>2046</v>
      </c>
    </row>
    <row r="2047" spans="1:2" x14ac:dyDescent="0.25">
      <c r="A2047" t="s">
        <v>7546</v>
      </c>
      <c r="B2047">
        <v>2047</v>
      </c>
    </row>
    <row r="2048" spans="1:2" x14ac:dyDescent="0.25">
      <c r="A2048" t="s">
        <v>7576</v>
      </c>
      <c r="B2048">
        <v>2048</v>
      </c>
    </row>
    <row r="2049" spans="1:2" x14ac:dyDescent="0.25">
      <c r="A2049" t="s">
        <v>7606</v>
      </c>
      <c r="B2049">
        <v>2049</v>
      </c>
    </row>
    <row r="2050" spans="1:2" x14ac:dyDescent="0.25">
      <c r="A2050" t="s">
        <v>7636</v>
      </c>
      <c r="B2050">
        <v>2050</v>
      </c>
    </row>
    <row r="2051" spans="1:2" x14ac:dyDescent="0.25">
      <c r="A2051" t="s">
        <v>7666</v>
      </c>
      <c r="B2051">
        <v>2051</v>
      </c>
    </row>
    <row r="2052" spans="1:2" x14ac:dyDescent="0.25">
      <c r="A2052" t="s">
        <v>7696</v>
      </c>
      <c r="B2052">
        <v>2052</v>
      </c>
    </row>
    <row r="2053" spans="1:2" x14ac:dyDescent="0.25">
      <c r="A2053" t="s">
        <v>7726</v>
      </c>
      <c r="B2053">
        <v>2053</v>
      </c>
    </row>
    <row r="2054" spans="1:2" x14ac:dyDescent="0.25">
      <c r="A2054" t="s">
        <v>7756</v>
      </c>
      <c r="B2054">
        <v>2054</v>
      </c>
    </row>
    <row r="2055" spans="1:2" x14ac:dyDescent="0.25">
      <c r="A2055" t="s">
        <v>7786</v>
      </c>
      <c r="B2055">
        <v>2055</v>
      </c>
    </row>
    <row r="2056" spans="1:2" x14ac:dyDescent="0.25">
      <c r="A2056" t="s">
        <v>7816</v>
      </c>
      <c r="B2056">
        <v>2056</v>
      </c>
    </row>
    <row r="2057" spans="1:2" x14ac:dyDescent="0.25">
      <c r="A2057" t="s">
        <v>7846</v>
      </c>
      <c r="B2057">
        <v>2057</v>
      </c>
    </row>
    <row r="2058" spans="1:2" x14ac:dyDescent="0.25">
      <c r="A2058" t="s">
        <v>7876</v>
      </c>
      <c r="B2058">
        <v>2058</v>
      </c>
    </row>
    <row r="2059" spans="1:2" x14ac:dyDescent="0.25">
      <c r="A2059" t="s">
        <v>7906</v>
      </c>
      <c r="B2059">
        <v>2059</v>
      </c>
    </row>
    <row r="2060" spans="1:2" x14ac:dyDescent="0.25">
      <c r="A2060" t="s">
        <v>7936</v>
      </c>
      <c r="B2060">
        <v>2060</v>
      </c>
    </row>
    <row r="2061" spans="1:2" x14ac:dyDescent="0.25">
      <c r="A2061" t="s">
        <v>7966</v>
      </c>
      <c r="B2061">
        <v>2061</v>
      </c>
    </row>
    <row r="2062" spans="1:2" x14ac:dyDescent="0.25">
      <c r="A2062" t="s">
        <v>7996</v>
      </c>
      <c r="B2062">
        <v>2062</v>
      </c>
    </row>
    <row r="2063" spans="1:2" x14ac:dyDescent="0.25">
      <c r="A2063" t="s">
        <v>8026</v>
      </c>
      <c r="B2063">
        <v>2063</v>
      </c>
    </row>
    <row r="2064" spans="1:2" x14ac:dyDescent="0.25">
      <c r="A2064" t="s">
        <v>8056</v>
      </c>
      <c r="B2064">
        <v>2064</v>
      </c>
    </row>
    <row r="2065" spans="1:2" x14ac:dyDescent="0.25">
      <c r="A2065" t="s">
        <v>8086</v>
      </c>
      <c r="B2065">
        <v>2065</v>
      </c>
    </row>
    <row r="2066" spans="1:2" x14ac:dyDescent="0.25">
      <c r="A2066" t="s">
        <v>8116</v>
      </c>
      <c r="B2066">
        <v>2066</v>
      </c>
    </row>
    <row r="2067" spans="1:2" x14ac:dyDescent="0.25">
      <c r="A2067" t="s">
        <v>8146</v>
      </c>
      <c r="B2067">
        <v>2067</v>
      </c>
    </row>
    <row r="2068" spans="1:2" x14ac:dyDescent="0.25">
      <c r="A2068" t="s">
        <v>8176</v>
      </c>
      <c r="B2068">
        <v>2068</v>
      </c>
    </row>
    <row r="2069" spans="1:2" x14ac:dyDescent="0.25">
      <c r="A2069" t="s">
        <v>5102</v>
      </c>
      <c r="B2069">
        <v>2069</v>
      </c>
    </row>
    <row r="2070" spans="1:2" x14ac:dyDescent="0.25">
      <c r="A2070" t="s">
        <v>5102</v>
      </c>
      <c r="B2070">
        <v>2070</v>
      </c>
    </row>
    <row r="2071" spans="1:2" x14ac:dyDescent="0.25">
      <c r="A2071" t="s">
        <v>5108</v>
      </c>
      <c r="B2071">
        <v>2071</v>
      </c>
    </row>
    <row r="2072" spans="1:2" x14ac:dyDescent="0.25">
      <c r="A2072" t="s">
        <v>5108</v>
      </c>
      <c r="B2072">
        <v>2072</v>
      </c>
    </row>
    <row r="2073" spans="1:2" x14ac:dyDescent="0.25">
      <c r="A2073" t="s">
        <v>8218</v>
      </c>
      <c r="B2073">
        <v>2073</v>
      </c>
    </row>
    <row r="2074" spans="1:2" x14ac:dyDescent="0.25">
      <c r="A2074" t="s">
        <v>8248</v>
      </c>
      <c r="B2074">
        <v>2074</v>
      </c>
    </row>
    <row r="2075" spans="1:2" x14ac:dyDescent="0.25">
      <c r="A2075" t="s">
        <v>8278</v>
      </c>
      <c r="B2075">
        <v>2075</v>
      </c>
    </row>
    <row r="2076" spans="1:2" x14ac:dyDescent="0.25">
      <c r="A2076" t="s">
        <v>8308</v>
      </c>
      <c r="B2076">
        <v>2076</v>
      </c>
    </row>
    <row r="2077" spans="1:2" x14ac:dyDescent="0.25">
      <c r="A2077" t="s">
        <v>8338</v>
      </c>
      <c r="B2077">
        <v>2077</v>
      </c>
    </row>
    <row r="2078" spans="1:2" x14ac:dyDescent="0.25">
      <c r="A2078" t="s">
        <v>8368</v>
      </c>
      <c r="B2078">
        <v>2078</v>
      </c>
    </row>
    <row r="2079" spans="1:2" x14ac:dyDescent="0.25">
      <c r="A2079" t="s">
        <v>8398</v>
      </c>
      <c r="B2079">
        <v>2079</v>
      </c>
    </row>
    <row r="2080" spans="1:2" x14ac:dyDescent="0.25">
      <c r="A2080" t="s">
        <v>8428</v>
      </c>
      <c r="B2080">
        <v>2080</v>
      </c>
    </row>
    <row r="2081" spans="1:2" x14ac:dyDescent="0.25">
      <c r="A2081" t="s">
        <v>8458</v>
      </c>
      <c r="B2081">
        <v>2081</v>
      </c>
    </row>
    <row r="2082" spans="1:2" x14ac:dyDescent="0.25">
      <c r="A2082" t="s">
        <v>8488</v>
      </c>
      <c r="B2082">
        <v>2082</v>
      </c>
    </row>
    <row r="2083" spans="1:2" x14ac:dyDescent="0.25">
      <c r="A2083" t="s">
        <v>8518</v>
      </c>
      <c r="B2083">
        <v>2083</v>
      </c>
    </row>
    <row r="2084" spans="1:2" x14ac:dyDescent="0.25">
      <c r="A2084" t="s">
        <v>8548</v>
      </c>
      <c r="B2084">
        <v>2084</v>
      </c>
    </row>
    <row r="2085" spans="1:2" x14ac:dyDescent="0.25">
      <c r="A2085" t="s">
        <v>8578</v>
      </c>
      <c r="B2085">
        <v>2085</v>
      </c>
    </row>
    <row r="2086" spans="1:2" x14ac:dyDescent="0.25">
      <c r="A2086" t="s">
        <v>8608</v>
      </c>
      <c r="B2086">
        <v>2086</v>
      </c>
    </row>
    <row r="2087" spans="1:2" x14ac:dyDescent="0.25">
      <c r="A2087" t="s">
        <v>8638</v>
      </c>
      <c r="B2087">
        <v>2087</v>
      </c>
    </row>
    <row r="2088" spans="1:2" x14ac:dyDescent="0.25">
      <c r="A2088" t="s">
        <v>5106</v>
      </c>
      <c r="B2088">
        <v>2088</v>
      </c>
    </row>
    <row r="2089" spans="1:2" x14ac:dyDescent="0.25">
      <c r="A2089" t="s">
        <v>5106</v>
      </c>
      <c r="B2089">
        <v>2089</v>
      </c>
    </row>
    <row r="2090" spans="1:2" x14ac:dyDescent="0.25">
      <c r="A2090" t="s">
        <v>8671</v>
      </c>
      <c r="B2090">
        <v>2090</v>
      </c>
    </row>
    <row r="2091" spans="1:2" x14ac:dyDescent="0.25">
      <c r="A2091" t="s">
        <v>8701</v>
      </c>
      <c r="B2091">
        <v>2091</v>
      </c>
    </row>
    <row r="2092" spans="1:2" x14ac:dyDescent="0.25">
      <c r="A2092" t="s">
        <v>8731</v>
      </c>
      <c r="B2092">
        <v>2092</v>
      </c>
    </row>
    <row r="2093" spans="1:2" x14ac:dyDescent="0.25">
      <c r="A2093" t="s">
        <v>8761</v>
      </c>
      <c r="B2093">
        <v>2093</v>
      </c>
    </row>
    <row r="2094" spans="1:2" x14ac:dyDescent="0.25">
      <c r="A2094" t="s">
        <v>8791</v>
      </c>
      <c r="B2094">
        <v>2094</v>
      </c>
    </row>
    <row r="2095" spans="1:2" x14ac:dyDescent="0.25">
      <c r="A2095" t="s">
        <v>8821</v>
      </c>
      <c r="B2095">
        <v>2095</v>
      </c>
    </row>
    <row r="2096" spans="1:2" x14ac:dyDescent="0.25">
      <c r="A2096" t="s">
        <v>8851</v>
      </c>
      <c r="B2096">
        <v>2096</v>
      </c>
    </row>
    <row r="2097" spans="1:2" x14ac:dyDescent="0.25">
      <c r="A2097" t="s">
        <v>8881</v>
      </c>
      <c r="B2097">
        <v>2097</v>
      </c>
    </row>
    <row r="2098" spans="1:2" x14ac:dyDescent="0.25">
      <c r="A2098" t="s">
        <v>5109</v>
      </c>
      <c r="B2098">
        <v>2098</v>
      </c>
    </row>
    <row r="2099" spans="1:2" x14ac:dyDescent="0.25">
      <c r="A2099" t="s">
        <v>5109</v>
      </c>
      <c r="B2099">
        <v>2099</v>
      </c>
    </row>
    <row r="2100" spans="1:2" x14ac:dyDescent="0.25">
      <c r="A2100" t="s">
        <v>8912</v>
      </c>
      <c r="B2100">
        <v>2100</v>
      </c>
    </row>
    <row r="2101" spans="1:2" x14ac:dyDescent="0.25">
      <c r="A2101" t="s">
        <v>5121</v>
      </c>
      <c r="B2101">
        <v>2101</v>
      </c>
    </row>
    <row r="2102" spans="1:2" x14ac:dyDescent="0.25">
      <c r="A2102" t="s">
        <v>5128</v>
      </c>
      <c r="B2102">
        <v>2102</v>
      </c>
    </row>
    <row r="2103" spans="1:2" x14ac:dyDescent="0.25">
      <c r="A2103" t="s">
        <v>5124</v>
      </c>
      <c r="B2103">
        <v>2103</v>
      </c>
    </row>
    <row r="2104" spans="1:2" x14ac:dyDescent="0.25">
      <c r="A2104" t="s">
        <v>5130</v>
      </c>
      <c r="B2104">
        <v>2104</v>
      </c>
    </row>
    <row r="2105" spans="1:2" x14ac:dyDescent="0.25">
      <c r="A2105" t="s">
        <v>5125</v>
      </c>
      <c r="B2105">
        <v>2105</v>
      </c>
    </row>
    <row r="2106" spans="1:2" x14ac:dyDescent="0.25">
      <c r="A2106" t="s">
        <v>5126</v>
      </c>
      <c r="B2106">
        <v>2106</v>
      </c>
    </row>
    <row r="2107" spans="1:2" x14ac:dyDescent="0.25">
      <c r="A2107" t="s">
        <v>5123</v>
      </c>
      <c r="B2107">
        <v>2107</v>
      </c>
    </row>
    <row r="2108" spans="1:2" x14ac:dyDescent="0.25">
      <c r="A2108" t="s">
        <v>5134</v>
      </c>
      <c r="B2108">
        <v>2108</v>
      </c>
    </row>
    <row r="2109" spans="1:2" x14ac:dyDescent="0.25">
      <c r="A2109" t="s">
        <v>5131</v>
      </c>
      <c r="B2109">
        <v>2109</v>
      </c>
    </row>
    <row r="2110" spans="1:2" x14ac:dyDescent="0.25">
      <c r="A2110" t="s">
        <v>5135</v>
      </c>
      <c r="B2110">
        <v>2110</v>
      </c>
    </row>
    <row r="2111" spans="1:2" x14ac:dyDescent="0.25">
      <c r="A2111" t="s">
        <v>5127</v>
      </c>
      <c r="B2111">
        <v>2111</v>
      </c>
    </row>
    <row r="2112" spans="1:2" x14ac:dyDescent="0.25">
      <c r="A2112" t="s">
        <v>5122</v>
      </c>
      <c r="B2112">
        <v>2112</v>
      </c>
    </row>
    <row r="2113" spans="1:2" x14ac:dyDescent="0.25">
      <c r="A2113" t="s">
        <v>5132</v>
      </c>
      <c r="B2113">
        <v>2113</v>
      </c>
    </row>
    <row r="2114" spans="1:2" x14ac:dyDescent="0.25">
      <c r="A2114" t="s">
        <v>5129</v>
      </c>
      <c r="B2114">
        <v>2114</v>
      </c>
    </row>
    <row r="2115" spans="1:2" x14ac:dyDescent="0.25">
      <c r="A2115" t="s">
        <v>5133</v>
      </c>
      <c r="B2115">
        <v>2115</v>
      </c>
    </row>
    <row r="2116" spans="1:2" x14ac:dyDescent="0.25">
      <c r="A2116" t="s">
        <v>5151</v>
      </c>
      <c r="B2116">
        <v>2116</v>
      </c>
    </row>
    <row r="2117" spans="1:2" x14ac:dyDescent="0.25">
      <c r="A2117" t="s">
        <v>5158</v>
      </c>
      <c r="B2117">
        <v>2117</v>
      </c>
    </row>
    <row r="2118" spans="1:2" x14ac:dyDescent="0.25">
      <c r="A2118" t="s">
        <v>5154</v>
      </c>
      <c r="B2118">
        <v>2118</v>
      </c>
    </row>
    <row r="2119" spans="1:2" x14ac:dyDescent="0.25">
      <c r="A2119" t="s">
        <v>5160</v>
      </c>
      <c r="B2119">
        <v>2119</v>
      </c>
    </row>
    <row r="2120" spans="1:2" x14ac:dyDescent="0.25">
      <c r="A2120" t="s">
        <v>5155</v>
      </c>
      <c r="B2120">
        <v>2120</v>
      </c>
    </row>
    <row r="2121" spans="1:2" x14ac:dyDescent="0.25">
      <c r="A2121" t="s">
        <v>5156</v>
      </c>
      <c r="B2121">
        <v>2121</v>
      </c>
    </row>
    <row r="2122" spans="1:2" x14ac:dyDescent="0.25">
      <c r="A2122" t="s">
        <v>5153</v>
      </c>
      <c r="B2122">
        <v>2122</v>
      </c>
    </row>
    <row r="2123" spans="1:2" x14ac:dyDescent="0.25">
      <c r="A2123" t="s">
        <v>5164</v>
      </c>
      <c r="B2123">
        <v>2123</v>
      </c>
    </row>
    <row r="2124" spans="1:2" x14ac:dyDescent="0.25">
      <c r="A2124" t="s">
        <v>5161</v>
      </c>
      <c r="B2124">
        <v>2124</v>
      </c>
    </row>
    <row r="2125" spans="1:2" x14ac:dyDescent="0.25">
      <c r="A2125" t="s">
        <v>5165</v>
      </c>
      <c r="B2125">
        <v>2125</v>
      </c>
    </row>
    <row r="2126" spans="1:2" x14ac:dyDescent="0.25">
      <c r="A2126" t="s">
        <v>5157</v>
      </c>
      <c r="B2126">
        <v>2126</v>
      </c>
    </row>
    <row r="2127" spans="1:2" x14ac:dyDescent="0.25">
      <c r="A2127" t="s">
        <v>5152</v>
      </c>
      <c r="B2127">
        <v>2127</v>
      </c>
    </row>
    <row r="2128" spans="1:2" x14ac:dyDescent="0.25">
      <c r="A2128" t="s">
        <v>5162</v>
      </c>
      <c r="B2128">
        <v>2128</v>
      </c>
    </row>
    <row r="2129" spans="1:2" x14ac:dyDescent="0.25">
      <c r="A2129" t="s">
        <v>5159</v>
      </c>
      <c r="B2129">
        <v>2129</v>
      </c>
    </row>
    <row r="2130" spans="1:2" x14ac:dyDescent="0.25">
      <c r="A2130" t="s">
        <v>5163</v>
      </c>
      <c r="B2130">
        <v>2130</v>
      </c>
    </row>
    <row r="2131" spans="1:2" x14ac:dyDescent="0.25">
      <c r="A2131" t="s">
        <v>5181</v>
      </c>
      <c r="B2131">
        <v>2131</v>
      </c>
    </row>
    <row r="2132" spans="1:2" x14ac:dyDescent="0.25">
      <c r="A2132" t="s">
        <v>5188</v>
      </c>
      <c r="B2132">
        <v>2132</v>
      </c>
    </row>
    <row r="2133" spans="1:2" x14ac:dyDescent="0.25">
      <c r="A2133" t="s">
        <v>5184</v>
      </c>
      <c r="B2133">
        <v>2133</v>
      </c>
    </row>
    <row r="2134" spans="1:2" x14ac:dyDescent="0.25">
      <c r="A2134" t="s">
        <v>5190</v>
      </c>
      <c r="B2134">
        <v>2134</v>
      </c>
    </row>
    <row r="2135" spans="1:2" x14ac:dyDescent="0.25">
      <c r="A2135" t="s">
        <v>5185</v>
      </c>
      <c r="B2135">
        <v>2135</v>
      </c>
    </row>
    <row r="2136" spans="1:2" x14ac:dyDescent="0.25">
      <c r="A2136" t="s">
        <v>5186</v>
      </c>
      <c r="B2136">
        <v>2136</v>
      </c>
    </row>
    <row r="2137" spans="1:2" x14ac:dyDescent="0.25">
      <c r="A2137" t="s">
        <v>5183</v>
      </c>
      <c r="B2137">
        <v>2137</v>
      </c>
    </row>
    <row r="2138" spans="1:2" x14ac:dyDescent="0.25">
      <c r="A2138" t="s">
        <v>5194</v>
      </c>
      <c r="B2138">
        <v>2138</v>
      </c>
    </row>
    <row r="2139" spans="1:2" x14ac:dyDescent="0.25">
      <c r="A2139" t="s">
        <v>5191</v>
      </c>
      <c r="B2139">
        <v>2139</v>
      </c>
    </row>
    <row r="2140" spans="1:2" x14ac:dyDescent="0.25">
      <c r="A2140" t="s">
        <v>5195</v>
      </c>
      <c r="B2140">
        <v>2140</v>
      </c>
    </row>
    <row r="2141" spans="1:2" x14ac:dyDescent="0.25">
      <c r="A2141" t="s">
        <v>5187</v>
      </c>
      <c r="B2141">
        <v>2141</v>
      </c>
    </row>
    <row r="2142" spans="1:2" x14ac:dyDescent="0.25">
      <c r="A2142" t="s">
        <v>5182</v>
      </c>
      <c r="B2142">
        <v>2142</v>
      </c>
    </row>
    <row r="2143" spans="1:2" x14ac:dyDescent="0.25">
      <c r="A2143" t="s">
        <v>5192</v>
      </c>
      <c r="B2143">
        <v>2143</v>
      </c>
    </row>
    <row r="2144" spans="1:2" x14ac:dyDescent="0.25">
      <c r="A2144" t="s">
        <v>5189</v>
      </c>
      <c r="B2144">
        <v>2144</v>
      </c>
    </row>
    <row r="2145" spans="1:2" x14ac:dyDescent="0.25">
      <c r="A2145" t="s">
        <v>5193</v>
      </c>
      <c r="B2145">
        <v>2145</v>
      </c>
    </row>
    <row r="2146" spans="1:2" x14ac:dyDescent="0.25">
      <c r="A2146" t="s">
        <v>5211</v>
      </c>
      <c r="B2146">
        <v>2146</v>
      </c>
    </row>
    <row r="2147" spans="1:2" x14ac:dyDescent="0.25">
      <c r="A2147" t="s">
        <v>5218</v>
      </c>
      <c r="B2147">
        <v>2147</v>
      </c>
    </row>
    <row r="2148" spans="1:2" x14ac:dyDescent="0.25">
      <c r="A2148" t="s">
        <v>5214</v>
      </c>
      <c r="B2148">
        <v>2148</v>
      </c>
    </row>
    <row r="2149" spans="1:2" x14ac:dyDescent="0.25">
      <c r="A2149" t="s">
        <v>5220</v>
      </c>
      <c r="B2149">
        <v>2149</v>
      </c>
    </row>
    <row r="2150" spans="1:2" x14ac:dyDescent="0.25">
      <c r="A2150" t="s">
        <v>5215</v>
      </c>
      <c r="B2150">
        <v>2150</v>
      </c>
    </row>
    <row r="2151" spans="1:2" x14ac:dyDescent="0.25">
      <c r="A2151" t="s">
        <v>5216</v>
      </c>
      <c r="B2151">
        <v>2151</v>
      </c>
    </row>
    <row r="2152" spans="1:2" x14ac:dyDescent="0.25">
      <c r="A2152" t="s">
        <v>5213</v>
      </c>
      <c r="B2152">
        <v>2152</v>
      </c>
    </row>
    <row r="2153" spans="1:2" x14ac:dyDescent="0.25">
      <c r="A2153" t="s">
        <v>5224</v>
      </c>
      <c r="B2153">
        <v>2153</v>
      </c>
    </row>
    <row r="2154" spans="1:2" x14ac:dyDescent="0.25">
      <c r="A2154" t="s">
        <v>5221</v>
      </c>
      <c r="B2154">
        <v>2154</v>
      </c>
    </row>
    <row r="2155" spans="1:2" x14ac:dyDescent="0.25">
      <c r="A2155" t="s">
        <v>5225</v>
      </c>
      <c r="B2155">
        <v>2155</v>
      </c>
    </row>
    <row r="2156" spans="1:2" x14ac:dyDescent="0.25">
      <c r="A2156" t="s">
        <v>5217</v>
      </c>
      <c r="B2156">
        <v>2156</v>
      </c>
    </row>
    <row r="2157" spans="1:2" x14ac:dyDescent="0.25">
      <c r="A2157" t="s">
        <v>5212</v>
      </c>
      <c r="B2157">
        <v>2157</v>
      </c>
    </row>
    <row r="2158" spans="1:2" x14ac:dyDescent="0.25">
      <c r="A2158" t="s">
        <v>5222</v>
      </c>
      <c r="B2158">
        <v>2158</v>
      </c>
    </row>
    <row r="2159" spans="1:2" x14ac:dyDescent="0.25">
      <c r="A2159" t="s">
        <v>5219</v>
      </c>
      <c r="B2159">
        <v>2159</v>
      </c>
    </row>
    <row r="2160" spans="1:2" x14ac:dyDescent="0.25">
      <c r="A2160" t="s">
        <v>5223</v>
      </c>
      <c r="B2160">
        <v>2160</v>
      </c>
    </row>
    <row r="2161" spans="1:2" x14ac:dyDescent="0.25">
      <c r="A2161" t="s">
        <v>5241</v>
      </c>
      <c r="B2161">
        <v>2161</v>
      </c>
    </row>
    <row r="2162" spans="1:2" x14ac:dyDescent="0.25">
      <c r="A2162" t="s">
        <v>5248</v>
      </c>
      <c r="B2162">
        <v>2162</v>
      </c>
    </row>
    <row r="2163" spans="1:2" x14ac:dyDescent="0.25">
      <c r="A2163" t="s">
        <v>5244</v>
      </c>
      <c r="B2163">
        <v>2163</v>
      </c>
    </row>
    <row r="2164" spans="1:2" x14ac:dyDescent="0.25">
      <c r="A2164" t="s">
        <v>5250</v>
      </c>
      <c r="B2164">
        <v>2164</v>
      </c>
    </row>
    <row r="2165" spans="1:2" x14ac:dyDescent="0.25">
      <c r="A2165" t="s">
        <v>5245</v>
      </c>
      <c r="B2165">
        <v>2165</v>
      </c>
    </row>
    <row r="2166" spans="1:2" x14ac:dyDescent="0.25">
      <c r="A2166" t="s">
        <v>5246</v>
      </c>
      <c r="B2166">
        <v>2166</v>
      </c>
    </row>
    <row r="2167" spans="1:2" x14ac:dyDescent="0.25">
      <c r="A2167" t="s">
        <v>5243</v>
      </c>
      <c r="B2167">
        <v>2167</v>
      </c>
    </row>
    <row r="2168" spans="1:2" x14ac:dyDescent="0.25">
      <c r="A2168" t="s">
        <v>5254</v>
      </c>
      <c r="B2168">
        <v>2168</v>
      </c>
    </row>
    <row r="2169" spans="1:2" x14ac:dyDescent="0.25">
      <c r="A2169" t="s">
        <v>5251</v>
      </c>
      <c r="B2169">
        <v>2169</v>
      </c>
    </row>
    <row r="2170" spans="1:2" x14ac:dyDescent="0.25">
      <c r="A2170" t="s">
        <v>5255</v>
      </c>
      <c r="B2170">
        <v>2170</v>
      </c>
    </row>
    <row r="2171" spans="1:2" x14ac:dyDescent="0.25">
      <c r="A2171" t="s">
        <v>5247</v>
      </c>
      <c r="B2171">
        <v>2171</v>
      </c>
    </row>
    <row r="2172" spans="1:2" x14ac:dyDescent="0.25">
      <c r="A2172" t="s">
        <v>5242</v>
      </c>
      <c r="B2172">
        <v>2172</v>
      </c>
    </row>
    <row r="2173" spans="1:2" x14ac:dyDescent="0.25">
      <c r="A2173" t="s">
        <v>5252</v>
      </c>
      <c r="B2173">
        <v>2173</v>
      </c>
    </row>
    <row r="2174" spans="1:2" x14ac:dyDescent="0.25">
      <c r="A2174" t="s">
        <v>5249</v>
      </c>
      <c r="B2174">
        <v>2174</v>
      </c>
    </row>
    <row r="2175" spans="1:2" x14ac:dyDescent="0.25">
      <c r="A2175" t="s">
        <v>5253</v>
      </c>
      <c r="B2175">
        <v>2175</v>
      </c>
    </row>
    <row r="2176" spans="1:2" x14ac:dyDescent="0.25">
      <c r="A2176" t="s">
        <v>5271</v>
      </c>
      <c r="B2176">
        <v>2176</v>
      </c>
    </row>
    <row r="2177" spans="1:2" x14ac:dyDescent="0.25">
      <c r="A2177" t="s">
        <v>5278</v>
      </c>
      <c r="B2177">
        <v>2177</v>
      </c>
    </row>
    <row r="2178" spans="1:2" x14ac:dyDescent="0.25">
      <c r="A2178" t="s">
        <v>5274</v>
      </c>
      <c r="B2178">
        <v>2178</v>
      </c>
    </row>
    <row r="2179" spans="1:2" x14ac:dyDescent="0.25">
      <c r="A2179" t="s">
        <v>5280</v>
      </c>
      <c r="B2179">
        <v>2179</v>
      </c>
    </row>
    <row r="2180" spans="1:2" x14ac:dyDescent="0.25">
      <c r="A2180" t="s">
        <v>5275</v>
      </c>
      <c r="B2180">
        <v>2180</v>
      </c>
    </row>
    <row r="2181" spans="1:2" x14ac:dyDescent="0.25">
      <c r="A2181" t="s">
        <v>5276</v>
      </c>
      <c r="B2181">
        <v>2181</v>
      </c>
    </row>
    <row r="2182" spans="1:2" x14ac:dyDescent="0.25">
      <c r="A2182" t="s">
        <v>5273</v>
      </c>
      <c r="B2182">
        <v>2182</v>
      </c>
    </row>
    <row r="2183" spans="1:2" x14ac:dyDescent="0.25">
      <c r="A2183" t="s">
        <v>5284</v>
      </c>
      <c r="B2183">
        <v>2183</v>
      </c>
    </row>
    <row r="2184" spans="1:2" x14ac:dyDescent="0.25">
      <c r="A2184" t="s">
        <v>5281</v>
      </c>
      <c r="B2184">
        <v>2184</v>
      </c>
    </row>
    <row r="2185" spans="1:2" x14ac:dyDescent="0.25">
      <c r="A2185" t="s">
        <v>5285</v>
      </c>
      <c r="B2185">
        <v>2185</v>
      </c>
    </row>
    <row r="2186" spans="1:2" x14ac:dyDescent="0.25">
      <c r="A2186" t="s">
        <v>5277</v>
      </c>
      <c r="B2186">
        <v>2186</v>
      </c>
    </row>
    <row r="2187" spans="1:2" x14ac:dyDescent="0.25">
      <c r="A2187" t="s">
        <v>5272</v>
      </c>
      <c r="B2187">
        <v>2187</v>
      </c>
    </row>
    <row r="2188" spans="1:2" x14ac:dyDescent="0.25">
      <c r="A2188" t="s">
        <v>5282</v>
      </c>
      <c r="B2188">
        <v>2188</v>
      </c>
    </row>
    <row r="2189" spans="1:2" x14ac:dyDescent="0.25">
      <c r="A2189" t="s">
        <v>5279</v>
      </c>
      <c r="B2189">
        <v>2189</v>
      </c>
    </row>
    <row r="2190" spans="1:2" x14ac:dyDescent="0.25">
      <c r="A2190" t="s">
        <v>5283</v>
      </c>
      <c r="B2190">
        <v>2190</v>
      </c>
    </row>
    <row r="2191" spans="1:2" x14ac:dyDescent="0.25">
      <c r="A2191" t="s">
        <v>5301</v>
      </c>
      <c r="B2191">
        <v>2191</v>
      </c>
    </row>
    <row r="2192" spans="1:2" x14ac:dyDescent="0.25">
      <c r="A2192" t="s">
        <v>5308</v>
      </c>
      <c r="B2192">
        <v>2192</v>
      </c>
    </row>
    <row r="2193" spans="1:2" x14ac:dyDescent="0.25">
      <c r="A2193" t="s">
        <v>5304</v>
      </c>
      <c r="B2193">
        <v>2193</v>
      </c>
    </row>
    <row r="2194" spans="1:2" x14ac:dyDescent="0.25">
      <c r="A2194" t="s">
        <v>5310</v>
      </c>
      <c r="B2194">
        <v>2194</v>
      </c>
    </row>
    <row r="2195" spans="1:2" x14ac:dyDescent="0.25">
      <c r="A2195" t="s">
        <v>5305</v>
      </c>
      <c r="B2195">
        <v>2195</v>
      </c>
    </row>
    <row r="2196" spans="1:2" x14ac:dyDescent="0.25">
      <c r="A2196" t="s">
        <v>5306</v>
      </c>
      <c r="B2196">
        <v>2196</v>
      </c>
    </row>
    <row r="2197" spans="1:2" x14ac:dyDescent="0.25">
      <c r="A2197" t="s">
        <v>5303</v>
      </c>
      <c r="B2197">
        <v>2197</v>
      </c>
    </row>
    <row r="2198" spans="1:2" x14ac:dyDescent="0.25">
      <c r="A2198" t="s">
        <v>5314</v>
      </c>
      <c r="B2198">
        <v>2198</v>
      </c>
    </row>
    <row r="2199" spans="1:2" x14ac:dyDescent="0.25">
      <c r="A2199" t="s">
        <v>5311</v>
      </c>
      <c r="B2199">
        <v>2199</v>
      </c>
    </row>
    <row r="2200" spans="1:2" x14ac:dyDescent="0.25">
      <c r="A2200" t="s">
        <v>5315</v>
      </c>
      <c r="B2200">
        <v>2200</v>
      </c>
    </row>
    <row r="2201" spans="1:2" x14ac:dyDescent="0.25">
      <c r="A2201" t="s">
        <v>5307</v>
      </c>
      <c r="B2201">
        <v>2201</v>
      </c>
    </row>
    <row r="2202" spans="1:2" x14ac:dyDescent="0.25">
      <c r="A2202" t="s">
        <v>5302</v>
      </c>
      <c r="B2202">
        <v>2202</v>
      </c>
    </row>
    <row r="2203" spans="1:2" x14ac:dyDescent="0.25">
      <c r="A2203" t="s">
        <v>5312</v>
      </c>
      <c r="B2203">
        <v>2203</v>
      </c>
    </row>
    <row r="2204" spans="1:2" x14ac:dyDescent="0.25">
      <c r="A2204" t="s">
        <v>5309</v>
      </c>
      <c r="B2204">
        <v>2204</v>
      </c>
    </row>
    <row r="2205" spans="1:2" x14ac:dyDescent="0.25">
      <c r="A2205" t="s">
        <v>5313</v>
      </c>
      <c r="B2205">
        <v>2205</v>
      </c>
    </row>
    <row r="2206" spans="1:2" x14ac:dyDescent="0.25">
      <c r="A2206" t="s">
        <v>5331</v>
      </c>
      <c r="B2206">
        <v>2206</v>
      </c>
    </row>
    <row r="2207" spans="1:2" x14ac:dyDescent="0.25">
      <c r="A2207" t="s">
        <v>5338</v>
      </c>
      <c r="B2207">
        <v>2207</v>
      </c>
    </row>
    <row r="2208" spans="1:2" x14ac:dyDescent="0.25">
      <c r="A2208" t="s">
        <v>5334</v>
      </c>
      <c r="B2208">
        <v>2208</v>
      </c>
    </row>
    <row r="2209" spans="1:2" x14ac:dyDescent="0.25">
      <c r="A2209" t="s">
        <v>5340</v>
      </c>
      <c r="B2209">
        <v>2209</v>
      </c>
    </row>
    <row r="2210" spans="1:2" x14ac:dyDescent="0.25">
      <c r="A2210" t="s">
        <v>5335</v>
      </c>
      <c r="B2210">
        <v>2210</v>
      </c>
    </row>
    <row r="2211" spans="1:2" x14ac:dyDescent="0.25">
      <c r="A2211" t="s">
        <v>5336</v>
      </c>
      <c r="B2211">
        <v>2211</v>
      </c>
    </row>
    <row r="2212" spans="1:2" x14ac:dyDescent="0.25">
      <c r="A2212" t="s">
        <v>5333</v>
      </c>
      <c r="B2212">
        <v>2212</v>
      </c>
    </row>
    <row r="2213" spans="1:2" x14ac:dyDescent="0.25">
      <c r="A2213" t="s">
        <v>5344</v>
      </c>
      <c r="B2213">
        <v>2213</v>
      </c>
    </row>
    <row r="2214" spans="1:2" x14ac:dyDescent="0.25">
      <c r="A2214" t="s">
        <v>5341</v>
      </c>
      <c r="B2214">
        <v>2214</v>
      </c>
    </row>
    <row r="2215" spans="1:2" x14ac:dyDescent="0.25">
      <c r="A2215" t="s">
        <v>5345</v>
      </c>
      <c r="B2215">
        <v>2215</v>
      </c>
    </row>
    <row r="2216" spans="1:2" x14ac:dyDescent="0.25">
      <c r="A2216" t="s">
        <v>5337</v>
      </c>
      <c r="B2216">
        <v>2216</v>
      </c>
    </row>
    <row r="2217" spans="1:2" x14ac:dyDescent="0.25">
      <c r="A2217" t="s">
        <v>5332</v>
      </c>
      <c r="B2217">
        <v>2217</v>
      </c>
    </row>
    <row r="2218" spans="1:2" x14ac:dyDescent="0.25">
      <c r="A2218" t="s">
        <v>5342</v>
      </c>
      <c r="B2218">
        <v>2218</v>
      </c>
    </row>
    <row r="2219" spans="1:2" x14ac:dyDescent="0.25">
      <c r="A2219" t="s">
        <v>5339</v>
      </c>
      <c r="B2219">
        <v>2219</v>
      </c>
    </row>
    <row r="2220" spans="1:2" x14ac:dyDescent="0.25">
      <c r="A2220" t="s">
        <v>5343</v>
      </c>
      <c r="B2220">
        <v>2220</v>
      </c>
    </row>
    <row r="2221" spans="1:2" x14ac:dyDescent="0.25">
      <c r="A2221" t="s">
        <v>5361</v>
      </c>
      <c r="B2221">
        <v>2221</v>
      </c>
    </row>
    <row r="2222" spans="1:2" x14ac:dyDescent="0.25">
      <c r="A2222" t="s">
        <v>5368</v>
      </c>
      <c r="B2222">
        <v>2222</v>
      </c>
    </row>
    <row r="2223" spans="1:2" x14ac:dyDescent="0.25">
      <c r="A2223" t="s">
        <v>5364</v>
      </c>
      <c r="B2223">
        <v>2223</v>
      </c>
    </row>
    <row r="2224" spans="1:2" x14ac:dyDescent="0.25">
      <c r="A2224" t="s">
        <v>5370</v>
      </c>
      <c r="B2224">
        <v>2224</v>
      </c>
    </row>
    <row r="2225" spans="1:2" x14ac:dyDescent="0.25">
      <c r="A2225" t="s">
        <v>5365</v>
      </c>
      <c r="B2225">
        <v>2225</v>
      </c>
    </row>
    <row r="2226" spans="1:2" x14ac:dyDescent="0.25">
      <c r="A2226" t="s">
        <v>5366</v>
      </c>
      <c r="B2226">
        <v>2226</v>
      </c>
    </row>
    <row r="2227" spans="1:2" x14ac:dyDescent="0.25">
      <c r="A2227" t="s">
        <v>5363</v>
      </c>
      <c r="B2227">
        <v>2227</v>
      </c>
    </row>
    <row r="2228" spans="1:2" x14ac:dyDescent="0.25">
      <c r="A2228" t="s">
        <v>5374</v>
      </c>
      <c r="B2228">
        <v>2228</v>
      </c>
    </row>
    <row r="2229" spans="1:2" x14ac:dyDescent="0.25">
      <c r="A2229" t="s">
        <v>5371</v>
      </c>
      <c r="B2229">
        <v>2229</v>
      </c>
    </row>
    <row r="2230" spans="1:2" x14ac:dyDescent="0.25">
      <c r="A2230" t="s">
        <v>5375</v>
      </c>
      <c r="B2230">
        <v>2230</v>
      </c>
    </row>
    <row r="2231" spans="1:2" x14ac:dyDescent="0.25">
      <c r="A2231" t="s">
        <v>5367</v>
      </c>
      <c r="B2231">
        <v>2231</v>
      </c>
    </row>
    <row r="2232" spans="1:2" x14ac:dyDescent="0.25">
      <c r="A2232" t="s">
        <v>5362</v>
      </c>
      <c r="B2232">
        <v>2232</v>
      </c>
    </row>
    <row r="2233" spans="1:2" x14ac:dyDescent="0.25">
      <c r="A2233" t="s">
        <v>5372</v>
      </c>
      <c r="B2233">
        <v>2233</v>
      </c>
    </row>
    <row r="2234" spans="1:2" x14ac:dyDescent="0.25">
      <c r="A2234" t="s">
        <v>5369</v>
      </c>
      <c r="B2234">
        <v>2234</v>
      </c>
    </row>
    <row r="2235" spans="1:2" x14ac:dyDescent="0.25">
      <c r="A2235" t="s">
        <v>5373</v>
      </c>
      <c r="B2235">
        <v>2235</v>
      </c>
    </row>
    <row r="2236" spans="1:2" x14ac:dyDescent="0.25">
      <c r="A2236" t="s">
        <v>5391</v>
      </c>
      <c r="B2236">
        <v>2236</v>
      </c>
    </row>
    <row r="2237" spans="1:2" x14ac:dyDescent="0.25">
      <c r="A2237" t="s">
        <v>5398</v>
      </c>
      <c r="B2237">
        <v>2237</v>
      </c>
    </row>
    <row r="2238" spans="1:2" x14ac:dyDescent="0.25">
      <c r="A2238" t="s">
        <v>5394</v>
      </c>
      <c r="B2238">
        <v>2238</v>
      </c>
    </row>
    <row r="2239" spans="1:2" x14ac:dyDescent="0.25">
      <c r="A2239" t="s">
        <v>5400</v>
      </c>
      <c r="B2239">
        <v>2239</v>
      </c>
    </row>
    <row r="2240" spans="1:2" x14ac:dyDescent="0.25">
      <c r="A2240" t="s">
        <v>5395</v>
      </c>
      <c r="B2240">
        <v>2240</v>
      </c>
    </row>
    <row r="2241" spans="1:2" x14ac:dyDescent="0.25">
      <c r="A2241" t="s">
        <v>5396</v>
      </c>
      <c r="B2241">
        <v>2241</v>
      </c>
    </row>
    <row r="2242" spans="1:2" x14ac:dyDescent="0.25">
      <c r="A2242" t="s">
        <v>5393</v>
      </c>
      <c r="B2242">
        <v>2242</v>
      </c>
    </row>
    <row r="2243" spans="1:2" x14ac:dyDescent="0.25">
      <c r="A2243" t="s">
        <v>5404</v>
      </c>
      <c r="B2243">
        <v>2243</v>
      </c>
    </row>
    <row r="2244" spans="1:2" x14ac:dyDescent="0.25">
      <c r="A2244" t="s">
        <v>5401</v>
      </c>
      <c r="B2244">
        <v>2244</v>
      </c>
    </row>
    <row r="2245" spans="1:2" x14ac:dyDescent="0.25">
      <c r="A2245" t="s">
        <v>5405</v>
      </c>
      <c r="B2245">
        <v>2245</v>
      </c>
    </row>
    <row r="2246" spans="1:2" x14ac:dyDescent="0.25">
      <c r="A2246" t="s">
        <v>5397</v>
      </c>
      <c r="B2246">
        <v>2246</v>
      </c>
    </row>
    <row r="2247" spans="1:2" x14ac:dyDescent="0.25">
      <c r="A2247" t="s">
        <v>5392</v>
      </c>
      <c r="B2247">
        <v>2247</v>
      </c>
    </row>
    <row r="2248" spans="1:2" x14ac:dyDescent="0.25">
      <c r="A2248" t="s">
        <v>5402</v>
      </c>
      <c r="B2248">
        <v>2248</v>
      </c>
    </row>
    <row r="2249" spans="1:2" x14ac:dyDescent="0.25">
      <c r="A2249" t="s">
        <v>5399</v>
      </c>
      <c r="B2249">
        <v>2249</v>
      </c>
    </row>
    <row r="2250" spans="1:2" x14ac:dyDescent="0.25">
      <c r="A2250" t="s">
        <v>5403</v>
      </c>
      <c r="B2250">
        <v>2250</v>
      </c>
    </row>
    <row r="2251" spans="1:2" x14ac:dyDescent="0.25">
      <c r="A2251" t="s">
        <v>5421</v>
      </c>
      <c r="B2251">
        <v>2251</v>
      </c>
    </row>
    <row r="2252" spans="1:2" x14ac:dyDescent="0.25">
      <c r="A2252" t="s">
        <v>5428</v>
      </c>
      <c r="B2252">
        <v>2252</v>
      </c>
    </row>
    <row r="2253" spans="1:2" x14ac:dyDescent="0.25">
      <c r="A2253" t="s">
        <v>5424</v>
      </c>
      <c r="B2253">
        <v>2253</v>
      </c>
    </row>
    <row r="2254" spans="1:2" x14ac:dyDescent="0.25">
      <c r="A2254" t="s">
        <v>5430</v>
      </c>
      <c r="B2254">
        <v>2254</v>
      </c>
    </row>
    <row r="2255" spans="1:2" x14ac:dyDescent="0.25">
      <c r="A2255" t="s">
        <v>5425</v>
      </c>
      <c r="B2255">
        <v>2255</v>
      </c>
    </row>
    <row r="2256" spans="1:2" x14ac:dyDescent="0.25">
      <c r="A2256" t="s">
        <v>5426</v>
      </c>
      <c r="B2256">
        <v>2256</v>
      </c>
    </row>
    <row r="2257" spans="1:2" x14ac:dyDescent="0.25">
      <c r="A2257" t="s">
        <v>5423</v>
      </c>
      <c r="B2257">
        <v>2257</v>
      </c>
    </row>
    <row r="2258" spans="1:2" x14ac:dyDescent="0.25">
      <c r="A2258" t="s">
        <v>5434</v>
      </c>
      <c r="B2258">
        <v>2258</v>
      </c>
    </row>
    <row r="2259" spans="1:2" x14ac:dyDescent="0.25">
      <c r="A2259" t="s">
        <v>5431</v>
      </c>
      <c r="B2259">
        <v>2259</v>
      </c>
    </row>
    <row r="2260" spans="1:2" x14ac:dyDescent="0.25">
      <c r="A2260" t="s">
        <v>5435</v>
      </c>
      <c r="B2260">
        <v>2260</v>
      </c>
    </row>
    <row r="2261" spans="1:2" x14ac:dyDescent="0.25">
      <c r="A2261" t="s">
        <v>5427</v>
      </c>
      <c r="B2261">
        <v>2261</v>
      </c>
    </row>
    <row r="2262" spans="1:2" x14ac:dyDescent="0.25">
      <c r="A2262" t="s">
        <v>5422</v>
      </c>
      <c r="B2262">
        <v>2262</v>
      </c>
    </row>
    <row r="2263" spans="1:2" x14ac:dyDescent="0.25">
      <c r="A2263" t="s">
        <v>5432</v>
      </c>
      <c r="B2263">
        <v>2263</v>
      </c>
    </row>
    <row r="2264" spans="1:2" x14ac:dyDescent="0.25">
      <c r="A2264" t="s">
        <v>5429</v>
      </c>
      <c r="B2264">
        <v>2264</v>
      </c>
    </row>
    <row r="2265" spans="1:2" x14ac:dyDescent="0.25">
      <c r="A2265" t="s">
        <v>5433</v>
      </c>
      <c r="B2265">
        <v>2265</v>
      </c>
    </row>
    <row r="2266" spans="1:2" x14ac:dyDescent="0.25">
      <c r="A2266" t="s">
        <v>5451</v>
      </c>
      <c r="B2266">
        <v>2266</v>
      </c>
    </row>
    <row r="2267" spans="1:2" x14ac:dyDescent="0.25">
      <c r="A2267" t="s">
        <v>5458</v>
      </c>
      <c r="B2267">
        <v>2267</v>
      </c>
    </row>
    <row r="2268" spans="1:2" x14ac:dyDescent="0.25">
      <c r="A2268" t="s">
        <v>5454</v>
      </c>
      <c r="B2268">
        <v>2268</v>
      </c>
    </row>
    <row r="2269" spans="1:2" x14ac:dyDescent="0.25">
      <c r="A2269" t="s">
        <v>5460</v>
      </c>
      <c r="B2269">
        <v>2269</v>
      </c>
    </row>
    <row r="2270" spans="1:2" x14ac:dyDescent="0.25">
      <c r="A2270" t="s">
        <v>5455</v>
      </c>
      <c r="B2270">
        <v>2270</v>
      </c>
    </row>
    <row r="2271" spans="1:2" x14ac:dyDescent="0.25">
      <c r="A2271" t="s">
        <v>5456</v>
      </c>
      <c r="B2271">
        <v>2271</v>
      </c>
    </row>
    <row r="2272" spans="1:2" x14ac:dyDescent="0.25">
      <c r="A2272" t="s">
        <v>5453</v>
      </c>
      <c r="B2272">
        <v>2272</v>
      </c>
    </row>
    <row r="2273" spans="1:2" x14ac:dyDescent="0.25">
      <c r="A2273" t="s">
        <v>5464</v>
      </c>
      <c r="B2273">
        <v>2273</v>
      </c>
    </row>
    <row r="2274" spans="1:2" x14ac:dyDescent="0.25">
      <c r="A2274" t="s">
        <v>5461</v>
      </c>
      <c r="B2274">
        <v>2274</v>
      </c>
    </row>
    <row r="2275" spans="1:2" x14ac:dyDescent="0.25">
      <c r="A2275" t="s">
        <v>5465</v>
      </c>
      <c r="B2275">
        <v>2275</v>
      </c>
    </row>
    <row r="2276" spans="1:2" x14ac:dyDescent="0.25">
      <c r="A2276" t="s">
        <v>5457</v>
      </c>
      <c r="B2276">
        <v>2276</v>
      </c>
    </row>
    <row r="2277" spans="1:2" x14ac:dyDescent="0.25">
      <c r="A2277" t="s">
        <v>5452</v>
      </c>
      <c r="B2277">
        <v>2277</v>
      </c>
    </row>
    <row r="2278" spans="1:2" x14ac:dyDescent="0.25">
      <c r="A2278" t="s">
        <v>5462</v>
      </c>
      <c r="B2278">
        <v>2278</v>
      </c>
    </row>
    <row r="2279" spans="1:2" x14ac:dyDescent="0.25">
      <c r="A2279" t="s">
        <v>5459</v>
      </c>
      <c r="B2279">
        <v>2279</v>
      </c>
    </row>
    <row r="2280" spans="1:2" x14ac:dyDescent="0.25">
      <c r="A2280" t="s">
        <v>5463</v>
      </c>
      <c r="B2280">
        <v>2280</v>
      </c>
    </row>
    <row r="2281" spans="1:2" x14ac:dyDescent="0.25">
      <c r="A2281" t="s">
        <v>5481</v>
      </c>
      <c r="B2281">
        <v>2281</v>
      </c>
    </row>
    <row r="2282" spans="1:2" x14ac:dyDescent="0.25">
      <c r="A2282" t="s">
        <v>5488</v>
      </c>
      <c r="B2282">
        <v>2282</v>
      </c>
    </row>
    <row r="2283" spans="1:2" x14ac:dyDescent="0.25">
      <c r="A2283" t="s">
        <v>5484</v>
      </c>
      <c r="B2283">
        <v>2283</v>
      </c>
    </row>
    <row r="2284" spans="1:2" x14ac:dyDescent="0.25">
      <c r="A2284" t="s">
        <v>5490</v>
      </c>
      <c r="B2284">
        <v>2284</v>
      </c>
    </row>
    <row r="2285" spans="1:2" x14ac:dyDescent="0.25">
      <c r="A2285" t="s">
        <v>5485</v>
      </c>
      <c r="B2285">
        <v>2285</v>
      </c>
    </row>
    <row r="2286" spans="1:2" x14ac:dyDescent="0.25">
      <c r="A2286" t="s">
        <v>5486</v>
      </c>
      <c r="B2286">
        <v>2286</v>
      </c>
    </row>
    <row r="2287" spans="1:2" x14ac:dyDescent="0.25">
      <c r="A2287" t="s">
        <v>5483</v>
      </c>
      <c r="B2287">
        <v>2287</v>
      </c>
    </row>
    <row r="2288" spans="1:2" x14ac:dyDescent="0.25">
      <c r="A2288" t="s">
        <v>5494</v>
      </c>
      <c r="B2288">
        <v>2288</v>
      </c>
    </row>
    <row r="2289" spans="1:2" x14ac:dyDescent="0.25">
      <c r="A2289" t="s">
        <v>5491</v>
      </c>
      <c r="B2289">
        <v>2289</v>
      </c>
    </row>
    <row r="2290" spans="1:2" x14ac:dyDescent="0.25">
      <c r="A2290" t="s">
        <v>5495</v>
      </c>
      <c r="B2290">
        <v>2290</v>
      </c>
    </row>
    <row r="2291" spans="1:2" x14ac:dyDescent="0.25">
      <c r="A2291" t="s">
        <v>5487</v>
      </c>
      <c r="B2291">
        <v>2291</v>
      </c>
    </row>
    <row r="2292" spans="1:2" x14ac:dyDescent="0.25">
      <c r="A2292" t="s">
        <v>5482</v>
      </c>
      <c r="B2292">
        <v>2292</v>
      </c>
    </row>
    <row r="2293" spans="1:2" x14ac:dyDescent="0.25">
      <c r="A2293" t="s">
        <v>5492</v>
      </c>
      <c r="B2293">
        <v>2293</v>
      </c>
    </row>
    <row r="2294" spans="1:2" x14ac:dyDescent="0.25">
      <c r="A2294" t="s">
        <v>5489</v>
      </c>
      <c r="B2294">
        <v>2294</v>
      </c>
    </row>
    <row r="2295" spans="1:2" x14ac:dyDescent="0.25">
      <c r="A2295" t="s">
        <v>5493</v>
      </c>
      <c r="B2295">
        <v>2295</v>
      </c>
    </row>
    <row r="2296" spans="1:2" x14ac:dyDescent="0.25">
      <c r="A2296" t="s">
        <v>5511</v>
      </c>
      <c r="B2296">
        <v>2296</v>
      </c>
    </row>
    <row r="2297" spans="1:2" x14ac:dyDescent="0.25">
      <c r="A2297" t="s">
        <v>5518</v>
      </c>
      <c r="B2297">
        <v>2297</v>
      </c>
    </row>
    <row r="2298" spans="1:2" x14ac:dyDescent="0.25">
      <c r="A2298" t="s">
        <v>5514</v>
      </c>
      <c r="B2298">
        <v>2298</v>
      </c>
    </row>
    <row r="2299" spans="1:2" x14ac:dyDescent="0.25">
      <c r="A2299" t="s">
        <v>5520</v>
      </c>
      <c r="B2299">
        <v>2299</v>
      </c>
    </row>
    <row r="2300" spans="1:2" x14ac:dyDescent="0.25">
      <c r="A2300" t="s">
        <v>5515</v>
      </c>
      <c r="B2300">
        <v>2300</v>
      </c>
    </row>
    <row r="2301" spans="1:2" x14ac:dyDescent="0.25">
      <c r="A2301" t="s">
        <v>5516</v>
      </c>
      <c r="B2301">
        <v>2301</v>
      </c>
    </row>
    <row r="2302" spans="1:2" x14ac:dyDescent="0.25">
      <c r="A2302" t="s">
        <v>5513</v>
      </c>
      <c r="B2302">
        <v>2302</v>
      </c>
    </row>
    <row r="2303" spans="1:2" x14ac:dyDescent="0.25">
      <c r="A2303" t="s">
        <v>5524</v>
      </c>
      <c r="B2303">
        <v>2303</v>
      </c>
    </row>
    <row r="2304" spans="1:2" x14ac:dyDescent="0.25">
      <c r="A2304" t="s">
        <v>5521</v>
      </c>
      <c r="B2304">
        <v>2304</v>
      </c>
    </row>
    <row r="2305" spans="1:2" x14ac:dyDescent="0.25">
      <c r="A2305" t="s">
        <v>5525</v>
      </c>
      <c r="B2305">
        <v>2305</v>
      </c>
    </row>
    <row r="2306" spans="1:2" x14ac:dyDescent="0.25">
      <c r="A2306" t="s">
        <v>5517</v>
      </c>
      <c r="B2306">
        <v>2306</v>
      </c>
    </row>
    <row r="2307" spans="1:2" x14ac:dyDescent="0.25">
      <c r="A2307" t="s">
        <v>5512</v>
      </c>
      <c r="B2307">
        <v>2307</v>
      </c>
    </row>
    <row r="2308" spans="1:2" x14ac:dyDescent="0.25">
      <c r="A2308" t="s">
        <v>5522</v>
      </c>
      <c r="B2308">
        <v>2308</v>
      </c>
    </row>
    <row r="2309" spans="1:2" x14ac:dyDescent="0.25">
      <c r="A2309" t="s">
        <v>5519</v>
      </c>
      <c r="B2309">
        <v>2309</v>
      </c>
    </row>
    <row r="2310" spans="1:2" x14ac:dyDescent="0.25">
      <c r="A2310" t="s">
        <v>5523</v>
      </c>
      <c r="B2310">
        <v>2310</v>
      </c>
    </row>
    <row r="2311" spans="1:2" x14ac:dyDescent="0.25">
      <c r="A2311" t="s">
        <v>5541</v>
      </c>
      <c r="B2311">
        <v>2311</v>
      </c>
    </row>
    <row r="2312" spans="1:2" x14ac:dyDescent="0.25">
      <c r="A2312" t="s">
        <v>5548</v>
      </c>
      <c r="B2312">
        <v>2312</v>
      </c>
    </row>
    <row r="2313" spans="1:2" x14ac:dyDescent="0.25">
      <c r="A2313" t="s">
        <v>5544</v>
      </c>
      <c r="B2313">
        <v>2313</v>
      </c>
    </row>
    <row r="2314" spans="1:2" x14ac:dyDescent="0.25">
      <c r="A2314" t="s">
        <v>5550</v>
      </c>
      <c r="B2314">
        <v>2314</v>
      </c>
    </row>
    <row r="2315" spans="1:2" x14ac:dyDescent="0.25">
      <c r="A2315" t="s">
        <v>5545</v>
      </c>
      <c r="B2315">
        <v>2315</v>
      </c>
    </row>
    <row r="2316" spans="1:2" x14ac:dyDescent="0.25">
      <c r="A2316" t="s">
        <v>5546</v>
      </c>
      <c r="B2316">
        <v>2316</v>
      </c>
    </row>
    <row r="2317" spans="1:2" x14ac:dyDescent="0.25">
      <c r="A2317" t="s">
        <v>5543</v>
      </c>
      <c r="B2317">
        <v>2317</v>
      </c>
    </row>
    <row r="2318" spans="1:2" x14ac:dyDescent="0.25">
      <c r="A2318" t="s">
        <v>5554</v>
      </c>
      <c r="B2318">
        <v>2318</v>
      </c>
    </row>
    <row r="2319" spans="1:2" x14ac:dyDescent="0.25">
      <c r="A2319" t="s">
        <v>5551</v>
      </c>
      <c r="B2319">
        <v>2319</v>
      </c>
    </row>
    <row r="2320" spans="1:2" x14ac:dyDescent="0.25">
      <c r="A2320" t="s">
        <v>5555</v>
      </c>
      <c r="B2320">
        <v>2320</v>
      </c>
    </row>
    <row r="2321" spans="1:2" x14ac:dyDescent="0.25">
      <c r="A2321" t="s">
        <v>5547</v>
      </c>
      <c r="B2321">
        <v>2321</v>
      </c>
    </row>
    <row r="2322" spans="1:2" x14ac:dyDescent="0.25">
      <c r="A2322" t="s">
        <v>5542</v>
      </c>
      <c r="B2322">
        <v>2322</v>
      </c>
    </row>
    <row r="2323" spans="1:2" x14ac:dyDescent="0.25">
      <c r="A2323" t="s">
        <v>5552</v>
      </c>
      <c r="B2323">
        <v>2323</v>
      </c>
    </row>
    <row r="2324" spans="1:2" x14ac:dyDescent="0.25">
      <c r="A2324" t="s">
        <v>5549</v>
      </c>
      <c r="B2324">
        <v>2324</v>
      </c>
    </row>
    <row r="2325" spans="1:2" x14ac:dyDescent="0.25">
      <c r="A2325" t="s">
        <v>5553</v>
      </c>
      <c r="B2325">
        <v>2325</v>
      </c>
    </row>
    <row r="2326" spans="1:2" x14ac:dyDescent="0.25">
      <c r="A2326" t="s">
        <v>5571</v>
      </c>
      <c r="B2326">
        <v>2326</v>
      </c>
    </row>
    <row r="2327" spans="1:2" x14ac:dyDescent="0.25">
      <c r="A2327" t="s">
        <v>5578</v>
      </c>
      <c r="B2327">
        <v>2327</v>
      </c>
    </row>
    <row r="2328" spans="1:2" x14ac:dyDescent="0.25">
      <c r="A2328" t="s">
        <v>5574</v>
      </c>
      <c r="B2328">
        <v>2328</v>
      </c>
    </row>
    <row r="2329" spans="1:2" x14ac:dyDescent="0.25">
      <c r="A2329" t="s">
        <v>5580</v>
      </c>
      <c r="B2329">
        <v>2329</v>
      </c>
    </row>
    <row r="2330" spans="1:2" x14ac:dyDescent="0.25">
      <c r="A2330" t="s">
        <v>5575</v>
      </c>
      <c r="B2330">
        <v>2330</v>
      </c>
    </row>
    <row r="2331" spans="1:2" x14ac:dyDescent="0.25">
      <c r="A2331" t="s">
        <v>5576</v>
      </c>
      <c r="B2331">
        <v>2331</v>
      </c>
    </row>
    <row r="2332" spans="1:2" x14ac:dyDescent="0.25">
      <c r="A2332" t="s">
        <v>5573</v>
      </c>
      <c r="B2332">
        <v>2332</v>
      </c>
    </row>
    <row r="2333" spans="1:2" x14ac:dyDescent="0.25">
      <c r="A2333" t="s">
        <v>5584</v>
      </c>
      <c r="B2333">
        <v>2333</v>
      </c>
    </row>
    <row r="2334" spans="1:2" x14ac:dyDescent="0.25">
      <c r="A2334" t="s">
        <v>5581</v>
      </c>
      <c r="B2334">
        <v>2334</v>
      </c>
    </row>
    <row r="2335" spans="1:2" x14ac:dyDescent="0.25">
      <c r="A2335" t="s">
        <v>5585</v>
      </c>
      <c r="B2335">
        <v>2335</v>
      </c>
    </row>
    <row r="2336" spans="1:2" x14ac:dyDescent="0.25">
      <c r="A2336" t="s">
        <v>5577</v>
      </c>
      <c r="B2336">
        <v>2336</v>
      </c>
    </row>
    <row r="2337" spans="1:2" x14ac:dyDescent="0.25">
      <c r="A2337" t="s">
        <v>5572</v>
      </c>
      <c r="B2337">
        <v>2337</v>
      </c>
    </row>
    <row r="2338" spans="1:2" x14ac:dyDescent="0.25">
      <c r="A2338" t="s">
        <v>5582</v>
      </c>
      <c r="B2338">
        <v>2338</v>
      </c>
    </row>
    <row r="2339" spans="1:2" x14ac:dyDescent="0.25">
      <c r="A2339" t="s">
        <v>5579</v>
      </c>
      <c r="B2339">
        <v>2339</v>
      </c>
    </row>
    <row r="2340" spans="1:2" x14ac:dyDescent="0.25">
      <c r="A2340" t="s">
        <v>5583</v>
      </c>
      <c r="B2340">
        <v>2340</v>
      </c>
    </row>
    <row r="2341" spans="1:2" x14ac:dyDescent="0.25">
      <c r="A2341" t="s">
        <v>5601</v>
      </c>
      <c r="B2341">
        <v>2341</v>
      </c>
    </row>
    <row r="2342" spans="1:2" x14ac:dyDescent="0.25">
      <c r="A2342" t="s">
        <v>5608</v>
      </c>
      <c r="B2342">
        <v>2342</v>
      </c>
    </row>
    <row r="2343" spans="1:2" x14ac:dyDescent="0.25">
      <c r="A2343" t="s">
        <v>5604</v>
      </c>
      <c r="B2343">
        <v>2343</v>
      </c>
    </row>
    <row r="2344" spans="1:2" x14ac:dyDescent="0.25">
      <c r="A2344" t="s">
        <v>5610</v>
      </c>
      <c r="B2344">
        <v>2344</v>
      </c>
    </row>
    <row r="2345" spans="1:2" x14ac:dyDescent="0.25">
      <c r="A2345" t="s">
        <v>5605</v>
      </c>
      <c r="B2345">
        <v>2345</v>
      </c>
    </row>
    <row r="2346" spans="1:2" x14ac:dyDescent="0.25">
      <c r="A2346" t="s">
        <v>5606</v>
      </c>
      <c r="B2346">
        <v>2346</v>
      </c>
    </row>
    <row r="2347" spans="1:2" x14ac:dyDescent="0.25">
      <c r="A2347" t="s">
        <v>5603</v>
      </c>
      <c r="B2347">
        <v>2347</v>
      </c>
    </row>
    <row r="2348" spans="1:2" x14ac:dyDescent="0.25">
      <c r="A2348" t="s">
        <v>5614</v>
      </c>
      <c r="B2348">
        <v>2348</v>
      </c>
    </row>
    <row r="2349" spans="1:2" x14ac:dyDescent="0.25">
      <c r="A2349" t="s">
        <v>5611</v>
      </c>
      <c r="B2349">
        <v>2349</v>
      </c>
    </row>
    <row r="2350" spans="1:2" x14ac:dyDescent="0.25">
      <c r="A2350" t="s">
        <v>5615</v>
      </c>
      <c r="B2350">
        <v>2350</v>
      </c>
    </row>
    <row r="2351" spans="1:2" x14ac:dyDescent="0.25">
      <c r="A2351" t="s">
        <v>5607</v>
      </c>
      <c r="B2351">
        <v>2351</v>
      </c>
    </row>
    <row r="2352" spans="1:2" x14ac:dyDescent="0.25">
      <c r="A2352" t="s">
        <v>5602</v>
      </c>
      <c r="B2352">
        <v>2352</v>
      </c>
    </row>
    <row r="2353" spans="1:2" x14ac:dyDescent="0.25">
      <c r="A2353" t="s">
        <v>5612</v>
      </c>
      <c r="B2353">
        <v>2353</v>
      </c>
    </row>
    <row r="2354" spans="1:2" x14ac:dyDescent="0.25">
      <c r="A2354" t="s">
        <v>5609</v>
      </c>
      <c r="B2354">
        <v>2354</v>
      </c>
    </row>
    <row r="2355" spans="1:2" x14ac:dyDescent="0.25">
      <c r="A2355" t="s">
        <v>5613</v>
      </c>
      <c r="B2355">
        <v>2355</v>
      </c>
    </row>
    <row r="2356" spans="1:2" x14ac:dyDescent="0.25">
      <c r="A2356" t="s">
        <v>5631</v>
      </c>
      <c r="B2356">
        <v>2356</v>
      </c>
    </row>
    <row r="2357" spans="1:2" x14ac:dyDescent="0.25">
      <c r="A2357" t="s">
        <v>5638</v>
      </c>
      <c r="B2357">
        <v>2357</v>
      </c>
    </row>
    <row r="2358" spans="1:2" x14ac:dyDescent="0.25">
      <c r="A2358" t="s">
        <v>5634</v>
      </c>
      <c r="B2358">
        <v>2358</v>
      </c>
    </row>
    <row r="2359" spans="1:2" x14ac:dyDescent="0.25">
      <c r="A2359" t="s">
        <v>5640</v>
      </c>
      <c r="B2359">
        <v>2359</v>
      </c>
    </row>
    <row r="2360" spans="1:2" x14ac:dyDescent="0.25">
      <c r="A2360" t="s">
        <v>5635</v>
      </c>
      <c r="B2360">
        <v>2360</v>
      </c>
    </row>
    <row r="2361" spans="1:2" x14ac:dyDescent="0.25">
      <c r="A2361" t="s">
        <v>5636</v>
      </c>
      <c r="B2361">
        <v>2361</v>
      </c>
    </row>
    <row r="2362" spans="1:2" x14ac:dyDescent="0.25">
      <c r="A2362" t="s">
        <v>5633</v>
      </c>
      <c r="B2362">
        <v>2362</v>
      </c>
    </row>
    <row r="2363" spans="1:2" x14ac:dyDescent="0.25">
      <c r="A2363" t="s">
        <v>5644</v>
      </c>
      <c r="B2363">
        <v>2363</v>
      </c>
    </row>
    <row r="2364" spans="1:2" x14ac:dyDescent="0.25">
      <c r="A2364" t="s">
        <v>5641</v>
      </c>
      <c r="B2364">
        <v>2364</v>
      </c>
    </row>
    <row r="2365" spans="1:2" x14ac:dyDescent="0.25">
      <c r="A2365" t="s">
        <v>5645</v>
      </c>
      <c r="B2365">
        <v>2365</v>
      </c>
    </row>
    <row r="2366" spans="1:2" x14ac:dyDescent="0.25">
      <c r="A2366" t="s">
        <v>5637</v>
      </c>
      <c r="B2366">
        <v>2366</v>
      </c>
    </row>
    <row r="2367" spans="1:2" x14ac:dyDescent="0.25">
      <c r="A2367" t="s">
        <v>5632</v>
      </c>
      <c r="B2367">
        <v>2367</v>
      </c>
    </row>
    <row r="2368" spans="1:2" x14ac:dyDescent="0.25">
      <c r="A2368" t="s">
        <v>5642</v>
      </c>
      <c r="B2368">
        <v>2368</v>
      </c>
    </row>
    <row r="2369" spans="1:2" x14ac:dyDescent="0.25">
      <c r="A2369" t="s">
        <v>5639</v>
      </c>
      <c r="B2369">
        <v>2369</v>
      </c>
    </row>
    <row r="2370" spans="1:2" x14ac:dyDescent="0.25">
      <c r="A2370" t="s">
        <v>5643</v>
      </c>
      <c r="B2370">
        <v>2370</v>
      </c>
    </row>
    <row r="2371" spans="1:2" x14ac:dyDescent="0.25">
      <c r="A2371" t="s">
        <v>5661</v>
      </c>
      <c r="B2371">
        <v>2371</v>
      </c>
    </row>
    <row r="2372" spans="1:2" x14ac:dyDescent="0.25">
      <c r="A2372" t="s">
        <v>5668</v>
      </c>
      <c r="B2372">
        <v>2372</v>
      </c>
    </row>
    <row r="2373" spans="1:2" x14ac:dyDescent="0.25">
      <c r="A2373" t="s">
        <v>5664</v>
      </c>
      <c r="B2373">
        <v>2373</v>
      </c>
    </row>
    <row r="2374" spans="1:2" x14ac:dyDescent="0.25">
      <c r="A2374" t="s">
        <v>5670</v>
      </c>
      <c r="B2374">
        <v>2374</v>
      </c>
    </row>
    <row r="2375" spans="1:2" x14ac:dyDescent="0.25">
      <c r="A2375" t="s">
        <v>5665</v>
      </c>
      <c r="B2375">
        <v>2375</v>
      </c>
    </row>
    <row r="2376" spans="1:2" x14ac:dyDescent="0.25">
      <c r="A2376" t="s">
        <v>5666</v>
      </c>
      <c r="B2376">
        <v>2376</v>
      </c>
    </row>
    <row r="2377" spans="1:2" x14ac:dyDescent="0.25">
      <c r="A2377" t="s">
        <v>5663</v>
      </c>
      <c r="B2377">
        <v>2377</v>
      </c>
    </row>
    <row r="2378" spans="1:2" x14ac:dyDescent="0.25">
      <c r="A2378" t="s">
        <v>5674</v>
      </c>
      <c r="B2378">
        <v>2378</v>
      </c>
    </row>
    <row r="2379" spans="1:2" x14ac:dyDescent="0.25">
      <c r="A2379" t="s">
        <v>5671</v>
      </c>
      <c r="B2379">
        <v>2379</v>
      </c>
    </row>
    <row r="2380" spans="1:2" x14ac:dyDescent="0.25">
      <c r="A2380" t="s">
        <v>5675</v>
      </c>
      <c r="B2380">
        <v>2380</v>
      </c>
    </row>
    <row r="2381" spans="1:2" x14ac:dyDescent="0.25">
      <c r="A2381" t="s">
        <v>5667</v>
      </c>
      <c r="B2381">
        <v>2381</v>
      </c>
    </row>
    <row r="2382" spans="1:2" x14ac:dyDescent="0.25">
      <c r="A2382" t="s">
        <v>5662</v>
      </c>
      <c r="B2382">
        <v>2382</v>
      </c>
    </row>
    <row r="2383" spans="1:2" x14ac:dyDescent="0.25">
      <c r="A2383" t="s">
        <v>5672</v>
      </c>
      <c r="B2383">
        <v>2383</v>
      </c>
    </row>
    <row r="2384" spans="1:2" x14ac:dyDescent="0.25">
      <c r="A2384" t="s">
        <v>5669</v>
      </c>
      <c r="B2384">
        <v>2384</v>
      </c>
    </row>
    <row r="2385" spans="1:2" x14ac:dyDescent="0.25">
      <c r="A2385" t="s">
        <v>5673</v>
      </c>
      <c r="B2385">
        <v>2385</v>
      </c>
    </row>
    <row r="2386" spans="1:2" x14ac:dyDescent="0.25">
      <c r="A2386" t="s">
        <v>5691</v>
      </c>
      <c r="B2386">
        <v>2386</v>
      </c>
    </row>
    <row r="2387" spans="1:2" x14ac:dyDescent="0.25">
      <c r="A2387" t="s">
        <v>5698</v>
      </c>
      <c r="B2387">
        <v>2387</v>
      </c>
    </row>
    <row r="2388" spans="1:2" x14ac:dyDescent="0.25">
      <c r="A2388" t="s">
        <v>5694</v>
      </c>
      <c r="B2388">
        <v>2388</v>
      </c>
    </row>
    <row r="2389" spans="1:2" x14ac:dyDescent="0.25">
      <c r="A2389" t="s">
        <v>5700</v>
      </c>
      <c r="B2389">
        <v>2389</v>
      </c>
    </row>
    <row r="2390" spans="1:2" x14ac:dyDescent="0.25">
      <c r="A2390" t="s">
        <v>5695</v>
      </c>
      <c r="B2390">
        <v>2390</v>
      </c>
    </row>
    <row r="2391" spans="1:2" x14ac:dyDescent="0.25">
      <c r="A2391" t="s">
        <v>5696</v>
      </c>
      <c r="B2391">
        <v>2391</v>
      </c>
    </row>
    <row r="2392" spans="1:2" x14ac:dyDescent="0.25">
      <c r="A2392" t="s">
        <v>5693</v>
      </c>
      <c r="B2392">
        <v>2392</v>
      </c>
    </row>
    <row r="2393" spans="1:2" x14ac:dyDescent="0.25">
      <c r="A2393" t="s">
        <v>5704</v>
      </c>
      <c r="B2393">
        <v>2393</v>
      </c>
    </row>
    <row r="2394" spans="1:2" x14ac:dyDescent="0.25">
      <c r="A2394" t="s">
        <v>5701</v>
      </c>
      <c r="B2394">
        <v>2394</v>
      </c>
    </row>
    <row r="2395" spans="1:2" x14ac:dyDescent="0.25">
      <c r="A2395" t="s">
        <v>5705</v>
      </c>
      <c r="B2395">
        <v>2395</v>
      </c>
    </row>
    <row r="2396" spans="1:2" x14ac:dyDescent="0.25">
      <c r="A2396" t="s">
        <v>5697</v>
      </c>
      <c r="B2396">
        <v>2396</v>
      </c>
    </row>
    <row r="2397" spans="1:2" x14ac:dyDescent="0.25">
      <c r="A2397" t="s">
        <v>5692</v>
      </c>
      <c r="B2397">
        <v>2397</v>
      </c>
    </row>
    <row r="2398" spans="1:2" x14ac:dyDescent="0.25">
      <c r="A2398" t="s">
        <v>5702</v>
      </c>
      <c r="B2398">
        <v>2398</v>
      </c>
    </row>
    <row r="2399" spans="1:2" x14ac:dyDescent="0.25">
      <c r="A2399" t="s">
        <v>5699</v>
      </c>
      <c r="B2399">
        <v>2399</v>
      </c>
    </row>
    <row r="2400" spans="1:2" x14ac:dyDescent="0.25">
      <c r="A2400" t="s">
        <v>5703</v>
      </c>
      <c r="B2400">
        <v>2400</v>
      </c>
    </row>
    <row r="2401" spans="1:2" x14ac:dyDescent="0.25">
      <c r="A2401" t="s">
        <v>5721</v>
      </c>
      <c r="B2401">
        <v>2401</v>
      </c>
    </row>
    <row r="2402" spans="1:2" x14ac:dyDescent="0.25">
      <c r="A2402" t="s">
        <v>5728</v>
      </c>
      <c r="B2402">
        <v>2402</v>
      </c>
    </row>
    <row r="2403" spans="1:2" x14ac:dyDescent="0.25">
      <c r="A2403" t="s">
        <v>5724</v>
      </c>
      <c r="B2403">
        <v>2403</v>
      </c>
    </row>
    <row r="2404" spans="1:2" x14ac:dyDescent="0.25">
      <c r="A2404" t="s">
        <v>5730</v>
      </c>
      <c r="B2404">
        <v>2404</v>
      </c>
    </row>
    <row r="2405" spans="1:2" x14ac:dyDescent="0.25">
      <c r="A2405" t="s">
        <v>5725</v>
      </c>
      <c r="B2405">
        <v>2405</v>
      </c>
    </row>
    <row r="2406" spans="1:2" x14ac:dyDescent="0.25">
      <c r="A2406" t="s">
        <v>5726</v>
      </c>
      <c r="B2406">
        <v>2406</v>
      </c>
    </row>
    <row r="2407" spans="1:2" x14ac:dyDescent="0.25">
      <c r="A2407" t="s">
        <v>5723</v>
      </c>
      <c r="B2407">
        <v>2407</v>
      </c>
    </row>
    <row r="2408" spans="1:2" x14ac:dyDescent="0.25">
      <c r="A2408" t="s">
        <v>5734</v>
      </c>
      <c r="B2408">
        <v>2408</v>
      </c>
    </row>
    <row r="2409" spans="1:2" x14ac:dyDescent="0.25">
      <c r="A2409" t="s">
        <v>5731</v>
      </c>
      <c r="B2409">
        <v>2409</v>
      </c>
    </row>
    <row r="2410" spans="1:2" x14ac:dyDescent="0.25">
      <c r="A2410" t="s">
        <v>5735</v>
      </c>
      <c r="B2410">
        <v>2410</v>
      </c>
    </row>
    <row r="2411" spans="1:2" x14ac:dyDescent="0.25">
      <c r="A2411" t="s">
        <v>5727</v>
      </c>
      <c r="B2411">
        <v>2411</v>
      </c>
    </row>
    <row r="2412" spans="1:2" x14ac:dyDescent="0.25">
      <c r="A2412" t="s">
        <v>5722</v>
      </c>
      <c r="B2412">
        <v>2412</v>
      </c>
    </row>
    <row r="2413" spans="1:2" x14ac:dyDescent="0.25">
      <c r="A2413" t="s">
        <v>5732</v>
      </c>
      <c r="B2413">
        <v>2413</v>
      </c>
    </row>
    <row r="2414" spans="1:2" x14ac:dyDescent="0.25">
      <c r="A2414" t="s">
        <v>5729</v>
      </c>
      <c r="B2414">
        <v>2414</v>
      </c>
    </row>
    <row r="2415" spans="1:2" x14ac:dyDescent="0.25">
      <c r="A2415" t="s">
        <v>5733</v>
      </c>
      <c r="B2415">
        <v>2415</v>
      </c>
    </row>
    <row r="2416" spans="1:2" x14ac:dyDescent="0.25">
      <c r="A2416" t="s">
        <v>5751</v>
      </c>
      <c r="B2416">
        <v>2416</v>
      </c>
    </row>
    <row r="2417" spans="1:2" x14ac:dyDescent="0.25">
      <c r="A2417" t="s">
        <v>5758</v>
      </c>
      <c r="B2417">
        <v>2417</v>
      </c>
    </row>
    <row r="2418" spans="1:2" x14ac:dyDescent="0.25">
      <c r="A2418" t="s">
        <v>5754</v>
      </c>
      <c r="B2418">
        <v>2418</v>
      </c>
    </row>
    <row r="2419" spans="1:2" x14ac:dyDescent="0.25">
      <c r="A2419" t="s">
        <v>5760</v>
      </c>
      <c r="B2419">
        <v>2419</v>
      </c>
    </row>
    <row r="2420" spans="1:2" x14ac:dyDescent="0.25">
      <c r="A2420" t="s">
        <v>5755</v>
      </c>
      <c r="B2420">
        <v>2420</v>
      </c>
    </row>
    <row r="2421" spans="1:2" x14ac:dyDescent="0.25">
      <c r="A2421" t="s">
        <v>5756</v>
      </c>
      <c r="B2421">
        <v>2421</v>
      </c>
    </row>
    <row r="2422" spans="1:2" x14ac:dyDescent="0.25">
      <c r="A2422" t="s">
        <v>5753</v>
      </c>
      <c r="B2422">
        <v>2422</v>
      </c>
    </row>
    <row r="2423" spans="1:2" x14ac:dyDescent="0.25">
      <c r="A2423" t="s">
        <v>5764</v>
      </c>
      <c r="B2423">
        <v>2423</v>
      </c>
    </row>
    <row r="2424" spans="1:2" x14ac:dyDescent="0.25">
      <c r="A2424" t="s">
        <v>5761</v>
      </c>
      <c r="B2424">
        <v>2424</v>
      </c>
    </row>
    <row r="2425" spans="1:2" x14ac:dyDescent="0.25">
      <c r="A2425" t="s">
        <v>5765</v>
      </c>
      <c r="B2425">
        <v>2425</v>
      </c>
    </row>
    <row r="2426" spans="1:2" x14ac:dyDescent="0.25">
      <c r="A2426" t="s">
        <v>5757</v>
      </c>
      <c r="B2426">
        <v>2426</v>
      </c>
    </row>
    <row r="2427" spans="1:2" x14ac:dyDescent="0.25">
      <c r="A2427" t="s">
        <v>5752</v>
      </c>
      <c r="B2427">
        <v>2427</v>
      </c>
    </row>
    <row r="2428" spans="1:2" x14ac:dyDescent="0.25">
      <c r="A2428" t="s">
        <v>5762</v>
      </c>
      <c r="B2428">
        <v>2428</v>
      </c>
    </row>
    <row r="2429" spans="1:2" x14ac:dyDescent="0.25">
      <c r="A2429" t="s">
        <v>5759</v>
      </c>
      <c r="B2429">
        <v>2429</v>
      </c>
    </row>
    <row r="2430" spans="1:2" x14ac:dyDescent="0.25">
      <c r="A2430" t="s">
        <v>5763</v>
      </c>
      <c r="B2430">
        <v>2430</v>
      </c>
    </row>
    <row r="2431" spans="1:2" x14ac:dyDescent="0.25">
      <c r="A2431" t="s">
        <v>5781</v>
      </c>
      <c r="B2431">
        <v>2431</v>
      </c>
    </row>
    <row r="2432" spans="1:2" x14ac:dyDescent="0.25">
      <c r="A2432" t="s">
        <v>5788</v>
      </c>
      <c r="B2432">
        <v>2432</v>
      </c>
    </row>
    <row r="2433" spans="1:2" x14ac:dyDescent="0.25">
      <c r="A2433" t="s">
        <v>5784</v>
      </c>
      <c r="B2433">
        <v>2433</v>
      </c>
    </row>
    <row r="2434" spans="1:2" x14ac:dyDescent="0.25">
      <c r="A2434" t="s">
        <v>5790</v>
      </c>
      <c r="B2434">
        <v>2434</v>
      </c>
    </row>
    <row r="2435" spans="1:2" x14ac:dyDescent="0.25">
      <c r="A2435" t="s">
        <v>5785</v>
      </c>
      <c r="B2435">
        <v>2435</v>
      </c>
    </row>
    <row r="2436" spans="1:2" x14ac:dyDescent="0.25">
      <c r="A2436" t="s">
        <v>5786</v>
      </c>
      <c r="B2436">
        <v>2436</v>
      </c>
    </row>
    <row r="2437" spans="1:2" x14ac:dyDescent="0.25">
      <c r="A2437" t="s">
        <v>5783</v>
      </c>
      <c r="B2437">
        <v>2437</v>
      </c>
    </row>
    <row r="2438" spans="1:2" x14ac:dyDescent="0.25">
      <c r="A2438" t="s">
        <v>5794</v>
      </c>
      <c r="B2438">
        <v>2438</v>
      </c>
    </row>
    <row r="2439" spans="1:2" x14ac:dyDescent="0.25">
      <c r="A2439" t="s">
        <v>5791</v>
      </c>
      <c r="B2439">
        <v>2439</v>
      </c>
    </row>
    <row r="2440" spans="1:2" x14ac:dyDescent="0.25">
      <c r="A2440" t="s">
        <v>5795</v>
      </c>
      <c r="B2440">
        <v>2440</v>
      </c>
    </row>
    <row r="2441" spans="1:2" x14ac:dyDescent="0.25">
      <c r="A2441" t="s">
        <v>5787</v>
      </c>
      <c r="B2441">
        <v>2441</v>
      </c>
    </row>
    <row r="2442" spans="1:2" x14ac:dyDescent="0.25">
      <c r="A2442" t="s">
        <v>5782</v>
      </c>
      <c r="B2442">
        <v>2442</v>
      </c>
    </row>
    <row r="2443" spans="1:2" x14ac:dyDescent="0.25">
      <c r="A2443" t="s">
        <v>5792</v>
      </c>
      <c r="B2443">
        <v>2443</v>
      </c>
    </row>
    <row r="2444" spans="1:2" x14ac:dyDescent="0.25">
      <c r="A2444" t="s">
        <v>5789</v>
      </c>
      <c r="B2444">
        <v>2444</v>
      </c>
    </row>
    <row r="2445" spans="1:2" x14ac:dyDescent="0.25">
      <c r="A2445" t="s">
        <v>5793</v>
      </c>
      <c r="B2445">
        <v>2445</v>
      </c>
    </row>
    <row r="2446" spans="1:2" x14ac:dyDescent="0.25">
      <c r="A2446" t="s">
        <v>5811</v>
      </c>
      <c r="B2446">
        <v>2446</v>
      </c>
    </row>
    <row r="2447" spans="1:2" x14ac:dyDescent="0.25">
      <c r="A2447" t="s">
        <v>5818</v>
      </c>
      <c r="B2447">
        <v>2447</v>
      </c>
    </row>
    <row r="2448" spans="1:2" x14ac:dyDescent="0.25">
      <c r="A2448" t="s">
        <v>5814</v>
      </c>
      <c r="B2448">
        <v>2448</v>
      </c>
    </row>
    <row r="2449" spans="1:2" x14ac:dyDescent="0.25">
      <c r="A2449" t="s">
        <v>5820</v>
      </c>
      <c r="B2449">
        <v>2449</v>
      </c>
    </row>
    <row r="2450" spans="1:2" x14ac:dyDescent="0.25">
      <c r="A2450" t="s">
        <v>5815</v>
      </c>
      <c r="B2450">
        <v>2450</v>
      </c>
    </row>
    <row r="2451" spans="1:2" x14ac:dyDescent="0.25">
      <c r="A2451" t="s">
        <v>5816</v>
      </c>
      <c r="B2451">
        <v>2451</v>
      </c>
    </row>
    <row r="2452" spans="1:2" x14ac:dyDescent="0.25">
      <c r="A2452" t="s">
        <v>5813</v>
      </c>
      <c r="B2452">
        <v>2452</v>
      </c>
    </row>
    <row r="2453" spans="1:2" x14ac:dyDescent="0.25">
      <c r="A2453" t="s">
        <v>5824</v>
      </c>
      <c r="B2453">
        <v>2453</v>
      </c>
    </row>
    <row r="2454" spans="1:2" x14ac:dyDescent="0.25">
      <c r="A2454" t="s">
        <v>5821</v>
      </c>
      <c r="B2454">
        <v>2454</v>
      </c>
    </row>
    <row r="2455" spans="1:2" x14ac:dyDescent="0.25">
      <c r="A2455" t="s">
        <v>5825</v>
      </c>
      <c r="B2455">
        <v>2455</v>
      </c>
    </row>
    <row r="2456" spans="1:2" x14ac:dyDescent="0.25">
      <c r="A2456" t="s">
        <v>5817</v>
      </c>
      <c r="B2456">
        <v>2456</v>
      </c>
    </row>
    <row r="2457" spans="1:2" x14ac:dyDescent="0.25">
      <c r="A2457" t="s">
        <v>5812</v>
      </c>
      <c r="B2457">
        <v>2457</v>
      </c>
    </row>
    <row r="2458" spans="1:2" x14ac:dyDescent="0.25">
      <c r="A2458" t="s">
        <v>5822</v>
      </c>
      <c r="B2458">
        <v>2458</v>
      </c>
    </row>
    <row r="2459" spans="1:2" x14ac:dyDescent="0.25">
      <c r="A2459" t="s">
        <v>5819</v>
      </c>
      <c r="B2459">
        <v>2459</v>
      </c>
    </row>
    <row r="2460" spans="1:2" x14ac:dyDescent="0.25">
      <c r="A2460" t="s">
        <v>5823</v>
      </c>
      <c r="B2460">
        <v>2460</v>
      </c>
    </row>
    <row r="2461" spans="1:2" x14ac:dyDescent="0.25">
      <c r="A2461" t="s">
        <v>5841</v>
      </c>
      <c r="B2461">
        <v>2461</v>
      </c>
    </row>
    <row r="2462" spans="1:2" x14ac:dyDescent="0.25">
      <c r="A2462" t="s">
        <v>5848</v>
      </c>
      <c r="B2462">
        <v>2462</v>
      </c>
    </row>
    <row r="2463" spans="1:2" x14ac:dyDescent="0.25">
      <c r="A2463" t="s">
        <v>5844</v>
      </c>
      <c r="B2463">
        <v>2463</v>
      </c>
    </row>
    <row r="2464" spans="1:2" x14ac:dyDescent="0.25">
      <c r="A2464" t="s">
        <v>5850</v>
      </c>
      <c r="B2464">
        <v>2464</v>
      </c>
    </row>
    <row r="2465" spans="1:2" x14ac:dyDescent="0.25">
      <c r="A2465" t="s">
        <v>5845</v>
      </c>
      <c r="B2465">
        <v>2465</v>
      </c>
    </row>
    <row r="2466" spans="1:2" x14ac:dyDescent="0.25">
      <c r="A2466" t="s">
        <v>5846</v>
      </c>
      <c r="B2466">
        <v>2466</v>
      </c>
    </row>
    <row r="2467" spans="1:2" x14ac:dyDescent="0.25">
      <c r="A2467" t="s">
        <v>5843</v>
      </c>
      <c r="B2467">
        <v>2467</v>
      </c>
    </row>
    <row r="2468" spans="1:2" x14ac:dyDescent="0.25">
      <c r="A2468" t="s">
        <v>5854</v>
      </c>
      <c r="B2468">
        <v>2468</v>
      </c>
    </row>
    <row r="2469" spans="1:2" x14ac:dyDescent="0.25">
      <c r="A2469" t="s">
        <v>5851</v>
      </c>
      <c r="B2469">
        <v>2469</v>
      </c>
    </row>
    <row r="2470" spans="1:2" x14ac:dyDescent="0.25">
      <c r="A2470" t="s">
        <v>5855</v>
      </c>
      <c r="B2470">
        <v>2470</v>
      </c>
    </row>
    <row r="2471" spans="1:2" x14ac:dyDescent="0.25">
      <c r="A2471" t="s">
        <v>5847</v>
      </c>
      <c r="B2471">
        <v>2471</v>
      </c>
    </row>
    <row r="2472" spans="1:2" x14ac:dyDescent="0.25">
      <c r="A2472" t="s">
        <v>5842</v>
      </c>
      <c r="B2472">
        <v>2472</v>
      </c>
    </row>
    <row r="2473" spans="1:2" x14ac:dyDescent="0.25">
      <c r="A2473" t="s">
        <v>5852</v>
      </c>
      <c r="B2473">
        <v>2473</v>
      </c>
    </row>
    <row r="2474" spans="1:2" x14ac:dyDescent="0.25">
      <c r="A2474" t="s">
        <v>5849</v>
      </c>
      <c r="B2474">
        <v>2474</v>
      </c>
    </row>
    <row r="2475" spans="1:2" x14ac:dyDescent="0.25">
      <c r="A2475" t="s">
        <v>5853</v>
      </c>
      <c r="B2475">
        <v>2475</v>
      </c>
    </row>
    <row r="2476" spans="1:2" x14ac:dyDescent="0.25">
      <c r="A2476" t="s">
        <v>5871</v>
      </c>
      <c r="B2476">
        <v>2476</v>
      </c>
    </row>
    <row r="2477" spans="1:2" x14ac:dyDescent="0.25">
      <c r="A2477" t="s">
        <v>5878</v>
      </c>
      <c r="B2477">
        <v>2477</v>
      </c>
    </row>
    <row r="2478" spans="1:2" x14ac:dyDescent="0.25">
      <c r="A2478" t="s">
        <v>5874</v>
      </c>
      <c r="B2478">
        <v>2478</v>
      </c>
    </row>
    <row r="2479" spans="1:2" x14ac:dyDescent="0.25">
      <c r="A2479" t="s">
        <v>5880</v>
      </c>
      <c r="B2479">
        <v>2479</v>
      </c>
    </row>
    <row r="2480" spans="1:2" x14ac:dyDescent="0.25">
      <c r="A2480" t="s">
        <v>5875</v>
      </c>
      <c r="B2480">
        <v>2480</v>
      </c>
    </row>
    <row r="2481" spans="1:2" x14ac:dyDescent="0.25">
      <c r="A2481" t="s">
        <v>5876</v>
      </c>
      <c r="B2481">
        <v>2481</v>
      </c>
    </row>
    <row r="2482" spans="1:2" x14ac:dyDescent="0.25">
      <c r="A2482" t="s">
        <v>5873</v>
      </c>
      <c r="B2482">
        <v>2482</v>
      </c>
    </row>
    <row r="2483" spans="1:2" x14ac:dyDescent="0.25">
      <c r="A2483" t="s">
        <v>5884</v>
      </c>
      <c r="B2483">
        <v>2483</v>
      </c>
    </row>
    <row r="2484" spans="1:2" x14ac:dyDescent="0.25">
      <c r="A2484" t="s">
        <v>5881</v>
      </c>
      <c r="B2484">
        <v>2484</v>
      </c>
    </row>
    <row r="2485" spans="1:2" x14ac:dyDescent="0.25">
      <c r="A2485" t="s">
        <v>5885</v>
      </c>
      <c r="B2485">
        <v>2485</v>
      </c>
    </row>
    <row r="2486" spans="1:2" x14ac:dyDescent="0.25">
      <c r="A2486" t="s">
        <v>5877</v>
      </c>
      <c r="B2486">
        <v>2486</v>
      </c>
    </row>
    <row r="2487" spans="1:2" x14ac:dyDescent="0.25">
      <c r="A2487" t="s">
        <v>5872</v>
      </c>
      <c r="B2487">
        <v>2487</v>
      </c>
    </row>
    <row r="2488" spans="1:2" x14ac:dyDescent="0.25">
      <c r="A2488" t="s">
        <v>5882</v>
      </c>
      <c r="B2488">
        <v>2488</v>
      </c>
    </row>
    <row r="2489" spans="1:2" x14ac:dyDescent="0.25">
      <c r="A2489" t="s">
        <v>5879</v>
      </c>
      <c r="B2489">
        <v>2489</v>
      </c>
    </row>
    <row r="2490" spans="1:2" x14ac:dyDescent="0.25">
      <c r="A2490" t="s">
        <v>5883</v>
      </c>
      <c r="B2490">
        <v>2490</v>
      </c>
    </row>
    <row r="2491" spans="1:2" x14ac:dyDescent="0.25">
      <c r="A2491" t="s">
        <v>5901</v>
      </c>
      <c r="B2491">
        <v>2491</v>
      </c>
    </row>
    <row r="2492" spans="1:2" x14ac:dyDescent="0.25">
      <c r="A2492" t="s">
        <v>5908</v>
      </c>
      <c r="B2492">
        <v>2492</v>
      </c>
    </row>
    <row r="2493" spans="1:2" x14ac:dyDescent="0.25">
      <c r="A2493" t="s">
        <v>5904</v>
      </c>
      <c r="B2493">
        <v>2493</v>
      </c>
    </row>
    <row r="2494" spans="1:2" x14ac:dyDescent="0.25">
      <c r="A2494" t="s">
        <v>5910</v>
      </c>
      <c r="B2494">
        <v>2494</v>
      </c>
    </row>
    <row r="2495" spans="1:2" x14ac:dyDescent="0.25">
      <c r="A2495" t="s">
        <v>5905</v>
      </c>
      <c r="B2495">
        <v>2495</v>
      </c>
    </row>
    <row r="2496" spans="1:2" x14ac:dyDescent="0.25">
      <c r="A2496" t="s">
        <v>5906</v>
      </c>
      <c r="B2496">
        <v>2496</v>
      </c>
    </row>
    <row r="2497" spans="1:2" x14ac:dyDescent="0.25">
      <c r="A2497" t="s">
        <v>5903</v>
      </c>
      <c r="B2497">
        <v>2497</v>
      </c>
    </row>
    <row r="2498" spans="1:2" x14ac:dyDescent="0.25">
      <c r="A2498" t="s">
        <v>5914</v>
      </c>
      <c r="B2498">
        <v>2498</v>
      </c>
    </row>
    <row r="2499" spans="1:2" x14ac:dyDescent="0.25">
      <c r="A2499" t="s">
        <v>5911</v>
      </c>
      <c r="B2499">
        <v>2499</v>
      </c>
    </row>
    <row r="2500" spans="1:2" x14ac:dyDescent="0.25">
      <c r="A2500" t="s">
        <v>5915</v>
      </c>
      <c r="B2500">
        <v>2500</v>
      </c>
    </row>
    <row r="2501" spans="1:2" x14ac:dyDescent="0.25">
      <c r="A2501" t="s">
        <v>5907</v>
      </c>
      <c r="B2501">
        <v>2501</v>
      </c>
    </row>
    <row r="2502" spans="1:2" x14ac:dyDescent="0.25">
      <c r="A2502" t="s">
        <v>5902</v>
      </c>
      <c r="B2502">
        <v>2502</v>
      </c>
    </row>
    <row r="2503" spans="1:2" x14ac:dyDescent="0.25">
      <c r="A2503" t="s">
        <v>5912</v>
      </c>
      <c r="B2503">
        <v>2503</v>
      </c>
    </row>
    <row r="2504" spans="1:2" x14ac:dyDescent="0.25">
      <c r="A2504" t="s">
        <v>5909</v>
      </c>
      <c r="B2504">
        <v>2504</v>
      </c>
    </row>
    <row r="2505" spans="1:2" x14ac:dyDescent="0.25">
      <c r="A2505" t="s">
        <v>5913</v>
      </c>
      <c r="B2505">
        <v>2505</v>
      </c>
    </row>
    <row r="2506" spans="1:2" x14ac:dyDescent="0.25">
      <c r="A2506" t="s">
        <v>5931</v>
      </c>
      <c r="B2506">
        <v>2506</v>
      </c>
    </row>
    <row r="2507" spans="1:2" x14ac:dyDescent="0.25">
      <c r="A2507" t="s">
        <v>5938</v>
      </c>
      <c r="B2507">
        <v>2507</v>
      </c>
    </row>
    <row r="2508" spans="1:2" x14ac:dyDescent="0.25">
      <c r="A2508" t="s">
        <v>5934</v>
      </c>
      <c r="B2508">
        <v>2508</v>
      </c>
    </row>
    <row r="2509" spans="1:2" x14ac:dyDescent="0.25">
      <c r="A2509" t="s">
        <v>5940</v>
      </c>
      <c r="B2509">
        <v>2509</v>
      </c>
    </row>
    <row r="2510" spans="1:2" x14ac:dyDescent="0.25">
      <c r="A2510" t="s">
        <v>5935</v>
      </c>
      <c r="B2510">
        <v>2510</v>
      </c>
    </row>
    <row r="2511" spans="1:2" x14ac:dyDescent="0.25">
      <c r="A2511" t="s">
        <v>5936</v>
      </c>
      <c r="B2511">
        <v>2511</v>
      </c>
    </row>
    <row r="2512" spans="1:2" x14ac:dyDescent="0.25">
      <c r="A2512" t="s">
        <v>5933</v>
      </c>
      <c r="B2512">
        <v>2512</v>
      </c>
    </row>
    <row r="2513" spans="1:2" x14ac:dyDescent="0.25">
      <c r="A2513" t="s">
        <v>5944</v>
      </c>
      <c r="B2513">
        <v>2513</v>
      </c>
    </row>
    <row r="2514" spans="1:2" x14ac:dyDescent="0.25">
      <c r="A2514" t="s">
        <v>5941</v>
      </c>
      <c r="B2514">
        <v>2514</v>
      </c>
    </row>
    <row r="2515" spans="1:2" x14ac:dyDescent="0.25">
      <c r="A2515" t="s">
        <v>5945</v>
      </c>
      <c r="B2515">
        <v>2515</v>
      </c>
    </row>
    <row r="2516" spans="1:2" x14ac:dyDescent="0.25">
      <c r="A2516" t="s">
        <v>5937</v>
      </c>
      <c r="B2516">
        <v>2516</v>
      </c>
    </row>
    <row r="2517" spans="1:2" x14ac:dyDescent="0.25">
      <c r="A2517" t="s">
        <v>5932</v>
      </c>
      <c r="B2517">
        <v>2517</v>
      </c>
    </row>
    <row r="2518" spans="1:2" x14ac:dyDescent="0.25">
      <c r="A2518" t="s">
        <v>5942</v>
      </c>
      <c r="B2518">
        <v>2518</v>
      </c>
    </row>
    <row r="2519" spans="1:2" x14ac:dyDescent="0.25">
      <c r="A2519" t="s">
        <v>5939</v>
      </c>
      <c r="B2519">
        <v>2519</v>
      </c>
    </row>
    <row r="2520" spans="1:2" x14ac:dyDescent="0.25">
      <c r="A2520" t="s">
        <v>5943</v>
      </c>
      <c r="B2520">
        <v>2520</v>
      </c>
    </row>
    <row r="2521" spans="1:2" x14ac:dyDescent="0.25">
      <c r="A2521" t="s">
        <v>5961</v>
      </c>
      <c r="B2521">
        <v>2521</v>
      </c>
    </row>
    <row r="2522" spans="1:2" x14ac:dyDescent="0.25">
      <c r="A2522" t="s">
        <v>5968</v>
      </c>
      <c r="B2522">
        <v>2522</v>
      </c>
    </row>
    <row r="2523" spans="1:2" x14ac:dyDescent="0.25">
      <c r="A2523" t="s">
        <v>5964</v>
      </c>
      <c r="B2523">
        <v>2523</v>
      </c>
    </row>
    <row r="2524" spans="1:2" x14ac:dyDescent="0.25">
      <c r="A2524" t="s">
        <v>5970</v>
      </c>
      <c r="B2524">
        <v>2524</v>
      </c>
    </row>
    <row r="2525" spans="1:2" x14ac:dyDescent="0.25">
      <c r="A2525" t="s">
        <v>5965</v>
      </c>
      <c r="B2525">
        <v>2525</v>
      </c>
    </row>
    <row r="2526" spans="1:2" x14ac:dyDescent="0.25">
      <c r="A2526" t="s">
        <v>5966</v>
      </c>
      <c r="B2526">
        <v>2526</v>
      </c>
    </row>
    <row r="2527" spans="1:2" x14ac:dyDescent="0.25">
      <c r="A2527" t="s">
        <v>5963</v>
      </c>
      <c r="B2527">
        <v>2527</v>
      </c>
    </row>
    <row r="2528" spans="1:2" x14ac:dyDescent="0.25">
      <c r="A2528" t="s">
        <v>5974</v>
      </c>
      <c r="B2528">
        <v>2528</v>
      </c>
    </row>
    <row r="2529" spans="1:2" x14ac:dyDescent="0.25">
      <c r="A2529" t="s">
        <v>5971</v>
      </c>
      <c r="B2529">
        <v>2529</v>
      </c>
    </row>
    <row r="2530" spans="1:2" x14ac:dyDescent="0.25">
      <c r="A2530" t="s">
        <v>5975</v>
      </c>
      <c r="B2530">
        <v>2530</v>
      </c>
    </row>
    <row r="2531" spans="1:2" x14ac:dyDescent="0.25">
      <c r="A2531" t="s">
        <v>5967</v>
      </c>
      <c r="B2531">
        <v>2531</v>
      </c>
    </row>
    <row r="2532" spans="1:2" x14ac:dyDescent="0.25">
      <c r="A2532" t="s">
        <v>5962</v>
      </c>
      <c r="B2532">
        <v>2532</v>
      </c>
    </row>
    <row r="2533" spans="1:2" x14ac:dyDescent="0.25">
      <c r="A2533" t="s">
        <v>5972</v>
      </c>
      <c r="B2533">
        <v>2533</v>
      </c>
    </row>
    <row r="2534" spans="1:2" x14ac:dyDescent="0.25">
      <c r="A2534" t="s">
        <v>5969</v>
      </c>
      <c r="B2534">
        <v>2534</v>
      </c>
    </row>
    <row r="2535" spans="1:2" x14ac:dyDescent="0.25">
      <c r="A2535" t="s">
        <v>5973</v>
      </c>
      <c r="B2535">
        <v>2535</v>
      </c>
    </row>
    <row r="2536" spans="1:2" x14ac:dyDescent="0.25">
      <c r="A2536" t="s">
        <v>5991</v>
      </c>
      <c r="B2536">
        <v>2536</v>
      </c>
    </row>
    <row r="2537" spans="1:2" x14ac:dyDescent="0.25">
      <c r="A2537" t="s">
        <v>5998</v>
      </c>
      <c r="B2537">
        <v>2537</v>
      </c>
    </row>
    <row r="2538" spans="1:2" x14ac:dyDescent="0.25">
      <c r="A2538" t="s">
        <v>5994</v>
      </c>
      <c r="B2538">
        <v>2538</v>
      </c>
    </row>
    <row r="2539" spans="1:2" x14ac:dyDescent="0.25">
      <c r="A2539" t="s">
        <v>6000</v>
      </c>
      <c r="B2539">
        <v>2539</v>
      </c>
    </row>
    <row r="2540" spans="1:2" x14ac:dyDescent="0.25">
      <c r="A2540" t="s">
        <v>5995</v>
      </c>
      <c r="B2540">
        <v>2540</v>
      </c>
    </row>
    <row r="2541" spans="1:2" x14ac:dyDescent="0.25">
      <c r="A2541" t="s">
        <v>5996</v>
      </c>
      <c r="B2541">
        <v>2541</v>
      </c>
    </row>
    <row r="2542" spans="1:2" x14ac:dyDescent="0.25">
      <c r="A2542" t="s">
        <v>5993</v>
      </c>
      <c r="B2542">
        <v>2542</v>
      </c>
    </row>
    <row r="2543" spans="1:2" x14ac:dyDescent="0.25">
      <c r="A2543" t="s">
        <v>6004</v>
      </c>
      <c r="B2543">
        <v>2543</v>
      </c>
    </row>
    <row r="2544" spans="1:2" x14ac:dyDescent="0.25">
      <c r="A2544" t="s">
        <v>6001</v>
      </c>
      <c r="B2544">
        <v>2544</v>
      </c>
    </row>
    <row r="2545" spans="1:2" x14ac:dyDescent="0.25">
      <c r="A2545" t="s">
        <v>6005</v>
      </c>
      <c r="B2545">
        <v>2545</v>
      </c>
    </row>
    <row r="2546" spans="1:2" x14ac:dyDescent="0.25">
      <c r="A2546" t="s">
        <v>5997</v>
      </c>
      <c r="B2546">
        <v>2546</v>
      </c>
    </row>
    <row r="2547" spans="1:2" x14ac:dyDescent="0.25">
      <c r="A2547" t="s">
        <v>5992</v>
      </c>
      <c r="B2547">
        <v>2547</v>
      </c>
    </row>
    <row r="2548" spans="1:2" x14ac:dyDescent="0.25">
      <c r="A2548" t="s">
        <v>6002</v>
      </c>
      <c r="B2548">
        <v>2548</v>
      </c>
    </row>
    <row r="2549" spans="1:2" x14ac:dyDescent="0.25">
      <c r="A2549" t="s">
        <v>5999</v>
      </c>
      <c r="B2549">
        <v>2549</v>
      </c>
    </row>
    <row r="2550" spans="1:2" x14ac:dyDescent="0.25">
      <c r="A2550" t="s">
        <v>6003</v>
      </c>
      <c r="B2550">
        <v>2550</v>
      </c>
    </row>
    <row r="2551" spans="1:2" x14ac:dyDescent="0.25">
      <c r="A2551" t="s">
        <v>6021</v>
      </c>
      <c r="B2551">
        <v>2551</v>
      </c>
    </row>
    <row r="2552" spans="1:2" x14ac:dyDescent="0.25">
      <c r="A2552" t="s">
        <v>6028</v>
      </c>
      <c r="B2552">
        <v>2552</v>
      </c>
    </row>
    <row r="2553" spans="1:2" x14ac:dyDescent="0.25">
      <c r="A2553" t="s">
        <v>6024</v>
      </c>
      <c r="B2553">
        <v>2553</v>
      </c>
    </row>
    <row r="2554" spans="1:2" x14ac:dyDescent="0.25">
      <c r="A2554" t="s">
        <v>6030</v>
      </c>
      <c r="B2554">
        <v>2554</v>
      </c>
    </row>
    <row r="2555" spans="1:2" x14ac:dyDescent="0.25">
      <c r="A2555" t="s">
        <v>6025</v>
      </c>
      <c r="B2555">
        <v>2555</v>
      </c>
    </row>
    <row r="2556" spans="1:2" x14ac:dyDescent="0.25">
      <c r="A2556" t="s">
        <v>6026</v>
      </c>
      <c r="B2556">
        <v>2556</v>
      </c>
    </row>
    <row r="2557" spans="1:2" x14ac:dyDescent="0.25">
      <c r="A2557" t="s">
        <v>6023</v>
      </c>
      <c r="B2557">
        <v>2557</v>
      </c>
    </row>
    <row r="2558" spans="1:2" x14ac:dyDescent="0.25">
      <c r="A2558" t="s">
        <v>6034</v>
      </c>
      <c r="B2558">
        <v>2558</v>
      </c>
    </row>
    <row r="2559" spans="1:2" x14ac:dyDescent="0.25">
      <c r="A2559" t="s">
        <v>6031</v>
      </c>
      <c r="B2559">
        <v>2559</v>
      </c>
    </row>
    <row r="2560" spans="1:2" x14ac:dyDescent="0.25">
      <c r="A2560" t="s">
        <v>6035</v>
      </c>
      <c r="B2560">
        <v>2560</v>
      </c>
    </row>
    <row r="2561" spans="1:2" x14ac:dyDescent="0.25">
      <c r="A2561" t="s">
        <v>6027</v>
      </c>
      <c r="B2561">
        <v>2561</v>
      </c>
    </row>
    <row r="2562" spans="1:2" x14ac:dyDescent="0.25">
      <c r="A2562" t="s">
        <v>6022</v>
      </c>
      <c r="B2562">
        <v>2562</v>
      </c>
    </row>
    <row r="2563" spans="1:2" x14ac:dyDescent="0.25">
      <c r="A2563" t="s">
        <v>6032</v>
      </c>
      <c r="B2563">
        <v>2563</v>
      </c>
    </row>
    <row r="2564" spans="1:2" x14ac:dyDescent="0.25">
      <c r="A2564" t="s">
        <v>6029</v>
      </c>
      <c r="B2564">
        <v>2564</v>
      </c>
    </row>
    <row r="2565" spans="1:2" x14ac:dyDescent="0.25">
      <c r="A2565" t="s">
        <v>6033</v>
      </c>
      <c r="B2565">
        <v>2565</v>
      </c>
    </row>
    <row r="2566" spans="1:2" x14ac:dyDescent="0.25">
      <c r="A2566" t="s">
        <v>3314</v>
      </c>
      <c r="B2566">
        <v>2566</v>
      </c>
    </row>
    <row r="2567" spans="1:2" x14ac:dyDescent="0.25">
      <c r="A2567" t="s">
        <v>3344</v>
      </c>
      <c r="B2567">
        <v>2567</v>
      </c>
    </row>
    <row r="2568" spans="1:2" x14ac:dyDescent="0.25">
      <c r="A2568" t="s">
        <v>3374</v>
      </c>
      <c r="B2568">
        <v>2568</v>
      </c>
    </row>
    <row r="2569" spans="1:2" x14ac:dyDescent="0.25">
      <c r="A2569" t="s">
        <v>3404</v>
      </c>
      <c r="B2569">
        <v>2569</v>
      </c>
    </row>
    <row r="2570" spans="1:2" x14ac:dyDescent="0.25">
      <c r="A2570" t="s">
        <v>3434</v>
      </c>
      <c r="B2570">
        <v>2570</v>
      </c>
    </row>
    <row r="2571" spans="1:2" x14ac:dyDescent="0.25">
      <c r="A2571" t="s">
        <v>3464</v>
      </c>
      <c r="B2571">
        <v>2571</v>
      </c>
    </row>
    <row r="2572" spans="1:2" x14ac:dyDescent="0.25">
      <c r="A2572" t="s">
        <v>3494</v>
      </c>
      <c r="B2572">
        <v>2572</v>
      </c>
    </row>
    <row r="2573" spans="1:2" x14ac:dyDescent="0.25">
      <c r="A2573" t="s">
        <v>3524</v>
      </c>
      <c r="B2573">
        <v>2573</v>
      </c>
    </row>
    <row r="2574" spans="1:2" x14ac:dyDescent="0.25">
      <c r="A2574" t="s">
        <v>3554</v>
      </c>
      <c r="B2574">
        <v>2574</v>
      </c>
    </row>
    <row r="2575" spans="1:2" x14ac:dyDescent="0.25">
      <c r="A2575" t="s">
        <v>3584</v>
      </c>
      <c r="B2575">
        <v>2575</v>
      </c>
    </row>
    <row r="2576" spans="1:2" x14ac:dyDescent="0.25">
      <c r="A2576" t="s">
        <v>3614</v>
      </c>
      <c r="B2576">
        <v>2576</v>
      </c>
    </row>
    <row r="2577" spans="1:2" x14ac:dyDescent="0.25">
      <c r="A2577" t="s">
        <v>3644</v>
      </c>
      <c r="B2577">
        <v>2577</v>
      </c>
    </row>
    <row r="2578" spans="1:2" x14ac:dyDescent="0.25">
      <c r="A2578" t="s">
        <v>3674</v>
      </c>
      <c r="B2578">
        <v>2578</v>
      </c>
    </row>
    <row r="2579" spans="1:2" x14ac:dyDescent="0.25">
      <c r="A2579" t="s">
        <v>3704</v>
      </c>
      <c r="B2579">
        <v>2579</v>
      </c>
    </row>
    <row r="2580" spans="1:2" x14ac:dyDescent="0.25">
      <c r="A2580" t="s">
        <v>3734</v>
      </c>
      <c r="B2580">
        <v>2580</v>
      </c>
    </row>
    <row r="2581" spans="1:2" x14ac:dyDescent="0.25">
      <c r="A2581" t="s">
        <v>3764</v>
      </c>
      <c r="B2581">
        <v>2581</v>
      </c>
    </row>
    <row r="2582" spans="1:2" x14ac:dyDescent="0.25">
      <c r="A2582" t="s">
        <v>3794</v>
      </c>
      <c r="B2582">
        <v>2582</v>
      </c>
    </row>
    <row r="2583" spans="1:2" x14ac:dyDescent="0.25">
      <c r="A2583" t="s">
        <v>3824</v>
      </c>
      <c r="B2583">
        <v>2583</v>
      </c>
    </row>
    <row r="2584" spans="1:2" x14ac:dyDescent="0.25">
      <c r="A2584" t="s">
        <v>3854</v>
      </c>
      <c r="B2584">
        <v>2584</v>
      </c>
    </row>
    <row r="2585" spans="1:2" x14ac:dyDescent="0.25">
      <c r="A2585" t="s">
        <v>3884</v>
      </c>
      <c r="B2585">
        <v>2585</v>
      </c>
    </row>
    <row r="2586" spans="1:2" x14ac:dyDescent="0.25">
      <c r="A2586" t="s">
        <v>3914</v>
      </c>
      <c r="B2586">
        <v>2586</v>
      </c>
    </row>
    <row r="2587" spans="1:2" x14ac:dyDescent="0.25">
      <c r="A2587" t="s">
        <v>3944</v>
      </c>
      <c r="B2587">
        <v>2587</v>
      </c>
    </row>
    <row r="2588" spans="1:2" x14ac:dyDescent="0.25">
      <c r="A2588" t="s">
        <v>3974</v>
      </c>
      <c r="B2588">
        <v>2588</v>
      </c>
    </row>
    <row r="2589" spans="1:2" x14ac:dyDescent="0.25">
      <c r="A2589" t="s">
        <v>4004</v>
      </c>
      <c r="B2589">
        <v>2589</v>
      </c>
    </row>
    <row r="2590" spans="1:2" x14ac:dyDescent="0.25">
      <c r="A2590" t="s">
        <v>4034</v>
      </c>
      <c r="B2590">
        <v>2590</v>
      </c>
    </row>
    <row r="2591" spans="1:2" x14ac:dyDescent="0.25">
      <c r="A2591" t="s">
        <v>4064</v>
      </c>
      <c r="B2591">
        <v>2591</v>
      </c>
    </row>
    <row r="2592" spans="1:2" x14ac:dyDescent="0.25">
      <c r="A2592" t="s">
        <v>4094</v>
      </c>
      <c r="B2592">
        <v>2592</v>
      </c>
    </row>
    <row r="2593" spans="1:2" x14ac:dyDescent="0.25">
      <c r="A2593" t="s">
        <v>4123</v>
      </c>
      <c r="B2593">
        <v>2593</v>
      </c>
    </row>
    <row r="2594" spans="1:2" x14ac:dyDescent="0.25">
      <c r="A2594" t="s">
        <v>4123</v>
      </c>
      <c r="B2594">
        <v>2594</v>
      </c>
    </row>
    <row r="2595" spans="1:2" x14ac:dyDescent="0.25">
      <c r="A2595" t="s">
        <v>4153</v>
      </c>
      <c r="B2595">
        <v>2595</v>
      </c>
    </row>
    <row r="2596" spans="1:2" x14ac:dyDescent="0.25">
      <c r="A2596" t="s">
        <v>4183</v>
      </c>
      <c r="B2596">
        <v>2596</v>
      </c>
    </row>
    <row r="2597" spans="1:2" x14ac:dyDescent="0.25">
      <c r="A2597" t="s">
        <v>4213</v>
      </c>
      <c r="B2597">
        <v>2597</v>
      </c>
    </row>
    <row r="2598" spans="1:2" x14ac:dyDescent="0.25">
      <c r="A2598" t="s">
        <v>4243</v>
      </c>
      <c r="B2598">
        <v>2598</v>
      </c>
    </row>
    <row r="2599" spans="1:2" x14ac:dyDescent="0.25">
      <c r="A2599" t="s">
        <v>4273</v>
      </c>
      <c r="B2599">
        <v>2599</v>
      </c>
    </row>
    <row r="2600" spans="1:2" x14ac:dyDescent="0.25">
      <c r="A2600" t="s">
        <v>4303</v>
      </c>
      <c r="B2600">
        <v>2600</v>
      </c>
    </row>
    <row r="2601" spans="1:2" x14ac:dyDescent="0.25">
      <c r="A2601" t="s">
        <v>4333</v>
      </c>
      <c r="B2601">
        <v>2601</v>
      </c>
    </row>
    <row r="2602" spans="1:2" x14ac:dyDescent="0.25">
      <c r="A2602" t="s">
        <v>4363</v>
      </c>
      <c r="B2602">
        <v>2602</v>
      </c>
    </row>
    <row r="2603" spans="1:2" x14ac:dyDescent="0.25">
      <c r="A2603" t="s">
        <v>4393</v>
      </c>
      <c r="B2603">
        <v>2603</v>
      </c>
    </row>
    <row r="2604" spans="1:2" x14ac:dyDescent="0.25">
      <c r="A2604" t="s">
        <v>4423</v>
      </c>
      <c r="B2604">
        <v>2604</v>
      </c>
    </row>
    <row r="2605" spans="1:2" x14ac:dyDescent="0.25">
      <c r="A2605" t="s">
        <v>4453</v>
      </c>
      <c r="B2605">
        <v>2605</v>
      </c>
    </row>
    <row r="2606" spans="1:2" x14ac:dyDescent="0.25">
      <c r="A2606" t="s">
        <v>4483</v>
      </c>
      <c r="B2606">
        <v>2606</v>
      </c>
    </row>
    <row r="2607" spans="1:2" x14ac:dyDescent="0.25">
      <c r="A2607" t="s">
        <v>4513</v>
      </c>
      <c r="B2607">
        <v>2607</v>
      </c>
    </row>
    <row r="2608" spans="1:2" x14ac:dyDescent="0.25">
      <c r="A2608" t="s">
        <v>4543</v>
      </c>
      <c r="B2608">
        <v>2608</v>
      </c>
    </row>
    <row r="2609" spans="1:2" x14ac:dyDescent="0.25">
      <c r="A2609" t="s">
        <v>4571</v>
      </c>
      <c r="B2609">
        <v>2609</v>
      </c>
    </row>
    <row r="2610" spans="1:2" x14ac:dyDescent="0.25">
      <c r="A2610" t="s">
        <v>4571</v>
      </c>
      <c r="B2610">
        <v>2610</v>
      </c>
    </row>
    <row r="2611" spans="1:2" x14ac:dyDescent="0.25">
      <c r="A2611" t="s">
        <v>4600</v>
      </c>
      <c r="B2611">
        <v>2611</v>
      </c>
    </row>
    <row r="2612" spans="1:2" x14ac:dyDescent="0.25">
      <c r="A2612" t="s">
        <v>4630</v>
      </c>
      <c r="B2612">
        <v>2612</v>
      </c>
    </row>
    <row r="2613" spans="1:2" x14ac:dyDescent="0.25">
      <c r="A2613" t="s">
        <v>4660</v>
      </c>
      <c r="B2613">
        <v>2613</v>
      </c>
    </row>
    <row r="2614" spans="1:2" x14ac:dyDescent="0.25">
      <c r="A2614" t="s">
        <v>4690</v>
      </c>
      <c r="B2614">
        <v>2614</v>
      </c>
    </row>
    <row r="2615" spans="1:2" x14ac:dyDescent="0.25">
      <c r="A2615" t="s">
        <v>4720</v>
      </c>
      <c r="B2615">
        <v>2615</v>
      </c>
    </row>
    <row r="2616" spans="1:2" x14ac:dyDescent="0.25">
      <c r="A2616" t="s">
        <v>4747</v>
      </c>
      <c r="B2616">
        <v>2616</v>
      </c>
    </row>
    <row r="2617" spans="1:2" x14ac:dyDescent="0.25">
      <c r="A2617" t="s">
        <v>4747</v>
      </c>
      <c r="B2617">
        <v>2617</v>
      </c>
    </row>
    <row r="2618" spans="1:2" x14ac:dyDescent="0.25">
      <c r="A2618" t="s">
        <v>4775</v>
      </c>
      <c r="B2618">
        <v>2618</v>
      </c>
    </row>
    <row r="2619" spans="1:2" x14ac:dyDescent="0.25">
      <c r="A2619" t="s">
        <v>4805</v>
      </c>
      <c r="B2619">
        <v>2619</v>
      </c>
    </row>
    <row r="2620" spans="1:2" x14ac:dyDescent="0.25">
      <c r="A2620" t="s">
        <v>4835</v>
      </c>
      <c r="B2620">
        <v>2620</v>
      </c>
    </row>
    <row r="2621" spans="1:2" x14ac:dyDescent="0.25">
      <c r="A2621" t="s">
        <v>4865</v>
      </c>
      <c r="B2621">
        <v>2621</v>
      </c>
    </row>
    <row r="2622" spans="1:2" x14ac:dyDescent="0.25">
      <c r="A2622" t="s">
        <v>4895</v>
      </c>
      <c r="B2622">
        <v>2622</v>
      </c>
    </row>
    <row r="2623" spans="1:2" x14ac:dyDescent="0.25">
      <c r="A2623" t="s">
        <v>4925</v>
      </c>
      <c r="B2623">
        <v>2623</v>
      </c>
    </row>
    <row r="2624" spans="1:2" x14ac:dyDescent="0.25">
      <c r="A2624" t="s">
        <v>4955</v>
      </c>
      <c r="B2624">
        <v>2624</v>
      </c>
    </row>
    <row r="2625" spans="1:2" x14ac:dyDescent="0.25">
      <c r="A2625" t="s">
        <v>4985</v>
      </c>
      <c r="B2625">
        <v>2625</v>
      </c>
    </row>
    <row r="2626" spans="1:2" x14ac:dyDescent="0.25">
      <c r="A2626" t="s">
        <v>5015</v>
      </c>
      <c r="B2626">
        <v>2626</v>
      </c>
    </row>
    <row r="2627" spans="1:2" x14ac:dyDescent="0.25">
      <c r="A2627" t="s">
        <v>5045</v>
      </c>
      <c r="B2627">
        <v>2627</v>
      </c>
    </row>
    <row r="2628" spans="1:2" x14ac:dyDescent="0.25">
      <c r="A2628" t="s">
        <v>5071</v>
      </c>
      <c r="B2628">
        <v>2628</v>
      </c>
    </row>
    <row r="2629" spans="1:2" x14ac:dyDescent="0.25">
      <c r="A2629" t="s">
        <v>5071</v>
      </c>
      <c r="B2629">
        <v>2629</v>
      </c>
    </row>
    <row r="2630" spans="1:2" x14ac:dyDescent="0.25">
      <c r="A2630" t="s">
        <v>5093</v>
      </c>
      <c r="B2630">
        <v>2630</v>
      </c>
    </row>
    <row r="2631" spans="1:2" x14ac:dyDescent="0.25">
      <c r="A2631" t="s">
        <v>5093</v>
      </c>
      <c r="B2631">
        <v>2631</v>
      </c>
    </row>
    <row r="2632" spans="1:2" x14ac:dyDescent="0.25">
      <c r="A2632" t="s">
        <v>5113</v>
      </c>
      <c r="B2632">
        <v>2632</v>
      </c>
    </row>
    <row r="2633" spans="1:2" x14ac:dyDescent="0.25">
      <c r="A2633" t="s">
        <v>5113</v>
      </c>
      <c r="B2633">
        <v>2633</v>
      </c>
    </row>
    <row r="2634" spans="1:2" x14ac:dyDescent="0.25">
      <c r="A2634" t="s">
        <v>5138</v>
      </c>
      <c r="B2634">
        <v>2634</v>
      </c>
    </row>
    <row r="2635" spans="1:2" x14ac:dyDescent="0.25">
      <c r="A2635" t="s">
        <v>5168</v>
      </c>
      <c r="B2635">
        <v>2635</v>
      </c>
    </row>
    <row r="2636" spans="1:2" x14ac:dyDescent="0.25">
      <c r="A2636" t="s">
        <v>5198</v>
      </c>
      <c r="B2636">
        <v>2636</v>
      </c>
    </row>
    <row r="2637" spans="1:2" x14ac:dyDescent="0.25">
      <c r="A2637" t="s">
        <v>5228</v>
      </c>
      <c r="B2637">
        <v>2637</v>
      </c>
    </row>
    <row r="2638" spans="1:2" x14ac:dyDescent="0.25">
      <c r="A2638" t="s">
        <v>5258</v>
      </c>
      <c r="B2638">
        <v>2638</v>
      </c>
    </row>
    <row r="2639" spans="1:2" x14ac:dyDescent="0.25">
      <c r="A2639" t="s">
        <v>5288</v>
      </c>
      <c r="B2639">
        <v>2639</v>
      </c>
    </row>
    <row r="2640" spans="1:2" x14ac:dyDescent="0.25">
      <c r="A2640" t="s">
        <v>5318</v>
      </c>
      <c r="B2640">
        <v>2640</v>
      </c>
    </row>
    <row r="2641" spans="1:2" x14ac:dyDescent="0.25">
      <c r="A2641" t="s">
        <v>5348</v>
      </c>
      <c r="B2641">
        <v>2641</v>
      </c>
    </row>
    <row r="2642" spans="1:2" x14ac:dyDescent="0.25">
      <c r="A2642" t="s">
        <v>5378</v>
      </c>
      <c r="B2642">
        <v>2642</v>
      </c>
    </row>
    <row r="2643" spans="1:2" x14ac:dyDescent="0.25">
      <c r="A2643" t="s">
        <v>5408</v>
      </c>
      <c r="B2643">
        <v>2643</v>
      </c>
    </row>
    <row r="2644" spans="1:2" x14ac:dyDescent="0.25">
      <c r="A2644" t="s">
        <v>5438</v>
      </c>
      <c r="B2644">
        <v>2644</v>
      </c>
    </row>
    <row r="2645" spans="1:2" x14ac:dyDescent="0.25">
      <c r="A2645" t="s">
        <v>5468</v>
      </c>
      <c r="B2645">
        <v>2645</v>
      </c>
    </row>
    <row r="2646" spans="1:2" x14ac:dyDescent="0.25">
      <c r="A2646" t="s">
        <v>5498</v>
      </c>
      <c r="B2646">
        <v>2646</v>
      </c>
    </row>
    <row r="2647" spans="1:2" x14ac:dyDescent="0.25">
      <c r="A2647" t="s">
        <v>5528</v>
      </c>
      <c r="B2647">
        <v>2647</v>
      </c>
    </row>
    <row r="2648" spans="1:2" x14ac:dyDescent="0.25">
      <c r="A2648" t="s">
        <v>5558</v>
      </c>
      <c r="B2648">
        <v>2648</v>
      </c>
    </row>
    <row r="2649" spans="1:2" x14ac:dyDescent="0.25">
      <c r="A2649" t="s">
        <v>5588</v>
      </c>
      <c r="B2649">
        <v>2649</v>
      </c>
    </row>
    <row r="2650" spans="1:2" x14ac:dyDescent="0.25">
      <c r="A2650" t="s">
        <v>5618</v>
      </c>
      <c r="B2650">
        <v>2650</v>
      </c>
    </row>
    <row r="2651" spans="1:2" x14ac:dyDescent="0.25">
      <c r="A2651" t="s">
        <v>5648</v>
      </c>
      <c r="B2651">
        <v>2651</v>
      </c>
    </row>
    <row r="2652" spans="1:2" x14ac:dyDescent="0.25">
      <c r="A2652" t="s">
        <v>5678</v>
      </c>
      <c r="B2652">
        <v>2652</v>
      </c>
    </row>
    <row r="2653" spans="1:2" x14ac:dyDescent="0.25">
      <c r="A2653" t="s">
        <v>5708</v>
      </c>
      <c r="B2653">
        <v>2653</v>
      </c>
    </row>
    <row r="2654" spans="1:2" x14ac:dyDescent="0.25">
      <c r="A2654" t="s">
        <v>5738</v>
      </c>
      <c r="B2654">
        <v>2654</v>
      </c>
    </row>
    <row r="2655" spans="1:2" x14ac:dyDescent="0.25">
      <c r="A2655" t="s">
        <v>5768</v>
      </c>
      <c r="B2655">
        <v>2655</v>
      </c>
    </row>
    <row r="2656" spans="1:2" x14ac:dyDescent="0.25">
      <c r="A2656" t="s">
        <v>5798</v>
      </c>
      <c r="B2656">
        <v>2656</v>
      </c>
    </row>
    <row r="2657" spans="1:2" x14ac:dyDescent="0.25">
      <c r="A2657" t="s">
        <v>5828</v>
      </c>
      <c r="B2657">
        <v>2657</v>
      </c>
    </row>
    <row r="2658" spans="1:2" x14ac:dyDescent="0.25">
      <c r="A2658" t="s">
        <v>5858</v>
      </c>
      <c r="B2658">
        <v>2658</v>
      </c>
    </row>
    <row r="2659" spans="1:2" x14ac:dyDescent="0.25">
      <c r="A2659" t="s">
        <v>5888</v>
      </c>
      <c r="B2659">
        <v>2659</v>
      </c>
    </row>
    <row r="2660" spans="1:2" x14ac:dyDescent="0.25">
      <c r="A2660" t="s">
        <v>5918</v>
      </c>
      <c r="B2660">
        <v>2660</v>
      </c>
    </row>
    <row r="2661" spans="1:2" x14ac:dyDescent="0.25">
      <c r="A2661" t="s">
        <v>5948</v>
      </c>
      <c r="B2661">
        <v>2661</v>
      </c>
    </row>
    <row r="2662" spans="1:2" x14ac:dyDescent="0.25">
      <c r="A2662" t="s">
        <v>5978</v>
      </c>
      <c r="B2662">
        <v>2662</v>
      </c>
    </row>
    <row r="2663" spans="1:2" x14ac:dyDescent="0.25">
      <c r="A2663" t="s">
        <v>6008</v>
      </c>
      <c r="B2663">
        <v>2663</v>
      </c>
    </row>
    <row r="2664" spans="1:2" x14ac:dyDescent="0.25">
      <c r="A2664" t="s">
        <v>6038</v>
      </c>
      <c r="B2664">
        <v>2664</v>
      </c>
    </row>
    <row r="2665" spans="1:2" x14ac:dyDescent="0.25">
      <c r="A2665" t="s">
        <v>6052</v>
      </c>
      <c r="B2665">
        <v>2665</v>
      </c>
    </row>
    <row r="2666" spans="1:2" x14ac:dyDescent="0.25">
      <c r="A2666" t="s">
        <v>6052</v>
      </c>
      <c r="B2666">
        <v>2666</v>
      </c>
    </row>
    <row r="2667" spans="1:2" x14ac:dyDescent="0.25">
      <c r="A2667" t="s">
        <v>6085</v>
      </c>
      <c r="B2667">
        <v>2667</v>
      </c>
    </row>
    <row r="2668" spans="1:2" x14ac:dyDescent="0.25">
      <c r="A2668" t="s">
        <v>6115</v>
      </c>
      <c r="B2668">
        <v>2668</v>
      </c>
    </row>
    <row r="2669" spans="1:2" x14ac:dyDescent="0.25">
      <c r="A2669" t="s">
        <v>6145</v>
      </c>
      <c r="B2669">
        <v>2669</v>
      </c>
    </row>
    <row r="2670" spans="1:2" x14ac:dyDescent="0.25">
      <c r="A2670" t="s">
        <v>6175</v>
      </c>
      <c r="B2670">
        <v>2670</v>
      </c>
    </row>
    <row r="2671" spans="1:2" x14ac:dyDescent="0.25">
      <c r="A2671" t="s">
        <v>6205</v>
      </c>
      <c r="B2671">
        <v>2671</v>
      </c>
    </row>
    <row r="2672" spans="1:2" x14ac:dyDescent="0.25">
      <c r="A2672" t="s">
        <v>6235</v>
      </c>
      <c r="B2672">
        <v>2672</v>
      </c>
    </row>
    <row r="2673" spans="1:2" x14ac:dyDescent="0.25">
      <c r="A2673" t="s">
        <v>6265</v>
      </c>
      <c r="B2673">
        <v>2673</v>
      </c>
    </row>
    <row r="2674" spans="1:2" x14ac:dyDescent="0.25">
      <c r="A2674" t="s">
        <v>6295</v>
      </c>
      <c r="B2674">
        <v>2674</v>
      </c>
    </row>
    <row r="2675" spans="1:2" x14ac:dyDescent="0.25">
      <c r="A2675" t="s">
        <v>6325</v>
      </c>
      <c r="B2675">
        <v>2675</v>
      </c>
    </row>
    <row r="2676" spans="1:2" x14ac:dyDescent="0.25">
      <c r="A2676" t="s">
        <v>6355</v>
      </c>
      <c r="B2676">
        <v>2676</v>
      </c>
    </row>
    <row r="2677" spans="1:2" x14ac:dyDescent="0.25">
      <c r="A2677" t="s">
        <v>6385</v>
      </c>
      <c r="B2677">
        <v>2677</v>
      </c>
    </row>
    <row r="2678" spans="1:2" x14ac:dyDescent="0.25">
      <c r="A2678" t="s">
        <v>6415</v>
      </c>
      <c r="B2678">
        <v>2678</v>
      </c>
    </row>
    <row r="2679" spans="1:2" x14ac:dyDescent="0.25">
      <c r="A2679" t="s">
        <v>6445</v>
      </c>
      <c r="B2679">
        <v>2679</v>
      </c>
    </row>
    <row r="2680" spans="1:2" x14ac:dyDescent="0.25">
      <c r="A2680" t="s">
        <v>6475</v>
      </c>
      <c r="B2680">
        <v>2680</v>
      </c>
    </row>
    <row r="2681" spans="1:2" x14ac:dyDescent="0.25">
      <c r="A2681" t="s">
        <v>6505</v>
      </c>
      <c r="B2681">
        <v>2681</v>
      </c>
    </row>
    <row r="2682" spans="1:2" x14ac:dyDescent="0.25">
      <c r="A2682" t="s">
        <v>6535</v>
      </c>
      <c r="B2682">
        <v>2682</v>
      </c>
    </row>
    <row r="2683" spans="1:2" x14ac:dyDescent="0.25">
      <c r="A2683" t="s">
        <v>6565</v>
      </c>
      <c r="B2683">
        <v>2683</v>
      </c>
    </row>
    <row r="2684" spans="1:2" x14ac:dyDescent="0.25">
      <c r="A2684" t="s">
        <v>6595</v>
      </c>
      <c r="B2684">
        <v>2684</v>
      </c>
    </row>
    <row r="2685" spans="1:2" x14ac:dyDescent="0.25">
      <c r="A2685" t="s">
        <v>6058</v>
      </c>
      <c r="B2685">
        <v>2685</v>
      </c>
    </row>
    <row r="2686" spans="1:2" x14ac:dyDescent="0.25">
      <c r="A2686" t="s">
        <v>6058</v>
      </c>
      <c r="B2686">
        <v>2686</v>
      </c>
    </row>
    <row r="2687" spans="1:2" x14ac:dyDescent="0.25">
      <c r="A2687" t="s">
        <v>6640</v>
      </c>
      <c r="B2687">
        <v>2687</v>
      </c>
    </row>
    <row r="2688" spans="1:2" x14ac:dyDescent="0.25">
      <c r="A2688" t="s">
        <v>6670</v>
      </c>
      <c r="B2688">
        <v>2688</v>
      </c>
    </row>
    <row r="2689" spans="1:2" x14ac:dyDescent="0.25">
      <c r="A2689" t="s">
        <v>6700</v>
      </c>
      <c r="B2689">
        <v>2689</v>
      </c>
    </row>
    <row r="2690" spans="1:2" x14ac:dyDescent="0.25">
      <c r="A2690" t="s">
        <v>6730</v>
      </c>
      <c r="B2690">
        <v>2690</v>
      </c>
    </row>
    <row r="2691" spans="1:2" x14ac:dyDescent="0.25">
      <c r="A2691" t="s">
        <v>6760</v>
      </c>
      <c r="B2691">
        <v>2691</v>
      </c>
    </row>
    <row r="2692" spans="1:2" x14ac:dyDescent="0.25">
      <c r="A2692" t="s">
        <v>6790</v>
      </c>
      <c r="B2692">
        <v>2692</v>
      </c>
    </row>
    <row r="2693" spans="1:2" x14ac:dyDescent="0.25">
      <c r="A2693" t="s">
        <v>6820</v>
      </c>
      <c r="B2693">
        <v>2693</v>
      </c>
    </row>
    <row r="2694" spans="1:2" x14ac:dyDescent="0.25">
      <c r="A2694" t="s">
        <v>6850</v>
      </c>
      <c r="B2694">
        <v>2694</v>
      </c>
    </row>
    <row r="2695" spans="1:2" x14ac:dyDescent="0.25">
      <c r="A2695" t="s">
        <v>6055</v>
      </c>
      <c r="B2695">
        <v>2695</v>
      </c>
    </row>
    <row r="2696" spans="1:2" x14ac:dyDescent="0.25">
      <c r="A2696" t="s">
        <v>6055</v>
      </c>
      <c r="B2696">
        <v>2696</v>
      </c>
    </row>
    <row r="2697" spans="1:2" x14ac:dyDescent="0.25">
      <c r="A2697" t="s">
        <v>6893</v>
      </c>
      <c r="B2697">
        <v>2697</v>
      </c>
    </row>
    <row r="2698" spans="1:2" x14ac:dyDescent="0.25">
      <c r="A2698" t="s">
        <v>6923</v>
      </c>
      <c r="B2698">
        <v>2698</v>
      </c>
    </row>
    <row r="2699" spans="1:2" x14ac:dyDescent="0.25">
      <c r="A2699" t="s">
        <v>6953</v>
      </c>
      <c r="B2699">
        <v>2699</v>
      </c>
    </row>
    <row r="2700" spans="1:2" x14ac:dyDescent="0.25">
      <c r="A2700" t="s">
        <v>6983</v>
      </c>
      <c r="B2700">
        <v>2700</v>
      </c>
    </row>
    <row r="2701" spans="1:2" x14ac:dyDescent="0.25">
      <c r="A2701" t="s">
        <v>7013</v>
      </c>
      <c r="B2701">
        <v>2701</v>
      </c>
    </row>
    <row r="2702" spans="1:2" x14ac:dyDescent="0.25">
      <c r="A2702" t="s">
        <v>7043</v>
      </c>
      <c r="B2702">
        <v>2702</v>
      </c>
    </row>
    <row r="2703" spans="1:2" x14ac:dyDescent="0.25">
      <c r="A2703" t="s">
        <v>7073</v>
      </c>
      <c r="B2703">
        <v>2703</v>
      </c>
    </row>
    <row r="2704" spans="1:2" x14ac:dyDescent="0.25">
      <c r="A2704" t="s">
        <v>7103</v>
      </c>
      <c r="B2704">
        <v>2704</v>
      </c>
    </row>
    <row r="2705" spans="1:2" x14ac:dyDescent="0.25">
      <c r="A2705" t="s">
        <v>6059</v>
      </c>
      <c r="B2705">
        <v>2705</v>
      </c>
    </row>
    <row r="2706" spans="1:2" x14ac:dyDescent="0.25">
      <c r="A2706" t="s">
        <v>6059</v>
      </c>
      <c r="B2706">
        <v>2706</v>
      </c>
    </row>
    <row r="2707" spans="1:2" x14ac:dyDescent="0.25">
      <c r="A2707" t="s">
        <v>7144</v>
      </c>
      <c r="B2707">
        <v>2707</v>
      </c>
    </row>
    <row r="2708" spans="1:2" x14ac:dyDescent="0.25">
      <c r="A2708" t="s">
        <v>7174</v>
      </c>
      <c r="B2708">
        <v>2708</v>
      </c>
    </row>
    <row r="2709" spans="1:2" x14ac:dyDescent="0.25">
      <c r="A2709" t="s">
        <v>7204</v>
      </c>
      <c r="B2709">
        <v>2709</v>
      </c>
    </row>
    <row r="2710" spans="1:2" x14ac:dyDescent="0.25">
      <c r="A2710" t="s">
        <v>7234</v>
      </c>
      <c r="B2710">
        <v>2710</v>
      </c>
    </row>
    <row r="2711" spans="1:2" x14ac:dyDescent="0.25">
      <c r="A2711" t="s">
        <v>7264</v>
      </c>
      <c r="B2711">
        <v>2711</v>
      </c>
    </row>
    <row r="2712" spans="1:2" x14ac:dyDescent="0.25">
      <c r="A2712" t="s">
        <v>6053</v>
      </c>
      <c r="B2712">
        <v>2712</v>
      </c>
    </row>
    <row r="2713" spans="1:2" x14ac:dyDescent="0.25">
      <c r="A2713" t="s">
        <v>6053</v>
      </c>
      <c r="B2713">
        <v>2713</v>
      </c>
    </row>
    <row r="2714" spans="1:2" x14ac:dyDescent="0.25">
      <c r="A2714" t="s">
        <v>7303</v>
      </c>
      <c r="B2714">
        <v>2714</v>
      </c>
    </row>
    <row r="2715" spans="1:2" x14ac:dyDescent="0.25">
      <c r="A2715" t="s">
        <v>7333</v>
      </c>
      <c r="B2715">
        <v>2715</v>
      </c>
    </row>
    <row r="2716" spans="1:2" x14ac:dyDescent="0.25">
      <c r="A2716" t="s">
        <v>7363</v>
      </c>
      <c r="B2716">
        <v>2716</v>
      </c>
    </row>
    <row r="2717" spans="1:2" x14ac:dyDescent="0.25">
      <c r="A2717" t="s">
        <v>7393</v>
      </c>
      <c r="B2717">
        <v>2717</v>
      </c>
    </row>
    <row r="2718" spans="1:2" x14ac:dyDescent="0.25">
      <c r="A2718" t="s">
        <v>7423</v>
      </c>
      <c r="B2718">
        <v>2718</v>
      </c>
    </row>
    <row r="2719" spans="1:2" x14ac:dyDescent="0.25">
      <c r="A2719" t="s">
        <v>7453</v>
      </c>
      <c r="B2719">
        <v>2719</v>
      </c>
    </row>
    <row r="2720" spans="1:2" x14ac:dyDescent="0.25">
      <c r="A2720" t="s">
        <v>7483</v>
      </c>
      <c r="B2720">
        <v>2720</v>
      </c>
    </row>
    <row r="2721" spans="1:2" x14ac:dyDescent="0.25">
      <c r="A2721" t="s">
        <v>7513</v>
      </c>
      <c r="B2721">
        <v>2721</v>
      </c>
    </row>
    <row r="2722" spans="1:2" x14ac:dyDescent="0.25">
      <c r="A2722" t="s">
        <v>7543</v>
      </c>
      <c r="B2722">
        <v>2722</v>
      </c>
    </row>
    <row r="2723" spans="1:2" x14ac:dyDescent="0.25">
      <c r="A2723" t="s">
        <v>7573</v>
      </c>
      <c r="B2723">
        <v>2723</v>
      </c>
    </row>
    <row r="2724" spans="1:2" x14ac:dyDescent="0.25">
      <c r="A2724" t="s">
        <v>7603</v>
      </c>
      <c r="B2724">
        <v>2724</v>
      </c>
    </row>
    <row r="2725" spans="1:2" x14ac:dyDescent="0.25">
      <c r="A2725" t="s">
        <v>7633</v>
      </c>
      <c r="B2725">
        <v>2725</v>
      </c>
    </row>
    <row r="2726" spans="1:2" x14ac:dyDescent="0.25">
      <c r="A2726" t="s">
        <v>7663</v>
      </c>
      <c r="B2726">
        <v>2726</v>
      </c>
    </row>
    <row r="2727" spans="1:2" x14ac:dyDescent="0.25">
      <c r="A2727" t="s">
        <v>7693</v>
      </c>
      <c r="B2727">
        <v>2727</v>
      </c>
    </row>
    <row r="2728" spans="1:2" x14ac:dyDescent="0.25">
      <c r="A2728" t="s">
        <v>7723</v>
      </c>
      <c r="B2728">
        <v>2728</v>
      </c>
    </row>
    <row r="2729" spans="1:2" x14ac:dyDescent="0.25">
      <c r="A2729" t="s">
        <v>7753</v>
      </c>
      <c r="B2729">
        <v>2729</v>
      </c>
    </row>
    <row r="2730" spans="1:2" x14ac:dyDescent="0.25">
      <c r="A2730" t="s">
        <v>7783</v>
      </c>
      <c r="B2730">
        <v>2730</v>
      </c>
    </row>
    <row r="2731" spans="1:2" x14ac:dyDescent="0.25">
      <c r="A2731" t="s">
        <v>7813</v>
      </c>
      <c r="B2731">
        <v>2731</v>
      </c>
    </row>
    <row r="2732" spans="1:2" x14ac:dyDescent="0.25">
      <c r="A2732" t="s">
        <v>7843</v>
      </c>
      <c r="B2732">
        <v>2732</v>
      </c>
    </row>
    <row r="2733" spans="1:2" x14ac:dyDescent="0.25">
      <c r="A2733" t="s">
        <v>7873</v>
      </c>
      <c r="B2733">
        <v>2733</v>
      </c>
    </row>
    <row r="2734" spans="1:2" x14ac:dyDescent="0.25">
      <c r="A2734" t="s">
        <v>7903</v>
      </c>
      <c r="B2734">
        <v>2734</v>
      </c>
    </row>
    <row r="2735" spans="1:2" x14ac:dyDescent="0.25">
      <c r="A2735" t="s">
        <v>7933</v>
      </c>
      <c r="B2735">
        <v>2735</v>
      </c>
    </row>
    <row r="2736" spans="1:2" x14ac:dyDescent="0.25">
      <c r="A2736" t="s">
        <v>7963</v>
      </c>
      <c r="B2736">
        <v>2736</v>
      </c>
    </row>
    <row r="2737" spans="1:2" x14ac:dyDescent="0.25">
      <c r="A2737" t="s">
        <v>7993</v>
      </c>
      <c r="B2737">
        <v>2737</v>
      </c>
    </row>
    <row r="2738" spans="1:2" x14ac:dyDescent="0.25">
      <c r="A2738" t="s">
        <v>8023</v>
      </c>
      <c r="B2738">
        <v>2738</v>
      </c>
    </row>
    <row r="2739" spans="1:2" x14ac:dyDescent="0.25">
      <c r="A2739" t="s">
        <v>8053</v>
      </c>
      <c r="B2739">
        <v>2739</v>
      </c>
    </row>
    <row r="2740" spans="1:2" x14ac:dyDescent="0.25">
      <c r="A2740" t="s">
        <v>8083</v>
      </c>
      <c r="B2740">
        <v>2740</v>
      </c>
    </row>
    <row r="2741" spans="1:2" x14ac:dyDescent="0.25">
      <c r="A2741" t="s">
        <v>8113</v>
      </c>
      <c r="B2741">
        <v>2741</v>
      </c>
    </row>
    <row r="2742" spans="1:2" x14ac:dyDescent="0.25">
      <c r="A2742" t="s">
        <v>8143</v>
      </c>
      <c r="B2742">
        <v>2742</v>
      </c>
    </row>
    <row r="2743" spans="1:2" x14ac:dyDescent="0.25">
      <c r="A2743" t="s">
        <v>8173</v>
      </c>
      <c r="B2743">
        <v>2743</v>
      </c>
    </row>
    <row r="2744" spans="1:2" x14ac:dyDescent="0.25">
      <c r="A2744" t="s">
        <v>6051</v>
      </c>
      <c r="B2744">
        <v>2744</v>
      </c>
    </row>
    <row r="2745" spans="1:2" x14ac:dyDescent="0.25">
      <c r="A2745" t="s">
        <v>6051</v>
      </c>
      <c r="B2745">
        <v>2745</v>
      </c>
    </row>
    <row r="2746" spans="1:2" x14ac:dyDescent="0.25">
      <c r="A2746" t="s">
        <v>6056</v>
      </c>
      <c r="B2746">
        <v>2746</v>
      </c>
    </row>
    <row r="2747" spans="1:2" x14ac:dyDescent="0.25">
      <c r="A2747" t="s">
        <v>6056</v>
      </c>
      <c r="B2747">
        <v>2747</v>
      </c>
    </row>
    <row r="2748" spans="1:2" x14ac:dyDescent="0.25">
      <c r="A2748" t="s">
        <v>8215</v>
      </c>
      <c r="B2748">
        <v>2748</v>
      </c>
    </row>
    <row r="2749" spans="1:2" x14ac:dyDescent="0.25">
      <c r="A2749" t="s">
        <v>8245</v>
      </c>
      <c r="B2749">
        <v>2749</v>
      </c>
    </row>
    <row r="2750" spans="1:2" x14ac:dyDescent="0.25">
      <c r="A2750" t="s">
        <v>8275</v>
      </c>
      <c r="B2750">
        <v>2750</v>
      </c>
    </row>
    <row r="2751" spans="1:2" x14ac:dyDescent="0.25">
      <c r="A2751" t="s">
        <v>8305</v>
      </c>
      <c r="B2751">
        <v>2751</v>
      </c>
    </row>
    <row r="2752" spans="1:2" x14ac:dyDescent="0.25">
      <c r="A2752" t="s">
        <v>8335</v>
      </c>
      <c r="B2752">
        <v>2752</v>
      </c>
    </row>
    <row r="2753" spans="1:2" x14ac:dyDescent="0.25">
      <c r="A2753" t="s">
        <v>8365</v>
      </c>
      <c r="B2753">
        <v>2753</v>
      </c>
    </row>
    <row r="2754" spans="1:2" x14ac:dyDescent="0.25">
      <c r="A2754" t="s">
        <v>8395</v>
      </c>
      <c r="B2754">
        <v>2754</v>
      </c>
    </row>
    <row r="2755" spans="1:2" x14ac:dyDescent="0.25">
      <c r="A2755" t="s">
        <v>8425</v>
      </c>
      <c r="B2755">
        <v>2755</v>
      </c>
    </row>
    <row r="2756" spans="1:2" x14ac:dyDescent="0.25">
      <c r="A2756" t="s">
        <v>8455</v>
      </c>
      <c r="B2756">
        <v>2756</v>
      </c>
    </row>
    <row r="2757" spans="1:2" x14ac:dyDescent="0.25">
      <c r="A2757" t="s">
        <v>8485</v>
      </c>
      <c r="B2757">
        <v>2757</v>
      </c>
    </row>
    <row r="2758" spans="1:2" x14ac:dyDescent="0.25">
      <c r="A2758" t="s">
        <v>8515</v>
      </c>
      <c r="B2758">
        <v>2758</v>
      </c>
    </row>
    <row r="2759" spans="1:2" x14ac:dyDescent="0.25">
      <c r="A2759" t="s">
        <v>8545</v>
      </c>
      <c r="B2759">
        <v>2759</v>
      </c>
    </row>
    <row r="2760" spans="1:2" x14ac:dyDescent="0.25">
      <c r="A2760" t="s">
        <v>8575</v>
      </c>
      <c r="B2760">
        <v>2760</v>
      </c>
    </row>
    <row r="2761" spans="1:2" x14ac:dyDescent="0.25">
      <c r="A2761" t="s">
        <v>8605</v>
      </c>
      <c r="B2761">
        <v>2761</v>
      </c>
    </row>
    <row r="2762" spans="1:2" x14ac:dyDescent="0.25">
      <c r="A2762" t="s">
        <v>8635</v>
      </c>
      <c r="B2762">
        <v>2762</v>
      </c>
    </row>
    <row r="2763" spans="1:2" x14ac:dyDescent="0.25">
      <c r="A2763" t="s">
        <v>6054</v>
      </c>
      <c r="B2763">
        <v>2763</v>
      </c>
    </row>
    <row r="2764" spans="1:2" x14ac:dyDescent="0.25">
      <c r="A2764" t="s">
        <v>6054</v>
      </c>
      <c r="B2764">
        <v>2764</v>
      </c>
    </row>
    <row r="2765" spans="1:2" x14ac:dyDescent="0.25">
      <c r="A2765" t="s">
        <v>8668</v>
      </c>
      <c r="B2765">
        <v>2765</v>
      </c>
    </row>
    <row r="2766" spans="1:2" x14ac:dyDescent="0.25">
      <c r="A2766" t="s">
        <v>8698</v>
      </c>
      <c r="B2766">
        <v>2766</v>
      </c>
    </row>
    <row r="2767" spans="1:2" x14ac:dyDescent="0.25">
      <c r="A2767" t="s">
        <v>8728</v>
      </c>
      <c r="B2767">
        <v>2767</v>
      </c>
    </row>
    <row r="2768" spans="1:2" x14ac:dyDescent="0.25">
      <c r="A2768" t="s">
        <v>8758</v>
      </c>
      <c r="B2768">
        <v>2768</v>
      </c>
    </row>
    <row r="2769" spans="1:2" x14ac:dyDescent="0.25">
      <c r="A2769" t="s">
        <v>8788</v>
      </c>
      <c r="B2769">
        <v>2769</v>
      </c>
    </row>
    <row r="2770" spans="1:2" x14ac:dyDescent="0.25">
      <c r="A2770" t="s">
        <v>8818</v>
      </c>
      <c r="B2770">
        <v>2770</v>
      </c>
    </row>
    <row r="2771" spans="1:2" x14ac:dyDescent="0.25">
      <c r="A2771" t="s">
        <v>8848</v>
      </c>
      <c r="B2771">
        <v>2771</v>
      </c>
    </row>
    <row r="2772" spans="1:2" x14ac:dyDescent="0.25">
      <c r="A2772" t="s">
        <v>8878</v>
      </c>
      <c r="B2772">
        <v>2772</v>
      </c>
    </row>
    <row r="2773" spans="1:2" x14ac:dyDescent="0.25">
      <c r="A2773" t="s">
        <v>6057</v>
      </c>
      <c r="B2773">
        <v>2773</v>
      </c>
    </row>
    <row r="2774" spans="1:2" x14ac:dyDescent="0.25">
      <c r="A2774" t="s">
        <v>6057</v>
      </c>
      <c r="B2774">
        <v>2774</v>
      </c>
    </row>
    <row r="2775" spans="1:2" x14ac:dyDescent="0.25">
      <c r="A2775" t="s">
        <v>8909</v>
      </c>
      <c r="B2775">
        <v>2775</v>
      </c>
    </row>
    <row r="2776" spans="1:2" x14ac:dyDescent="0.25">
      <c r="A2776" t="s">
        <v>6068</v>
      </c>
      <c r="B2776">
        <v>2776</v>
      </c>
    </row>
    <row r="2777" spans="1:2" x14ac:dyDescent="0.25">
      <c r="A2777" t="s">
        <v>6075</v>
      </c>
      <c r="B2777">
        <v>2777</v>
      </c>
    </row>
    <row r="2778" spans="1:2" x14ac:dyDescent="0.25">
      <c r="A2778" t="s">
        <v>6071</v>
      </c>
      <c r="B2778">
        <v>2778</v>
      </c>
    </row>
    <row r="2779" spans="1:2" x14ac:dyDescent="0.25">
      <c r="A2779" t="s">
        <v>6077</v>
      </c>
      <c r="B2779">
        <v>2779</v>
      </c>
    </row>
    <row r="2780" spans="1:2" x14ac:dyDescent="0.25">
      <c r="A2780" t="s">
        <v>6072</v>
      </c>
      <c r="B2780">
        <v>2780</v>
      </c>
    </row>
    <row r="2781" spans="1:2" x14ac:dyDescent="0.25">
      <c r="A2781" t="s">
        <v>6073</v>
      </c>
      <c r="B2781">
        <v>2781</v>
      </c>
    </row>
    <row r="2782" spans="1:2" x14ac:dyDescent="0.25">
      <c r="A2782" t="s">
        <v>6070</v>
      </c>
      <c r="B2782">
        <v>2782</v>
      </c>
    </row>
    <row r="2783" spans="1:2" x14ac:dyDescent="0.25">
      <c r="A2783" t="s">
        <v>6081</v>
      </c>
      <c r="B2783">
        <v>2783</v>
      </c>
    </row>
    <row r="2784" spans="1:2" x14ac:dyDescent="0.25">
      <c r="A2784" t="s">
        <v>6078</v>
      </c>
      <c r="B2784">
        <v>2784</v>
      </c>
    </row>
    <row r="2785" spans="1:2" x14ac:dyDescent="0.25">
      <c r="A2785" t="s">
        <v>6082</v>
      </c>
      <c r="B2785">
        <v>2785</v>
      </c>
    </row>
    <row r="2786" spans="1:2" x14ac:dyDescent="0.25">
      <c r="A2786" t="s">
        <v>6074</v>
      </c>
      <c r="B2786">
        <v>2786</v>
      </c>
    </row>
    <row r="2787" spans="1:2" x14ac:dyDescent="0.25">
      <c r="A2787" t="s">
        <v>6069</v>
      </c>
      <c r="B2787">
        <v>2787</v>
      </c>
    </row>
    <row r="2788" spans="1:2" x14ac:dyDescent="0.25">
      <c r="A2788" t="s">
        <v>6079</v>
      </c>
      <c r="B2788">
        <v>2788</v>
      </c>
    </row>
    <row r="2789" spans="1:2" x14ac:dyDescent="0.25">
      <c r="A2789" t="s">
        <v>6076</v>
      </c>
      <c r="B2789">
        <v>2789</v>
      </c>
    </row>
    <row r="2790" spans="1:2" x14ac:dyDescent="0.25">
      <c r="A2790" t="s">
        <v>6080</v>
      </c>
      <c r="B2790">
        <v>2790</v>
      </c>
    </row>
    <row r="2791" spans="1:2" x14ac:dyDescent="0.25">
      <c r="A2791" t="s">
        <v>6098</v>
      </c>
      <c r="B2791">
        <v>2791</v>
      </c>
    </row>
    <row r="2792" spans="1:2" x14ac:dyDescent="0.25">
      <c r="A2792" t="s">
        <v>6105</v>
      </c>
      <c r="B2792">
        <v>2792</v>
      </c>
    </row>
    <row r="2793" spans="1:2" x14ac:dyDescent="0.25">
      <c r="A2793" t="s">
        <v>6101</v>
      </c>
      <c r="B2793">
        <v>2793</v>
      </c>
    </row>
    <row r="2794" spans="1:2" x14ac:dyDescent="0.25">
      <c r="A2794" t="s">
        <v>6107</v>
      </c>
      <c r="B2794">
        <v>2794</v>
      </c>
    </row>
    <row r="2795" spans="1:2" x14ac:dyDescent="0.25">
      <c r="A2795" t="s">
        <v>6102</v>
      </c>
      <c r="B2795">
        <v>2795</v>
      </c>
    </row>
    <row r="2796" spans="1:2" x14ac:dyDescent="0.25">
      <c r="A2796" t="s">
        <v>6103</v>
      </c>
      <c r="B2796">
        <v>2796</v>
      </c>
    </row>
    <row r="2797" spans="1:2" x14ac:dyDescent="0.25">
      <c r="A2797" t="s">
        <v>6100</v>
      </c>
      <c r="B2797">
        <v>2797</v>
      </c>
    </row>
    <row r="2798" spans="1:2" x14ac:dyDescent="0.25">
      <c r="A2798" t="s">
        <v>6111</v>
      </c>
      <c r="B2798">
        <v>2798</v>
      </c>
    </row>
    <row r="2799" spans="1:2" x14ac:dyDescent="0.25">
      <c r="A2799" t="s">
        <v>6108</v>
      </c>
      <c r="B2799">
        <v>2799</v>
      </c>
    </row>
    <row r="2800" spans="1:2" x14ac:dyDescent="0.25">
      <c r="A2800" t="s">
        <v>6112</v>
      </c>
      <c r="B2800">
        <v>2800</v>
      </c>
    </row>
    <row r="2801" spans="1:2" x14ac:dyDescent="0.25">
      <c r="A2801" t="s">
        <v>6104</v>
      </c>
      <c r="B2801">
        <v>2801</v>
      </c>
    </row>
    <row r="2802" spans="1:2" x14ac:dyDescent="0.25">
      <c r="A2802" t="s">
        <v>6099</v>
      </c>
      <c r="B2802">
        <v>2802</v>
      </c>
    </row>
    <row r="2803" spans="1:2" x14ac:dyDescent="0.25">
      <c r="A2803" t="s">
        <v>6109</v>
      </c>
      <c r="B2803">
        <v>2803</v>
      </c>
    </row>
    <row r="2804" spans="1:2" x14ac:dyDescent="0.25">
      <c r="A2804" t="s">
        <v>6106</v>
      </c>
      <c r="B2804">
        <v>2804</v>
      </c>
    </row>
    <row r="2805" spans="1:2" x14ac:dyDescent="0.25">
      <c r="A2805" t="s">
        <v>6110</v>
      </c>
      <c r="B2805">
        <v>2805</v>
      </c>
    </row>
    <row r="2806" spans="1:2" x14ac:dyDescent="0.25">
      <c r="A2806" t="s">
        <v>6128</v>
      </c>
      <c r="B2806">
        <v>2806</v>
      </c>
    </row>
    <row r="2807" spans="1:2" x14ac:dyDescent="0.25">
      <c r="A2807" t="s">
        <v>6135</v>
      </c>
      <c r="B2807">
        <v>2807</v>
      </c>
    </row>
    <row r="2808" spans="1:2" x14ac:dyDescent="0.25">
      <c r="A2808" t="s">
        <v>6131</v>
      </c>
      <c r="B2808">
        <v>2808</v>
      </c>
    </row>
    <row r="2809" spans="1:2" x14ac:dyDescent="0.25">
      <c r="A2809" t="s">
        <v>6137</v>
      </c>
      <c r="B2809">
        <v>2809</v>
      </c>
    </row>
    <row r="2810" spans="1:2" x14ac:dyDescent="0.25">
      <c r="A2810" t="s">
        <v>6132</v>
      </c>
      <c r="B2810">
        <v>2810</v>
      </c>
    </row>
    <row r="2811" spans="1:2" x14ac:dyDescent="0.25">
      <c r="A2811" t="s">
        <v>6133</v>
      </c>
      <c r="B2811">
        <v>2811</v>
      </c>
    </row>
    <row r="2812" spans="1:2" x14ac:dyDescent="0.25">
      <c r="A2812" t="s">
        <v>6130</v>
      </c>
      <c r="B2812">
        <v>2812</v>
      </c>
    </row>
    <row r="2813" spans="1:2" x14ac:dyDescent="0.25">
      <c r="A2813" t="s">
        <v>6141</v>
      </c>
      <c r="B2813">
        <v>2813</v>
      </c>
    </row>
    <row r="2814" spans="1:2" x14ac:dyDescent="0.25">
      <c r="A2814" t="s">
        <v>6138</v>
      </c>
      <c r="B2814">
        <v>2814</v>
      </c>
    </row>
    <row r="2815" spans="1:2" x14ac:dyDescent="0.25">
      <c r="A2815" t="s">
        <v>6142</v>
      </c>
      <c r="B2815">
        <v>2815</v>
      </c>
    </row>
    <row r="2816" spans="1:2" x14ac:dyDescent="0.25">
      <c r="A2816" t="s">
        <v>6134</v>
      </c>
      <c r="B2816">
        <v>2816</v>
      </c>
    </row>
    <row r="2817" spans="1:2" x14ac:dyDescent="0.25">
      <c r="A2817" t="s">
        <v>6129</v>
      </c>
      <c r="B2817">
        <v>2817</v>
      </c>
    </row>
    <row r="2818" spans="1:2" x14ac:dyDescent="0.25">
      <c r="A2818" t="s">
        <v>6139</v>
      </c>
      <c r="B2818">
        <v>2818</v>
      </c>
    </row>
    <row r="2819" spans="1:2" x14ac:dyDescent="0.25">
      <c r="A2819" t="s">
        <v>6136</v>
      </c>
      <c r="B2819">
        <v>2819</v>
      </c>
    </row>
    <row r="2820" spans="1:2" x14ac:dyDescent="0.25">
      <c r="A2820" t="s">
        <v>6140</v>
      </c>
      <c r="B2820">
        <v>2820</v>
      </c>
    </row>
    <row r="2821" spans="1:2" x14ac:dyDescent="0.25">
      <c r="A2821" t="s">
        <v>6158</v>
      </c>
      <c r="B2821">
        <v>2821</v>
      </c>
    </row>
    <row r="2822" spans="1:2" x14ac:dyDescent="0.25">
      <c r="A2822" t="s">
        <v>6165</v>
      </c>
      <c r="B2822">
        <v>2822</v>
      </c>
    </row>
    <row r="2823" spans="1:2" x14ac:dyDescent="0.25">
      <c r="A2823" t="s">
        <v>6161</v>
      </c>
      <c r="B2823">
        <v>2823</v>
      </c>
    </row>
    <row r="2824" spans="1:2" x14ac:dyDescent="0.25">
      <c r="A2824" t="s">
        <v>6167</v>
      </c>
      <c r="B2824">
        <v>2824</v>
      </c>
    </row>
    <row r="2825" spans="1:2" x14ac:dyDescent="0.25">
      <c r="A2825" t="s">
        <v>6162</v>
      </c>
      <c r="B2825">
        <v>2825</v>
      </c>
    </row>
    <row r="2826" spans="1:2" x14ac:dyDescent="0.25">
      <c r="A2826" t="s">
        <v>6163</v>
      </c>
      <c r="B2826">
        <v>2826</v>
      </c>
    </row>
    <row r="2827" spans="1:2" x14ac:dyDescent="0.25">
      <c r="A2827" t="s">
        <v>6160</v>
      </c>
      <c r="B2827">
        <v>2827</v>
      </c>
    </row>
    <row r="2828" spans="1:2" x14ac:dyDescent="0.25">
      <c r="A2828" t="s">
        <v>6171</v>
      </c>
      <c r="B2828">
        <v>2828</v>
      </c>
    </row>
    <row r="2829" spans="1:2" x14ac:dyDescent="0.25">
      <c r="A2829" t="s">
        <v>6168</v>
      </c>
      <c r="B2829">
        <v>2829</v>
      </c>
    </row>
    <row r="2830" spans="1:2" x14ac:dyDescent="0.25">
      <c r="A2830" t="s">
        <v>6172</v>
      </c>
      <c r="B2830">
        <v>2830</v>
      </c>
    </row>
    <row r="2831" spans="1:2" x14ac:dyDescent="0.25">
      <c r="A2831" t="s">
        <v>6164</v>
      </c>
      <c r="B2831">
        <v>2831</v>
      </c>
    </row>
    <row r="2832" spans="1:2" x14ac:dyDescent="0.25">
      <c r="A2832" t="s">
        <v>6159</v>
      </c>
      <c r="B2832">
        <v>2832</v>
      </c>
    </row>
    <row r="2833" spans="1:2" x14ac:dyDescent="0.25">
      <c r="A2833" t="s">
        <v>6169</v>
      </c>
      <c r="B2833">
        <v>2833</v>
      </c>
    </row>
    <row r="2834" spans="1:2" x14ac:dyDescent="0.25">
      <c r="A2834" t="s">
        <v>6166</v>
      </c>
      <c r="B2834">
        <v>2834</v>
      </c>
    </row>
    <row r="2835" spans="1:2" x14ac:dyDescent="0.25">
      <c r="A2835" t="s">
        <v>6170</v>
      </c>
      <c r="B2835">
        <v>2835</v>
      </c>
    </row>
    <row r="2836" spans="1:2" x14ac:dyDescent="0.25">
      <c r="A2836" t="s">
        <v>6188</v>
      </c>
      <c r="B2836">
        <v>2836</v>
      </c>
    </row>
    <row r="2837" spans="1:2" x14ac:dyDescent="0.25">
      <c r="A2837" t="s">
        <v>6195</v>
      </c>
      <c r="B2837">
        <v>2837</v>
      </c>
    </row>
    <row r="2838" spans="1:2" x14ac:dyDescent="0.25">
      <c r="A2838" t="s">
        <v>6191</v>
      </c>
      <c r="B2838">
        <v>2838</v>
      </c>
    </row>
    <row r="2839" spans="1:2" x14ac:dyDescent="0.25">
      <c r="A2839" t="s">
        <v>6197</v>
      </c>
      <c r="B2839">
        <v>2839</v>
      </c>
    </row>
    <row r="2840" spans="1:2" x14ac:dyDescent="0.25">
      <c r="A2840" t="s">
        <v>6192</v>
      </c>
      <c r="B2840">
        <v>2840</v>
      </c>
    </row>
    <row r="2841" spans="1:2" x14ac:dyDescent="0.25">
      <c r="A2841" t="s">
        <v>6193</v>
      </c>
      <c r="B2841">
        <v>2841</v>
      </c>
    </row>
    <row r="2842" spans="1:2" x14ac:dyDescent="0.25">
      <c r="A2842" t="s">
        <v>6190</v>
      </c>
      <c r="B2842">
        <v>2842</v>
      </c>
    </row>
    <row r="2843" spans="1:2" x14ac:dyDescent="0.25">
      <c r="A2843" t="s">
        <v>6201</v>
      </c>
      <c r="B2843">
        <v>2843</v>
      </c>
    </row>
    <row r="2844" spans="1:2" x14ac:dyDescent="0.25">
      <c r="A2844" t="s">
        <v>6198</v>
      </c>
      <c r="B2844">
        <v>2844</v>
      </c>
    </row>
    <row r="2845" spans="1:2" x14ac:dyDescent="0.25">
      <c r="A2845" t="s">
        <v>6202</v>
      </c>
      <c r="B2845">
        <v>2845</v>
      </c>
    </row>
    <row r="2846" spans="1:2" x14ac:dyDescent="0.25">
      <c r="A2846" t="s">
        <v>6194</v>
      </c>
      <c r="B2846">
        <v>2846</v>
      </c>
    </row>
    <row r="2847" spans="1:2" x14ac:dyDescent="0.25">
      <c r="A2847" t="s">
        <v>6189</v>
      </c>
      <c r="B2847">
        <v>2847</v>
      </c>
    </row>
    <row r="2848" spans="1:2" x14ac:dyDescent="0.25">
      <c r="A2848" t="s">
        <v>6199</v>
      </c>
      <c r="B2848">
        <v>2848</v>
      </c>
    </row>
    <row r="2849" spans="1:2" x14ac:dyDescent="0.25">
      <c r="A2849" t="s">
        <v>6196</v>
      </c>
      <c r="B2849">
        <v>2849</v>
      </c>
    </row>
    <row r="2850" spans="1:2" x14ac:dyDescent="0.25">
      <c r="A2850" t="s">
        <v>6200</v>
      </c>
      <c r="B2850">
        <v>2850</v>
      </c>
    </row>
    <row r="2851" spans="1:2" x14ac:dyDescent="0.25">
      <c r="A2851" t="s">
        <v>6218</v>
      </c>
      <c r="B2851">
        <v>2851</v>
      </c>
    </row>
    <row r="2852" spans="1:2" x14ac:dyDescent="0.25">
      <c r="A2852" t="s">
        <v>6225</v>
      </c>
      <c r="B2852">
        <v>2852</v>
      </c>
    </row>
    <row r="2853" spans="1:2" x14ac:dyDescent="0.25">
      <c r="A2853" t="s">
        <v>6221</v>
      </c>
      <c r="B2853">
        <v>2853</v>
      </c>
    </row>
    <row r="2854" spans="1:2" x14ac:dyDescent="0.25">
      <c r="A2854" t="s">
        <v>6227</v>
      </c>
      <c r="B2854">
        <v>2854</v>
      </c>
    </row>
    <row r="2855" spans="1:2" x14ac:dyDescent="0.25">
      <c r="A2855" t="s">
        <v>6222</v>
      </c>
      <c r="B2855">
        <v>2855</v>
      </c>
    </row>
    <row r="2856" spans="1:2" x14ac:dyDescent="0.25">
      <c r="A2856" t="s">
        <v>6223</v>
      </c>
      <c r="B2856">
        <v>2856</v>
      </c>
    </row>
    <row r="2857" spans="1:2" x14ac:dyDescent="0.25">
      <c r="A2857" t="s">
        <v>6220</v>
      </c>
      <c r="B2857">
        <v>2857</v>
      </c>
    </row>
    <row r="2858" spans="1:2" x14ac:dyDescent="0.25">
      <c r="A2858" t="s">
        <v>6231</v>
      </c>
      <c r="B2858">
        <v>2858</v>
      </c>
    </row>
    <row r="2859" spans="1:2" x14ac:dyDescent="0.25">
      <c r="A2859" t="s">
        <v>6228</v>
      </c>
      <c r="B2859">
        <v>2859</v>
      </c>
    </row>
    <row r="2860" spans="1:2" x14ac:dyDescent="0.25">
      <c r="A2860" t="s">
        <v>6232</v>
      </c>
      <c r="B2860">
        <v>2860</v>
      </c>
    </row>
    <row r="2861" spans="1:2" x14ac:dyDescent="0.25">
      <c r="A2861" t="s">
        <v>6224</v>
      </c>
      <c r="B2861">
        <v>2861</v>
      </c>
    </row>
    <row r="2862" spans="1:2" x14ac:dyDescent="0.25">
      <c r="A2862" t="s">
        <v>6219</v>
      </c>
      <c r="B2862">
        <v>2862</v>
      </c>
    </row>
    <row r="2863" spans="1:2" x14ac:dyDescent="0.25">
      <c r="A2863" t="s">
        <v>6229</v>
      </c>
      <c r="B2863">
        <v>2863</v>
      </c>
    </row>
    <row r="2864" spans="1:2" x14ac:dyDescent="0.25">
      <c r="A2864" t="s">
        <v>6226</v>
      </c>
      <c r="B2864">
        <v>2864</v>
      </c>
    </row>
    <row r="2865" spans="1:2" x14ac:dyDescent="0.25">
      <c r="A2865" t="s">
        <v>6230</v>
      </c>
      <c r="B2865">
        <v>2865</v>
      </c>
    </row>
    <row r="2866" spans="1:2" x14ac:dyDescent="0.25">
      <c r="A2866" t="s">
        <v>6248</v>
      </c>
      <c r="B2866">
        <v>2866</v>
      </c>
    </row>
    <row r="2867" spans="1:2" x14ac:dyDescent="0.25">
      <c r="A2867" t="s">
        <v>6255</v>
      </c>
      <c r="B2867">
        <v>2867</v>
      </c>
    </row>
    <row r="2868" spans="1:2" x14ac:dyDescent="0.25">
      <c r="A2868" t="s">
        <v>6251</v>
      </c>
      <c r="B2868">
        <v>2868</v>
      </c>
    </row>
    <row r="2869" spans="1:2" x14ac:dyDescent="0.25">
      <c r="A2869" t="s">
        <v>6257</v>
      </c>
      <c r="B2869">
        <v>2869</v>
      </c>
    </row>
    <row r="2870" spans="1:2" x14ac:dyDescent="0.25">
      <c r="A2870" t="s">
        <v>6252</v>
      </c>
      <c r="B2870">
        <v>2870</v>
      </c>
    </row>
    <row r="2871" spans="1:2" x14ac:dyDescent="0.25">
      <c r="A2871" t="s">
        <v>6253</v>
      </c>
      <c r="B2871">
        <v>2871</v>
      </c>
    </row>
    <row r="2872" spans="1:2" x14ac:dyDescent="0.25">
      <c r="A2872" t="s">
        <v>6250</v>
      </c>
      <c r="B2872">
        <v>2872</v>
      </c>
    </row>
    <row r="2873" spans="1:2" x14ac:dyDescent="0.25">
      <c r="A2873" t="s">
        <v>6261</v>
      </c>
      <c r="B2873">
        <v>2873</v>
      </c>
    </row>
    <row r="2874" spans="1:2" x14ac:dyDescent="0.25">
      <c r="A2874" t="s">
        <v>6258</v>
      </c>
      <c r="B2874">
        <v>2874</v>
      </c>
    </row>
    <row r="2875" spans="1:2" x14ac:dyDescent="0.25">
      <c r="A2875" t="s">
        <v>6262</v>
      </c>
      <c r="B2875">
        <v>2875</v>
      </c>
    </row>
    <row r="2876" spans="1:2" x14ac:dyDescent="0.25">
      <c r="A2876" t="s">
        <v>6254</v>
      </c>
      <c r="B2876">
        <v>2876</v>
      </c>
    </row>
    <row r="2877" spans="1:2" x14ac:dyDescent="0.25">
      <c r="A2877" t="s">
        <v>6249</v>
      </c>
      <c r="B2877">
        <v>2877</v>
      </c>
    </row>
    <row r="2878" spans="1:2" x14ac:dyDescent="0.25">
      <c r="A2878" t="s">
        <v>6259</v>
      </c>
      <c r="B2878">
        <v>2878</v>
      </c>
    </row>
    <row r="2879" spans="1:2" x14ac:dyDescent="0.25">
      <c r="A2879" t="s">
        <v>6256</v>
      </c>
      <c r="B2879">
        <v>2879</v>
      </c>
    </row>
    <row r="2880" spans="1:2" x14ac:dyDescent="0.25">
      <c r="A2880" t="s">
        <v>6260</v>
      </c>
      <c r="B2880">
        <v>2880</v>
      </c>
    </row>
    <row r="2881" spans="1:2" x14ac:dyDescent="0.25">
      <c r="A2881" t="s">
        <v>6278</v>
      </c>
      <c r="B2881">
        <v>2881</v>
      </c>
    </row>
    <row r="2882" spans="1:2" x14ac:dyDescent="0.25">
      <c r="A2882" t="s">
        <v>6285</v>
      </c>
      <c r="B2882">
        <v>2882</v>
      </c>
    </row>
    <row r="2883" spans="1:2" x14ac:dyDescent="0.25">
      <c r="A2883" t="s">
        <v>6281</v>
      </c>
      <c r="B2883">
        <v>2883</v>
      </c>
    </row>
    <row r="2884" spans="1:2" x14ac:dyDescent="0.25">
      <c r="A2884" t="s">
        <v>6287</v>
      </c>
      <c r="B2884">
        <v>2884</v>
      </c>
    </row>
    <row r="2885" spans="1:2" x14ac:dyDescent="0.25">
      <c r="A2885" t="s">
        <v>6282</v>
      </c>
      <c r="B2885">
        <v>2885</v>
      </c>
    </row>
    <row r="2886" spans="1:2" x14ac:dyDescent="0.25">
      <c r="A2886" t="s">
        <v>6283</v>
      </c>
      <c r="B2886">
        <v>2886</v>
      </c>
    </row>
    <row r="2887" spans="1:2" x14ac:dyDescent="0.25">
      <c r="A2887" t="s">
        <v>6280</v>
      </c>
      <c r="B2887">
        <v>2887</v>
      </c>
    </row>
    <row r="2888" spans="1:2" x14ac:dyDescent="0.25">
      <c r="A2888" t="s">
        <v>6291</v>
      </c>
      <c r="B2888">
        <v>2888</v>
      </c>
    </row>
    <row r="2889" spans="1:2" x14ac:dyDescent="0.25">
      <c r="A2889" t="s">
        <v>6288</v>
      </c>
      <c r="B2889">
        <v>2889</v>
      </c>
    </row>
    <row r="2890" spans="1:2" x14ac:dyDescent="0.25">
      <c r="A2890" t="s">
        <v>6292</v>
      </c>
      <c r="B2890">
        <v>2890</v>
      </c>
    </row>
    <row r="2891" spans="1:2" x14ac:dyDescent="0.25">
      <c r="A2891" t="s">
        <v>6284</v>
      </c>
      <c r="B2891">
        <v>2891</v>
      </c>
    </row>
    <row r="2892" spans="1:2" x14ac:dyDescent="0.25">
      <c r="A2892" t="s">
        <v>6279</v>
      </c>
      <c r="B2892">
        <v>2892</v>
      </c>
    </row>
    <row r="2893" spans="1:2" x14ac:dyDescent="0.25">
      <c r="A2893" t="s">
        <v>6289</v>
      </c>
      <c r="B2893">
        <v>2893</v>
      </c>
    </row>
    <row r="2894" spans="1:2" x14ac:dyDescent="0.25">
      <c r="A2894" t="s">
        <v>6286</v>
      </c>
      <c r="B2894">
        <v>2894</v>
      </c>
    </row>
    <row r="2895" spans="1:2" x14ac:dyDescent="0.25">
      <c r="A2895" t="s">
        <v>6290</v>
      </c>
      <c r="B2895">
        <v>2895</v>
      </c>
    </row>
    <row r="2896" spans="1:2" x14ac:dyDescent="0.25">
      <c r="A2896" t="s">
        <v>6308</v>
      </c>
      <c r="B2896">
        <v>2896</v>
      </c>
    </row>
    <row r="2897" spans="1:2" x14ac:dyDescent="0.25">
      <c r="A2897" t="s">
        <v>6315</v>
      </c>
      <c r="B2897">
        <v>2897</v>
      </c>
    </row>
    <row r="2898" spans="1:2" x14ac:dyDescent="0.25">
      <c r="A2898" t="s">
        <v>6311</v>
      </c>
      <c r="B2898">
        <v>2898</v>
      </c>
    </row>
    <row r="2899" spans="1:2" x14ac:dyDescent="0.25">
      <c r="A2899" t="s">
        <v>6317</v>
      </c>
      <c r="B2899">
        <v>2899</v>
      </c>
    </row>
    <row r="2900" spans="1:2" x14ac:dyDescent="0.25">
      <c r="A2900" t="s">
        <v>6312</v>
      </c>
      <c r="B2900">
        <v>2900</v>
      </c>
    </row>
    <row r="2901" spans="1:2" x14ac:dyDescent="0.25">
      <c r="A2901" t="s">
        <v>6313</v>
      </c>
      <c r="B2901">
        <v>2901</v>
      </c>
    </row>
    <row r="2902" spans="1:2" x14ac:dyDescent="0.25">
      <c r="A2902" t="s">
        <v>6310</v>
      </c>
      <c r="B2902">
        <v>2902</v>
      </c>
    </row>
    <row r="2903" spans="1:2" x14ac:dyDescent="0.25">
      <c r="A2903" t="s">
        <v>6321</v>
      </c>
      <c r="B2903">
        <v>2903</v>
      </c>
    </row>
    <row r="2904" spans="1:2" x14ac:dyDescent="0.25">
      <c r="A2904" t="s">
        <v>6318</v>
      </c>
      <c r="B2904">
        <v>2904</v>
      </c>
    </row>
    <row r="2905" spans="1:2" x14ac:dyDescent="0.25">
      <c r="A2905" t="s">
        <v>6322</v>
      </c>
      <c r="B2905">
        <v>2905</v>
      </c>
    </row>
    <row r="2906" spans="1:2" x14ac:dyDescent="0.25">
      <c r="A2906" t="s">
        <v>6314</v>
      </c>
      <c r="B2906">
        <v>2906</v>
      </c>
    </row>
    <row r="2907" spans="1:2" x14ac:dyDescent="0.25">
      <c r="A2907" t="s">
        <v>6309</v>
      </c>
      <c r="B2907">
        <v>2907</v>
      </c>
    </row>
    <row r="2908" spans="1:2" x14ac:dyDescent="0.25">
      <c r="A2908" t="s">
        <v>6319</v>
      </c>
      <c r="B2908">
        <v>2908</v>
      </c>
    </row>
    <row r="2909" spans="1:2" x14ac:dyDescent="0.25">
      <c r="A2909" t="s">
        <v>6316</v>
      </c>
      <c r="B2909">
        <v>2909</v>
      </c>
    </row>
    <row r="2910" spans="1:2" x14ac:dyDescent="0.25">
      <c r="A2910" t="s">
        <v>6320</v>
      </c>
      <c r="B2910">
        <v>2910</v>
      </c>
    </row>
    <row r="2911" spans="1:2" x14ac:dyDescent="0.25">
      <c r="A2911" t="s">
        <v>6338</v>
      </c>
      <c r="B2911">
        <v>2911</v>
      </c>
    </row>
    <row r="2912" spans="1:2" x14ac:dyDescent="0.25">
      <c r="A2912" t="s">
        <v>6345</v>
      </c>
      <c r="B2912">
        <v>2912</v>
      </c>
    </row>
    <row r="2913" spans="1:2" x14ac:dyDescent="0.25">
      <c r="A2913" t="s">
        <v>6341</v>
      </c>
      <c r="B2913">
        <v>2913</v>
      </c>
    </row>
    <row r="2914" spans="1:2" x14ac:dyDescent="0.25">
      <c r="A2914" t="s">
        <v>6347</v>
      </c>
      <c r="B2914">
        <v>2914</v>
      </c>
    </row>
    <row r="2915" spans="1:2" x14ac:dyDescent="0.25">
      <c r="A2915" t="s">
        <v>6342</v>
      </c>
      <c r="B2915">
        <v>2915</v>
      </c>
    </row>
    <row r="2916" spans="1:2" x14ac:dyDescent="0.25">
      <c r="A2916" t="s">
        <v>6343</v>
      </c>
      <c r="B2916">
        <v>2916</v>
      </c>
    </row>
    <row r="2917" spans="1:2" x14ac:dyDescent="0.25">
      <c r="A2917" t="s">
        <v>6340</v>
      </c>
      <c r="B2917">
        <v>2917</v>
      </c>
    </row>
    <row r="2918" spans="1:2" x14ac:dyDescent="0.25">
      <c r="A2918" t="s">
        <v>6351</v>
      </c>
      <c r="B2918">
        <v>2918</v>
      </c>
    </row>
    <row r="2919" spans="1:2" x14ac:dyDescent="0.25">
      <c r="A2919" t="s">
        <v>6348</v>
      </c>
      <c r="B2919">
        <v>2919</v>
      </c>
    </row>
    <row r="2920" spans="1:2" x14ac:dyDescent="0.25">
      <c r="A2920" t="s">
        <v>6352</v>
      </c>
      <c r="B2920">
        <v>2920</v>
      </c>
    </row>
    <row r="2921" spans="1:2" x14ac:dyDescent="0.25">
      <c r="A2921" t="s">
        <v>6344</v>
      </c>
      <c r="B2921">
        <v>2921</v>
      </c>
    </row>
    <row r="2922" spans="1:2" x14ac:dyDescent="0.25">
      <c r="A2922" t="s">
        <v>6339</v>
      </c>
      <c r="B2922">
        <v>2922</v>
      </c>
    </row>
    <row r="2923" spans="1:2" x14ac:dyDescent="0.25">
      <c r="A2923" t="s">
        <v>6349</v>
      </c>
      <c r="B2923">
        <v>2923</v>
      </c>
    </row>
    <row r="2924" spans="1:2" x14ac:dyDescent="0.25">
      <c r="A2924" t="s">
        <v>6346</v>
      </c>
      <c r="B2924">
        <v>2924</v>
      </c>
    </row>
    <row r="2925" spans="1:2" x14ac:dyDescent="0.25">
      <c r="A2925" t="s">
        <v>6350</v>
      </c>
      <c r="B2925">
        <v>2925</v>
      </c>
    </row>
    <row r="2926" spans="1:2" x14ac:dyDescent="0.25">
      <c r="A2926" t="s">
        <v>6368</v>
      </c>
      <c r="B2926">
        <v>2926</v>
      </c>
    </row>
    <row r="2927" spans="1:2" x14ac:dyDescent="0.25">
      <c r="A2927" t="s">
        <v>6375</v>
      </c>
      <c r="B2927">
        <v>2927</v>
      </c>
    </row>
    <row r="2928" spans="1:2" x14ac:dyDescent="0.25">
      <c r="A2928" t="s">
        <v>6371</v>
      </c>
      <c r="B2928">
        <v>2928</v>
      </c>
    </row>
    <row r="2929" spans="1:2" x14ac:dyDescent="0.25">
      <c r="A2929" t="s">
        <v>6377</v>
      </c>
      <c r="B2929">
        <v>2929</v>
      </c>
    </row>
    <row r="2930" spans="1:2" x14ac:dyDescent="0.25">
      <c r="A2930" t="s">
        <v>6372</v>
      </c>
      <c r="B2930">
        <v>2930</v>
      </c>
    </row>
    <row r="2931" spans="1:2" x14ac:dyDescent="0.25">
      <c r="A2931" t="s">
        <v>6373</v>
      </c>
      <c r="B2931">
        <v>2931</v>
      </c>
    </row>
    <row r="2932" spans="1:2" x14ac:dyDescent="0.25">
      <c r="A2932" t="s">
        <v>6370</v>
      </c>
      <c r="B2932">
        <v>2932</v>
      </c>
    </row>
    <row r="2933" spans="1:2" x14ac:dyDescent="0.25">
      <c r="A2933" t="s">
        <v>6381</v>
      </c>
      <c r="B2933">
        <v>2933</v>
      </c>
    </row>
    <row r="2934" spans="1:2" x14ac:dyDescent="0.25">
      <c r="A2934" t="s">
        <v>6378</v>
      </c>
      <c r="B2934">
        <v>2934</v>
      </c>
    </row>
    <row r="2935" spans="1:2" x14ac:dyDescent="0.25">
      <c r="A2935" t="s">
        <v>6382</v>
      </c>
      <c r="B2935">
        <v>2935</v>
      </c>
    </row>
    <row r="2936" spans="1:2" x14ac:dyDescent="0.25">
      <c r="A2936" t="s">
        <v>6374</v>
      </c>
      <c r="B2936">
        <v>2936</v>
      </c>
    </row>
    <row r="2937" spans="1:2" x14ac:dyDescent="0.25">
      <c r="A2937" t="s">
        <v>6369</v>
      </c>
      <c r="B2937">
        <v>2937</v>
      </c>
    </row>
    <row r="2938" spans="1:2" x14ac:dyDescent="0.25">
      <c r="A2938" t="s">
        <v>6379</v>
      </c>
      <c r="B2938">
        <v>2938</v>
      </c>
    </row>
    <row r="2939" spans="1:2" x14ac:dyDescent="0.25">
      <c r="A2939" t="s">
        <v>6376</v>
      </c>
      <c r="B2939">
        <v>2939</v>
      </c>
    </row>
    <row r="2940" spans="1:2" x14ac:dyDescent="0.25">
      <c r="A2940" t="s">
        <v>6380</v>
      </c>
      <c r="B2940">
        <v>2940</v>
      </c>
    </row>
    <row r="2941" spans="1:2" x14ac:dyDescent="0.25">
      <c r="A2941" t="s">
        <v>6398</v>
      </c>
      <c r="B2941">
        <v>2941</v>
      </c>
    </row>
    <row r="2942" spans="1:2" x14ac:dyDescent="0.25">
      <c r="A2942" t="s">
        <v>6405</v>
      </c>
      <c r="B2942">
        <v>2942</v>
      </c>
    </row>
    <row r="2943" spans="1:2" x14ac:dyDescent="0.25">
      <c r="A2943" t="s">
        <v>6401</v>
      </c>
      <c r="B2943">
        <v>2943</v>
      </c>
    </row>
    <row r="2944" spans="1:2" x14ac:dyDescent="0.25">
      <c r="A2944" t="s">
        <v>6407</v>
      </c>
      <c r="B2944">
        <v>2944</v>
      </c>
    </row>
    <row r="2945" spans="1:2" x14ac:dyDescent="0.25">
      <c r="A2945" t="s">
        <v>6402</v>
      </c>
      <c r="B2945">
        <v>2945</v>
      </c>
    </row>
    <row r="2946" spans="1:2" x14ac:dyDescent="0.25">
      <c r="A2946" t="s">
        <v>6403</v>
      </c>
      <c r="B2946">
        <v>2946</v>
      </c>
    </row>
    <row r="2947" spans="1:2" x14ac:dyDescent="0.25">
      <c r="A2947" t="s">
        <v>6400</v>
      </c>
      <c r="B2947">
        <v>2947</v>
      </c>
    </row>
    <row r="2948" spans="1:2" x14ac:dyDescent="0.25">
      <c r="A2948" t="s">
        <v>6411</v>
      </c>
      <c r="B2948">
        <v>2948</v>
      </c>
    </row>
    <row r="2949" spans="1:2" x14ac:dyDescent="0.25">
      <c r="A2949" t="s">
        <v>6408</v>
      </c>
      <c r="B2949">
        <v>2949</v>
      </c>
    </row>
    <row r="2950" spans="1:2" x14ac:dyDescent="0.25">
      <c r="A2950" t="s">
        <v>6412</v>
      </c>
      <c r="B2950">
        <v>2950</v>
      </c>
    </row>
    <row r="2951" spans="1:2" x14ac:dyDescent="0.25">
      <c r="A2951" t="s">
        <v>6404</v>
      </c>
      <c r="B2951">
        <v>2951</v>
      </c>
    </row>
    <row r="2952" spans="1:2" x14ac:dyDescent="0.25">
      <c r="A2952" t="s">
        <v>6399</v>
      </c>
      <c r="B2952">
        <v>2952</v>
      </c>
    </row>
    <row r="2953" spans="1:2" x14ac:dyDescent="0.25">
      <c r="A2953" t="s">
        <v>6409</v>
      </c>
      <c r="B2953">
        <v>2953</v>
      </c>
    </row>
    <row r="2954" spans="1:2" x14ac:dyDescent="0.25">
      <c r="A2954" t="s">
        <v>6406</v>
      </c>
      <c r="B2954">
        <v>2954</v>
      </c>
    </row>
    <row r="2955" spans="1:2" x14ac:dyDescent="0.25">
      <c r="A2955" t="s">
        <v>6410</v>
      </c>
      <c r="B2955">
        <v>2955</v>
      </c>
    </row>
    <row r="2956" spans="1:2" x14ac:dyDescent="0.25">
      <c r="A2956" t="s">
        <v>6428</v>
      </c>
      <c r="B2956">
        <v>2956</v>
      </c>
    </row>
    <row r="2957" spans="1:2" x14ac:dyDescent="0.25">
      <c r="A2957" t="s">
        <v>6435</v>
      </c>
      <c r="B2957">
        <v>2957</v>
      </c>
    </row>
    <row r="2958" spans="1:2" x14ac:dyDescent="0.25">
      <c r="A2958" t="s">
        <v>6431</v>
      </c>
      <c r="B2958">
        <v>2958</v>
      </c>
    </row>
    <row r="2959" spans="1:2" x14ac:dyDescent="0.25">
      <c r="A2959" t="s">
        <v>6437</v>
      </c>
      <c r="B2959">
        <v>2959</v>
      </c>
    </row>
    <row r="2960" spans="1:2" x14ac:dyDescent="0.25">
      <c r="A2960" t="s">
        <v>6432</v>
      </c>
      <c r="B2960">
        <v>2960</v>
      </c>
    </row>
    <row r="2961" spans="1:2" x14ac:dyDescent="0.25">
      <c r="A2961" t="s">
        <v>6433</v>
      </c>
      <c r="B2961">
        <v>2961</v>
      </c>
    </row>
    <row r="2962" spans="1:2" x14ac:dyDescent="0.25">
      <c r="A2962" t="s">
        <v>6430</v>
      </c>
      <c r="B2962">
        <v>2962</v>
      </c>
    </row>
    <row r="2963" spans="1:2" x14ac:dyDescent="0.25">
      <c r="A2963" t="s">
        <v>6441</v>
      </c>
      <c r="B2963">
        <v>2963</v>
      </c>
    </row>
    <row r="2964" spans="1:2" x14ac:dyDescent="0.25">
      <c r="A2964" t="s">
        <v>6438</v>
      </c>
      <c r="B2964">
        <v>2964</v>
      </c>
    </row>
    <row r="2965" spans="1:2" x14ac:dyDescent="0.25">
      <c r="A2965" t="s">
        <v>6442</v>
      </c>
      <c r="B2965">
        <v>2965</v>
      </c>
    </row>
    <row r="2966" spans="1:2" x14ac:dyDescent="0.25">
      <c r="A2966" t="s">
        <v>6434</v>
      </c>
      <c r="B2966">
        <v>2966</v>
      </c>
    </row>
    <row r="2967" spans="1:2" x14ac:dyDescent="0.25">
      <c r="A2967" t="s">
        <v>6429</v>
      </c>
      <c r="B2967">
        <v>2967</v>
      </c>
    </row>
    <row r="2968" spans="1:2" x14ac:dyDescent="0.25">
      <c r="A2968" t="s">
        <v>6439</v>
      </c>
      <c r="B2968">
        <v>2968</v>
      </c>
    </row>
    <row r="2969" spans="1:2" x14ac:dyDescent="0.25">
      <c r="A2969" t="s">
        <v>6436</v>
      </c>
      <c r="B2969">
        <v>2969</v>
      </c>
    </row>
    <row r="2970" spans="1:2" x14ac:dyDescent="0.25">
      <c r="A2970" t="s">
        <v>6440</v>
      </c>
      <c r="B2970">
        <v>2970</v>
      </c>
    </row>
    <row r="2971" spans="1:2" x14ac:dyDescent="0.25">
      <c r="A2971" t="s">
        <v>6458</v>
      </c>
      <c r="B2971">
        <v>2971</v>
      </c>
    </row>
    <row r="2972" spans="1:2" x14ac:dyDescent="0.25">
      <c r="A2972" t="s">
        <v>6465</v>
      </c>
      <c r="B2972">
        <v>2972</v>
      </c>
    </row>
    <row r="2973" spans="1:2" x14ac:dyDescent="0.25">
      <c r="A2973" t="s">
        <v>6461</v>
      </c>
      <c r="B2973">
        <v>2973</v>
      </c>
    </row>
    <row r="2974" spans="1:2" x14ac:dyDescent="0.25">
      <c r="A2974" t="s">
        <v>6467</v>
      </c>
      <c r="B2974">
        <v>2974</v>
      </c>
    </row>
    <row r="2975" spans="1:2" x14ac:dyDescent="0.25">
      <c r="A2975" t="s">
        <v>6462</v>
      </c>
      <c r="B2975">
        <v>2975</v>
      </c>
    </row>
    <row r="2976" spans="1:2" x14ac:dyDescent="0.25">
      <c r="A2976" t="s">
        <v>6463</v>
      </c>
      <c r="B2976">
        <v>2976</v>
      </c>
    </row>
    <row r="2977" spans="1:2" x14ac:dyDescent="0.25">
      <c r="A2977" t="s">
        <v>6460</v>
      </c>
      <c r="B2977">
        <v>2977</v>
      </c>
    </row>
    <row r="2978" spans="1:2" x14ac:dyDescent="0.25">
      <c r="A2978" t="s">
        <v>6471</v>
      </c>
      <c r="B2978">
        <v>2978</v>
      </c>
    </row>
    <row r="2979" spans="1:2" x14ac:dyDescent="0.25">
      <c r="A2979" t="s">
        <v>6468</v>
      </c>
      <c r="B2979">
        <v>2979</v>
      </c>
    </row>
    <row r="2980" spans="1:2" x14ac:dyDescent="0.25">
      <c r="A2980" t="s">
        <v>6472</v>
      </c>
      <c r="B2980">
        <v>2980</v>
      </c>
    </row>
    <row r="2981" spans="1:2" x14ac:dyDescent="0.25">
      <c r="A2981" t="s">
        <v>6464</v>
      </c>
      <c r="B2981">
        <v>2981</v>
      </c>
    </row>
    <row r="2982" spans="1:2" x14ac:dyDescent="0.25">
      <c r="A2982" t="s">
        <v>6459</v>
      </c>
      <c r="B2982">
        <v>2982</v>
      </c>
    </row>
    <row r="2983" spans="1:2" x14ac:dyDescent="0.25">
      <c r="A2983" t="s">
        <v>6469</v>
      </c>
      <c r="B2983">
        <v>2983</v>
      </c>
    </row>
    <row r="2984" spans="1:2" x14ac:dyDescent="0.25">
      <c r="A2984" t="s">
        <v>6466</v>
      </c>
      <c r="B2984">
        <v>2984</v>
      </c>
    </row>
    <row r="2985" spans="1:2" x14ac:dyDescent="0.25">
      <c r="A2985" t="s">
        <v>6470</v>
      </c>
      <c r="B2985">
        <v>2985</v>
      </c>
    </row>
    <row r="2986" spans="1:2" x14ac:dyDescent="0.25">
      <c r="A2986" t="s">
        <v>6488</v>
      </c>
      <c r="B2986">
        <v>2986</v>
      </c>
    </row>
    <row r="2987" spans="1:2" x14ac:dyDescent="0.25">
      <c r="A2987" t="s">
        <v>6495</v>
      </c>
      <c r="B2987">
        <v>2987</v>
      </c>
    </row>
    <row r="2988" spans="1:2" x14ac:dyDescent="0.25">
      <c r="A2988" t="s">
        <v>6491</v>
      </c>
      <c r="B2988">
        <v>2988</v>
      </c>
    </row>
    <row r="2989" spans="1:2" x14ac:dyDescent="0.25">
      <c r="A2989" t="s">
        <v>6497</v>
      </c>
      <c r="B2989">
        <v>2989</v>
      </c>
    </row>
    <row r="2990" spans="1:2" x14ac:dyDescent="0.25">
      <c r="A2990" t="s">
        <v>6492</v>
      </c>
      <c r="B2990">
        <v>2990</v>
      </c>
    </row>
    <row r="2991" spans="1:2" x14ac:dyDescent="0.25">
      <c r="A2991" t="s">
        <v>6493</v>
      </c>
      <c r="B2991">
        <v>2991</v>
      </c>
    </row>
    <row r="2992" spans="1:2" x14ac:dyDescent="0.25">
      <c r="A2992" t="s">
        <v>6490</v>
      </c>
      <c r="B2992">
        <v>2992</v>
      </c>
    </row>
    <row r="2993" spans="1:2" x14ac:dyDescent="0.25">
      <c r="A2993" t="s">
        <v>6501</v>
      </c>
      <c r="B2993">
        <v>2993</v>
      </c>
    </row>
    <row r="2994" spans="1:2" x14ac:dyDescent="0.25">
      <c r="A2994" t="s">
        <v>6498</v>
      </c>
      <c r="B2994">
        <v>2994</v>
      </c>
    </row>
    <row r="2995" spans="1:2" x14ac:dyDescent="0.25">
      <c r="A2995" t="s">
        <v>6502</v>
      </c>
      <c r="B2995">
        <v>2995</v>
      </c>
    </row>
    <row r="2996" spans="1:2" x14ac:dyDescent="0.25">
      <c r="A2996" t="s">
        <v>6494</v>
      </c>
      <c r="B2996">
        <v>2996</v>
      </c>
    </row>
    <row r="2997" spans="1:2" x14ac:dyDescent="0.25">
      <c r="A2997" t="s">
        <v>6489</v>
      </c>
      <c r="B2997">
        <v>2997</v>
      </c>
    </row>
    <row r="2998" spans="1:2" x14ac:dyDescent="0.25">
      <c r="A2998" t="s">
        <v>6499</v>
      </c>
      <c r="B2998">
        <v>2998</v>
      </c>
    </row>
    <row r="2999" spans="1:2" x14ac:dyDescent="0.25">
      <c r="A2999" t="s">
        <v>6496</v>
      </c>
      <c r="B2999">
        <v>2999</v>
      </c>
    </row>
    <row r="3000" spans="1:2" x14ac:dyDescent="0.25">
      <c r="A3000" t="s">
        <v>6500</v>
      </c>
      <c r="B3000">
        <v>3000</v>
      </c>
    </row>
    <row r="3001" spans="1:2" x14ac:dyDescent="0.25">
      <c r="A3001" t="s">
        <v>6518</v>
      </c>
      <c r="B3001">
        <v>3001</v>
      </c>
    </row>
    <row r="3002" spans="1:2" x14ac:dyDescent="0.25">
      <c r="A3002" t="s">
        <v>6525</v>
      </c>
      <c r="B3002">
        <v>3002</v>
      </c>
    </row>
    <row r="3003" spans="1:2" x14ac:dyDescent="0.25">
      <c r="A3003" t="s">
        <v>6521</v>
      </c>
      <c r="B3003">
        <v>3003</v>
      </c>
    </row>
    <row r="3004" spans="1:2" x14ac:dyDescent="0.25">
      <c r="A3004" t="s">
        <v>6527</v>
      </c>
      <c r="B3004">
        <v>3004</v>
      </c>
    </row>
    <row r="3005" spans="1:2" x14ac:dyDescent="0.25">
      <c r="A3005" t="s">
        <v>6522</v>
      </c>
      <c r="B3005">
        <v>3005</v>
      </c>
    </row>
    <row r="3006" spans="1:2" x14ac:dyDescent="0.25">
      <c r="A3006" t="s">
        <v>6523</v>
      </c>
      <c r="B3006">
        <v>3006</v>
      </c>
    </row>
    <row r="3007" spans="1:2" x14ac:dyDescent="0.25">
      <c r="A3007" t="s">
        <v>6520</v>
      </c>
      <c r="B3007">
        <v>3007</v>
      </c>
    </row>
    <row r="3008" spans="1:2" x14ac:dyDescent="0.25">
      <c r="A3008" t="s">
        <v>6531</v>
      </c>
      <c r="B3008">
        <v>3008</v>
      </c>
    </row>
    <row r="3009" spans="1:2" x14ac:dyDescent="0.25">
      <c r="A3009" t="s">
        <v>6528</v>
      </c>
      <c r="B3009">
        <v>3009</v>
      </c>
    </row>
    <row r="3010" spans="1:2" x14ac:dyDescent="0.25">
      <c r="A3010" t="s">
        <v>6532</v>
      </c>
      <c r="B3010">
        <v>3010</v>
      </c>
    </row>
    <row r="3011" spans="1:2" x14ac:dyDescent="0.25">
      <c r="A3011" t="s">
        <v>6524</v>
      </c>
      <c r="B3011">
        <v>3011</v>
      </c>
    </row>
    <row r="3012" spans="1:2" x14ac:dyDescent="0.25">
      <c r="A3012" t="s">
        <v>6519</v>
      </c>
      <c r="B3012">
        <v>3012</v>
      </c>
    </row>
    <row r="3013" spans="1:2" x14ac:dyDescent="0.25">
      <c r="A3013" t="s">
        <v>6529</v>
      </c>
      <c r="B3013">
        <v>3013</v>
      </c>
    </row>
    <row r="3014" spans="1:2" x14ac:dyDescent="0.25">
      <c r="A3014" t="s">
        <v>6526</v>
      </c>
      <c r="B3014">
        <v>3014</v>
      </c>
    </row>
    <row r="3015" spans="1:2" x14ac:dyDescent="0.25">
      <c r="A3015" t="s">
        <v>6530</v>
      </c>
      <c r="B3015">
        <v>3015</v>
      </c>
    </row>
    <row r="3016" spans="1:2" x14ac:dyDescent="0.25">
      <c r="A3016" t="s">
        <v>6548</v>
      </c>
      <c r="B3016">
        <v>3016</v>
      </c>
    </row>
    <row r="3017" spans="1:2" x14ac:dyDescent="0.25">
      <c r="A3017" t="s">
        <v>6555</v>
      </c>
      <c r="B3017">
        <v>3017</v>
      </c>
    </row>
    <row r="3018" spans="1:2" x14ac:dyDescent="0.25">
      <c r="A3018" t="s">
        <v>6551</v>
      </c>
      <c r="B3018">
        <v>3018</v>
      </c>
    </row>
    <row r="3019" spans="1:2" x14ac:dyDescent="0.25">
      <c r="A3019" t="s">
        <v>6557</v>
      </c>
      <c r="B3019">
        <v>3019</v>
      </c>
    </row>
    <row r="3020" spans="1:2" x14ac:dyDescent="0.25">
      <c r="A3020" t="s">
        <v>6552</v>
      </c>
      <c r="B3020">
        <v>3020</v>
      </c>
    </row>
    <row r="3021" spans="1:2" x14ac:dyDescent="0.25">
      <c r="A3021" t="s">
        <v>6553</v>
      </c>
      <c r="B3021">
        <v>3021</v>
      </c>
    </row>
    <row r="3022" spans="1:2" x14ac:dyDescent="0.25">
      <c r="A3022" t="s">
        <v>6550</v>
      </c>
      <c r="B3022">
        <v>3022</v>
      </c>
    </row>
    <row r="3023" spans="1:2" x14ac:dyDescent="0.25">
      <c r="A3023" t="s">
        <v>6561</v>
      </c>
      <c r="B3023">
        <v>3023</v>
      </c>
    </row>
    <row r="3024" spans="1:2" x14ac:dyDescent="0.25">
      <c r="A3024" t="s">
        <v>6558</v>
      </c>
      <c r="B3024">
        <v>3024</v>
      </c>
    </row>
    <row r="3025" spans="1:2" x14ac:dyDescent="0.25">
      <c r="A3025" t="s">
        <v>6562</v>
      </c>
      <c r="B3025">
        <v>3025</v>
      </c>
    </row>
    <row r="3026" spans="1:2" x14ac:dyDescent="0.25">
      <c r="A3026" t="s">
        <v>6554</v>
      </c>
      <c r="B3026">
        <v>3026</v>
      </c>
    </row>
    <row r="3027" spans="1:2" x14ac:dyDescent="0.25">
      <c r="A3027" t="s">
        <v>6549</v>
      </c>
      <c r="B3027">
        <v>3027</v>
      </c>
    </row>
    <row r="3028" spans="1:2" x14ac:dyDescent="0.25">
      <c r="A3028" t="s">
        <v>6559</v>
      </c>
      <c r="B3028">
        <v>3028</v>
      </c>
    </row>
    <row r="3029" spans="1:2" x14ac:dyDescent="0.25">
      <c r="A3029" t="s">
        <v>6556</v>
      </c>
      <c r="B3029">
        <v>3029</v>
      </c>
    </row>
    <row r="3030" spans="1:2" x14ac:dyDescent="0.25">
      <c r="A3030" t="s">
        <v>6560</v>
      </c>
      <c r="B3030">
        <v>3030</v>
      </c>
    </row>
    <row r="3031" spans="1:2" x14ac:dyDescent="0.25">
      <c r="A3031" t="s">
        <v>6578</v>
      </c>
      <c r="B3031">
        <v>3031</v>
      </c>
    </row>
    <row r="3032" spans="1:2" x14ac:dyDescent="0.25">
      <c r="A3032" t="s">
        <v>6585</v>
      </c>
      <c r="B3032">
        <v>3032</v>
      </c>
    </row>
    <row r="3033" spans="1:2" x14ac:dyDescent="0.25">
      <c r="A3033" t="s">
        <v>6581</v>
      </c>
      <c r="B3033">
        <v>3033</v>
      </c>
    </row>
    <row r="3034" spans="1:2" x14ac:dyDescent="0.25">
      <c r="A3034" t="s">
        <v>6587</v>
      </c>
      <c r="B3034">
        <v>3034</v>
      </c>
    </row>
    <row r="3035" spans="1:2" x14ac:dyDescent="0.25">
      <c r="A3035" t="s">
        <v>6582</v>
      </c>
      <c r="B3035">
        <v>3035</v>
      </c>
    </row>
    <row r="3036" spans="1:2" x14ac:dyDescent="0.25">
      <c r="A3036" t="s">
        <v>6583</v>
      </c>
      <c r="B3036">
        <v>3036</v>
      </c>
    </row>
    <row r="3037" spans="1:2" x14ac:dyDescent="0.25">
      <c r="A3037" t="s">
        <v>6580</v>
      </c>
      <c r="B3037">
        <v>3037</v>
      </c>
    </row>
    <row r="3038" spans="1:2" x14ac:dyDescent="0.25">
      <c r="A3038" t="s">
        <v>6591</v>
      </c>
      <c r="B3038">
        <v>3038</v>
      </c>
    </row>
    <row r="3039" spans="1:2" x14ac:dyDescent="0.25">
      <c r="A3039" t="s">
        <v>6588</v>
      </c>
      <c r="B3039">
        <v>3039</v>
      </c>
    </row>
    <row r="3040" spans="1:2" x14ac:dyDescent="0.25">
      <c r="A3040" t="s">
        <v>6592</v>
      </c>
      <c r="B3040">
        <v>3040</v>
      </c>
    </row>
    <row r="3041" spans="1:2" x14ac:dyDescent="0.25">
      <c r="A3041" t="s">
        <v>6584</v>
      </c>
      <c r="B3041">
        <v>3041</v>
      </c>
    </row>
    <row r="3042" spans="1:2" x14ac:dyDescent="0.25">
      <c r="A3042" t="s">
        <v>6579</v>
      </c>
      <c r="B3042">
        <v>3042</v>
      </c>
    </row>
    <row r="3043" spans="1:2" x14ac:dyDescent="0.25">
      <c r="A3043" t="s">
        <v>6589</v>
      </c>
      <c r="B3043">
        <v>3043</v>
      </c>
    </row>
    <row r="3044" spans="1:2" x14ac:dyDescent="0.25">
      <c r="A3044" t="s">
        <v>6586</v>
      </c>
      <c r="B3044">
        <v>3044</v>
      </c>
    </row>
    <row r="3045" spans="1:2" x14ac:dyDescent="0.25">
      <c r="A3045" t="s">
        <v>6590</v>
      </c>
      <c r="B3045">
        <v>3045</v>
      </c>
    </row>
    <row r="3046" spans="1:2" x14ac:dyDescent="0.25">
      <c r="A3046" t="s">
        <v>3325</v>
      </c>
      <c r="B3046">
        <v>3046</v>
      </c>
    </row>
    <row r="3047" spans="1:2" x14ac:dyDescent="0.25">
      <c r="A3047" t="s">
        <v>3355</v>
      </c>
      <c r="B3047">
        <v>3047</v>
      </c>
    </row>
    <row r="3048" spans="1:2" x14ac:dyDescent="0.25">
      <c r="A3048" t="s">
        <v>3385</v>
      </c>
      <c r="B3048">
        <v>3048</v>
      </c>
    </row>
    <row r="3049" spans="1:2" x14ac:dyDescent="0.25">
      <c r="A3049" t="s">
        <v>3415</v>
      </c>
      <c r="B3049">
        <v>3049</v>
      </c>
    </row>
    <row r="3050" spans="1:2" x14ac:dyDescent="0.25">
      <c r="A3050" t="s">
        <v>3445</v>
      </c>
      <c r="B3050">
        <v>3050</v>
      </c>
    </row>
    <row r="3051" spans="1:2" x14ac:dyDescent="0.25">
      <c r="A3051" t="s">
        <v>3475</v>
      </c>
      <c r="B3051">
        <v>3051</v>
      </c>
    </row>
    <row r="3052" spans="1:2" x14ac:dyDescent="0.25">
      <c r="A3052" t="s">
        <v>3505</v>
      </c>
      <c r="B3052">
        <v>3052</v>
      </c>
    </row>
    <row r="3053" spans="1:2" x14ac:dyDescent="0.25">
      <c r="A3053" t="s">
        <v>3535</v>
      </c>
      <c r="B3053">
        <v>3053</v>
      </c>
    </row>
    <row r="3054" spans="1:2" x14ac:dyDescent="0.25">
      <c r="A3054" t="s">
        <v>3565</v>
      </c>
      <c r="B3054">
        <v>3054</v>
      </c>
    </row>
    <row r="3055" spans="1:2" x14ac:dyDescent="0.25">
      <c r="A3055" t="s">
        <v>3595</v>
      </c>
      <c r="B3055">
        <v>3055</v>
      </c>
    </row>
    <row r="3056" spans="1:2" x14ac:dyDescent="0.25">
      <c r="A3056" t="s">
        <v>3625</v>
      </c>
      <c r="B3056">
        <v>3056</v>
      </c>
    </row>
    <row r="3057" spans="1:2" x14ac:dyDescent="0.25">
      <c r="A3057" t="s">
        <v>3655</v>
      </c>
      <c r="B3057">
        <v>3057</v>
      </c>
    </row>
    <row r="3058" spans="1:2" x14ac:dyDescent="0.25">
      <c r="A3058" t="s">
        <v>3685</v>
      </c>
      <c r="B3058">
        <v>3058</v>
      </c>
    </row>
    <row r="3059" spans="1:2" x14ac:dyDescent="0.25">
      <c r="A3059" t="s">
        <v>3715</v>
      </c>
      <c r="B3059">
        <v>3059</v>
      </c>
    </row>
    <row r="3060" spans="1:2" x14ac:dyDescent="0.25">
      <c r="A3060" t="s">
        <v>3745</v>
      </c>
      <c r="B3060">
        <v>3060</v>
      </c>
    </row>
    <row r="3061" spans="1:2" x14ac:dyDescent="0.25">
      <c r="A3061" t="s">
        <v>3775</v>
      </c>
      <c r="B3061">
        <v>3061</v>
      </c>
    </row>
    <row r="3062" spans="1:2" x14ac:dyDescent="0.25">
      <c r="A3062" t="s">
        <v>3805</v>
      </c>
      <c r="B3062">
        <v>3062</v>
      </c>
    </row>
    <row r="3063" spans="1:2" x14ac:dyDescent="0.25">
      <c r="A3063" t="s">
        <v>3835</v>
      </c>
      <c r="B3063">
        <v>3063</v>
      </c>
    </row>
    <row r="3064" spans="1:2" x14ac:dyDescent="0.25">
      <c r="A3064" t="s">
        <v>3865</v>
      </c>
      <c r="B3064">
        <v>3064</v>
      </c>
    </row>
    <row r="3065" spans="1:2" x14ac:dyDescent="0.25">
      <c r="A3065" t="s">
        <v>3895</v>
      </c>
      <c r="B3065">
        <v>3065</v>
      </c>
    </row>
    <row r="3066" spans="1:2" x14ac:dyDescent="0.25">
      <c r="A3066" t="s">
        <v>3925</v>
      </c>
      <c r="B3066">
        <v>3066</v>
      </c>
    </row>
    <row r="3067" spans="1:2" x14ac:dyDescent="0.25">
      <c r="A3067" t="s">
        <v>3955</v>
      </c>
      <c r="B3067">
        <v>3067</v>
      </c>
    </row>
    <row r="3068" spans="1:2" x14ac:dyDescent="0.25">
      <c r="A3068" t="s">
        <v>3985</v>
      </c>
      <c r="B3068">
        <v>3068</v>
      </c>
    </row>
    <row r="3069" spans="1:2" x14ac:dyDescent="0.25">
      <c r="A3069" t="s">
        <v>4015</v>
      </c>
      <c r="B3069">
        <v>3069</v>
      </c>
    </row>
    <row r="3070" spans="1:2" x14ac:dyDescent="0.25">
      <c r="A3070" t="s">
        <v>4045</v>
      </c>
      <c r="B3070">
        <v>3070</v>
      </c>
    </row>
    <row r="3071" spans="1:2" x14ac:dyDescent="0.25">
      <c r="A3071" t="s">
        <v>4075</v>
      </c>
      <c r="B3071">
        <v>3071</v>
      </c>
    </row>
    <row r="3072" spans="1:2" x14ac:dyDescent="0.25">
      <c r="A3072" t="s">
        <v>4105</v>
      </c>
      <c r="B3072">
        <v>3072</v>
      </c>
    </row>
    <row r="3073" spans="1:2" x14ac:dyDescent="0.25">
      <c r="A3073" t="s">
        <v>4134</v>
      </c>
      <c r="B3073">
        <v>3073</v>
      </c>
    </row>
    <row r="3074" spans="1:2" x14ac:dyDescent="0.25">
      <c r="A3074" t="s">
        <v>4134</v>
      </c>
      <c r="B3074">
        <v>3074</v>
      </c>
    </row>
    <row r="3075" spans="1:2" x14ac:dyDescent="0.25">
      <c r="A3075" t="s">
        <v>4164</v>
      </c>
      <c r="B3075">
        <v>3075</v>
      </c>
    </row>
    <row r="3076" spans="1:2" x14ac:dyDescent="0.25">
      <c r="A3076" t="s">
        <v>4194</v>
      </c>
      <c r="B3076">
        <v>3076</v>
      </c>
    </row>
    <row r="3077" spans="1:2" x14ac:dyDescent="0.25">
      <c r="A3077" t="s">
        <v>4224</v>
      </c>
      <c r="B3077">
        <v>3077</v>
      </c>
    </row>
    <row r="3078" spans="1:2" x14ac:dyDescent="0.25">
      <c r="A3078" t="s">
        <v>4254</v>
      </c>
      <c r="B3078">
        <v>3078</v>
      </c>
    </row>
    <row r="3079" spans="1:2" x14ac:dyDescent="0.25">
      <c r="A3079" t="s">
        <v>4284</v>
      </c>
      <c r="B3079">
        <v>3079</v>
      </c>
    </row>
    <row r="3080" spans="1:2" x14ac:dyDescent="0.25">
      <c r="A3080" t="s">
        <v>4314</v>
      </c>
      <c r="B3080">
        <v>3080</v>
      </c>
    </row>
    <row r="3081" spans="1:2" x14ac:dyDescent="0.25">
      <c r="A3081" t="s">
        <v>4344</v>
      </c>
      <c r="B3081">
        <v>3081</v>
      </c>
    </row>
    <row r="3082" spans="1:2" x14ac:dyDescent="0.25">
      <c r="A3082" t="s">
        <v>4374</v>
      </c>
      <c r="B3082">
        <v>3082</v>
      </c>
    </row>
    <row r="3083" spans="1:2" x14ac:dyDescent="0.25">
      <c r="A3083" t="s">
        <v>4404</v>
      </c>
      <c r="B3083">
        <v>3083</v>
      </c>
    </row>
    <row r="3084" spans="1:2" x14ac:dyDescent="0.25">
      <c r="A3084" t="s">
        <v>4434</v>
      </c>
      <c r="B3084">
        <v>3084</v>
      </c>
    </row>
    <row r="3085" spans="1:2" x14ac:dyDescent="0.25">
      <c r="A3085" t="s">
        <v>4464</v>
      </c>
      <c r="B3085">
        <v>3085</v>
      </c>
    </row>
    <row r="3086" spans="1:2" x14ac:dyDescent="0.25">
      <c r="A3086" t="s">
        <v>4494</v>
      </c>
      <c r="B3086">
        <v>3086</v>
      </c>
    </row>
    <row r="3087" spans="1:2" x14ac:dyDescent="0.25">
      <c r="A3087" t="s">
        <v>4524</v>
      </c>
      <c r="B3087">
        <v>3087</v>
      </c>
    </row>
    <row r="3088" spans="1:2" x14ac:dyDescent="0.25">
      <c r="A3088" t="s">
        <v>4554</v>
      </c>
      <c r="B3088">
        <v>3088</v>
      </c>
    </row>
    <row r="3089" spans="1:2" x14ac:dyDescent="0.25">
      <c r="A3089" t="s">
        <v>4581</v>
      </c>
      <c r="B3089">
        <v>3089</v>
      </c>
    </row>
    <row r="3090" spans="1:2" x14ac:dyDescent="0.25">
      <c r="A3090" t="s">
        <v>4581</v>
      </c>
      <c r="B3090">
        <v>3090</v>
      </c>
    </row>
    <row r="3091" spans="1:2" x14ac:dyDescent="0.25">
      <c r="A3091" t="s">
        <v>4611</v>
      </c>
      <c r="B3091">
        <v>3091</v>
      </c>
    </row>
    <row r="3092" spans="1:2" x14ac:dyDescent="0.25">
      <c r="A3092" t="s">
        <v>4641</v>
      </c>
      <c r="B3092">
        <v>3092</v>
      </c>
    </row>
    <row r="3093" spans="1:2" x14ac:dyDescent="0.25">
      <c r="A3093" t="s">
        <v>4671</v>
      </c>
      <c r="B3093">
        <v>3093</v>
      </c>
    </row>
    <row r="3094" spans="1:2" x14ac:dyDescent="0.25">
      <c r="A3094" t="s">
        <v>4701</v>
      </c>
      <c r="B3094">
        <v>3094</v>
      </c>
    </row>
    <row r="3095" spans="1:2" x14ac:dyDescent="0.25">
      <c r="A3095" t="s">
        <v>4731</v>
      </c>
      <c r="B3095">
        <v>3095</v>
      </c>
    </row>
    <row r="3096" spans="1:2" x14ac:dyDescent="0.25">
      <c r="A3096" t="s">
        <v>4756</v>
      </c>
      <c r="B3096">
        <v>3096</v>
      </c>
    </row>
    <row r="3097" spans="1:2" x14ac:dyDescent="0.25">
      <c r="A3097" t="s">
        <v>4756</v>
      </c>
      <c r="B3097">
        <v>3097</v>
      </c>
    </row>
    <row r="3098" spans="1:2" x14ac:dyDescent="0.25">
      <c r="A3098" t="s">
        <v>4786</v>
      </c>
      <c r="B3098">
        <v>3098</v>
      </c>
    </row>
    <row r="3099" spans="1:2" x14ac:dyDescent="0.25">
      <c r="A3099" t="s">
        <v>4816</v>
      </c>
      <c r="B3099">
        <v>3099</v>
      </c>
    </row>
    <row r="3100" spans="1:2" x14ac:dyDescent="0.25">
      <c r="A3100" t="s">
        <v>4846</v>
      </c>
      <c r="B3100">
        <v>3100</v>
      </c>
    </row>
    <row r="3101" spans="1:2" x14ac:dyDescent="0.25">
      <c r="A3101" t="s">
        <v>4876</v>
      </c>
      <c r="B3101">
        <v>3101</v>
      </c>
    </row>
    <row r="3102" spans="1:2" x14ac:dyDescent="0.25">
      <c r="A3102" t="s">
        <v>4906</v>
      </c>
      <c r="B3102">
        <v>3102</v>
      </c>
    </row>
    <row r="3103" spans="1:2" x14ac:dyDescent="0.25">
      <c r="A3103" t="s">
        <v>4936</v>
      </c>
      <c r="B3103">
        <v>3103</v>
      </c>
    </row>
    <row r="3104" spans="1:2" x14ac:dyDescent="0.25">
      <c r="A3104" t="s">
        <v>4966</v>
      </c>
      <c r="B3104">
        <v>3104</v>
      </c>
    </row>
    <row r="3105" spans="1:2" x14ac:dyDescent="0.25">
      <c r="A3105" t="s">
        <v>4996</v>
      </c>
      <c r="B3105">
        <v>3105</v>
      </c>
    </row>
    <row r="3106" spans="1:2" x14ac:dyDescent="0.25">
      <c r="A3106" t="s">
        <v>5026</v>
      </c>
      <c r="B3106">
        <v>3106</v>
      </c>
    </row>
    <row r="3107" spans="1:2" x14ac:dyDescent="0.25">
      <c r="A3107" t="s">
        <v>5056</v>
      </c>
      <c r="B3107">
        <v>3107</v>
      </c>
    </row>
    <row r="3108" spans="1:2" x14ac:dyDescent="0.25">
      <c r="A3108" t="s">
        <v>5079</v>
      </c>
      <c r="B3108">
        <v>3108</v>
      </c>
    </row>
    <row r="3109" spans="1:2" x14ac:dyDescent="0.25">
      <c r="A3109" t="s">
        <v>5079</v>
      </c>
      <c r="B3109">
        <v>3109</v>
      </c>
    </row>
    <row r="3110" spans="1:2" x14ac:dyDescent="0.25">
      <c r="A3110" t="s">
        <v>5100</v>
      </c>
      <c r="B3110">
        <v>3110</v>
      </c>
    </row>
    <row r="3111" spans="1:2" x14ac:dyDescent="0.25">
      <c r="A3111" t="s">
        <v>5100</v>
      </c>
      <c r="B3111">
        <v>3111</v>
      </c>
    </row>
    <row r="3112" spans="1:2" x14ac:dyDescent="0.25">
      <c r="A3112" t="s">
        <v>5119</v>
      </c>
      <c r="B3112">
        <v>3112</v>
      </c>
    </row>
    <row r="3113" spans="1:2" x14ac:dyDescent="0.25">
      <c r="A3113" t="s">
        <v>5119</v>
      </c>
      <c r="B3113">
        <v>3113</v>
      </c>
    </row>
    <row r="3114" spans="1:2" x14ac:dyDescent="0.25">
      <c r="A3114" t="s">
        <v>5149</v>
      </c>
      <c r="B3114">
        <v>3114</v>
      </c>
    </row>
    <row r="3115" spans="1:2" x14ac:dyDescent="0.25">
      <c r="A3115" t="s">
        <v>5179</v>
      </c>
      <c r="B3115">
        <v>3115</v>
      </c>
    </row>
    <row r="3116" spans="1:2" x14ac:dyDescent="0.25">
      <c r="A3116" t="s">
        <v>5209</v>
      </c>
      <c r="B3116">
        <v>3116</v>
      </c>
    </row>
    <row r="3117" spans="1:2" x14ac:dyDescent="0.25">
      <c r="A3117" t="s">
        <v>5239</v>
      </c>
      <c r="B3117">
        <v>3117</v>
      </c>
    </row>
    <row r="3118" spans="1:2" x14ac:dyDescent="0.25">
      <c r="A3118" t="s">
        <v>5269</v>
      </c>
      <c r="B3118">
        <v>3118</v>
      </c>
    </row>
    <row r="3119" spans="1:2" x14ac:dyDescent="0.25">
      <c r="A3119" t="s">
        <v>5299</v>
      </c>
      <c r="B3119">
        <v>3119</v>
      </c>
    </row>
    <row r="3120" spans="1:2" x14ac:dyDescent="0.25">
      <c r="A3120" t="s">
        <v>5329</v>
      </c>
      <c r="B3120">
        <v>3120</v>
      </c>
    </row>
    <row r="3121" spans="1:2" x14ac:dyDescent="0.25">
      <c r="A3121" t="s">
        <v>5359</v>
      </c>
      <c r="B3121">
        <v>3121</v>
      </c>
    </row>
    <row r="3122" spans="1:2" x14ac:dyDescent="0.25">
      <c r="A3122" t="s">
        <v>5389</v>
      </c>
      <c r="B3122">
        <v>3122</v>
      </c>
    </row>
    <row r="3123" spans="1:2" x14ac:dyDescent="0.25">
      <c r="A3123" t="s">
        <v>5419</v>
      </c>
      <c r="B3123">
        <v>3123</v>
      </c>
    </row>
    <row r="3124" spans="1:2" x14ac:dyDescent="0.25">
      <c r="A3124" t="s">
        <v>5449</v>
      </c>
      <c r="B3124">
        <v>3124</v>
      </c>
    </row>
    <row r="3125" spans="1:2" x14ac:dyDescent="0.25">
      <c r="A3125" t="s">
        <v>5479</v>
      </c>
      <c r="B3125">
        <v>3125</v>
      </c>
    </row>
    <row r="3126" spans="1:2" x14ac:dyDescent="0.25">
      <c r="A3126" t="s">
        <v>5509</v>
      </c>
      <c r="B3126">
        <v>3126</v>
      </c>
    </row>
    <row r="3127" spans="1:2" x14ac:dyDescent="0.25">
      <c r="A3127" t="s">
        <v>5539</v>
      </c>
      <c r="B3127">
        <v>3127</v>
      </c>
    </row>
    <row r="3128" spans="1:2" x14ac:dyDescent="0.25">
      <c r="A3128" t="s">
        <v>5569</v>
      </c>
      <c r="B3128">
        <v>3128</v>
      </c>
    </row>
    <row r="3129" spans="1:2" x14ac:dyDescent="0.25">
      <c r="A3129" t="s">
        <v>5599</v>
      </c>
      <c r="B3129">
        <v>3129</v>
      </c>
    </row>
    <row r="3130" spans="1:2" x14ac:dyDescent="0.25">
      <c r="A3130" t="s">
        <v>5629</v>
      </c>
      <c r="B3130">
        <v>3130</v>
      </c>
    </row>
    <row r="3131" spans="1:2" x14ac:dyDescent="0.25">
      <c r="A3131" t="s">
        <v>5659</v>
      </c>
      <c r="B3131">
        <v>3131</v>
      </c>
    </row>
    <row r="3132" spans="1:2" x14ac:dyDescent="0.25">
      <c r="A3132" t="s">
        <v>5689</v>
      </c>
      <c r="B3132">
        <v>3132</v>
      </c>
    </row>
    <row r="3133" spans="1:2" x14ac:dyDescent="0.25">
      <c r="A3133" t="s">
        <v>5719</v>
      </c>
      <c r="B3133">
        <v>3133</v>
      </c>
    </row>
    <row r="3134" spans="1:2" x14ac:dyDescent="0.25">
      <c r="A3134" t="s">
        <v>5749</v>
      </c>
      <c r="B3134">
        <v>3134</v>
      </c>
    </row>
    <row r="3135" spans="1:2" x14ac:dyDescent="0.25">
      <c r="A3135" t="s">
        <v>5779</v>
      </c>
      <c r="B3135">
        <v>3135</v>
      </c>
    </row>
    <row r="3136" spans="1:2" x14ac:dyDescent="0.25">
      <c r="A3136" t="s">
        <v>5809</v>
      </c>
      <c r="B3136">
        <v>3136</v>
      </c>
    </row>
    <row r="3137" spans="1:2" x14ac:dyDescent="0.25">
      <c r="A3137" t="s">
        <v>5839</v>
      </c>
      <c r="B3137">
        <v>3137</v>
      </c>
    </row>
    <row r="3138" spans="1:2" x14ac:dyDescent="0.25">
      <c r="A3138" t="s">
        <v>5869</v>
      </c>
      <c r="B3138">
        <v>3138</v>
      </c>
    </row>
    <row r="3139" spans="1:2" x14ac:dyDescent="0.25">
      <c r="A3139" t="s">
        <v>5899</v>
      </c>
      <c r="B3139">
        <v>3139</v>
      </c>
    </row>
    <row r="3140" spans="1:2" x14ac:dyDescent="0.25">
      <c r="A3140" t="s">
        <v>5929</v>
      </c>
      <c r="B3140">
        <v>3140</v>
      </c>
    </row>
    <row r="3141" spans="1:2" x14ac:dyDescent="0.25">
      <c r="A3141" t="s">
        <v>5959</v>
      </c>
      <c r="B3141">
        <v>3141</v>
      </c>
    </row>
    <row r="3142" spans="1:2" x14ac:dyDescent="0.25">
      <c r="A3142" t="s">
        <v>5989</v>
      </c>
      <c r="B3142">
        <v>3142</v>
      </c>
    </row>
    <row r="3143" spans="1:2" x14ac:dyDescent="0.25">
      <c r="A3143" t="s">
        <v>6019</v>
      </c>
      <c r="B3143">
        <v>3143</v>
      </c>
    </row>
    <row r="3144" spans="1:2" x14ac:dyDescent="0.25">
      <c r="A3144" t="s">
        <v>6049</v>
      </c>
      <c r="B3144">
        <v>3144</v>
      </c>
    </row>
    <row r="3145" spans="1:2" x14ac:dyDescent="0.25">
      <c r="A3145" t="s">
        <v>6066</v>
      </c>
      <c r="B3145">
        <v>3145</v>
      </c>
    </row>
    <row r="3146" spans="1:2" x14ac:dyDescent="0.25">
      <c r="A3146" t="s">
        <v>6066</v>
      </c>
      <c r="B3146">
        <v>3146</v>
      </c>
    </row>
    <row r="3147" spans="1:2" x14ac:dyDescent="0.25">
      <c r="A3147" t="s">
        <v>6096</v>
      </c>
      <c r="B3147">
        <v>3147</v>
      </c>
    </row>
    <row r="3148" spans="1:2" x14ac:dyDescent="0.25">
      <c r="A3148" t="s">
        <v>6126</v>
      </c>
      <c r="B3148">
        <v>3148</v>
      </c>
    </row>
    <row r="3149" spans="1:2" x14ac:dyDescent="0.25">
      <c r="A3149" t="s">
        <v>6156</v>
      </c>
      <c r="B3149">
        <v>3149</v>
      </c>
    </row>
    <row r="3150" spans="1:2" x14ac:dyDescent="0.25">
      <c r="A3150" t="s">
        <v>6186</v>
      </c>
      <c r="B3150">
        <v>3150</v>
      </c>
    </row>
    <row r="3151" spans="1:2" x14ac:dyDescent="0.25">
      <c r="A3151" t="s">
        <v>6216</v>
      </c>
      <c r="B3151">
        <v>3151</v>
      </c>
    </row>
    <row r="3152" spans="1:2" x14ac:dyDescent="0.25">
      <c r="A3152" t="s">
        <v>6246</v>
      </c>
      <c r="B3152">
        <v>3152</v>
      </c>
    </row>
    <row r="3153" spans="1:2" x14ac:dyDescent="0.25">
      <c r="A3153" t="s">
        <v>6276</v>
      </c>
      <c r="B3153">
        <v>3153</v>
      </c>
    </row>
    <row r="3154" spans="1:2" x14ac:dyDescent="0.25">
      <c r="A3154" t="s">
        <v>6306</v>
      </c>
      <c r="B3154">
        <v>3154</v>
      </c>
    </row>
    <row r="3155" spans="1:2" x14ac:dyDescent="0.25">
      <c r="A3155" t="s">
        <v>6336</v>
      </c>
      <c r="B3155">
        <v>3155</v>
      </c>
    </row>
    <row r="3156" spans="1:2" x14ac:dyDescent="0.25">
      <c r="A3156" t="s">
        <v>6366</v>
      </c>
      <c r="B3156">
        <v>3156</v>
      </c>
    </row>
    <row r="3157" spans="1:2" x14ac:dyDescent="0.25">
      <c r="A3157" t="s">
        <v>6396</v>
      </c>
      <c r="B3157">
        <v>3157</v>
      </c>
    </row>
    <row r="3158" spans="1:2" x14ac:dyDescent="0.25">
      <c r="A3158" t="s">
        <v>6426</v>
      </c>
      <c r="B3158">
        <v>3158</v>
      </c>
    </row>
    <row r="3159" spans="1:2" x14ac:dyDescent="0.25">
      <c r="A3159" t="s">
        <v>6456</v>
      </c>
      <c r="B3159">
        <v>3159</v>
      </c>
    </row>
    <row r="3160" spans="1:2" x14ac:dyDescent="0.25">
      <c r="A3160" t="s">
        <v>6486</v>
      </c>
      <c r="B3160">
        <v>3160</v>
      </c>
    </row>
    <row r="3161" spans="1:2" x14ac:dyDescent="0.25">
      <c r="A3161" t="s">
        <v>6516</v>
      </c>
      <c r="B3161">
        <v>3161</v>
      </c>
    </row>
    <row r="3162" spans="1:2" x14ac:dyDescent="0.25">
      <c r="A3162" t="s">
        <v>6546</v>
      </c>
      <c r="B3162">
        <v>3162</v>
      </c>
    </row>
    <row r="3163" spans="1:2" x14ac:dyDescent="0.25">
      <c r="A3163" t="s">
        <v>6576</v>
      </c>
      <c r="B3163">
        <v>3163</v>
      </c>
    </row>
    <row r="3164" spans="1:2" x14ac:dyDescent="0.25">
      <c r="A3164" t="s">
        <v>6606</v>
      </c>
      <c r="B3164">
        <v>3164</v>
      </c>
    </row>
    <row r="3165" spans="1:2" x14ac:dyDescent="0.25">
      <c r="A3165" t="s">
        <v>6614</v>
      </c>
      <c r="B3165">
        <v>3165</v>
      </c>
    </row>
    <row r="3166" spans="1:2" x14ac:dyDescent="0.25">
      <c r="A3166" t="s">
        <v>6614</v>
      </c>
      <c r="B3166">
        <v>3166</v>
      </c>
    </row>
    <row r="3167" spans="1:2" x14ac:dyDescent="0.25">
      <c r="A3167" t="s">
        <v>6651</v>
      </c>
      <c r="B3167">
        <v>3167</v>
      </c>
    </row>
    <row r="3168" spans="1:2" x14ac:dyDescent="0.25">
      <c r="A3168" t="s">
        <v>6681</v>
      </c>
      <c r="B3168">
        <v>3168</v>
      </c>
    </row>
    <row r="3169" spans="1:2" x14ac:dyDescent="0.25">
      <c r="A3169" t="s">
        <v>6711</v>
      </c>
      <c r="B3169">
        <v>3169</v>
      </c>
    </row>
    <row r="3170" spans="1:2" x14ac:dyDescent="0.25">
      <c r="A3170" t="s">
        <v>6741</v>
      </c>
      <c r="B3170">
        <v>3170</v>
      </c>
    </row>
    <row r="3171" spans="1:2" x14ac:dyDescent="0.25">
      <c r="A3171" t="s">
        <v>6771</v>
      </c>
      <c r="B3171">
        <v>3171</v>
      </c>
    </row>
    <row r="3172" spans="1:2" x14ac:dyDescent="0.25">
      <c r="A3172" t="s">
        <v>6801</v>
      </c>
      <c r="B3172">
        <v>3172</v>
      </c>
    </row>
    <row r="3173" spans="1:2" x14ac:dyDescent="0.25">
      <c r="A3173" t="s">
        <v>6831</v>
      </c>
      <c r="B3173">
        <v>3173</v>
      </c>
    </row>
    <row r="3174" spans="1:2" x14ac:dyDescent="0.25">
      <c r="A3174" t="s">
        <v>6861</v>
      </c>
      <c r="B3174">
        <v>3174</v>
      </c>
    </row>
    <row r="3175" spans="1:2" x14ac:dyDescent="0.25">
      <c r="A3175" t="s">
        <v>6611</v>
      </c>
      <c r="B3175">
        <v>3175</v>
      </c>
    </row>
    <row r="3176" spans="1:2" x14ac:dyDescent="0.25">
      <c r="A3176" t="s">
        <v>6611</v>
      </c>
      <c r="B3176">
        <v>3176</v>
      </c>
    </row>
    <row r="3177" spans="1:2" x14ac:dyDescent="0.25">
      <c r="A3177" t="s">
        <v>6904</v>
      </c>
      <c r="B3177">
        <v>3177</v>
      </c>
    </row>
    <row r="3178" spans="1:2" x14ac:dyDescent="0.25">
      <c r="A3178" t="s">
        <v>6934</v>
      </c>
      <c r="B3178">
        <v>3178</v>
      </c>
    </row>
    <row r="3179" spans="1:2" x14ac:dyDescent="0.25">
      <c r="A3179" t="s">
        <v>6964</v>
      </c>
      <c r="B3179">
        <v>3179</v>
      </c>
    </row>
    <row r="3180" spans="1:2" x14ac:dyDescent="0.25">
      <c r="A3180" t="s">
        <v>6994</v>
      </c>
      <c r="B3180">
        <v>3180</v>
      </c>
    </row>
    <row r="3181" spans="1:2" x14ac:dyDescent="0.25">
      <c r="A3181" t="s">
        <v>7024</v>
      </c>
      <c r="B3181">
        <v>3181</v>
      </c>
    </row>
    <row r="3182" spans="1:2" x14ac:dyDescent="0.25">
      <c r="A3182" t="s">
        <v>7054</v>
      </c>
      <c r="B3182">
        <v>3182</v>
      </c>
    </row>
    <row r="3183" spans="1:2" x14ac:dyDescent="0.25">
      <c r="A3183" t="s">
        <v>7084</v>
      </c>
      <c r="B3183">
        <v>3183</v>
      </c>
    </row>
    <row r="3184" spans="1:2" x14ac:dyDescent="0.25">
      <c r="A3184" t="s">
        <v>7114</v>
      </c>
      <c r="B3184">
        <v>3184</v>
      </c>
    </row>
    <row r="3185" spans="1:2" x14ac:dyDescent="0.25">
      <c r="A3185" t="s">
        <v>6615</v>
      </c>
      <c r="B3185">
        <v>3185</v>
      </c>
    </row>
    <row r="3186" spans="1:2" x14ac:dyDescent="0.25">
      <c r="A3186" t="s">
        <v>6615</v>
      </c>
      <c r="B3186">
        <v>3186</v>
      </c>
    </row>
    <row r="3187" spans="1:2" x14ac:dyDescent="0.25">
      <c r="A3187" t="s">
        <v>7155</v>
      </c>
      <c r="B3187">
        <v>3187</v>
      </c>
    </row>
    <row r="3188" spans="1:2" x14ac:dyDescent="0.25">
      <c r="A3188" t="s">
        <v>7185</v>
      </c>
      <c r="B3188">
        <v>3188</v>
      </c>
    </row>
    <row r="3189" spans="1:2" x14ac:dyDescent="0.25">
      <c r="A3189" t="s">
        <v>7215</v>
      </c>
      <c r="B3189">
        <v>3189</v>
      </c>
    </row>
    <row r="3190" spans="1:2" x14ac:dyDescent="0.25">
      <c r="A3190" t="s">
        <v>7245</v>
      </c>
      <c r="B3190">
        <v>3190</v>
      </c>
    </row>
    <row r="3191" spans="1:2" x14ac:dyDescent="0.25">
      <c r="A3191" t="s">
        <v>7275</v>
      </c>
      <c r="B3191">
        <v>3191</v>
      </c>
    </row>
    <row r="3192" spans="1:2" x14ac:dyDescent="0.25">
      <c r="A3192" t="s">
        <v>6609</v>
      </c>
      <c r="B3192">
        <v>3192</v>
      </c>
    </row>
    <row r="3193" spans="1:2" x14ac:dyDescent="0.25">
      <c r="A3193" t="s">
        <v>6609</v>
      </c>
      <c r="B3193">
        <v>3193</v>
      </c>
    </row>
    <row r="3194" spans="1:2" x14ac:dyDescent="0.25">
      <c r="A3194" t="s">
        <v>7314</v>
      </c>
      <c r="B3194">
        <v>3194</v>
      </c>
    </row>
    <row r="3195" spans="1:2" x14ac:dyDescent="0.25">
      <c r="A3195" t="s">
        <v>7344</v>
      </c>
      <c r="B3195">
        <v>3195</v>
      </c>
    </row>
    <row r="3196" spans="1:2" x14ac:dyDescent="0.25">
      <c r="A3196" t="s">
        <v>7374</v>
      </c>
      <c r="B3196">
        <v>3196</v>
      </c>
    </row>
    <row r="3197" spans="1:2" x14ac:dyDescent="0.25">
      <c r="A3197" t="s">
        <v>7404</v>
      </c>
      <c r="B3197">
        <v>3197</v>
      </c>
    </row>
    <row r="3198" spans="1:2" x14ac:dyDescent="0.25">
      <c r="A3198" t="s">
        <v>7434</v>
      </c>
      <c r="B3198">
        <v>3198</v>
      </c>
    </row>
    <row r="3199" spans="1:2" x14ac:dyDescent="0.25">
      <c r="A3199" t="s">
        <v>7464</v>
      </c>
      <c r="B3199">
        <v>3199</v>
      </c>
    </row>
    <row r="3200" spans="1:2" x14ac:dyDescent="0.25">
      <c r="A3200" t="s">
        <v>7494</v>
      </c>
      <c r="B3200">
        <v>3200</v>
      </c>
    </row>
    <row r="3201" spans="1:2" x14ac:dyDescent="0.25">
      <c r="A3201" t="s">
        <v>7524</v>
      </c>
      <c r="B3201">
        <v>3201</v>
      </c>
    </row>
    <row r="3202" spans="1:2" x14ac:dyDescent="0.25">
      <c r="A3202" t="s">
        <v>7554</v>
      </c>
      <c r="B3202">
        <v>3202</v>
      </c>
    </row>
    <row r="3203" spans="1:2" x14ac:dyDescent="0.25">
      <c r="A3203" t="s">
        <v>7584</v>
      </c>
      <c r="B3203">
        <v>3203</v>
      </c>
    </row>
    <row r="3204" spans="1:2" x14ac:dyDescent="0.25">
      <c r="A3204" t="s">
        <v>7614</v>
      </c>
      <c r="B3204">
        <v>3204</v>
      </c>
    </row>
    <row r="3205" spans="1:2" x14ac:dyDescent="0.25">
      <c r="A3205" t="s">
        <v>7644</v>
      </c>
      <c r="B3205">
        <v>3205</v>
      </c>
    </row>
    <row r="3206" spans="1:2" x14ac:dyDescent="0.25">
      <c r="A3206" t="s">
        <v>7674</v>
      </c>
      <c r="B3206">
        <v>3206</v>
      </c>
    </row>
    <row r="3207" spans="1:2" x14ac:dyDescent="0.25">
      <c r="A3207" t="s">
        <v>7704</v>
      </c>
      <c r="B3207">
        <v>3207</v>
      </c>
    </row>
    <row r="3208" spans="1:2" x14ac:dyDescent="0.25">
      <c r="A3208" t="s">
        <v>7734</v>
      </c>
      <c r="B3208">
        <v>3208</v>
      </c>
    </row>
    <row r="3209" spans="1:2" x14ac:dyDescent="0.25">
      <c r="A3209" t="s">
        <v>7764</v>
      </c>
      <c r="B3209">
        <v>3209</v>
      </c>
    </row>
    <row r="3210" spans="1:2" x14ac:dyDescent="0.25">
      <c r="A3210" t="s">
        <v>7794</v>
      </c>
      <c r="B3210">
        <v>3210</v>
      </c>
    </row>
    <row r="3211" spans="1:2" x14ac:dyDescent="0.25">
      <c r="A3211" t="s">
        <v>7824</v>
      </c>
      <c r="B3211">
        <v>3211</v>
      </c>
    </row>
    <row r="3212" spans="1:2" x14ac:dyDescent="0.25">
      <c r="A3212" t="s">
        <v>7854</v>
      </c>
      <c r="B3212">
        <v>3212</v>
      </c>
    </row>
    <row r="3213" spans="1:2" x14ac:dyDescent="0.25">
      <c r="A3213" t="s">
        <v>7884</v>
      </c>
      <c r="B3213">
        <v>3213</v>
      </c>
    </row>
    <row r="3214" spans="1:2" x14ac:dyDescent="0.25">
      <c r="A3214" t="s">
        <v>7914</v>
      </c>
      <c r="B3214">
        <v>3214</v>
      </c>
    </row>
    <row r="3215" spans="1:2" x14ac:dyDescent="0.25">
      <c r="A3215" t="s">
        <v>7944</v>
      </c>
      <c r="B3215">
        <v>3215</v>
      </c>
    </row>
    <row r="3216" spans="1:2" x14ac:dyDescent="0.25">
      <c r="A3216" t="s">
        <v>7974</v>
      </c>
      <c r="B3216">
        <v>3216</v>
      </c>
    </row>
    <row r="3217" spans="1:2" x14ac:dyDescent="0.25">
      <c r="A3217" t="s">
        <v>8004</v>
      </c>
      <c r="B3217">
        <v>3217</v>
      </c>
    </row>
    <row r="3218" spans="1:2" x14ac:dyDescent="0.25">
      <c r="A3218" t="s">
        <v>8034</v>
      </c>
      <c r="B3218">
        <v>3218</v>
      </c>
    </row>
    <row r="3219" spans="1:2" x14ac:dyDescent="0.25">
      <c r="A3219" t="s">
        <v>8064</v>
      </c>
      <c r="B3219">
        <v>3219</v>
      </c>
    </row>
    <row r="3220" spans="1:2" x14ac:dyDescent="0.25">
      <c r="A3220" t="s">
        <v>8094</v>
      </c>
      <c r="B3220">
        <v>3220</v>
      </c>
    </row>
    <row r="3221" spans="1:2" x14ac:dyDescent="0.25">
      <c r="A3221" t="s">
        <v>8124</v>
      </c>
      <c r="B3221">
        <v>3221</v>
      </c>
    </row>
    <row r="3222" spans="1:2" x14ac:dyDescent="0.25">
      <c r="A3222" t="s">
        <v>8154</v>
      </c>
      <c r="B3222">
        <v>3222</v>
      </c>
    </row>
    <row r="3223" spans="1:2" x14ac:dyDescent="0.25">
      <c r="A3223" t="s">
        <v>8184</v>
      </c>
      <c r="B3223">
        <v>3223</v>
      </c>
    </row>
    <row r="3224" spans="1:2" x14ac:dyDescent="0.25">
      <c r="A3224" t="s">
        <v>6608</v>
      </c>
      <c r="B3224">
        <v>3224</v>
      </c>
    </row>
    <row r="3225" spans="1:2" x14ac:dyDescent="0.25">
      <c r="A3225" t="s">
        <v>6608</v>
      </c>
      <c r="B3225">
        <v>3225</v>
      </c>
    </row>
    <row r="3226" spans="1:2" x14ac:dyDescent="0.25">
      <c r="A3226" t="s">
        <v>6612</v>
      </c>
      <c r="B3226">
        <v>3226</v>
      </c>
    </row>
    <row r="3227" spans="1:2" x14ac:dyDescent="0.25">
      <c r="A3227" t="s">
        <v>6612</v>
      </c>
      <c r="B3227">
        <v>3227</v>
      </c>
    </row>
    <row r="3228" spans="1:2" x14ac:dyDescent="0.25">
      <c r="A3228" t="s">
        <v>8226</v>
      </c>
      <c r="B3228">
        <v>3228</v>
      </c>
    </row>
    <row r="3229" spans="1:2" x14ac:dyDescent="0.25">
      <c r="A3229" t="s">
        <v>8256</v>
      </c>
      <c r="B3229">
        <v>3229</v>
      </c>
    </row>
    <row r="3230" spans="1:2" x14ac:dyDescent="0.25">
      <c r="A3230" t="s">
        <v>8286</v>
      </c>
      <c r="B3230">
        <v>3230</v>
      </c>
    </row>
    <row r="3231" spans="1:2" x14ac:dyDescent="0.25">
      <c r="A3231" t="s">
        <v>8316</v>
      </c>
      <c r="B3231">
        <v>3231</v>
      </c>
    </row>
    <row r="3232" spans="1:2" x14ac:dyDescent="0.25">
      <c r="A3232" t="s">
        <v>8346</v>
      </c>
      <c r="B3232">
        <v>3232</v>
      </c>
    </row>
    <row r="3233" spans="1:2" x14ac:dyDescent="0.25">
      <c r="A3233" t="s">
        <v>8376</v>
      </c>
      <c r="B3233">
        <v>3233</v>
      </c>
    </row>
    <row r="3234" spans="1:2" x14ac:dyDescent="0.25">
      <c r="A3234" t="s">
        <v>8406</v>
      </c>
      <c r="B3234">
        <v>3234</v>
      </c>
    </row>
    <row r="3235" spans="1:2" x14ac:dyDescent="0.25">
      <c r="A3235" t="s">
        <v>8436</v>
      </c>
      <c r="B3235">
        <v>3235</v>
      </c>
    </row>
    <row r="3236" spans="1:2" x14ac:dyDescent="0.25">
      <c r="A3236" t="s">
        <v>8466</v>
      </c>
      <c r="B3236">
        <v>3236</v>
      </c>
    </row>
    <row r="3237" spans="1:2" x14ac:dyDescent="0.25">
      <c r="A3237" t="s">
        <v>8496</v>
      </c>
      <c r="B3237">
        <v>3237</v>
      </c>
    </row>
    <row r="3238" spans="1:2" x14ac:dyDescent="0.25">
      <c r="A3238" t="s">
        <v>8526</v>
      </c>
      <c r="B3238">
        <v>3238</v>
      </c>
    </row>
    <row r="3239" spans="1:2" x14ac:dyDescent="0.25">
      <c r="A3239" t="s">
        <v>8556</v>
      </c>
      <c r="B3239">
        <v>3239</v>
      </c>
    </row>
    <row r="3240" spans="1:2" x14ac:dyDescent="0.25">
      <c r="A3240" t="s">
        <v>8586</v>
      </c>
      <c r="B3240">
        <v>3240</v>
      </c>
    </row>
    <row r="3241" spans="1:2" x14ac:dyDescent="0.25">
      <c r="A3241" t="s">
        <v>8616</v>
      </c>
      <c r="B3241">
        <v>3241</v>
      </c>
    </row>
    <row r="3242" spans="1:2" x14ac:dyDescent="0.25">
      <c r="A3242" t="s">
        <v>8646</v>
      </c>
      <c r="B3242">
        <v>3242</v>
      </c>
    </row>
    <row r="3243" spans="1:2" x14ac:dyDescent="0.25">
      <c r="A3243" t="s">
        <v>6610</v>
      </c>
      <c r="B3243">
        <v>3243</v>
      </c>
    </row>
    <row r="3244" spans="1:2" x14ac:dyDescent="0.25">
      <c r="A3244" t="s">
        <v>6610</v>
      </c>
      <c r="B3244">
        <v>3244</v>
      </c>
    </row>
    <row r="3245" spans="1:2" x14ac:dyDescent="0.25">
      <c r="A3245" t="s">
        <v>8679</v>
      </c>
      <c r="B3245">
        <v>3245</v>
      </c>
    </row>
    <row r="3246" spans="1:2" x14ac:dyDescent="0.25">
      <c r="A3246" t="s">
        <v>8709</v>
      </c>
      <c r="B3246">
        <v>3246</v>
      </c>
    </row>
    <row r="3247" spans="1:2" x14ac:dyDescent="0.25">
      <c r="A3247" t="s">
        <v>8739</v>
      </c>
      <c r="B3247">
        <v>3247</v>
      </c>
    </row>
    <row r="3248" spans="1:2" x14ac:dyDescent="0.25">
      <c r="A3248" t="s">
        <v>8769</v>
      </c>
      <c r="B3248">
        <v>3248</v>
      </c>
    </row>
    <row r="3249" spans="1:2" x14ac:dyDescent="0.25">
      <c r="A3249" t="s">
        <v>8799</v>
      </c>
      <c r="B3249">
        <v>3249</v>
      </c>
    </row>
    <row r="3250" spans="1:2" x14ac:dyDescent="0.25">
      <c r="A3250" t="s">
        <v>8829</v>
      </c>
      <c r="B3250">
        <v>3250</v>
      </c>
    </row>
    <row r="3251" spans="1:2" x14ac:dyDescent="0.25">
      <c r="A3251" t="s">
        <v>8859</v>
      </c>
      <c r="B3251">
        <v>3251</v>
      </c>
    </row>
    <row r="3252" spans="1:2" x14ac:dyDescent="0.25">
      <c r="A3252" t="s">
        <v>8889</v>
      </c>
      <c r="B3252">
        <v>3252</v>
      </c>
    </row>
    <row r="3253" spans="1:2" x14ac:dyDescent="0.25">
      <c r="A3253" t="s">
        <v>6613</v>
      </c>
      <c r="B3253">
        <v>3253</v>
      </c>
    </row>
    <row r="3254" spans="1:2" x14ac:dyDescent="0.25">
      <c r="A3254" t="s">
        <v>6613</v>
      </c>
      <c r="B3254">
        <v>3254</v>
      </c>
    </row>
    <row r="3255" spans="1:2" x14ac:dyDescent="0.25">
      <c r="A3255" t="s">
        <v>8920</v>
      </c>
      <c r="B3255">
        <v>3255</v>
      </c>
    </row>
    <row r="3256" spans="1:2" x14ac:dyDescent="0.25">
      <c r="A3256" t="s">
        <v>6623</v>
      </c>
      <c r="B3256">
        <v>3256</v>
      </c>
    </row>
    <row r="3257" spans="1:2" x14ac:dyDescent="0.25">
      <c r="A3257" t="s">
        <v>6630</v>
      </c>
      <c r="B3257">
        <v>3257</v>
      </c>
    </row>
    <row r="3258" spans="1:2" x14ac:dyDescent="0.25">
      <c r="A3258" t="s">
        <v>6626</v>
      </c>
      <c r="B3258">
        <v>3258</v>
      </c>
    </row>
    <row r="3259" spans="1:2" x14ac:dyDescent="0.25">
      <c r="A3259" t="s">
        <v>6632</v>
      </c>
      <c r="B3259">
        <v>3259</v>
      </c>
    </row>
    <row r="3260" spans="1:2" x14ac:dyDescent="0.25">
      <c r="A3260" t="s">
        <v>6627</v>
      </c>
      <c r="B3260">
        <v>3260</v>
      </c>
    </row>
    <row r="3261" spans="1:2" x14ac:dyDescent="0.25">
      <c r="A3261" t="s">
        <v>6628</v>
      </c>
      <c r="B3261">
        <v>3261</v>
      </c>
    </row>
    <row r="3262" spans="1:2" x14ac:dyDescent="0.25">
      <c r="A3262" t="s">
        <v>6625</v>
      </c>
      <c r="B3262">
        <v>3262</v>
      </c>
    </row>
    <row r="3263" spans="1:2" x14ac:dyDescent="0.25">
      <c r="A3263" t="s">
        <v>6636</v>
      </c>
      <c r="B3263">
        <v>3263</v>
      </c>
    </row>
    <row r="3264" spans="1:2" x14ac:dyDescent="0.25">
      <c r="A3264" t="s">
        <v>6633</v>
      </c>
      <c r="B3264">
        <v>3264</v>
      </c>
    </row>
    <row r="3265" spans="1:2" x14ac:dyDescent="0.25">
      <c r="A3265" t="s">
        <v>6637</v>
      </c>
      <c r="B3265">
        <v>3265</v>
      </c>
    </row>
    <row r="3266" spans="1:2" x14ac:dyDescent="0.25">
      <c r="A3266" t="s">
        <v>6629</v>
      </c>
      <c r="B3266">
        <v>3266</v>
      </c>
    </row>
    <row r="3267" spans="1:2" x14ac:dyDescent="0.25">
      <c r="A3267" t="s">
        <v>6624</v>
      </c>
      <c r="B3267">
        <v>3267</v>
      </c>
    </row>
    <row r="3268" spans="1:2" x14ac:dyDescent="0.25">
      <c r="A3268" t="s">
        <v>6634</v>
      </c>
      <c r="B3268">
        <v>3268</v>
      </c>
    </row>
    <row r="3269" spans="1:2" x14ac:dyDescent="0.25">
      <c r="A3269" t="s">
        <v>6631</v>
      </c>
      <c r="B3269">
        <v>3269</v>
      </c>
    </row>
    <row r="3270" spans="1:2" x14ac:dyDescent="0.25">
      <c r="A3270" t="s">
        <v>6635</v>
      </c>
      <c r="B3270">
        <v>3270</v>
      </c>
    </row>
    <row r="3271" spans="1:2" x14ac:dyDescent="0.25">
      <c r="A3271" t="s">
        <v>6653</v>
      </c>
      <c r="B3271">
        <v>3271</v>
      </c>
    </row>
    <row r="3272" spans="1:2" x14ac:dyDescent="0.25">
      <c r="A3272" t="s">
        <v>6660</v>
      </c>
      <c r="B3272">
        <v>3272</v>
      </c>
    </row>
    <row r="3273" spans="1:2" x14ac:dyDescent="0.25">
      <c r="A3273" t="s">
        <v>6656</v>
      </c>
      <c r="B3273">
        <v>3273</v>
      </c>
    </row>
    <row r="3274" spans="1:2" x14ac:dyDescent="0.25">
      <c r="A3274" t="s">
        <v>6662</v>
      </c>
      <c r="B3274">
        <v>3274</v>
      </c>
    </row>
    <row r="3275" spans="1:2" x14ac:dyDescent="0.25">
      <c r="A3275" t="s">
        <v>6657</v>
      </c>
      <c r="B3275">
        <v>3275</v>
      </c>
    </row>
    <row r="3276" spans="1:2" x14ac:dyDescent="0.25">
      <c r="A3276" t="s">
        <v>6658</v>
      </c>
      <c r="B3276">
        <v>3276</v>
      </c>
    </row>
    <row r="3277" spans="1:2" x14ac:dyDescent="0.25">
      <c r="A3277" t="s">
        <v>6655</v>
      </c>
      <c r="B3277">
        <v>3277</v>
      </c>
    </row>
    <row r="3278" spans="1:2" x14ac:dyDescent="0.25">
      <c r="A3278" t="s">
        <v>6666</v>
      </c>
      <c r="B3278">
        <v>3278</v>
      </c>
    </row>
    <row r="3279" spans="1:2" x14ac:dyDescent="0.25">
      <c r="A3279" t="s">
        <v>6663</v>
      </c>
      <c r="B3279">
        <v>3279</v>
      </c>
    </row>
    <row r="3280" spans="1:2" x14ac:dyDescent="0.25">
      <c r="A3280" t="s">
        <v>6667</v>
      </c>
      <c r="B3280">
        <v>3280</v>
      </c>
    </row>
    <row r="3281" spans="1:2" x14ac:dyDescent="0.25">
      <c r="A3281" t="s">
        <v>6659</v>
      </c>
      <c r="B3281">
        <v>3281</v>
      </c>
    </row>
    <row r="3282" spans="1:2" x14ac:dyDescent="0.25">
      <c r="A3282" t="s">
        <v>6654</v>
      </c>
      <c r="B3282">
        <v>3282</v>
      </c>
    </row>
    <row r="3283" spans="1:2" x14ac:dyDescent="0.25">
      <c r="A3283" t="s">
        <v>6664</v>
      </c>
      <c r="B3283">
        <v>3283</v>
      </c>
    </row>
    <row r="3284" spans="1:2" x14ac:dyDescent="0.25">
      <c r="A3284" t="s">
        <v>6661</v>
      </c>
      <c r="B3284">
        <v>3284</v>
      </c>
    </row>
    <row r="3285" spans="1:2" x14ac:dyDescent="0.25">
      <c r="A3285" t="s">
        <v>6665</v>
      </c>
      <c r="B3285">
        <v>3285</v>
      </c>
    </row>
    <row r="3286" spans="1:2" x14ac:dyDescent="0.25">
      <c r="A3286" t="s">
        <v>6683</v>
      </c>
      <c r="B3286">
        <v>3286</v>
      </c>
    </row>
    <row r="3287" spans="1:2" x14ac:dyDescent="0.25">
      <c r="A3287" t="s">
        <v>6690</v>
      </c>
      <c r="B3287">
        <v>3287</v>
      </c>
    </row>
    <row r="3288" spans="1:2" x14ac:dyDescent="0.25">
      <c r="A3288" t="s">
        <v>6686</v>
      </c>
      <c r="B3288">
        <v>3288</v>
      </c>
    </row>
    <row r="3289" spans="1:2" x14ac:dyDescent="0.25">
      <c r="A3289" t="s">
        <v>6692</v>
      </c>
      <c r="B3289">
        <v>3289</v>
      </c>
    </row>
    <row r="3290" spans="1:2" x14ac:dyDescent="0.25">
      <c r="A3290" t="s">
        <v>6687</v>
      </c>
      <c r="B3290">
        <v>3290</v>
      </c>
    </row>
    <row r="3291" spans="1:2" x14ac:dyDescent="0.25">
      <c r="A3291" t="s">
        <v>6688</v>
      </c>
      <c r="B3291">
        <v>3291</v>
      </c>
    </row>
    <row r="3292" spans="1:2" x14ac:dyDescent="0.25">
      <c r="A3292" t="s">
        <v>6685</v>
      </c>
      <c r="B3292">
        <v>3292</v>
      </c>
    </row>
    <row r="3293" spans="1:2" x14ac:dyDescent="0.25">
      <c r="A3293" t="s">
        <v>6696</v>
      </c>
      <c r="B3293">
        <v>3293</v>
      </c>
    </row>
    <row r="3294" spans="1:2" x14ac:dyDescent="0.25">
      <c r="A3294" t="s">
        <v>6693</v>
      </c>
      <c r="B3294">
        <v>3294</v>
      </c>
    </row>
    <row r="3295" spans="1:2" x14ac:dyDescent="0.25">
      <c r="A3295" t="s">
        <v>6697</v>
      </c>
      <c r="B3295">
        <v>3295</v>
      </c>
    </row>
    <row r="3296" spans="1:2" x14ac:dyDescent="0.25">
      <c r="A3296" t="s">
        <v>6689</v>
      </c>
      <c r="B3296">
        <v>3296</v>
      </c>
    </row>
    <row r="3297" spans="1:2" x14ac:dyDescent="0.25">
      <c r="A3297" t="s">
        <v>6684</v>
      </c>
      <c r="B3297">
        <v>3297</v>
      </c>
    </row>
    <row r="3298" spans="1:2" x14ac:dyDescent="0.25">
      <c r="A3298" t="s">
        <v>6694</v>
      </c>
      <c r="B3298">
        <v>3298</v>
      </c>
    </row>
    <row r="3299" spans="1:2" x14ac:dyDescent="0.25">
      <c r="A3299" t="s">
        <v>6691</v>
      </c>
      <c r="B3299">
        <v>3299</v>
      </c>
    </row>
    <row r="3300" spans="1:2" x14ac:dyDescent="0.25">
      <c r="A3300" t="s">
        <v>6695</v>
      </c>
      <c r="B3300">
        <v>3300</v>
      </c>
    </row>
    <row r="3301" spans="1:2" x14ac:dyDescent="0.25">
      <c r="A3301" t="s">
        <v>6713</v>
      </c>
      <c r="B3301">
        <v>3301</v>
      </c>
    </row>
    <row r="3302" spans="1:2" x14ac:dyDescent="0.25">
      <c r="A3302" t="s">
        <v>6720</v>
      </c>
      <c r="B3302">
        <v>3302</v>
      </c>
    </row>
    <row r="3303" spans="1:2" x14ac:dyDescent="0.25">
      <c r="A3303" t="s">
        <v>6716</v>
      </c>
      <c r="B3303">
        <v>3303</v>
      </c>
    </row>
    <row r="3304" spans="1:2" x14ac:dyDescent="0.25">
      <c r="A3304" t="s">
        <v>6722</v>
      </c>
      <c r="B3304">
        <v>3304</v>
      </c>
    </row>
    <row r="3305" spans="1:2" x14ac:dyDescent="0.25">
      <c r="A3305" t="s">
        <v>6717</v>
      </c>
      <c r="B3305">
        <v>3305</v>
      </c>
    </row>
    <row r="3306" spans="1:2" x14ac:dyDescent="0.25">
      <c r="A3306" t="s">
        <v>6718</v>
      </c>
      <c r="B3306">
        <v>3306</v>
      </c>
    </row>
    <row r="3307" spans="1:2" x14ac:dyDescent="0.25">
      <c r="A3307" t="s">
        <v>6715</v>
      </c>
      <c r="B3307">
        <v>3307</v>
      </c>
    </row>
    <row r="3308" spans="1:2" x14ac:dyDescent="0.25">
      <c r="A3308" t="s">
        <v>6726</v>
      </c>
      <c r="B3308">
        <v>3308</v>
      </c>
    </row>
    <row r="3309" spans="1:2" x14ac:dyDescent="0.25">
      <c r="A3309" t="s">
        <v>6723</v>
      </c>
      <c r="B3309">
        <v>3309</v>
      </c>
    </row>
    <row r="3310" spans="1:2" x14ac:dyDescent="0.25">
      <c r="A3310" t="s">
        <v>6727</v>
      </c>
      <c r="B3310">
        <v>3310</v>
      </c>
    </row>
    <row r="3311" spans="1:2" x14ac:dyDescent="0.25">
      <c r="A3311" t="s">
        <v>6719</v>
      </c>
      <c r="B3311">
        <v>3311</v>
      </c>
    </row>
    <row r="3312" spans="1:2" x14ac:dyDescent="0.25">
      <c r="A3312" t="s">
        <v>6714</v>
      </c>
      <c r="B3312">
        <v>3312</v>
      </c>
    </row>
    <row r="3313" spans="1:2" x14ac:dyDescent="0.25">
      <c r="A3313" t="s">
        <v>6724</v>
      </c>
      <c r="B3313">
        <v>3313</v>
      </c>
    </row>
    <row r="3314" spans="1:2" x14ac:dyDescent="0.25">
      <c r="A3314" t="s">
        <v>6721</v>
      </c>
      <c r="B3314">
        <v>3314</v>
      </c>
    </row>
    <row r="3315" spans="1:2" x14ac:dyDescent="0.25">
      <c r="A3315" t="s">
        <v>6725</v>
      </c>
      <c r="B3315">
        <v>3315</v>
      </c>
    </row>
    <row r="3316" spans="1:2" x14ac:dyDescent="0.25">
      <c r="A3316" t="s">
        <v>6743</v>
      </c>
      <c r="B3316">
        <v>3316</v>
      </c>
    </row>
    <row r="3317" spans="1:2" x14ac:dyDescent="0.25">
      <c r="A3317" t="s">
        <v>6750</v>
      </c>
      <c r="B3317">
        <v>3317</v>
      </c>
    </row>
    <row r="3318" spans="1:2" x14ac:dyDescent="0.25">
      <c r="A3318" t="s">
        <v>6746</v>
      </c>
      <c r="B3318">
        <v>3318</v>
      </c>
    </row>
    <row r="3319" spans="1:2" x14ac:dyDescent="0.25">
      <c r="A3319" t="s">
        <v>6752</v>
      </c>
      <c r="B3319">
        <v>3319</v>
      </c>
    </row>
    <row r="3320" spans="1:2" x14ac:dyDescent="0.25">
      <c r="A3320" t="s">
        <v>6747</v>
      </c>
      <c r="B3320">
        <v>3320</v>
      </c>
    </row>
    <row r="3321" spans="1:2" x14ac:dyDescent="0.25">
      <c r="A3321" t="s">
        <v>6748</v>
      </c>
      <c r="B3321">
        <v>3321</v>
      </c>
    </row>
    <row r="3322" spans="1:2" x14ac:dyDescent="0.25">
      <c r="A3322" t="s">
        <v>6745</v>
      </c>
      <c r="B3322">
        <v>3322</v>
      </c>
    </row>
    <row r="3323" spans="1:2" x14ac:dyDescent="0.25">
      <c r="A3323" t="s">
        <v>6756</v>
      </c>
      <c r="B3323">
        <v>3323</v>
      </c>
    </row>
    <row r="3324" spans="1:2" x14ac:dyDescent="0.25">
      <c r="A3324" t="s">
        <v>6753</v>
      </c>
      <c r="B3324">
        <v>3324</v>
      </c>
    </row>
    <row r="3325" spans="1:2" x14ac:dyDescent="0.25">
      <c r="A3325" t="s">
        <v>6757</v>
      </c>
      <c r="B3325">
        <v>3325</v>
      </c>
    </row>
    <row r="3326" spans="1:2" x14ac:dyDescent="0.25">
      <c r="A3326" t="s">
        <v>6749</v>
      </c>
      <c r="B3326">
        <v>3326</v>
      </c>
    </row>
    <row r="3327" spans="1:2" x14ac:dyDescent="0.25">
      <c r="A3327" t="s">
        <v>6744</v>
      </c>
      <c r="B3327">
        <v>3327</v>
      </c>
    </row>
    <row r="3328" spans="1:2" x14ac:dyDescent="0.25">
      <c r="A3328" t="s">
        <v>6754</v>
      </c>
      <c r="B3328">
        <v>3328</v>
      </c>
    </row>
    <row r="3329" spans="1:2" x14ac:dyDescent="0.25">
      <c r="A3329" t="s">
        <v>6751</v>
      </c>
      <c r="B3329">
        <v>3329</v>
      </c>
    </row>
    <row r="3330" spans="1:2" x14ac:dyDescent="0.25">
      <c r="A3330" t="s">
        <v>6755</v>
      </c>
      <c r="B3330">
        <v>3330</v>
      </c>
    </row>
    <row r="3331" spans="1:2" x14ac:dyDescent="0.25">
      <c r="A3331" t="s">
        <v>6773</v>
      </c>
      <c r="B3331">
        <v>3331</v>
      </c>
    </row>
    <row r="3332" spans="1:2" x14ac:dyDescent="0.25">
      <c r="A3332" t="s">
        <v>6780</v>
      </c>
      <c r="B3332">
        <v>3332</v>
      </c>
    </row>
    <row r="3333" spans="1:2" x14ac:dyDescent="0.25">
      <c r="A3333" t="s">
        <v>6776</v>
      </c>
      <c r="B3333">
        <v>3333</v>
      </c>
    </row>
    <row r="3334" spans="1:2" x14ac:dyDescent="0.25">
      <c r="A3334" t="s">
        <v>6782</v>
      </c>
      <c r="B3334">
        <v>3334</v>
      </c>
    </row>
    <row r="3335" spans="1:2" x14ac:dyDescent="0.25">
      <c r="A3335" t="s">
        <v>6777</v>
      </c>
      <c r="B3335">
        <v>3335</v>
      </c>
    </row>
    <row r="3336" spans="1:2" x14ac:dyDescent="0.25">
      <c r="A3336" t="s">
        <v>6778</v>
      </c>
      <c r="B3336">
        <v>3336</v>
      </c>
    </row>
    <row r="3337" spans="1:2" x14ac:dyDescent="0.25">
      <c r="A3337" t="s">
        <v>6775</v>
      </c>
      <c r="B3337">
        <v>3337</v>
      </c>
    </row>
    <row r="3338" spans="1:2" x14ac:dyDescent="0.25">
      <c r="A3338" t="s">
        <v>6786</v>
      </c>
      <c r="B3338">
        <v>3338</v>
      </c>
    </row>
    <row r="3339" spans="1:2" x14ac:dyDescent="0.25">
      <c r="A3339" t="s">
        <v>6783</v>
      </c>
      <c r="B3339">
        <v>3339</v>
      </c>
    </row>
    <row r="3340" spans="1:2" x14ac:dyDescent="0.25">
      <c r="A3340" t="s">
        <v>6787</v>
      </c>
      <c r="B3340">
        <v>3340</v>
      </c>
    </row>
    <row r="3341" spans="1:2" x14ac:dyDescent="0.25">
      <c r="A3341" t="s">
        <v>6779</v>
      </c>
      <c r="B3341">
        <v>3341</v>
      </c>
    </row>
    <row r="3342" spans="1:2" x14ac:dyDescent="0.25">
      <c r="A3342" t="s">
        <v>6774</v>
      </c>
      <c r="B3342">
        <v>3342</v>
      </c>
    </row>
    <row r="3343" spans="1:2" x14ac:dyDescent="0.25">
      <c r="A3343" t="s">
        <v>6784</v>
      </c>
      <c r="B3343">
        <v>3343</v>
      </c>
    </row>
    <row r="3344" spans="1:2" x14ac:dyDescent="0.25">
      <c r="A3344" t="s">
        <v>6781</v>
      </c>
      <c r="B3344">
        <v>3344</v>
      </c>
    </row>
    <row r="3345" spans="1:2" x14ac:dyDescent="0.25">
      <c r="A3345" t="s">
        <v>6785</v>
      </c>
      <c r="B3345">
        <v>3345</v>
      </c>
    </row>
    <row r="3346" spans="1:2" x14ac:dyDescent="0.25">
      <c r="A3346" t="s">
        <v>6803</v>
      </c>
      <c r="B3346">
        <v>3346</v>
      </c>
    </row>
    <row r="3347" spans="1:2" x14ac:dyDescent="0.25">
      <c r="A3347" t="s">
        <v>6810</v>
      </c>
      <c r="B3347">
        <v>3347</v>
      </c>
    </row>
    <row r="3348" spans="1:2" x14ac:dyDescent="0.25">
      <c r="A3348" t="s">
        <v>6806</v>
      </c>
      <c r="B3348">
        <v>3348</v>
      </c>
    </row>
    <row r="3349" spans="1:2" x14ac:dyDescent="0.25">
      <c r="A3349" t="s">
        <v>6812</v>
      </c>
      <c r="B3349">
        <v>3349</v>
      </c>
    </row>
    <row r="3350" spans="1:2" x14ac:dyDescent="0.25">
      <c r="A3350" t="s">
        <v>6807</v>
      </c>
      <c r="B3350">
        <v>3350</v>
      </c>
    </row>
    <row r="3351" spans="1:2" x14ac:dyDescent="0.25">
      <c r="A3351" t="s">
        <v>6808</v>
      </c>
      <c r="B3351">
        <v>3351</v>
      </c>
    </row>
    <row r="3352" spans="1:2" x14ac:dyDescent="0.25">
      <c r="A3352" t="s">
        <v>6805</v>
      </c>
      <c r="B3352">
        <v>3352</v>
      </c>
    </row>
    <row r="3353" spans="1:2" x14ac:dyDescent="0.25">
      <c r="A3353" t="s">
        <v>6816</v>
      </c>
      <c r="B3353">
        <v>3353</v>
      </c>
    </row>
    <row r="3354" spans="1:2" x14ac:dyDescent="0.25">
      <c r="A3354" t="s">
        <v>6813</v>
      </c>
      <c r="B3354">
        <v>3354</v>
      </c>
    </row>
    <row r="3355" spans="1:2" x14ac:dyDescent="0.25">
      <c r="A3355" t="s">
        <v>6817</v>
      </c>
      <c r="B3355">
        <v>3355</v>
      </c>
    </row>
    <row r="3356" spans="1:2" x14ac:dyDescent="0.25">
      <c r="A3356" t="s">
        <v>6809</v>
      </c>
      <c r="B3356">
        <v>3356</v>
      </c>
    </row>
    <row r="3357" spans="1:2" x14ac:dyDescent="0.25">
      <c r="A3357" t="s">
        <v>6804</v>
      </c>
      <c r="B3357">
        <v>3357</v>
      </c>
    </row>
    <row r="3358" spans="1:2" x14ac:dyDescent="0.25">
      <c r="A3358" t="s">
        <v>6814</v>
      </c>
      <c r="B3358">
        <v>3358</v>
      </c>
    </row>
    <row r="3359" spans="1:2" x14ac:dyDescent="0.25">
      <c r="A3359" t="s">
        <v>6811</v>
      </c>
      <c r="B3359">
        <v>3359</v>
      </c>
    </row>
    <row r="3360" spans="1:2" x14ac:dyDescent="0.25">
      <c r="A3360" t="s">
        <v>6815</v>
      </c>
      <c r="B3360">
        <v>3360</v>
      </c>
    </row>
    <row r="3361" spans="1:2" x14ac:dyDescent="0.25">
      <c r="A3361" t="s">
        <v>6833</v>
      </c>
      <c r="B3361">
        <v>3361</v>
      </c>
    </row>
    <row r="3362" spans="1:2" x14ac:dyDescent="0.25">
      <c r="A3362" t="s">
        <v>6840</v>
      </c>
      <c r="B3362">
        <v>3362</v>
      </c>
    </row>
    <row r="3363" spans="1:2" x14ac:dyDescent="0.25">
      <c r="A3363" t="s">
        <v>6836</v>
      </c>
      <c r="B3363">
        <v>3363</v>
      </c>
    </row>
    <row r="3364" spans="1:2" x14ac:dyDescent="0.25">
      <c r="A3364" t="s">
        <v>6842</v>
      </c>
      <c r="B3364">
        <v>3364</v>
      </c>
    </row>
    <row r="3365" spans="1:2" x14ac:dyDescent="0.25">
      <c r="A3365" t="s">
        <v>6837</v>
      </c>
      <c r="B3365">
        <v>3365</v>
      </c>
    </row>
    <row r="3366" spans="1:2" x14ac:dyDescent="0.25">
      <c r="A3366" t="s">
        <v>6838</v>
      </c>
      <c r="B3366">
        <v>3366</v>
      </c>
    </row>
    <row r="3367" spans="1:2" x14ac:dyDescent="0.25">
      <c r="A3367" t="s">
        <v>6835</v>
      </c>
      <c r="B3367">
        <v>3367</v>
      </c>
    </row>
    <row r="3368" spans="1:2" x14ac:dyDescent="0.25">
      <c r="A3368" t="s">
        <v>6846</v>
      </c>
      <c r="B3368">
        <v>3368</v>
      </c>
    </row>
    <row r="3369" spans="1:2" x14ac:dyDescent="0.25">
      <c r="A3369" t="s">
        <v>6843</v>
      </c>
      <c r="B3369">
        <v>3369</v>
      </c>
    </row>
    <row r="3370" spans="1:2" x14ac:dyDescent="0.25">
      <c r="A3370" t="s">
        <v>6847</v>
      </c>
      <c r="B3370">
        <v>3370</v>
      </c>
    </row>
    <row r="3371" spans="1:2" x14ac:dyDescent="0.25">
      <c r="A3371" t="s">
        <v>6839</v>
      </c>
      <c r="B3371">
        <v>3371</v>
      </c>
    </row>
    <row r="3372" spans="1:2" x14ac:dyDescent="0.25">
      <c r="A3372" t="s">
        <v>6834</v>
      </c>
      <c r="B3372">
        <v>3372</v>
      </c>
    </row>
    <row r="3373" spans="1:2" x14ac:dyDescent="0.25">
      <c r="A3373" t="s">
        <v>6844</v>
      </c>
      <c r="B3373">
        <v>3373</v>
      </c>
    </row>
    <row r="3374" spans="1:2" x14ac:dyDescent="0.25">
      <c r="A3374" t="s">
        <v>6841</v>
      </c>
      <c r="B3374">
        <v>3374</v>
      </c>
    </row>
    <row r="3375" spans="1:2" x14ac:dyDescent="0.25">
      <c r="A3375" t="s">
        <v>6845</v>
      </c>
      <c r="B3375">
        <v>3375</v>
      </c>
    </row>
    <row r="3376" spans="1:2" x14ac:dyDescent="0.25">
      <c r="A3376" t="s">
        <v>3322</v>
      </c>
      <c r="B3376">
        <v>3376</v>
      </c>
    </row>
    <row r="3377" spans="1:2" x14ac:dyDescent="0.25">
      <c r="A3377" t="s">
        <v>3352</v>
      </c>
      <c r="B3377">
        <v>3377</v>
      </c>
    </row>
    <row r="3378" spans="1:2" x14ac:dyDescent="0.25">
      <c r="A3378" t="s">
        <v>3382</v>
      </c>
      <c r="B3378">
        <v>3378</v>
      </c>
    </row>
    <row r="3379" spans="1:2" x14ac:dyDescent="0.25">
      <c r="A3379" t="s">
        <v>3412</v>
      </c>
      <c r="B3379">
        <v>3379</v>
      </c>
    </row>
    <row r="3380" spans="1:2" x14ac:dyDescent="0.25">
      <c r="A3380" t="s">
        <v>3442</v>
      </c>
      <c r="B3380">
        <v>3380</v>
      </c>
    </row>
    <row r="3381" spans="1:2" x14ac:dyDescent="0.25">
      <c r="A3381" t="s">
        <v>3472</v>
      </c>
      <c r="B3381">
        <v>3381</v>
      </c>
    </row>
    <row r="3382" spans="1:2" x14ac:dyDescent="0.25">
      <c r="A3382" t="s">
        <v>3502</v>
      </c>
      <c r="B3382">
        <v>3382</v>
      </c>
    </row>
    <row r="3383" spans="1:2" x14ac:dyDescent="0.25">
      <c r="A3383" t="s">
        <v>3532</v>
      </c>
      <c r="B3383">
        <v>3383</v>
      </c>
    </row>
    <row r="3384" spans="1:2" x14ac:dyDescent="0.25">
      <c r="A3384" t="s">
        <v>3562</v>
      </c>
      <c r="B3384">
        <v>3384</v>
      </c>
    </row>
    <row r="3385" spans="1:2" x14ac:dyDescent="0.25">
      <c r="A3385" t="s">
        <v>3592</v>
      </c>
      <c r="B3385">
        <v>3385</v>
      </c>
    </row>
    <row r="3386" spans="1:2" x14ac:dyDescent="0.25">
      <c r="A3386" t="s">
        <v>3622</v>
      </c>
      <c r="B3386">
        <v>3386</v>
      </c>
    </row>
    <row r="3387" spans="1:2" x14ac:dyDescent="0.25">
      <c r="A3387" t="s">
        <v>3652</v>
      </c>
      <c r="B3387">
        <v>3387</v>
      </c>
    </row>
    <row r="3388" spans="1:2" x14ac:dyDescent="0.25">
      <c r="A3388" t="s">
        <v>3682</v>
      </c>
      <c r="B3388">
        <v>3388</v>
      </c>
    </row>
    <row r="3389" spans="1:2" x14ac:dyDescent="0.25">
      <c r="A3389" t="s">
        <v>3712</v>
      </c>
      <c r="B3389">
        <v>3389</v>
      </c>
    </row>
    <row r="3390" spans="1:2" x14ac:dyDescent="0.25">
      <c r="A3390" t="s">
        <v>3742</v>
      </c>
      <c r="B3390">
        <v>3390</v>
      </c>
    </row>
    <row r="3391" spans="1:2" x14ac:dyDescent="0.25">
      <c r="A3391" t="s">
        <v>3772</v>
      </c>
      <c r="B3391">
        <v>3391</v>
      </c>
    </row>
    <row r="3392" spans="1:2" x14ac:dyDescent="0.25">
      <c r="A3392" t="s">
        <v>3802</v>
      </c>
      <c r="B3392">
        <v>3392</v>
      </c>
    </row>
    <row r="3393" spans="1:2" x14ac:dyDescent="0.25">
      <c r="A3393" t="s">
        <v>3832</v>
      </c>
      <c r="B3393">
        <v>3393</v>
      </c>
    </row>
    <row r="3394" spans="1:2" x14ac:dyDescent="0.25">
      <c r="A3394" t="s">
        <v>3862</v>
      </c>
      <c r="B3394">
        <v>3394</v>
      </c>
    </row>
    <row r="3395" spans="1:2" x14ac:dyDescent="0.25">
      <c r="A3395" t="s">
        <v>3892</v>
      </c>
      <c r="B3395">
        <v>3395</v>
      </c>
    </row>
    <row r="3396" spans="1:2" x14ac:dyDescent="0.25">
      <c r="A3396" t="s">
        <v>3922</v>
      </c>
      <c r="B3396">
        <v>3396</v>
      </c>
    </row>
    <row r="3397" spans="1:2" x14ac:dyDescent="0.25">
      <c r="A3397" t="s">
        <v>3952</v>
      </c>
      <c r="B3397">
        <v>3397</v>
      </c>
    </row>
    <row r="3398" spans="1:2" x14ac:dyDescent="0.25">
      <c r="A3398" t="s">
        <v>3982</v>
      </c>
      <c r="B3398">
        <v>3398</v>
      </c>
    </row>
    <row r="3399" spans="1:2" x14ac:dyDescent="0.25">
      <c r="A3399" t="s">
        <v>4012</v>
      </c>
      <c r="B3399">
        <v>3399</v>
      </c>
    </row>
    <row r="3400" spans="1:2" x14ac:dyDescent="0.25">
      <c r="A3400" t="s">
        <v>4042</v>
      </c>
      <c r="B3400">
        <v>3400</v>
      </c>
    </row>
    <row r="3401" spans="1:2" x14ac:dyDescent="0.25">
      <c r="A3401" t="s">
        <v>4072</v>
      </c>
      <c r="B3401">
        <v>3401</v>
      </c>
    </row>
    <row r="3402" spans="1:2" x14ac:dyDescent="0.25">
      <c r="A3402" t="s">
        <v>4102</v>
      </c>
      <c r="B3402">
        <v>3402</v>
      </c>
    </row>
    <row r="3403" spans="1:2" x14ac:dyDescent="0.25">
      <c r="A3403" t="s">
        <v>4131</v>
      </c>
      <c r="B3403">
        <v>3403</v>
      </c>
    </row>
    <row r="3404" spans="1:2" x14ac:dyDescent="0.25">
      <c r="A3404" t="s">
        <v>4131</v>
      </c>
      <c r="B3404">
        <v>3404</v>
      </c>
    </row>
    <row r="3405" spans="1:2" x14ac:dyDescent="0.25">
      <c r="A3405" t="s">
        <v>4161</v>
      </c>
      <c r="B3405">
        <v>3405</v>
      </c>
    </row>
    <row r="3406" spans="1:2" x14ac:dyDescent="0.25">
      <c r="A3406" t="s">
        <v>4191</v>
      </c>
      <c r="B3406">
        <v>3406</v>
      </c>
    </row>
    <row r="3407" spans="1:2" x14ac:dyDescent="0.25">
      <c r="A3407" t="s">
        <v>4221</v>
      </c>
      <c r="B3407">
        <v>3407</v>
      </c>
    </row>
    <row r="3408" spans="1:2" x14ac:dyDescent="0.25">
      <c r="A3408" t="s">
        <v>4251</v>
      </c>
      <c r="B3408">
        <v>3408</v>
      </c>
    </row>
    <row r="3409" spans="1:2" x14ac:dyDescent="0.25">
      <c r="A3409" t="s">
        <v>4281</v>
      </c>
      <c r="B3409">
        <v>3409</v>
      </c>
    </row>
    <row r="3410" spans="1:2" x14ac:dyDescent="0.25">
      <c r="A3410" t="s">
        <v>4311</v>
      </c>
      <c r="B3410">
        <v>3410</v>
      </c>
    </row>
    <row r="3411" spans="1:2" x14ac:dyDescent="0.25">
      <c r="A3411" t="s">
        <v>4341</v>
      </c>
      <c r="B3411">
        <v>3411</v>
      </c>
    </row>
    <row r="3412" spans="1:2" x14ac:dyDescent="0.25">
      <c r="A3412" t="s">
        <v>4371</v>
      </c>
      <c r="B3412">
        <v>3412</v>
      </c>
    </row>
    <row r="3413" spans="1:2" x14ac:dyDescent="0.25">
      <c r="A3413" t="s">
        <v>4401</v>
      </c>
      <c r="B3413">
        <v>3413</v>
      </c>
    </row>
    <row r="3414" spans="1:2" x14ac:dyDescent="0.25">
      <c r="A3414" t="s">
        <v>4431</v>
      </c>
      <c r="B3414">
        <v>3414</v>
      </c>
    </row>
    <row r="3415" spans="1:2" x14ac:dyDescent="0.25">
      <c r="A3415" t="s">
        <v>4461</v>
      </c>
      <c r="B3415">
        <v>3415</v>
      </c>
    </row>
    <row r="3416" spans="1:2" x14ac:dyDescent="0.25">
      <c r="A3416" t="s">
        <v>4491</v>
      </c>
      <c r="B3416">
        <v>3416</v>
      </c>
    </row>
    <row r="3417" spans="1:2" x14ac:dyDescent="0.25">
      <c r="A3417" t="s">
        <v>4521</v>
      </c>
      <c r="B3417">
        <v>3417</v>
      </c>
    </row>
    <row r="3418" spans="1:2" x14ac:dyDescent="0.25">
      <c r="A3418" t="s">
        <v>4551</v>
      </c>
      <c r="B3418">
        <v>3418</v>
      </c>
    </row>
    <row r="3419" spans="1:2" x14ac:dyDescent="0.25">
      <c r="A3419" t="s">
        <v>4578</v>
      </c>
      <c r="B3419">
        <v>3419</v>
      </c>
    </row>
    <row r="3420" spans="1:2" x14ac:dyDescent="0.25">
      <c r="A3420" t="s">
        <v>4578</v>
      </c>
      <c r="B3420">
        <v>3420</v>
      </c>
    </row>
    <row r="3421" spans="1:2" x14ac:dyDescent="0.25">
      <c r="A3421" t="s">
        <v>4608</v>
      </c>
      <c r="B3421">
        <v>3421</v>
      </c>
    </row>
    <row r="3422" spans="1:2" x14ac:dyDescent="0.25">
      <c r="A3422" t="s">
        <v>4638</v>
      </c>
      <c r="B3422">
        <v>3422</v>
      </c>
    </row>
    <row r="3423" spans="1:2" x14ac:dyDescent="0.25">
      <c r="A3423" t="s">
        <v>4668</v>
      </c>
      <c r="B3423">
        <v>3423</v>
      </c>
    </row>
    <row r="3424" spans="1:2" x14ac:dyDescent="0.25">
      <c r="A3424" t="s">
        <v>4698</v>
      </c>
      <c r="B3424">
        <v>3424</v>
      </c>
    </row>
    <row r="3425" spans="1:2" x14ac:dyDescent="0.25">
      <c r="A3425" t="s">
        <v>4728</v>
      </c>
      <c r="B3425">
        <v>3425</v>
      </c>
    </row>
    <row r="3426" spans="1:2" x14ac:dyDescent="0.25">
      <c r="A3426" t="s">
        <v>4753</v>
      </c>
      <c r="B3426">
        <v>3426</v>
      </c>
    </row>
    <row r="3427" spans="1:2" x14ac:dyDescent="0.25">
      <c r="A3427" t="s">
        <v>4753</v>
      </c>
      <c r="B3427">
        <v>3427</v>
      </c>
    </row>
    <row r="3428" spans="1:2" x14ac:dyDescent="0.25">
      <c r="A3428" t="s">
        <v>4783</v>
      </c>
      <c r="B3428">
        <v>3428</v>
      </c>
    </row>
    <row r="3429" spans="1:2" x14ac:dyDescent="0.25">
      <c r="A3429" t="s">
        <v>4813</v>
      </c>
      <c r="B3429">
        <v>3429</v>
      </c>
    </row>
    <row r="3430" spans="1:2" x14ac:dyDescent="0.25">
      <c r="A3430" t="s">
        <v>4843</v>
      </c>
      <c r="B3430">
        <v>3430</v>
      </c>
    </row>
    <row r="3431" spans="1:2" x14ac:dyDescent="0.25">
      <c r="A3431" t="s">
        <v>4873</v>
      </c>
      <c r="B3431">
        <v>3431</v>
      </c>
    </row>
    <row r="3432" spans="1:2" x14ac:dyDescent="0.25">
      <c r="A3432" t="s">
        <v>4903</v>
      </c>
      <c r="B3432">
        <v>3432</v>
      </c>
    </row>
    <row r="3433" spans="1:2" x14ac:dyDescent="0.25">
      <c r="A3433" t="s">
        <v>4933</v>
      </c>
      <c r="B3433">
        <v>3433</v>
      </c>
    </row>
    <row r="3434" spans="1:2" x14ac:dyDescent="0.25">
      <c r="A3434" t="s">
        <v>4963</v>
      </c>
      <c r="B3434">
        <v>3434</v>
      </c>
    </row>
    <row r="3435" spans="1:2" x14ac:dyDescent="0.25">
      <c r="A3435" t="s">
        <v>4993</v>
      </c>
      <c r="B3435">
        <v>3435</v>
      </c>
    </row>
    <row r="3436" spans="1:2" x14ac:dyDescent="0.25">
      <c r="A3436" t="s">
        <v>5023</v>
      </c>
      <c r="B3436">
        <v>3436</v>
      </c>
    </row>
    <row r="3437" spans="1:2" x14ac:dyDescent="0.25">
      <c r="A3437" t="s">
        <v>5053</v>
      </c>
      <c r="B3437">
        <v>3437</v>
      </c>
    </row>
    <row r="3438" spans="1:2" x14ac:dyDescent="0.25">
      <c r="A3438" t="s">
        <v>5076</v>
      </c>
      <c r="B3438">
        <v>3438</v>
      </c>
    </row>
    <row r="3439" spans="1:2" x14ac:dyDescent="0.25">
      <c r="A3439" t="s">
        <v>5076</v>
      </c>
      <c r="B3439">
        <v>3439</v>
      </c>
    </row>
    <row r="3440" spans="1:2" x14ac:dyDescent="0.25">
      <c r="A3440" t="s">
        <v>5097</v>
      </c>
      <c r="B3440">
        <v>3440</v>
      </c>
    </row>
    <row r="3441" spans="1:2" x14ac:dyDescent="0.25">
      <c r="A3441" t="s">
        <v>5097</v>
      </c>
      <c r="B3441">
        <v>3441</v>
      </c>
    </row>
    <row r="3442" spans="1:2" x14ac:dyDescent="0.25">
      <c r="A3442" t="s">
        <v>5116</v>
      </c>
      <c r="B3442">
        <v>3442</v>
      </c>
    </row>
    <row r="3443" spans="1:2" x14ac:dyDescent="0.25">
      <c r="A3443" t="s">
        <v>5116</v>
      </c>
      <c r="B3443">
        <v>3443</v>
      </c>
    </row>
    <row r="3444" spans="1:2" x14ac:dyDescent="0.25">
      <c r="A3444" t="s">
        <v>5146</v>
      </c>
      <c r="B3444">
        <v>3444</v>
      </c>
    </row>
    <row r="3445" spans="1:2" x14ac:dyDescent="0.25">
      <c r="A3445" t="s">
        <v>5176</v>
      </c>
      <c r="B3445">
        <v>3445</v>
      </c>
    </row>
    <row r="3446" spans="1:2" x14ac:dyDescent="0.25">
      <c r="A3446" t="s">
        <v>5206</v>
      </c>
      <c r="B3446">
        <v>3446</v>
      </c>
    </row>
    <row r="3447" spans="1:2" x14ac:dyDescent="0.25">
      <c r="A3447" t="s">
        <v>5236</v>
      </c>
      <c r="B3447">
        <v>3447</v>
      </c>
    </row>
    <row r="3448" spans="1:2" x14ac:dyDescent="0.25">
      <c r="A3448" t="s">
        <v>5266</v>
      </c>
      <c r="B3448">
        <v>3448</v>
      </c>
    </row>
    <row r="3449" spans="1:2" x14ac:dyDescent="0.25">
      <c r="A3449" t="s">
        <v>5296</v>
      </c>
      <c r="B3449">
        <v>3449</v>
      </c>
    </row>
    <row r="3450" spans="1:2" x14ac:dyDescent="0.25">
      <c r="A3450" t="s">
        <v>5326</v>
      </c>
      <c r="B3450">
        <v>3450</v>
      </c>
    </row>
    <row r="3451" spans="1:2" x14ac:dyDescent="0.25">
      <c r="A3451" t="s">
        <v>5356</v>
      </c>
      <c r="B3451">
        <v>3451</v>
      </c>
    </row>
    <row r="3452" spans="1:2" x14ac:dyDescent="0.25">
      <c r="A3452" t="s">
        <v>5386</v>
      </c>
      <c r="B3452">
        <v>3452</v>
      </c>
    </row>
    <row r="3453" spans="1:2" x14ac:dyDescent="0.25">
      <c r="A3453" t="s">
        <v>5416</v>
      </c>
      <c r="B3453">
        <v>3453</v>
      </c>
    </row>
    <row r="3454" spans="1:2" x14ac:dyDescent="0.25">
      <c r="A3454" t="s">
        <v>5446</v>
      </c>
      <c r="B3454">
        <v>3454</v>
      </c>
    </row>
    <row r="3455" spans="1:2" x14ac:dyDescent="0.25">
      <c r="A3455" t="s">
        <v>5476</v>
      </c>
      <c r="B3455">
        <v>3455</v>
      </c>
    </row>
    <row r="3456" spans="1:2" x14ac:dyDescent="0.25">
      <c r="A3456" t="s">
        <v>5506</v>
      </c>
      <c r="B3456">
        <v>3456</v>
      </c>
    </row>
    <row r="3457" spans="1:2" x14ac:dyDescent="0.25">
      <c r="A3457" t="s">
        <v>5536</v>
      </c>
      <c r="B3457">
        <v>3457</v>
      </c>
    </row>
    <row r="3458" spans="1:2" x14ac:dyDescent="0.25">
      <c r="A3458" t="s">
        <v>5566</v>
      </c>
      <c r="B3458">
        <v>3458</v>
      </c>
    </row>
    <row r="3459" spans="1:2" x14ac:dyDescent="0.25">
      <c r="A3459" t="s">
        <v>5596</v>
      </c>
      <c r="B3459">
        <v>3459</v>
      </c>
    </row>
    <row r="3460" spans="1:2" x14ac:dyDescent="0.25">
      <c r="A3460" t="s">
        <v>5626</v>
      </c>
      <c r="B3460">
        <v>3460</v>
      </c>
    </row>
    <row r="3461" spans="1:2" x14ac:dyDescent="0.25">
      <c r="A3461" t="s">
        <v>5656</v>
      </c>
      <c r="B3461">
        <v>3461</v>
      </c>
    </row>
    <row r="3462" spans="1:2" x14ac:dyDescent="0.25">
      <c r="A3462" t="s">
        <v>5686</v>
      </c>
      <c r="B3462">
        <v>3462</v>
      </c>
    </row>
    <row r="3463" spans="1:2" x14ac:dyDescent="0.25">
      <c r="A3463" t="s">
        <v>5716</v>
      </c>
      <c r="B3463">
        <v>3463</v>
      </c>
    </row>
    <row r="3464" spans="1:2" x14ac:dyDescent="0.25">
      <c r="A3464" t="s">
        <v>5746</v>
      </c>
      <c r="B3464">
        <v>3464</v>
      </c>
    </row>
    <row r="3465" spans="1:2" x14ac:dyDescent="0.25">
      <c r="A3465" t="s">
        <v>5776</v>
      </c>
      <c r="B3465">
        <v>3465</v>
      </c>
    </row>
    <row r="3466" spans="1:2" x14ac:dyDescent="0.25">
      <c r="A3466" t="s">
        <v>5806</v>
      </c>
      <c r="B3466">
        <v>3466</v>
      </c>
    </row>
    <row r="3467" spans="1:2" x14ac:dyDescent="0.25">
      <c r="A3467" t="s">
        <v>5836</v>
      </c>
      <c r="B3467">
        <v>3467</v>
      </c>
    </row>
    <row r="3468" spans="1:2" x14ac:dyDescent="0.25">
      <c r="A3468" t="s">
        <v>5866</v>
      </c>
      <c r="B3468">
        <v>3468</v>
      </c>
    </row>
    <row r="3469" spans="1:2" x14ac:dyDescent="0.25">
      <c r="A3469" t="s">
        <v>5896</v>
      </c>
      <c r="B3469">
        <v>3469</v>
      </c>
    </row>
    <row r="3470" spans="1:2" x14ac:dyDescent="0.25">
      <c r="A3470" t="s">
        <v>5926</v>
      </c>
      <c r="B3470">
        <v>3470</v>
      </c>
    </row>
    <row r="3471" spans="1:2" x14ac:dyDescent="0.25">
      <c r="A3471" t="s">
        <v>5956</v>
      </c>
      <c r="B3471">
        <v>3471</v>
      </c>
    </row>
    <row r="3472" spans="1:2" x14ac:dyDescent="0.25">
      <c r="A3472" t="s">
        <v>5986</v>
      </c>
      <c r="B3472">
        <v>3472</v>
      </c>
    </row>
    <row r="3473" spans="1:2" x14ac:dyDescent="0.25">
      <c r="A3473" t="s">
        <v>6016</v>
      </c>
      <c r="B3473">
        <v>3473</v>
      </c>
    </row>
    <row r="3474" spans="1:2" x14ac:dyDescent="0.25">
      <c r="A3474" t="s">
        <v>6046</v>
      </c>
      <c r="B3474">
        <v>3474</v>
      </c>
    </row>
    <row r="3475" spans="1:2" x14ac:dyDescent="0.25">
      <c r="A3475" t="s">
        <v>6063</v>
      </c>
      <c r="B3475">
        <v>3475</v>
      </c>
    </row>
    <row r="3476" spans="1:2" x14ac:dyDescent="0.25">
      <c r="A3476" t="s">
        <v>6063</v>
      </c>
      <c r="B3476">
        <v>3476</v>
      </c>
    </row>
    <row r="3477" spans="1:2" x14ac:dyDescent="0.25">
      <c r="A3477" t="s">
        <v>6093</v>
      </c>
      <c r="B3477">
        <v>3477</v>
      </c>
    </row>
    <row r="3478" spans="1:2" x14ac:dyDescent="0.25">
      <c r="A3478" t="s">
        <v>6123</v>
      </c>
      <c r="B3478">
        <v>3478</v>
      </c>
    </row>
    <row r="3479" spans="1:2" x14ac:dyDescent="0.25">
      <c r="A3479" t="s">
        <v>6153</v>
      </c>
      <c r="B3479">
        <v>3479</v>
      </c>
    </row>
    <row r="3480" spans="1:2" x14ac:dyDescent="0.25">
      <c r="A3480" t="s">
        <v>6183</v>
      </c>
      <c r="B3480">
        <v>3480</v>
      </c>
    </row>
    <row r="3481" spans="1:2" x14ac:dyDescent="0.25">
      <c r="A3481" t="s">
        <v>6213</v>
      </c>
      <c r="B3481">
        <v>3481</v>
      </c>
    </row>
    <row r="3482" spans="1:2" x14ac:dyDescent="0.25">
      <c r="A3482" t="s">
        <v>6243</v>
      </c>
      <c r="B3482">
        <v>3482</v>
      </c>
    </row>
    <row r="3483" spans="1:2" x14ac:dyDescent="0.25">
      <c r="A3483" t="s">
        <v>6273</v>
      </c>
      <c r="B3483">
        <v>3483</v>
      </c>
    </row>
    <row r="3484" spans="1:2" x14ac:dyDescent="0.25">
      <c r="A3484" t="s">
        <v>6303</v>
      </c>
      <c r="B3484">
        <v>3484</v>
      </c>
    </row>
    <row r="3485" spans="1:2" x14ac:dyDescent="0.25">
      <c r="A3485" t="s">
        <v>6333</v>
      </c>
      <c r="B3485">
        <v>3485</v>
      </c>
    </row>
    <row r="3486" spans="1:2" x14ac:dyDescent="0.25">
      <c r="A3486" t="s">
        <v>6363</v>
      </c>
      <c r="B3486">
        <v>3486</v>
      </c>
    </row>
    <row r="3487" spans="1:2" x14ac:dyDescent="0.25">
      <c r="A3487" t="s">
        <v>6393</v>
      </c>
      <c r="B3487">
        <v>3487</v>
      </c>
    </row>
    <row r="3488" spans="1:2" x14ac:dyDescent="0.25">
      <c r="A3488" t="s">
        <v>6423</v>
      </c>
      <c r="B3488">
        <v>3488</v>
      </c>
    </row>
    <row r="3489" spans="1:2" x14ac:dyDescent="0.25">
      <c r="A3489" t="s">
        <v>6453</v>
      </c>
      <c r="B3489">
        <v>3489</v>
      </c>
    </row>
    <row r="3490" spans="1:2" x14ac:dyDescent="0.25">
      <c r="A3490" t="s">
        <v>6483</v>
      </c>
      <c r="B3490">
        <v>3490</v>
      </c>
    </row>
    <row r="3491" spans="1:2" x14ac:dyDescent="0.25">
      <c r="A3491" t="s">
        <v>6513</v>
      </c>
      <c r="B3491">
        <v>3491</v>
      </c>
    </row>
    <row r="3492" spans="1:2" x14ac:dyDescent="0.25">
      <c r="A3492" t="s">
        <v>6543</v>
      </c>
      <c r="B3492">
        <v>3492</v>
      </c>
    </row>
    <row r="3493" spans="1:2" x14ac:dyDescent="0.25">
      <c r="A3493" t="s">
        <v>6573</v>
      </c>
      <c r="B3493">
        <v>3493</v>
      </c>
    </row>
    <row r="3494" spans="1:2" x14ac:dyDescent="0.25">
      <c r="A3494" t="s">
        <v>6603</v>
      </c>
      <c r="B3494">
        <v>3494</v>
      </c>
    </row>
    <row r="3495" spans="1:2" x14ac:dyDescent="0.25">
      <c r="A3495" t="s">
        <v>6619</v>
      </c>
      <c r="B3495">
        <v>3495</v>
      </c>
    </row>
    <row r="3496" spans="1:2" x14ac:dyDescent="0.25">
      <c r="A3496" t="s">
        <v>6619</v>
      </c>
      <c r="B3496">
        <v>3496</v>
      </c>
    </row>
    <row r="3497" spans="1:2" x14ac:dyDescent="0.25">
      <c r="A3497" t="s">
        <v>6648</v>
      </c>
      <c r="B3497">
        <v>3497</v>
      </c>
    </row>
    <row r="3498" spans="1:2" x14ac:dyDescent="0.25">
      <c r="A3498" t="s">
        <v>6678</v>
      </c>
      <c r="B3498">
        <v>3498</v>
      </c>
    </row>
    <row r="3499" spans="1:2" x14ac:dyDescent="0.25">
      <c r="A3499" t="s">
        <v>6708</v>
      </c>
      <c r="B3499">
        <v>3499</v>
      </c>
    </row>
    <row r="3500" spans="1:2" x14ac:dyDescent="0.25">
      <c r="A3500" t="s">
        <v>6738</v>
      </c>
      <c r="B3500">
        <v>3500</v>
      </c>
    </row>
    <row r="3501" spans="1:2" x14ac:dyDescent="0.25">
      <c r="A3501" t="s">
        <v>6768</v>
      </c>
      <c r="B3501">
        <v>3501</v>
      </c>
    </row>
    <row r="3502" spans="1:2" x14ac:dyDescent="0.25">
      <c r="A3502" t="s">
        <v>6798</v>
      </c>
      <c r="B3502">
        <v>3502</v>
      </c>
    </row>
    <row r="3503" spans="1:2" x14ac:dyDescent="0.25">
      <c r="A3503" t="s">
        <v>6828</v>
      </c>
      <c r="B3503">
        <v>3503</v>
      </c>
    </row>
    <row r="3504" spans="1:2" x14ac:dyDescent="0.25">
      <c r="A3504" t="s">
        <v>6858</v>
      </c>
      <c r="B3504">
        <v>3504</v>
      </c>
    </row>
    <row r="3505" spans="1:2" x14ac:dyDescent="0.25">
      <c r="A3505" t="s">
        <v>6866</v>
      </c>
      <c r="B3505">
        <v>3505</v>
      </c>
    </row>
    <row r="3506" spans="1:2" x14ac:dyDescent="0.25">
      <c r="A3506" t="s">
        <v>6866</v>
      </c>
      <c r="B3506">
        <v>3506</v>
      </c>
    </row>
    <row r="3507" spans="1:2" x14ac:dyDescent="0.25">
      <c r="A3507" t="s">
        <v>6901</v>
      </c>
      <c r="B3507">
        <v>3507</v>
      </c>
    </row>
    <row r="3508" spans="1:2" x14ac:dyDescent="0.25">
      <c r="A3508" t="s">
        <v>6931</v>
      </c>
      <c r="B3508">
        <v>3508</v>
      </c>
    </row>
    <row r="3509" spans="1:2" x14ac:dyDescent="0.25">
      <c r="A3509" t="s">
        <v>6961</v>
      </c>
      <c r="B3509">
        <v>3509</v>
      </c>
    </row>
    <row r="3510" spans="1:2" x14ac:dyDescent="0.25">
      <c r="A3510" t="s">
        <v>6991</v>
      </c>
      <c r="B3510">
        <v>3510</v>
      </c>
    </row>
    <row r="3511" spans="1:2" x14ac:dyDescent="0.25">
      <c r="A3511" t="s">
        <v>7021</v>
      </c>
      <c r="B3511">
        <v>3511</v>
      </c>
    </row>
    <row r="3512" spans="1:2" x14ac:dyDescent="0.25">
      <c r="A3512" t="s">
        <v>7051</v>
      </c>
      <c r="B3512">
        <v>3512</v>
      </c>
    </row>
    <row r="3513" spans="1:2" x14ac:dyDescent="0.25">
      <c r="A3513" t="s">
        <v>7081</v>
      </c>
      <c r="B3513">
        <v>3513</v>
      </c>
    </row>
    <row r="3514" spans="1:2" x14ac:dyDescent="0.25">
      <c r="A3514" t="s">
        <v>7111</v>
      </c>
      <c r="B3514">
        <v>3514</v>
      </c>
    </row>
    <row r="3515" spans="1:2" x14ac:dyDescent="0.25">
      <c r="A3515" t="s">
        <v>6869</v>
      </c>
      <c r="B3515">
        <v>3515</v>
      </c>
    </row>
    <row r="3516" spans="1:2" x14ac:dyDescent="0.25">
      <c r="A3516" t="s">
        <v>6869</v>
      </c>
      <c r="B3516">
        <v>3516</v>
      </c>
    </row>
    <row r="3517" spans="1:2" x14ac:dyDescent="0.25">
      <c r="A3517" t="s">
        <v>7152</v>
      </c>
      <c r="B3517">
        <v>3517</v>
      </c>
    </row>
    <row r="3518" spans="1:2" x14ac:dyDescent="0.25">
      <c r="A3518" t="s">
        <v>7182</v>
      </c>
      <c r="B3518">
        <v>3518</v>
      </c>
    </row>
    <row r="3519" spans="1:2" x14ac:dyDescent="0.25">
      <c r="A3519" t="s">
        <v>7212</v>
      </c>
      <c r="B3519">
        <v>3519</v>
      </c>
    </row>
    <row r="3520" spans="1:2" x14ac:dyDescent="0.25">
      <c r="A3520" t="s">
        <v>7242</v>
      </c>
      <c r="B3520">
        <v>3520</v>
      </c>
    </row>
    <row r="3521" spans="1:2" x14ac:dyDescent="0.25">
      <c r="A3521" t="s">
        <v>7272</v>
      </c>
      <c r="B3521">
        <v>3521</v>
      </c>
    </row>
    <row r="3522" spans="1:2" x14ac:dyDescent="0.25">
      <c r="A3522" t="s">
        <v>6864</v>
      </c>
      <c r="B3522">
        <v>3522</v>
      </c>
    </row>
    <row r="3523" spans="1:2" x14ac:dyDescent="0.25">
      <c r="A3523" t="s">
        <v>6864</v>
      </c>
      <c r="B3523">
        <v>3523</v>
      </c>
    </row>
    <row r="3524" spans="1:2" x14ac:dyDescent="0.25">
      <c r="A3524" t="s">
        <v>7311</v>
      </c>
      <c r="B3524">
        <v>3524</v>
      </c>
    </row>
    <row r="3525" spans="1:2" x14ac:dyDescent="0.25">
      <c r="A3525" t="s">
        <v>7341</v>
      </c>
      <c r="B3525">
        <v>3525</v>
      </c>
    </row>
    <row r="3526" spans="1:2" x14ac:dyDescent="0.25">
      <c r="A3526" t="s">
        <v>7371</v>
      </c>
      <c r="B3526">
        <v>3526</v>
      </c>
    </row>
    <row r="3527" spans="1:2" x14ac:dyDescent="0.25">
      <c r="A3527" t="s">
        <v>7401</v>
      </c>
      <c r="B3527">
        <v>3527</v>
      </c>
    </row>
    <row r="3528" spans="1:2" x14ac:dyDescent="0.25">
      <c r="A3528" t="s">
        <v>7431</v>
      </c>
      <c r="B3528">
        <v>3528</v>
      </c>
    </row>
    <row r="3529" spans="1:2" x14ac:dyDescent="0.25">
      <c r="A3529" t="s">
        <v>7461</v>
      </c>
      <c r="B3529">
        <v>3529</v>
      </c>
    </row>
    <row r="3530" spans="1:2" x14ac:dyDescent="0.25">
      <c r="A3530" t="s">
        <v>7491</v>
      </c>
      <c r="B3530">
        <v>3530</v>
      </c>
    </row>
    <row r="3531" spans="1:2" x14ac:dyDescent="0.25">
      <c r="A3531" t="s">
        <v>7521</v>
      </c>
      <c r="B3531">
        <v>3531</v>
      </c>
    </row>
    <row r="3532" spans="1:2" x14ac:dyDescent="0.25">
      <c r="A3532" t="s">
        <v>7551</v>
      </c>
      <c r="B3532">
        <v>3532</v>
      </c>
    </row>
    <row r="3533" spans="1:2" x14ac:dyDescent="0.25">
      <c r="A3533" t="s">
        <v>7581</v>
      </c>
      <c r="B3533">
        <v>3533</v>
      </c>
    </row>
    <row r="3534" spans="1:2" x14ac:dyDescent="0.25">
      <c r="A3534" t="s">
        <v>7611</v>
      </c>
      <c r="B3534">
        <v>3534</v>
      </c>
    </row>
    <row r="3535" spans="1:2" x14ac:dyDescent="0.25">
      <c r="A3535" t="s">
        <v>7641</v>
      </c>
      <c r="B3535">
        <v>3535</v>
      </c>
    </row>
    <row r="3536" spans="1:2" x14ac:dyDescent="0.25">
      <c r="A3536" t="s">
        <v>7671</v>
      </c>
      <c r="B3536">
        <v>3536</v>
      </c>
    </row>
    <row r="3537" spans="1:2" x14ac:dyDescent="0.25">
      <c r="A3537" t="s">
        <v>7701</v>
      </c>
      <c r="B3537">
        <v>3537</v>
      </c>
    </row>
    <row r="3538" spans="1:2" x14ac:dyDescent="0.25">
      <c r="A3538" t="s">
        <v>7731</v>
      </c>
      <c r="B3538">
        <v>3538</v>
      </c>
    </row>
    <row r="3539" spans="1:2" x14ac:dyDescent="0.25">
      <c r="A3539" t="s">
        <v>7761</v>
      </c>
      <c r="B3539">
        <v>3539</v>
      </c>
    </row>
    <row r="3540" spans="1:2" x14ac:dyDescent="0.25">
      <c r="A3540" t="s">
        <v>7791</v>
      </c>
      <c r="B3540">
        <v>3540</v>
      </c>
    </row>
    <row r="3541" spans="1:2" x14ac:dyDescent="0.25">
      <c r="A3541" t="s">
        <v>7821</v>
      </c>
      <c r="B3541">
        <v>3541</v>
      </c>
    </row>
    <row r="3542" spans="1:2" x14ac:dyDescent="0.25">
      <c r="A3542" t="s">
        <v>7851</v>
      </c>
      <c r="B3542">
        <v>3542</v>
      </c>
    </row>
    <row r="3543" spans="1:2" x14ac:dyDescent="0.25">
      <c r="A3543" t="s">
        <v>7881</v>
      </c>
      <c r="B3543">
        <v>3543</v>
      </c>
    </row>
    <row r="3544" spans="1:2" x14ac:dyDescent="0.25">
      <c r="A3544" t="s">
        <v>7911</v>
      </c>
      <c r="B3544">
        <v>3544</v>
      </c>
    </row>
    <row r="3545" spans="1:2" x14ac:dyDescent="0.25">
      <c r="A3545" t="s">
        <v>7941</v>
      </c>
      <c r="B3545">
        <v>3545</v>
      </c>
    </row>
    <row r="3546" spans="1:2" x14ac:dyDescent="0.25">
      <c r="A3546" t="s">
        <v>7971</v>
      </c>
      <c r="B3546">
        <v>3546</v>
      </c>
    </row>
    <row r="3547" spans="1:2" x14ac:dyDescent="0.25">
      <c r="A3547" t="s">
        <v>8001</v>
      </c>
      <c r="B3547">
        <v>3547</v>
      </c>
    </row>
    <row r="3548" spans="1:2" x14ac:dyDescent="0.25">
      <c r="A3548" t="s">
        <v>8031</v>
      </c>
      <c r="B3548">
        <v>3548</v>
      </c>
    </row>
    <row r="3549" spans="1:2" x14ac:dyDescent="0.25">
      <c r="A3549" t="s">
        <v>8061</v>
      </c>
      <c r="B3549">
        <v>3549</v>
      </c>
    </row>
    <row r="3550" spans="1:2" x14ac:dyDescent="0.25">
      <c r="A3550" t="s">
        <v>8091</v>
      </c>
      <c r="B3550">
        <v>3550</v>
      </c>
    </row>
    <row r="3551" spans="1:2" x14ac:dyDescent="0.25">
      <c r="A3551" t="s">
        <v>8121</v>
      </c>
      <c r="B3551">
        <v>3551</v>
      </c>
    </row>
    <row r="3552" spans="1:2" x14ac:dyDescent="0.25">
      <c r="A3552" t="s">
        <v>8151</v>
      </c>
      <c r="B3552">
        <v>3552</v>
      </c>
    </row>
    <row r="3553" spans="1:2" x14ac:dyDescent="0.25">
      <c r="A3553" t="s">
        <v>8181</v>
      </c>
      <c r="B3553">
        <v>3553</v>
      </c>
    </row>
    <row r="3554" spans="1:2" x14ac:dyDescent="0.25">
      <c r="A3554" t="s">
        <v>6863</v>
      </c>
      <c r="B3554">
        <v>3554</v>
      </c>
    </row>
    <row r="3555" spans="1:2" x14ac:dyDescent="0.25">
      <c r="A3555" t="s">
        <v>6863</v>
      </c>
      <c r="B3555">
        <v>3555</v>
      </c>
    </row>
    <row r="3556" spans="1:2" x14ac:dyDescent="0.25">
      <c r="A3556" t="s">
        <v>6867</v>
      </c>
      <c r="B3556">
        <v>3556</v>
      </c>
    </row>
    <row r="3557" spans="1:2" x14ac:dyDescent="0.25">
      <c r="A3557" t="s">
        <v>6867</v>
      </c>
      <c r="B3557">
        <v>3557</v>
      </c>
    </row>
    <row r="3558" spans="1:2" x14ac:dyDescent="0.25">
      <c r="A3558" t="s">
        <v>8223</v>
      </c>
      <c r="B3558">
        <v>3558</v>
      </c>
    </row>
    <row r="3559" spans="1:2" x14ac:dyDescent="0.25">
      <c r="A3559" t="s">
        <v>8253</v>
      </c>
      <c r="B3559">
        <v>3559</v>
      </c>
    </row>
    <row r="3560" spans="1:2" x14ac:dyDescent="0.25">
      <c r="A3560" t="s">
        <v>8283</v>
      </c>
      <c r="B3560">
        <v>3560</v>
      </c>
    </row>
    <row r="3561" spans="1:2" x14ac:dyDescent="0.25">
      <c r="A3561" t="s">
        <v>8313</v>
      </c>
      <c r="B3561">
        <v>3561</v>
      </c>
    </row>
    <row r="3562" spans="1:2" x14ac:dyDescent="0.25">
      <c r="A3562" t="s">
        <v>8343</v>
      </c>
      <c r="B3562">
        <v>3562</v>
      </c>
    </row>
    <row r="3563" spans="1:2" x14ac:dyDescent="0.25">
      <c r="A3563" t="s">
        <v>8373</v>
      </c>
      <c r="B3563">
        <v>3563</v>
      </c>
    </row>
    <row r="3564" spans="1:2" x14ac:dyDescent="0.25">
      <c r="A3564" t="s">
        <v>8403</v>
      </c>
      <c r="B3564">
        <v>3564</v>
      </c>
    </row>
    <row r="3565" spans="1:2" x14ac:dyDescent="0.25">
      <c r="A3565" t="s">
        <v>8433</v>
      </c>
      <c r="B3565">
        <v>3565</v>
      </c>
    </row>
    <row r="3566" spans="1:2" x14ac:dyDescent="0.25">
      <c r="A3566" t="s">
        <v>8463</v>
      </c>
      <c r="B3566">
        <v>3566</v>
      </c>
    </row>
    <row r="3567" spans="1:2" x14ac:dyDescent="0.25">
      <c r="A3567" t="s">
        <v>8493</v>
      </c>
      <c r="B3567">
        <v>3567</v>
      </c>
    </row>
    <row r="3568" spans="1:2" x14ac:dyDescent="0.25">
      <c r="A3568" t="s">
        <v>8523</v>
      </c>
      <c r="B3568">
        <v>3568</v>
      </c>
    </row>
    <row r="3569" spans="1:2" x14ac:dyDescent="0.25">
      <c r="A3569" t="s">
        <v>8553</v>
      </c>
      <c r="B3569">
        <v>3569</v>
      </c>
    </row>
    <row r="3570" spans="1:2" x14ac:dyDescent="0.25">
      <c r="A3570" t="s">
        <v>8583</v>
      </c>
      <c r="B3570">
        <v>3570</v>
      </c>
    </row>
    <row r="3571" spans="1:2" x14ac:dyDescent="0.25">
      <c r="A3571" t="s">
        <v>8613</v>
      </c>
      <c r="B3571">
        <v>3571</v>
      </c>
    </row>
    <row r="3572" spans="1:2" x14ac:dyDescent="0.25">
      <c r="A3572" t="s">
        <v>8643</v>
      </c>
      <c r="B3572">
        <v>3572</v>
      </c>
    </row>
    <row r="3573" spans="1:2" x14ac:dyDescent="0.25">
      <c r="A3573" t="s">
        <v>6865</v>
      </c>
      <c r="B3573">
        <v>3573</v>
      </c>
    </row>
    <row r="3574" spans="1:2" x14ac:dyDescent="0.25">
      <c r="A3574" t="s">
        <v>6865</v>
      </c>
      <c r="B3574">
        <v>3574</v>
      </c>
    </row>
    <row r="3575" spans="1:2" x14ac:dyDescent="0.25">
      <c r="A3575" t="s">
        <v>8676</v>
      </c>
      <c r="B3575">
        <v>3575</v>
      </c>
    </row>
    <row r="3576" spans="1:2" x14ac:dyDescent="0.25">
      <c r="A3576" t="s">
        <v>8706</v>
      </c>
      <c r="B3576">
        <v>3576</v>
      </c>
    </row>
    <row r="3577" spans="1:2" x14ac:dyDescent="0.25">
      <c r="A3577" t="s">
        <v>8736</v>
      </c>
      <c r="B3577">
        <v>3577</v>
      </c>
    </row>
    <row r="3578" spans="1:2" x14ac:dyDescent="0.25">
      <c r="A3578" t="s">
        <v>8766</v>
      </c>
      <c r="B3578">
        <v>3578</v>
      </c>
    </row>
    <row r="3579" spans="1:2" x14ac:dyDescent="0.25">
      <c r="A3579" t="s">
        <v>8796</v>
      </c>
      <c r="B3579">
        <v>3579</v>
      </c>
    </row>
    <row r="3580" spans="1:2" x14ac:dyDescent="0.25">
      <c r="A3580" t="s">
        <v>8826</v>
      </c>
      <c r="B3580">
        <v>3580</v>
      </c>
    </row>
    <row r="3581" spans="1:2" x14ac:dyDescent="0.25">
      <c r="A3581" t="s">
        <v>8856</v>
      </c>
      <c r="B3581">
        <v>3581</v>
      </c>
    </row>
    <row r="3582" spans="1:2" x14ac:dyDescent="0.25">
      <c r="A3582" t="s">
        <v>8886</v>
      </c>
      <c r="B3582">
        <v>3582</v>
      </c>
    </row>
    <row r="3583" spans="1:2" x14ac:dyDescent="0.25">
      <c r="A3583" t="s">
        <v>6868</v>
      </c>
      <c r="B3583">
        <v>3583</v>
      </c>
    </row>
    <row r="3584" spans="1:2" x14ac:dyDescent="0.25">
      <c r="A3584" t="s">
        <v>6868</v>
      </c>
      <c r="B3584">
        <v>3584</v>
      </c>
    </row>
    <row r="3585" spans="1:2" x14ac:dyDescent="0.25">
      <c r="A3585" t="s">
        <v>8917</v>
      </c>
      <c r="B3585">
        <v>3585</v>
      </c>
    </row>
    <row r="3586" spans="1:2" x14ac:dyDescent="0.25">
      <c r="A3586" t="s">
        <v>6876</v>
      </c>
      <c r="B3586">
        <v>3586</v>
      </c>
    </row>
    <row r="3587" spans="1:2" x14ac:dyDescent="0.25">
      <c r="A3587" t="s">
        <v>6883</v>
      </c>
      <c r="B3587">
        <v>3587</v>
      </c>
    </row>
    <row r="3588" spans="1:2" x14ac:dyDescent="0.25">
      <c r="A3588" t="s">
        <v>6879</v>
      </c>
      <c r="B3588">
        <v>3588</v>
      </c>
    </row>
    <row r="3589" spans="1:2" x14ac:dyDescent="0.25">
      <c r="A3589" t="s">
        <v>6885</v>
      </c>
      <c r="B3589">
        <v>3589</v>
      </c>
    </row>
    <row r="3590" spans="1:2" x14ac:dyDescent="0.25">
      <c r="A3590" t="s">
        <v>6880</v>
      </c>
      <c r="B3590">
        <v>3590</v>
      </c>
    </row>
    <row r="3591" spans="1:2" x14ac:dyDescent="0.25">
      <c r="A3591" t="s">
        <v>6881</v>
      </c>
      <c r="B3591">
        <v>3591</v>
      </c>
    </row>
    <row r="3592" spans="1:2" x14ac:dyDescent="0.25">
      <c r="A3592" t="s">
        <v>6878</v>
      </c>
      <c r="B3592">
        <v>3592</v>
      </c>
    </row>
    <row r="3593" spans="1:2" x14ac:dyDescent="0.25">
      <c r="A3593" t="s">
        <v>6889</v>
      </c>
      <c r="B3593">
        <v>3593</v>
      </c>
    </row>
    <row r="3594" spans="1:2" x14ac:dyDescent="0.25">
      <c r="A3594" t="s">
        <v>6886</v>
      </c>
      <c r="B3594">
        <v>3594</v>
      </c>
    </row>
    <row r="3595" spans="1:2" x14ac:dyDescent="0.25">
      <c r="A3595" t="s">
        <v>6890</v>
      </c>
      <c r="B3595">
        <v>3595</v>
      </c>
    </row>
    <row r="3596" spans="1:2" x14ac:dyDescent="0.25">
      <c r="A3596" t="s">
        <v>6882</v>
      </c>
      <c r="B3596">
        <v>3596</v>
      </c>
    </row>
    <row r="3597" spans="1:2" x14ac:dyDescent="0.25">
      <c r="A3597" t="s">
        <v>6877</v>
      </c>
      <c r="B3597">
        <v>3597</v>
      </c>
    </row>
    <row r="3598" spans="1:2" x14ac:dyDescent="0.25">
      <c r="A3598" t="s">
        <v>6887</v>
      </c>
      <c r="B3598">
        <v>3598</v>
      </c>
    </row>
    <row r="3599" spans="1:2" x14ac:dyDescent="0.25">
      <c r="A3599" t="s">
        <v>6884</v>
      </c>
      <c r="B3599">
        <v>3599</v>
      </c>
    </row>
    <row r="3600" spans="1:2" x14ac:dyDescent="0.25">
      <c r="A3600" t="s">
        <v>6888</v>
      </c>
      <c r="B3600">
        <v>3600</v>
      </c>
    </row>
    <row r="3601" spans="1:2" x14ac:dyDescent="0.25">
      <c r="A3601" t="s">
        <v>6906</v>
      </c>
      <c r="B3601">
        <v>3601</v>
      </c>
    </row>
    <row r="3602" spans="1:2" x14ac:dyDescent="0.25">
      <c r="A3602" t="s">
        <v>6913</v>
      </c>
      <c r="B3602">
        <v>3602</v>
      </c>
    </row>
    <row r="3603" spans="1:2" x14ac:dyDescent="0.25">
      <c r="A3603" t="s">
        <v>6909</v>
      </c>
      <c r="B3603">
        <v>3603</v>
      </c>
    </row>
    <row r="3604" spans="1:2" x14ac:dyDescent="0.25">
      <c r="A3604" t="s">
        <v>6915</v>
      </c>
      <c r="B3604">
        <v>3604</v>
      </c>
    </row>
    <row r="3605" spans="1:2" x14ac:dyDescent="0.25">
      <c r="A3605" t="s">
        <v>6910</v>
      </c>
      <c r="B3605">
        <v>3605</v>
      </c>
    </row>
    <row r="3606" spans="1:2" x14ac:dyDescent="0.25">
      <c r="A3606" t="s">
        <v>6911</v>
      </c>
      <c r="B3606">
        <v>3606</v>
      </c>
    </row>
    <row r="3607" spans="1:2" x14ac:dyDescent="0.25">
      <c r="A3607" t="s">
        <v>6908</v>
      </c>
      <c r="B3607">
        <v>3607</v>
      </c>
    </row>
    <row r="3608" spans="1:2" x14ac:dyDescent="0.25">
      <c r="A3608" t="s">
        <v>6919</v>
      </c>
      <c r="B3608">
        <v>3608</v>
      </c>
    </row>
    <row r="3609" spans="1:2" x14ac:dyDescent="0.25">
      <c r="A3609" t="s">
        <v>6916</v>
      </c>
      <c r="B3609">
        <v>3609</v>
      </c>
    </row>
    <row r="3610" spans="1:2" x14ac:dyDescent="0.25">
      <c r="A3610" t="s">
        <v>6920</v>
      </c>
      <c r="B3610">
        <v>3610</v>
      </c>
    </row>
    <row r="3611" spans="1:2" x14ac:dyDescent="0.25">
      <c r="A3611" t="s">
        <v>6912</v>
      </c>
      <c r="B3611">
        <v>3611</v>
      </c>
    </row>
    <row r="3612" spans="1:2" x14ac:dyDescent="0.25">
      <c r="A3612" t="s">
        <v>6907</v>
      </c>
      <c r="B3612">
        <v>3612</v>
      </c>
    </row>
    <row r="3613" spans="1:2" x14ac:dyDescent="0.25">
      <c r="A3613" t="s">
        <v>6917</v>
      </c>
      <c r="B3613">
        <v>3613</v>
      </c>
    </row>
    <row r="3614" spans="1:2" x14ac:dyDescent="0.25">
      <c r="A3614" t="s">
        <v>6914</v>
      </c>
      <c r="B3614">
        <v>3614</v>
      </c>
    </row>
    <row r="3615" spans="1:2" x14ac:dyDescent="0.25">
      <c r="A3615" t="s">
        <v>6918</v>
      </c>
      <c r="B3615">
        <v>3615</v>
      </c>
    </row>
    <row r="3616" spans="1:2" x14ac:dyDescent="0.25">
      <c r="A3616" t="s">
        <v>6936</v>
      </c>
      <c r="B3616">
        <v>3616</v>
      </c>
    </row>
    <row r="3617" spans="1:2" x14ac:dyDescent="0.25">
      <c r="A3617" t="s">
        <v>6943</v>
      </c>
      <c r="B3617">
        <v>3617</v>
      </c>
    </row>
    <row r="3618" spans="1:2" x14ac:dyDescent="0.25">
      <c r="A3618" t="s">
        <v>6939</v>
      </c>
      <c r="B3618">
        <v>3618</v>
      </c>
    </row>
    <row r="3619" spans="1:2" x14ac:dyDescent="0.25">
      <c r="A3619" t="s">
        <v>6945</v>
      </c>
      <c r="B3619">
        <v>3619</v>
      </c>
    </row>
    <row r="3620" spans="1:2" x14ac:dyDescent="0.25">
      <c r="A3620" t="s">
        <v>6940</v>
      </c>
      <c r="B3620">
        <v>3620</v>
      </c>
    </row>
    <row r="3621" spans="1:2" x14ac:dyDescent="0.25">
      <c r="A3621" t="s">
        <v>6941</v>
      </c>
      <c r="B3621">
        <v>3621</v>
      </c>
    </row>
    <row r="3622" spans="1:2" x14ac:dyDescent="0.25">
      <c r="A3622" t="s">
        <v>6938</v>
      </c>
      <c r="B3622">
        <v>3622</v>
      </c>
    </row>
    <row r="3623" spans="1:2" x14ac:dyDescent="0.25">
      <c r="A3623" t="s">
        <v>6949</v>
      </c>
      <c r="B3623">
        <v>3623</v>
      </c>
    </row>
    <row r="3624" spans="1:2" x14ac:dyDescent="0.25">
      <c r="A3624" t="s">
        <v>6946</v>
      </c>
      <c r="B3624">
        <v>3624</v>
      </c>
    </row>
    <row r="3625" spans="1:2" x14ac:dyDescent="0.25">
      <c r="A3625" t="s">
        <v>6950</v>
      </c>
      <c r="B3625">
        <v>3625</v>
      </c>
    </row>
    <row r="3626" spans="1:2" x14ac:dyDescent="0.25">
      <c r="A3626" t="s">
        <v>6942</v>
      </c>
      <c r="B3626">
        <v>3626</v>
      </c>
    </row>
    <row r="3627" spans="1:2" x14ac:dyDescent="0.25">
      <c r="A3627" t="s">
        <v>6937</v>
      </c>
      <c r="B3627">
        <v>3627</v>
      </c>
    </row>
    <row r="3628" spans="1:2" x14ac:dyDescent="0.25">
      <c r="A3628" t="s">
        <v>6947</v>
      </c>
      <c r="B3628">
        <v>3628</v>
      </c>
    </row>
    <row r="3629" spans="1:2" x14ac:dyDescent="0.25">
      <c r="A3629" t="s">
        <v>6944</v>
      </c>
      <c r="B3629">
        <v>3629</v>
      </c>
    </row>
    <row r="3630" spans="1:2" x14ac:dyDescent="0.25">
      <c r="A3630" t="s">
        <v>6948</v>
      </c>
      <c r="B3630">
        <v>3630</v>
      </c>
    </row>
    <row r="3631" spans="1:2" x14ac:dyDescent="0.25">
      <c r="A3631" t="s">
        <v>6966</v>
      </c>
      <c r="B3631">
        <v>3631</v>
      </c>
    </row>
    <row r="3632" spans="1:2" x14ac:dyDescent="0.25">
      <c r="A3632" t="s">
        <v>6973</v>
      </c>
      <c r="B3632">
        <v>3632</v>
      </c>
    </row>
    <row r="3633" spans="1:2" x14ac:dyDescent="0.25">
      <c r="A3633" t="s">
        <v>6969</v>
      </c>
      <c r="B3633">
        <v>3633</v>
      </c>
    </row>
    <row r="3634" spans="1:2" x14ac:dyDescent="0.25">
      <c r="A3634" t="s">
        <v>6975</v>
      </c>
      <c r="B3634">
        <v>3634</v>
      </c>
    </row>
    <row r="3635" spans="1:2" x14ac:dyDescent="0.25">
      <c r="A3635" t="s">
        <v>6970</v>
      </c>
      <c r="B3635">
        <v>3635</v>
      </c>
    </row>
    <row r="3636" spans="1:2" x14ac:dyDescent="0.25">
      <c r="A3636" t="s">
        <v>6971</v>
      </c>
      <c r="B3636">
        <v>3636</v>
      </c>
    </row>
    <row r="3637" spans="1:2" x14ac:dyDescent="0.25">
      <c r="A3637" t="s">
        <v>6968</v>
      </c>
      <c r="B3637">
        <v>3637</v>
      </c>
    </row>
    <row r="3638" spans="1:2" x14ac:dyDescent="0.25">
      <c r="A3638" t="s">
        <v>6979</v>
      </c>
      <c r="B3638">
        <v>3638</v>
      </c>
    </row>
    <row r="3639" spans="1:2" x14ac:dyDescent="0.25">
      <c r="A3639" t="s">
        <v>6976</v>
      </c>
      <c r="B3639">
        <v>3639</v>
      </c>
    </row>
    <row r="3640" spans="1:2" x14ac:dyDescent="0.25">
      <c r="A3640" t="s">
        <v>6980</v>
      </c>
      <c r="B3640">
        <v>3640</v>
      </c>
    </row>
    <row r="3641" spans="1:2" x14ac:dyDescent="0.25">
      <c r="A3641" t="s">
        <v>6972</v>
      </c>
      <c r="B3641">
        <v>3641</v>
      </c>
    </row>
    <row r="3642" spans="1:2" x14ac:dyDescent="0.25">
      <c r="A3642" t="s">
        <v>6967</v>
      </c>
      <c r="B3642">
        <v>3642</v>
      </c>
    </row>
    <row r="3643" spans="1:2" x14ac:dyDescent="0.25">
      <c r="A3643" t="s">
        <v>6977</v>
      </c>
      <c r="B3643">
        <v>3643</v>
      </c>
    </row>
    <row r="3644" spans="1:2" x14ac:dyDescent="0.25">
      <c r="A3644" t="s">
        <v>6974</v>
      </c>
      <c r="B3644">
        <v>3644</v>
      </c>
    </row>
    <row r="3645" spans="1:2" x14ac:dyDescent="0.25">
      <c r="A3645" t="s">
        <v>6978</v>
      </c>
      <c r="B3645">
        <v>3645</v>
      </c>
    </row>
    <row r="3646" spans="1:2" x14ac:dyDescent="0.25">
      <c r="A3646" t="s">
        <v>6996</v>
      </c>
      <c r="B3646">
        <v>3646</v>
      </c>
    </row>
    <row r="3647" spans="1:2" x14ac:dyDescent="0.25">
      <c r="A3647" t="s">
        <v>7003</v>
      </c>
      <c r="B3647">
        <v>3647</v>
      </c>
    </row>
    <row r="3648" spans="1:2" x14ac:dyDescent="0.25">
      <c r="A3648" t="s">
        <v>6999</v>
      </c>
      <c r="B3648">
        <v>3648</v>
      </c>
    </row>
    <row r="3649" spans="1:2" x14ac:dyDescent="0.25">
      <c r="A3649" t="s">
        <v>7005</v>
      </c>
      <c r="B3649">
        <v>3649</v>
      </c>
    </row>
    <row r="3650" spans="1:2" x14ac:dyDescent="0.25">
      <c r="A3650" t="s">
        <v>7000</v>
      </c>
      <c r="B3650">
        <v>3650</v>
      </c>
    </row>
    <row r="3651" spans="1:2" x14ac:dyDescent="0.25">
      <c r="A3651" t="s">
        <v>7001</v>
      </c>
      <c r="B3651">
        <v>3651</v>
      </c>
    </row>
    <row r="3652" spans="1:2" x14ac:dyDescent="0.25">
      <c r="A3652" t="s">
        <v>6998</v>
      </c>
      <c r="B3652">
        <v>3652</v>
      </c>
    </row>
    <row r="3653" spans="1:2" x14ac:dyDescent="0.25">
      <c r="A3653" t="s">
        <v>7009</v>
      </c>
      <c r="B3653">
        <v>3653</v>
      </c>
    </row>
    <row r="3654" spans="1:2" x14ac:dyDescent="0.25">
      <c r="A3654" t="s">
        <v>7006</v>
      </c>
      <c r="B3654">
        <v>3654</v>
      </c>
    </row>
    <row r="3655" spans="1:2" x14ac:dyDescent="0.25">
      <c r="A3655" t="s">
        <v>7010</v>
      </c>
      <c r="B3655">
        <v>3655</v>
      </c>
    </row>
    <row r="3656" spans="1:2" x14ac:dyDescent="0.25">
      <c r="A3656" t="s">
        <v>7002</v>
      </c>
      <c r="B3656">
        <v>3656</v>
      </c>
    </row>
    <row r="3657" spans="1:2" x14ac:dyDescent="0.25">
      <c r="A3657" t="s">
        <v>6997</v>
      </c>
      <c r="B3657">
        <v>3657</v>
      </c>
    </row>
    <row r="3658" spans="1:2" x14ac:dyDescent="0.25">
      <c r="A3658" t="s">
        <v>7007</v>
      </c>
      <c r="B3658">
        <v>3658</v>
      </c>
    </row>
    <row r="3659" spans="1:2" x14ac:dyDescent="0.25">
      <c r="A3659" t="s">
        <v>7004</v>
      </c>
      <c r="B3659">
        <v>3659</v>
      </c>
    </row>
    <row r="3660" spans="1:2" x14ac:dyDescent="0.25">
      <c r="A3660" t="s">
        <v>7008</v>
      </c>
      <c r="B3660">
        <v>3660</v>
      </c>
    </row>
    <row r="3661" spans="1:2" x14ac:dyDescent="0.25">
      <c r="A3661" t="s">
        <v>7026</v>
      </c>
      <c r="B3661">
        <v>3661</v>
      </c>
    </row>
    <row r="3662" spans="1:2" x14ac:dyDescent="0.25">
      <c r="A3662" t="s">
        <v>7033</v>
      </c>
      <c r="B3662">
        <v>3662</v>
      </c>
    </row>
    <row r="3663" spans="1:2" x14ac:dyDescent="0.25">
      <c r="A3663" t="s">
        <v>7029</v>
      </c>
      <c r="B3663">
        <v>3663</v>
      </c>
    </row>
    <row r="3664" spans="1:2" x14ac:dyDescent="0.25">
      <c r="A3664" t="s">
        <v>7035</v>
      </c>
      <c r="B3664">
        <v>3664</v>
      </c>
    </row>
    <row r="3665" spans="1:2" x14ac:dyDescent="0.25">
      <c r="A3665" t="s">
        <v>7030</v>
      </c>
      <c r="B3665">
        <v>3665</v>
      </c>
    </row>
    <row r="3666" spans="1:2" x14ac:dyDescent="0.25">
      <c r="A3666" t="s">
        <v>7031</v>
      </c>
      <c r="B3666">
        <v>3666</v>
      </c>
    </row>
    <row r="3667" spans="1:2" x14ac:dyDescent="0.25">
      <c r="A3667" t="s">
        <v>7028</v>
      </c>
      <c r="B3667">
        <v>3667</v>
      </c>
    </row>
    <row r="3668" spans="1:2" x14ac:dyDescent="0.25">
      <c r="A3668" t="s">
        <v>7039</v>
      </c>
      <c r="B3668">
        <v>3668</v>
      </c>
    </row>
    <row r="3669" spans="1:2" x14ac:dyDescent="0.25">
      <c r="A3669" t="s">
        <v>7036</v>
      </c>
      <c r="B3669">
        <v>3669</v>
      </c>
    </row>
    <row r="3670" spans="1:2" x14ac:dyDescent="0.25">
      <c r="A3670" t="s">
        <v>7040</v>
      </c>
      <c r="B3670">
        <v>3670</v>
      </c>
    </row>
    <row r="3671" spans="1:2" x14ac:dyDescent="0.25">
      <c r="A3671" t="s">
        <v>7032</v>
      </c>
      <c r="B3671">
        <v>3671</v>
      </c>
    </row>
    <row r="3672" spans="1:2" x14ac:dyDescent="0.25">
      <c r="A3672" t="s">
        <v>7027</v>
      </c>
      <c r="B3672">
        <v>3672</v>
      </c>
    </row>
    <row r="3673" spans="1:2" x14ac:dyDescent="0.25">
      <c r="A3673" t="s">
        <v>7037</v>
      </c>
      <c r="B3673">
        <v>3673</v>
      </c>
    </row>
    <row r="3674" spans="1:2" x14ac:dyDescent="0.25">
      <c r="A3674" t="s">
        <v>7034</v>
      </c>
      <c r="B3674">
        <v>3674</v>
      </c>
    </row>
    <row r="3675" spans="1:2" x14ac:dyDescent="0.25">
      <c r="A3675" t="s">
        <v>7038</v>
      </c>
      <c r="B3675">
        <v>3675</v>
      </c>
    </row>
    <row r="3676" spans="1:2" x14ac:dyDescent="0.25">
      <c r="A3676" t="s">
        <v>7056</v>
      </c>
      <c r="B3676">
        <v>3676</v>
      </c>
    </row>
    <row r="3677" spans="1:2" x14ac:dyDescent="0.25">
      <c r="A3677" t="s">
        <v>7063</v>
      </c>
      <c r="B3677">
        <v>3677</v>
      </c>
    </row>
    <row r="3678" spans="1:2" x14ac:dyDescent="0.25">
      <c r="A3678" t="s">
        <v>7059</v>
      </c>
      <c r="B3678">
        <v>3678</v>
      </c>
    </row>
    <row r="3679" spans="1:2" x14ac:dyDescent="0.25">
      <c r="A3679" t="s">
        <v>7065</v>
      </c>
      <c r="B3679">
        <v>3679</v>
      </c>
    </row>
    <row r="3680" spans="1:2" x14ac:dyDescent="0.25">
      <c r="A3680" t="s">
        <v>7060</v>
      </c>
      <c r="B3680">
        <v>3680</v>
      </c>
    </row>
    <row r="3681" spans="1:2" x14ac:dyDescent="0.25">
      <c r="A3681" t="s">
        <v>7061</v>
      </c>
      <c r="B3681">
        <v>3681</v>
      </c>
    </row>
    <row r="3682" spans="1:2" x14ac:dyDescent="0.25">
      <c r="A3682" t="s">
        <v>7058</v>
      </c>
      <c r="B3682">
        <v>3682</v>
      </c>
    </row>
    <row r="3683" spans="1:2" x14ac:dyDescent="0.25">
      <c r="A3683" t="s">
        <v>7069</v>
      </c>
      <c r="B3683">
        <v>3683</v>
      </c>
    </row>
    <row r="3684" spans="1:2" x14ac:dyDescent="0.25">
      <c r="A3684" t="s">
        <v>7066</v>
      </c>
      <c r="B3684">
        <v>3684</v>
      </c>
    </row>
    <row r="3685" spans="1:2" x14ac:dyDescent="0.25">
      <c r="A3685" t="s">
        <v>7070</v>
      </c>
      <c r="B3685">
        <v>3685</v>
      </c>
    </row>
    <row r="3686" spans="1:2" x14ac:dyDescent="0.25">
      <c r="A3686" t="s">
        <v>7062</v>
      </c>
      <c r="B3686">
        <v>3686</v>
      </c>
    </row>
    <row r="3687" spans="1:2" x14ac:dyDescent="0.25">
      <c r="A3687" t="s">
        <v>7057</v>
      </c>
      <c r="B3687">
        <v>3687</v>
      </c>
    </row>
    <row r="3688" spans="1:2" x14ac:dyDescent="0.25">
      <c r="A3688" t="s">
        <v>7067</v>
      </c>
      <c r="B3688">
        <v>3688</v>
      </c>
    </row>
    <row r="3689" spans="1:2" x14ac:dyDescent="0.25">
      <c r="A3689" t="s">
        <v>7064</v>
      </c>
      <c r="B3689">
        <v>3689</v>
      </c>
    </row>
    <row r="3690" spans="1:2" x14ac:dyDescent="0.25">
      <c r="A3690" t="s">
        <v>7068</v>
      </c>
      <c r="B3690">
        <v>3690</v>
      </c>
    </row>
    <row r="3691" spans="1:2" x14ac:dyDescent="0.25">
      <c r="A3691" t="s">
        <v>7086</v>
      </c>
      <c r="B3691">
        <v>3691</v>
      </c>
    </row>
    <row r="3692" spans="1:2" x14ac:dyDescent="0.25">
      <c r="A3692" t="s">
        <v>7093</v>
      </c>
      <c r="B3692">
        <v>3692</v>
      </c>
    </row>
    <row r="3693" spans="1:2" x14ac:dyDescent="0.25">
      <c r="A3693" t="s">
        <v>7089</v>
      </c>
      <c r="B3693">
        <v>3693</v>
      </c>
    </row>
    <row r="3694" spans="1:2" x14ac:dyDescent="0.25">
      <c r="A3694" t="s">
        <v>7095</v>
      </c>
      <c r="B3694">
        <v>3694</v>
      </c>
    </row>
    <row r="3695" spans="1:2" x14ac:dyDescent="0.25">
      <c r="A3695" t="s">
        <v>7090</v>
      </c>
      <c r="B3695">
        <v>3695</v>
      </c>
    </row>
    <row r="3696" spans="1:2" x14ac:dyDescent="0.25">
      <c r="A3696" t="s">
        <v>7091</v>
      </c>
      <c r="B3696">
        <v>3696</v>
      </c>
    </row>
    <row r="3697" spans="1:2" x14ac:dyDescent="0.25">
      <c r="A3697" t="s">
        <v>7088</v>
      </c>
      <c r="B3697">
        <v>3697</v>
      </c>
    </row>
    <row r="3698" spans="1:2" x14ac:dyDescent="0.25">
      <c r="A3698" t="s">
        <v>7099</v>
      </c>
      <c r="B3698">
        <v>3698</v>
      </c>
    </row>
    <row r="3699" spans="1:2" x14ac:dyDescent="0.25">
      <c r="A3699" t="s">
        <v>7096</v>
      </c>
      <c r="B3699">
        <v>3699</v>
      </c>
    </row>
    <row r="3700" spans="1:2" x14ac:dyDescent="0.25">
      <c r="A3700" t="s">
        <v>7100</v>
      </c>
      <c r="B3700">
        <v>3700</v>
      </c>
    </row>
    <row r="3701" spans="1:2" x14ac:dyDescent="0.25">
      <c r="A3701" t="s">
        <v>7092</v>
      </c>
      <c r="B3701">
        <v>3701</v>
      </c>
    </row>
    <row r="3702" spans="1:2" x14ac:dyDescent="0.25">
      <c r="A3702" t="s">
        <v>7087</v>
      </c>
      <c r="B3702">
        <v>3702</v>
      </c>
    </row>
    <row r="3703" spans="1:2" x14ac:dyDescent="0.25">
      <c r="A3703" t="s">
        <v>7097</v>
      </c>
      <c r="B3703">
        <v>3703</v>
      </c>
    </row>
    <row r="3704" spans="1:2" x14ac:dyDescent="0.25">
      <c r="A3704" t="s">
        <v>7094</v>
      </c>
      <c r="B3704">
        <v>3704</v>
      </c>
    </row>
    <row r="3705" spans="1:2" x14ac:dyDescent="0.25">
      <c r="A3705" t="s">
        <v>7098</v>
      </c>
      <c r="B3705">
        <v>3705</v>
      </c>
    </row>
    <row r="3706" spans="1:2" x14ac:dyDescent="0.25">
      <c r="A3706" t="s">
        <v>3326</v>
      </c>
      <c r="B3706">
        <v>3706</v>
      </c>
    </row>
    <row r="3707" spans="1:2" x14ac:dyDescent="0.25">
      <c r="A3707" t="s">
        <v>3356</v>
      </c>
      <c r="B3707">
        <v>3707</v>
      </c>
    </row>
    <row r="3708" spans="1:2" x14ac:dyDescent="0.25">
      <c r="A3708" t="s">
        <v>3386</v>
      </c>
      <c r="B3708">
        <v>3708</v>
      </c>
    </row>
    <row r="3709" spans="1:2" x14ac:dyDescent="0.25">
      <c r="A3709" t="s">
        <v>3416</v>
      </c>
      <c r="B3709">
        <v>3709</v>
      </c>
    </row>
    <row r="3710" spans="1:2" x14ac:dyDescent="0.25">
      <c r="A3710" t="s">
        <v>3446</v>
      </c>
      <c r="B3710">
        <v>3710</v>
      </c>
    </row>
    <row r="3711" spans="1:2" x14ac:dyDescent="0.25">
      <c r="A3711" t="s">
        <v>3476</v>
      </c>
      <c r="B3711">
        <v>3711</v>
      </c>
    </row>
    <row r="3712" spans="1:2" x14ac:dyDescent="0.25">
      <c r="A3712" t="s">
        <v>3506</v>
      </c>
      <c r="B3712">
        <v>3712</v>
      </c>
    </row>
    <row r="3713" spans="1:2" x14ac:dyDescent="0.25">
      <c r="A3713" t="s">
        <v>3536</v>
      </c>
      <c r="B3713">
        <v>3713</v>
      </c>
    </row>
    <row r="3714" spans="1:2" x14ac:dyDescent="0.25">
      <c r="A3714" t="s">
        <v>3566</v>
      </c>
      <c r="B3714">
        <v>3714</v>
      </c>
    </row>
    <row r="3715" spans="1:2" x14ac:dyDescent="0.25">
      <c r="A3715" t="s">
        <v>3596</v>
      </c>
      <c r="B3715">
        <v>3715</v>
      </c>
    </row>
    <row r="3716" spans="1:2" x14ac:dyDescent="0.25">
      <c r="A3716" t="s">
        <v>3626</v>
      </c>
      <c r="B3716">
        <v>3716</v>
      </c>
    </row>
    <row r="3717" spans="1:2" x14ac:dyDescent="0.25">
      <c r="A3717" t="s">
        <v>3656</v>
      </c>
      <c r="B3717">
        <v>3717</v>
      </c>
    </row>
    <row r="3718" spans="1:2" x14ac:dyDescent="0.25">
      <c r="A3718" t="s">
        <v>3686</v>
      </c>
      <c r="B3718">
        <v>3718</v>
      </c>
    </row>
    <row r="3719" spans="1:2" x14ac:dyDescent="0.25">
      <c r="A3719" t="s">
        <v>3716</v>
      </c>
      <c r="B3719">
        <v>3719</v>
      </c>
    </row>
    <row r="3720" spans="1:2" x14ac:dyDescent="0.25">
      <c r="A3720" t="s">
        <v>3746</v>
      </c>
      <c r="B3720">
        <v>3720</v>
      </c>
    </row>
    <row r="3721" spans="1:2" x14ac:dyDescent="0.25">
      <c r="A3721" t="s">
        <v>3776</v>
      </c>
      <c r="B3721">
        <v>3721</v>
      </c>
    </row>
    <row r="3722" spans="1:2" x14ac:dyDescent="0.25">
      <c r="A3722" t="s">
        <v>3806</v>
      </c>
      <c r="B3722">
        <v>3722</v>
      </c>
    </row>
    <row r="3723" spans="1:2" x14ac:dyDescent="0.25">
      <c r="A3723" t="s">
        <v>3836</v>
      </c>
      <c r="B3723">
        <v>3723</v>
      </c>
    </row>
    <row r="3724" spans="1:2" x14ac:dyDescent="0.25">
      <c r="A3724" t="s">
        <v>3866</v>
      </c>
      <c r="B3724">
        <v>3724</v>
      </c>
    </row>
    <row r="3725" spans="1:2" x14ac:dyDescent="0.25">
      <c r="A3725" t="s">
        <v>3896</v>
      </c>
      <c r="B3725">
        <v>3725</v>
      </c>
    </row>
    <row r="3726" spans="1:2" x14ac:dyDescent="0.25">
      <c r="A3726" t="s">
        <v>3926</v>
      </c>
      <c r="B3726">
        <v>3726</v>
      </c>
    </row>
    <row r="3727" spans="1:2" x14ac:dyDescent="0.25">
      <c r="A3727" t="s">
        <v>3956</v>
      </c>
      <c r="B3727">
        <v>3727</v>
      </c>
    </row>
    <row r="3728" spans="1:2" x14ac:dyDescent="0.25">
      <c r="A3728" t="s">
        <v>3986</v>
      </c>
      <c r="B3728">
        <v>3728</v>
      </c>
    </row>
    <row r="3729" spans="1:2" x14ac:dyDescent="0.25">
      <c r="A3729" t="s">
        <v>4016</v>
      </c>
      <c r="B3729">
        <v>3729</v>
      </c>
    </row>
    <row r="3730" spans="1:2" x14ac:dyDescent="0.25">
      <c r="A3730" t="s">
        <v>4046</v>
      </c>
      <c r="B3730">
        <v>3730</v>
      </c>
    </row>
    <row r="3731" spans="1:2" x14ac:dyDescent="0.25">
      <c r="A3731" t="s">
        <v>4076</v>
      </c>
      <c r="B3731">
        <v>3731</v>
      </c>
    </row>
    <row r="3732" spans="1:2" x14ac:dyDescent="0.25">
      <c r="A3732" t="s">
        <v>4106</v>
      </c>
      <c r="B3732">
        <v>3732</v>
      </c>
    </row>
    <row r="3733" spans="1:2" x14ac:dyDescent="0.25">
      <c r="A3733" t="s">
        <v>4135</v>
      </c>
      <c r="B3733">
        <v>3733</v>
      </c>
    </row>
    <row r="3734" spans="1:2" x14ac:dyDescent="0.25">
      <c r="A3734" t="s">
        <v>4135</v>
      </c>
      <c r="B3734">
        <v>3734</v>
      </c>
    </row>
    <row r="3735" spans="1:2" x14ac:dyDescent="0.25">
      <c r="A3735" t="s">
        <v>4165</v>
      </c>
      <c r="B3735">
        <v>3735</v>
      </c>
    </row>
    <row r="3736" spans="1:2" x14ac:dyDescent="0.25">
      <c r="A3736" t="s">
        <v>4195</v>
      </c>
      <c r="B3736">
        <v>3736</v>
      </c>
    </row>
    <row r="3737" spans="1:2" x14ac:dyDescent="0.25">
      <c r="A3737" t="s">
        <v>4225</v>
      </c>
      <c r="B3737">
        <v>3737</v>
      </c>
    </row>
    <row r="3738" spans="1:2" x14ac:dyDescent="0.25">
      <c r="A3738" t="s">
        <v>4255</v>
      </c>
      <c r="B3738">
        <v>3738</v>
      </c>
    </row>
    <row r="3739" spans="1:2" x14ac:dyDescent="0.25">
      <c r="A3739" t="s">
        <v>4285</v>
      </c>
      <c r="B3739">
        <v>3739</v>
      </c>
    </row>
    <row r="3740" spans="1:2" x14ac:dyDescent="0.25">
      <c r="A3740" t="s">
        <v>4315</v>
      </c>
      <c r="B3740">
        <v>3740</v>
      </c>
    </row>
    <row r="3741" spans="1:2" x14ac:dyDescent="0.25">
      <c r="A3741" t="s">
        <v>4345</v>
      </c>
      <c r="B3741">
        <v>3741</v>
      </c>
    </row>
    <row r="3742" spans="1:2" x14ac:dyDescent="0.25">
      <c r="A3742" t="s">
        <v>4375</v>
      </c>
      <c r="B3742">
        <v>3742</v>
      </c>
    </row>
    <row r="3743" spans="1:2" x14ac:dyDescent="0.25">
      <c r="A3743" t="s">
        <v>4405</v>
      </c>
      <c r="B3743">
        <v>3743</v>
      </c>
    </row>
    <row r="3744" spans="1:2" x14ac:dyDescent="0.25">
      <c r="A3744" t="s">
        <v>4435</v>
      </c>
      <c r="B3744">
        <v>3744</v>
      </c>
    </row>
    <row r="3745" spans="1:2" x14ac:dyDescent="0.25">
      <c r="A3745" t="s">
        <v>4465</v>
      </c>
      <c r="B3745">
        <v>3745</v>
      </c>
    </row>
    <row r="3746" spans="1:2" x14ac:dyDescent="0.25">
      <c r="A3746" t="s">
        <v>4495</v>
      </c>
      <c r="B3746">
        <v>3746</v>
      </c>
    </row>
    <row r="3747" spans="1:2" x14ac:dyDescent="0.25">
      <c r="A3747" t="s">
        <v>4525</v>
      </c>
      <c r="B3747">
        <v>3747</v>
      </c>
    </row>
    <row r="3748" spans="1:2" x14ac:dyDescent="0.25">
      <c r="A3748" t="s">
        <v>4555</v>
      </c>
      <c r="B3748">
        <v>3748</v>
      </c>
    </row>
    <row r="3749" spans="1:2" x14ac:dyDescent="0.25">
      <c r="A3749" t="s">
        <v>4582</v>
      </c>
      <c r="B3749">
        <v>3749</v>
      </c>
    </row>
    <row r="3750" spans="1:2" x14ac:dyDescent="0.25">
      <c r="A3750" t="s">
        <v>4582</v>
      </c>
      <c r="B3750">
        <v>3750</v>
      </c>
    </row>
    <row r="3751" spans="1:2" x14ac:dyDescent="0.25">
      <c r="A3751" t="s">
        <v>4612</v>
      </c>
      <c r="B3751">
        <v>3751</v>
      </c>
    </row>
    <row r="3752" spans="1:2" x14ac:dyDescent="0.25">
      <c r="A3752" t="s">
        <v>4642</v>
      </c>
      <c r="B3752">
        <v>3752</v>
      </c>
    </row>
    <row r="3753" spans="1:2" x14ac:dyDescent="0.25">
      <c r="A3753" t="s">
        <v>4672</v>
      </c>
      <c r="B3753">
        <v>3753</v>
      </c>
    </row>
    <row r="3754" spans="1:2" x14ac:dyDescent="0.25">
      <c r="A3754" t="s">
        <v>4702</v>
      </c>
      <c r="B3754">
        <v>3754</v>
      </c>
    </row>
    <row r="3755" spans="1:2" x14ac:dyDescent="0.25">
      <c r="A3755" t="s">
        <v>4732</v>
      </c>
      <c r="B3755">
        <v>3755</v>
      </c>
    </row>
    <row r="3756" spans="1:2" x14ac:dyDescent="0.25">
      <c r="A3756" t="s">
        <v>4757</v>
      </c>
      <c r="B3756">
        <v>3756</v>
      </c>
    </row>
    <row r="3757" spans="1:2" x14ac:dyDescent="0.25">
      <c r="A3757" t="s">
        <v>4757</v>
      </c>
      <c r="B3757">
        <v>3757</v>
      </c>
    </row>
    <row r="3758" spans="1:2" x14ac:dyDescent="0.25">
      <c r="A3758" t="s">
        <v>4787</v>
      </c>
      <c r="B3758">
        <v>3758</v>
      </c>
    </row>
    <row r="3759" spans="1:2" x14ac:dyDescent="0.25">
      <c r="A3759" t="s">
        <v>4817</v>
      </c>
      <c r="B3759">
        <v>3759</v>
      </c>
    </row>
    <row r="3760" spans="1:2" x14ac:dyDescent="0.25">
      <c r="A3760" t="s">
        <v>4847</v>
      </c>
      <c r="B3760">
        <v>3760</v>
      </c>
    </row>
    <row r="3761" spans="1:2" x14ac:dyDescent="0.25">
      <c r="A3761" t="s">
        <v>4877</v>
      </c>
      <c r="B3761">
        <v>3761</v>
      </c>
    </row>
    <row r="3762" spans="1:2" x14ac:dyDescent="0.25">
      <c r="A3762" t="s">
        <v>4907</v>
      </c>
      <c r="B3762">
        <v>3762</v>
      </c>
    </row>
    <row r="3763" spans="1:2" x14ac:dyDescent="0.25">
      <c r="A3763" t="s">
        <v>4937</v>
      </c>
      <c r="B3763">
        <v>3763</v>
      </c>
    </row>
    <row r="3764" spans="1:2" x14ac:dyDescent="0.25">
      <c r="A3764" t="s">
        <v>4967</v>
      </c>
      <c r="B3764">
        <v>3764</v>
      </c>
    </row>
    <row r="3765" spans="1:2" x14ac:dyDescent="0.25">
      <c r="A3765" t="s">
        <v>4997</v>
      </c>
      <c r="B3765">
        <v>3765</v>
      </c>
    </row>
    <row r="3766" spans="1:2" x14ac:dyDescent="0.25">
      <c r="A3766" t="s">
        <v>5027</v>
      </c>
      <c r="B3766">
        <v>3766</v>
      </c>
    </row>
    <row r="3767" spans="1:2" x14ac:dyDescent="0.25">
      <c r="A3767" t="s">
        <v>5057</v>
      </c>
      <c r="B3767">
        <v>3767</v>
      </c>
    </row>
    <row r="3768" spans="1:2" x14ac:dyDescent="0.25">
      <c r="A3768" t="s">
        <v>5080</v>
      </c>
      <c r="B3768">
        <v>3768</v>
      </c>
    </row>
    <row r="3769" spans="1:2" x14ac:dyDescent="0.25">
      <c r="A3769" t="s">
        <v>5080</v>
      </c>
      <c r="B3769">
        <v>3769</v>
      </c>
    </row>
    <row r="3770" spans="1:2" x14ac:dyDescent="0.25">
      <c r="A3770" t="s">
        <v>5101</v>
      </c>
      <c r="B3770">
        <v>3770</v>
      </c>
    </row>
    <row r="3771" spans="1:2" x14ac:dyDescent="0.25">
      <c r="A3771" t="s">
        <v>5101</v>
      </c>
      <c r="B3771">
        <v>3771</v>
      </c>
    </row>
    <row r="3772" spans="1:2" x14ac:dyDescent="0.25">
      <c r="A3772" t="s">
        <v>5120</v>
      </c>
      <c r="B3772">
        <v>3772</v>
      </c>
    </row>
    <row r="3773" spans="1:2" x14ac:dyDescent="0.25">
      <c r="A3773" t="s">
        <v>5120</v>
      </c>
      <c r="B3773">
        <v>3773</v>
      </c>
    </row>
    <row r="3774" spans="1:2" x14ac:dyDescent="0.25">
      <c r="A3774" t="s">
        <v>5150</v>
      </c>
      <c r="B3774">
        <v>3774</v>
      </c>
    </row>
    <row r="3775" spans="1:2" x14ac:dyDescent="0.25">
      <c r="A3775" t="s">
        <v>5180</v>
      </c>
      <c r="B3775">
        <v>3775</v>
      </c>
    </row>
    <row r="3776" spans="1:2" x14ac:dyDescent="0.25">
      <c r="A3776" t="s">
        <v>5210</v>
      </c>
      <c r="B3776">
        <v>3776</v>
      </c>
    </row>
    <row r="3777" spans="1:2" x14ac:dyDescent="0.25">
      <c r="A3777" t="s">
        <v>5240</v>
      </c>
      <c r="B3777">
        <v>3777</v>
      </c>
    </row>
    <row r="3778" spans="1:2" x14ac:dyDescent="0.25">
      <c r="A3778" t="s">
        <v>5270</v>
      </c>
      <c r="B3778">
        <v>3778</v>
      </c>
    </row>
    <row r="3779" spans="1:2" x14ac:dyDescent="0.25">
      <c r="A3779" t="s">
        <v>5300</v>
      </c>
      <c r="B3779">
        <v>3779</v>
      </c>
    </row>
    <row r="3780" spans="1:2" x14ac:dyDescent="0.25">
      <c r="A3780" t="s">
        <v>5330</v>
      </c>
      <c r="B3780">
        <v>3780</v>
      </c>
    </row>
    <row r="3781" spans="1:2" x14ac:dyDescent="0.25">
      <c r="A3781" t="s">
        <v>5360</v>
      </c>
      <c r="B3781">
        <v>3781</v>
      </c>
    </row>
    <row r="3782" spans="1:2" x14ac:dyDescent="0.25">
      <c r="A3782" t="s">
        <v>5390</v>
      </c>
      <c r="B3782">
        <v>3782</v>
      </c>
    </row>
    <row r="3783" spans="1:2" x14ac:dyDescent="0.25">
      <c r="A3783" t="s">
        <v>5420</v>
      </c>
      <c r="B3783">
        <v>3783</v>
      </c>
    </row>
    <row r="3784" spans="1:2" x14ac:dyDescent="0.25">
      <c r="A3784" t="s">
        <v>5450</v>
      </c>
      <c r="B3784">
        <v>3784</v>
      </c>
    </row>
    <row r="3785" spans="1:2" x14ac:dyDescent="0.25">
      <c r="A3785" t="s">
        <v>5480</v>
      </c>
      <c r="B3785">
        <v>3785</v>
      </c>
    </row>
    <row r="3786" spans="1:2" x14ac:dyDescent="0.25">
      <c r="A3786" t="s">
        <v>5510</v>
      </c>
      <c r="B3786">
        <v>3786</v>
      </c>
    </row>
    <row r="3787" spans="1:2" x14ac:dyDescent="0.25">
      <c r="A3787" t="s">
        <v>5540</v>
      </c>
      <c r="B3787">
        <v>3787</v>
      </c>
    </row>
    <row r="3788" spans="1:2" x14ac:dyDescent="0.25">
      <c r="A3788" t="s">
        <v>5570</v>
      </c>
      <c r="B3788">
        <v>3788</v>
      </c>
    </row>
    <row r="3789" spans="1:2" x14ac:dyDescent="0.25">
      <c r="A3789" t="s">
        <v>5600</v>
      </c>
      <c r="B3789">
        <v>3789</v>
      </c>
    </row>
    <row r="3790" spans="1:2" x14ac:dyDescent="0.25">
      <c r="A3790" t="s">
        <v>5630</v>
      </c>
      <c r="B3790">
        <v>3790</v>
      </c>
    </row>
    <row r="3791" spans="1:2" x14ac:dyDescent="0.25">
      <c r="A3791" t="s">
        <v>5660</v>
      </c>
      <c r="B3791">
        <v>3791</v>
      </c>
    </row>
    <row r="3792" spans="1:2" x14ac:dyDescent="0.25">
      <c r="A3792" t="s">
        <v>5690</v>
      </c>
      <c r="B3792">
        <v>3792</v>
      </c>
    </row>
    <row r="3793" spans="1:2" x14ac:dyDescent="0.25">
      <c r="A3793" t="s">
        <v>5720</v>
      </c>
      <c r="B3793">
        <v>3793</v>
      </c>
    </row>
    <row r="3794" spans="1:2" x14ac:dyDescent="0.25">
      <c r="A3794" t="s">
        <v>5750</v>
      </c>
      <c r="B3794">
        <v>3794</v>
      </c>
    </row>
    <row r="3795" spans="1:2" x14ac:dyDescent="0.25">
      <c r="A3795" t="s">
        <v>5780</v>
      </c>
      <c r="B3795">
        <v>3795</v>
      </c>
    </row>
    <row r="3796" spans="1:2" x14ac:dyDescent="0.25">
      <c r="A3796" t="s">
        <v>5810</v>
      </c>
      <c r="B3796">
        <v>3796</v>
      </c>
    </row>
    <row r="3797" spans="1:2" x14ac:dyDescent="0.25">
      <c r="A3797" t="s">
        <v>5840</v>
      </c>
      <c r="B3797">
        <v>3797</v>
      </c>
    </row>
    <row r="3798" spans="1:2" x14ac:dyDescent="0.25">
      <c r="A3798" t="s">
        <v>5870</v>
      </c>
      <c r="B3798">
        <v>3798</v>
      </c>
    </row>
    <row r="3799" spans="1:2" x14ac:dyDescent="0.25">
      <c r="A3799" t="s">
        <v>5900</v>
      </c>
      <c r="B3799">
        <v>3799</v>
      </c>
    </row>
    <row r="3800" spans="1:2" x14ac:dyDescent="0.25">
      <c r="A3800" t="s">
        <v>5930</v>
      </c>
      <c r="B3800">
        <v>3800</v>
      </c>
    </row>
    <row r="3801" spans="1:2" x14ac:dyDescent="0.25">
      <c r="A3801" t="s">
        <v>5960</v>
      </c>
      <c r="B3801">
        <v>3801</v>
      </c>
    </row>
    <row r="3802" spans="1:2" x14ac:dyDescent="0.25">
      <c r="A3802" t="s">
        <v>5990</v>
      </c>
      <c r="B3802">
        <v>3802</v>
      </c>
    </row>
    <row r="3803" spans="1:2" x14ac:dyDescent="0.25">
      <c r="A3803" t="s">
        <v>6020</v>
      </c>
      <c r="B3803">
        <v>3803</v>
      </c>
    </row>
    <row r="3804" spans="1:2" x14ac:dyDescent="0.25">
      <c r="A3804" t="s">
        <v>6050</v>
      </c>
      <c r="B3804">
        <v>3804</v>
      </c>
    </row>
    <row r="3805" spans="1:2" x14ac:dyDescent="0.25">
      <c r="A3805" t="s">
        <v>6067</v>
      </c>
      <c r="B3805">
        <v>3805</v>
      </c>
    </row>
    <row r="3806" spans="1:2" x14ac:dyDescent="0.25">
      <c r="A3806" t="s">
        <v>6067</v>
      </c>
      <c r="B3806">
        <v>3806</v>
      </c>
    </row>
    <row r="3807" spans="1:2" x14ac:dyDescent="0.25">
      <c r="A3807" t="s">
        <v>6097</v>
      </c>
      <c r="B3807">
        <v>3807</v>
      </c>
    </row>
    <row r="3808" spans="1:2" x14ac:dyDescent="0.25">
      <c r="A3808" t="s">
        <v>6127</v>
      </c>
      <c r="B3808">
        <v>3808</v>
      </c>
    </row>
    <row r="3809" spans="1:2" x14ac:dyDescent="0.25">
      <c r="A3809" t="s">
        <v>6157</v>
      </c>
      <c r="B3809">
        <v>3809</v>
      </c>
    </row>
    <row r="3810" spans="1:2" x14ac:dyDescent="0.25">
      <c r="A3810" t="s">
        <v>6187</v>
      </c>
      <c r="B3810">
        <v>3810</v>
      </c>
    </row>
    <row r="3811" spans="1:2" x14ac:dyDescent="0.25">
      <c r="A3811" t="s">
        <v>6217</v>
      </c>
      <c r="B3811">
        <v>3811</v>
      </c>
    </row>
    <row r="3812" spans="1:2" x14ac:dyDescent="0.25">
      <c r="A3812" t="s">
        <v>6247</v>
      </c>
      <c r="B3812">
        <v>3812</v>
      </c>
    </row>
    <row r="3813" spans="1:2" x14ac:dyDescent="0.25">
      <c r="A3813" t="s">
        <v>6277</v>
      </c>
      <c r="B3813">
        <v>3813</v>
      </c>
    </row>
    <row r="3814" spans="1:2" x14ac:dyDescent="0.25">
      <c r="A3814" t="s">
        <v>6307</v>
      </c>
      <c r="B3814">
        <v>3814</v>
      </c>
    </row>
    <row r="3815" spans="1:2" x14ac:dyDescent="0.25">
      <c r="A3815" t="s">
        <v>6337</v>
      </c>
      <c r="B3815">
        <v>3815</v>
      </c>
    </row>
    <row r="3816" spans="1:2" x14ac:dyDescent="0.25">
      <c r="A3816" t="s">
        <v>6367</v>
      </c>
      <c r="B3816">
        <v>3816</v>
      </c>
    </row>
    <row r="3817" spans="1:2" x14ac:dyDescent="0.25">
      <c r="A3817" t="s">
        <v>6397</v>
      </c>
      <c r="B3817">
        <v>3817</v>
      </c>
    </row>
    <row r="3818" spans="1:2" x14ac:dyDescent="0.25">
      <c r="A3818" t="s">
        <v>6427</v>
      </c>
      <c r="B3818">
        <v>3818</v>
      </c>
    </row>
    <row r="3819" spans="1:2" x14ac:dyDescent="0.25">
      <c r="A3819" t="s">
        <v>6457</v>
      </c>
      <c r="B3819">
        <v>3819</v>
      </c>
    </row>
    <row r="3820" spans="1:2" x14ac:dyDescent="0.25">
      <c r="A3820" t="s">
        <v>6487</v>
      </c>
      <c r="B3820">
        <v>3820</v>
      </c>
    </row>
    <row r="3821" spans="1:2" x14ac:dyDescent="0.25">
      <c r="A3821" t="s">
        <v>6517</v>
      </c>
      <c r="B3821">
        <v>3821</v>
      </c>
    </row>
    <row r="3822" spans="1:2" x14ac:dyDescent="0.25">
      <c r="A3822" t="s">
        <v>6547</v>
      </c>
      <c r="B3822">
        <v>3822</v>
      </c>
    </row>
    <row r="3823" spans="1:2" x14ac:dyDescent="0.25">
      <c r="A3823" t="s">
        <v>6577</v>
      </c>
      <c r="B3823">
        <v>3823</v>
      </c>
    </row>
    <row r="3824" spans="1:2" x14ac:dyDescent="0.25">
      <c r="A3824" t="s">
        <v>6607</v>
      </c>
      <c r="B3824">
        <v>3824</v>
      </c>
    </row>
    <row r="3825" spans="1:2" x14ac:dyDescent="0.25">
      <c r="A3825" t="s">
        <v>6622</v>
      </c>
      <c r="B3825">
        <v>3825</v>
      </c>
    </row>
    <row r="3826" spans="1:2" x14ac:dyDescent="0.25">
      <c r="A3826" t="s">
        <v>6622</v>
      </c>
      <c r="B3826">
        <v>3826</v>
      </c>
    </row>
    <row r="3827" spans="1:2" x14ac:dyDescent="0.25">
      <c r="A3827" t="s">
        <v>6652</v>
      </c>
      <c r="B3827">
        <v>3827</v>
      </c>
    </row>
    <row r="3828" spans="1:2" x14ac:dyDescent="0.25">
      <c r="A3828" t="s">
        <v>6682</v>
      </c>
      <c r="B3828">
        <v>3828</v>
      </c>
    </row>
    <row r="3829" spans="1:2" x14ac:dyDescent="0.25">
      <c r="A3829" t="s">
        <v>6712</v>
      </c>
      <c r="B3829">
        <v>3829</v>
      </c>
    </row>
    <row r="3830" spans="1:2" x14ac:dyDescent="0.25">
      <c r="A3830" t="s">
        <v>6742</v>
      </c>
      <c r="B3830">
        <v>3830</v>
      </c>
    </row>
    <row r="3831" spans="1:2" x14ac:dyDescent="0.25">
      <c r="A3831" t="s">
        <v>6772</v>
      </c>
      <c r="B3831">
        <v>3831</v>
      </c>
    </row>
    <row r="3832" spans="1:2" x14ac:dyDescent="0.25">
      <c r="A3832" t="s">
        <v>6802</v>
      </c>
      <c r="B3832">
        <v>3832</v>
      </c>
    </row>
    <row r="3833" spans="1:2" x14ac:dyDescent="0.25">
      <c r="A3833" t="s">
        <v>6832</v>
      </c>
      <c r="B3833">
        <v>3833</v>
      </c>
    </row>
    <row r="3834" spans="1:2" x14ac:dyDescent="0.25">
      <c r="A3834" t="s">
        <v>6862</v>
      </c>
      <c r="B3834">
        <v>3834</v>
      </c>
    </row>
    <row r="3835" spans="1:2" x14ac:dyDescent="0.25">
      <c r="A3835" t="s">
        <v>6875</v>
      </c>
      <c r="B3835">
        <v>3835</v>
      </c>
    </row>
    <row r="3836" spans="1:2" x14ac:dyDescent="0.25">
      <c r="A3836" t="s">
        <v>6875</v>
      </c>
      <c r="B3836">
        <v>3836</v>
      </c>
    </row>
    <row r="3837" spans="1:2" x14ac:dyDescent="0.25">
      <c r="A3837" t="s">
        <v>6905</v>
      </c>
      <c r="B3837">
        <v>3837</v>
      </c>
    </row>
    <row r="3838" spans="1:2" x14ac:dyDescent="0.25">
      <c r="A3838" t="s">
        <v>6935</v>
      </c>
      <c r="B3838">
        <v>3838</v>
      </c>
    </row>
    <row r="3839" spans="1:2" x14ac:dyDescent="0.25">
      <c r="A3839" t="s">
        <v>6965</v>
      </c>
      <c r="B3839">
        <v>3839</v>
      </c>
    </row>
    <row r="3840" spans="1:2" x14ac:dyDescent="0.25">
      <c r="A3840" t="s">
        <v>6995</v>
      </c>
      <c r="B3840">
        <v>3840</v>
      </c>
    </row>
    <row r="3841" spans="1:2" x14ac:dyDescent="0.25">
      <c r="A3841" t="s">
        <v>7025</v>
      </c>
      <c r="B3841">
        <v>3841</v>
      </c>
    </row>
    <row r="3842" spans="1:2" x14ac:dyDescent="0.25">
      <c r="A3842" t="s">
        <v>7055</v>
      </c>
      <c r="B3842">
        <v>3842</v>
      </c>
    </row>
    <row r="3843" spans="1:2" x14ac:dyDescent="0.25">
      <c r="A3843" t="s">
        <v>7085</v>
      </c>
      <c r="B3843">
        <v>3843</v>
      </c>
    </row>
    <row r="3844" spans="1:2" x14ac:dyDescent="0.25">
      <c r="A3844" t="s">
        <v>7115</v>
      </c>
      <c r="B3844">
        <v>3844</v>
      </c>
    </row>
    <row r="3845" spans="1:2" x14ac:dyDescent="0.25">
      <c r="A3845" t="s">
        <v>7121</v>
      </c>
      <c r="B3845">
        <v>3845</v>
      </c>
    </row>
    <row r="3846" spans="1:2" x14ac:dyDescent="0.25">
      <c r="A3846" t="s">
        <v>7121</v>
      </c>
      <c r="B3846">
        <v>3846</v>
      </c>
    </row>
    <row r="3847" spans="1:2" x14ac:dyDescent="0.25">
      <c r="A3847" t="s">
        <v>7156</v>
      </c>
      <c r="B3847">
        <v>3847</v>
      </c>
    </row>
    <row r="3848" spans="1:2" x14ac:dyDescent="0.25">
      <c r="A3848" t="s">
        <v>7186</v>
      </c>
      <c r="B3848">
        <v>3848</v>
      </c>
    </row>
    <row r="3849" spans="1:2" x14ac:dyDescent="0.25">
      <c r="A3849" t="s">
        <v>7216</v>
      </c>
      <c r="B3849">
        <v>3849</v>
      </c>
    </row>
    <row r="3850" spans="1:2" x14ac:dyDescent="0.25">
      <c r="A3850" t="s">
        <v>7246</v>
      </c>
      <c r="B3850">
        <v>3850</v>
      </c>
    </row>
    <row r="3851" spans="1:2" x14ac:dyDescent="0.25">
      <c r="A3851" t="s">
        <v>7276</v>
      </c>
      <c r="B3851">
        <v>3851</v>
      </c>
    </row>
    <row r="3852" spans="1:2" x14ac:dyDescent="0.25">
      <c r="A3852" t="s">
        <v>7117</v>
      </c>
      <c r="B3852">
        <v>3852</v>
      </c>
    </row>
    <row r="3853" spans="1:2" x14ac:dyDescent="0.25">
      <c r="A3853" t="s">
        <v>7117</v>
      </c>
      <c r="B3853">
        <v>3853</v>
      </c>
    </row>
    <row r="3854" spans="1:2" x14ac:dyDescent="0.25">
      <c r="A3854" t="s">
        <v>7315</v>
      </c>
      <c r="B3854">
        <v>3854</v>
      </c>
    </row>
    <row r="3855" spans="1:2" x14ac:dyDescent="0.25">
      <c r="A3855" t="s">
        <v>7345</v>
      </c>
      <c r="B3855">
        <v>3855</v>
      </c>
    </row>
    <row r="3856" spans="1:2" x14ac:dyDescent="0.25">
      <c r="A3856" t="s">
        <v>7375</v>
      </c>
      <c r="B3856">
        <v>3856</v>
      </c>
    </row>
    <row r="3857" spans="1:2" x14ac:dyDescent="0.25">
      <c r="A3857" t="s">
        <v>7405</v>
      </c>
      <c r="B3857">
        <v>3857</v>
      </c>
    </row>
    <row r="3858" spans="1:2" x14ac:dyDescent="0.25">
      <c r="A3858" t="s">
        <v>7435</v>
      </c>
      <c r="B3858">
        <v>3858</v>
      </c>
    </row>
    <row r="3859" spans="1:2" x14ac:dyDescent="0.25">
      <c r="A3859" t="s">
        <v>7465</v>
      </c>
      <c r="B3859">
        <v>3859</v>
      </c>
    </row>
    <row r="3860" spans="1:2" x14ac:dyDescent="0.25">
      <c r="A3860" t="s">
        <v>7495</v>
      </c>
      <c r="B3860">
        <v>3860</v>
      </c>
    </row>
    <row r="3861" spans="1:2" x14ac:dyDescent="0.25">
      <c r="A3861" t="s">
        <v>7525</v>
      </c>
      <c r="B3861">
        <v>3861</v>
      </c>
    </row>
    <row r="3862" spans="1:2" x14ac:dyDescent="0.25">
      <c r="A3862" t="s">
        <v>7555</v>
      </c>
      <c r="B3862">
        <v>3862</v>
      </c>
    </row>
    <row r="3863" spans="1:2" x14ac:dyDescent="0.25">
      <c r="A3863" t="s">
        <v>7585</v>
      </c>
      <c r="B3863">
        <v>3863</v>
      </c>
    </row>
    <row r="3864" spans="1:2" x14ac:dyDescent="0.25">
      <c r="A3864" t="s">
        <v>7615</v>
      </c>
      <c r="B3864">
        <v>3864</v>
      </c>
    </row>
    <row r="3865" spans="1:2" x14ac:dyDescent="0.25">
      <c r="A3865" t="s">
        <v>7645</v>
      </c>
      <c r="B3865">
        <v>3865</v>
      </c>
    </row>
    <row r="3866" spans="1:2" x14ac:dyDescent="0.25">
      <c r="A3866" t="s">
        <v>7675</v>
      </c>
      <c r="B3866">
        <v>3866</v>
      </c>
    </row>
    <row r="3867" spans="1:2" x14ac:dyDescent="0.25">
      <c r="A3867" t="s">
        <v>7705</v>
      </c>
      <c r="B3867">
        <v>3867</v>
      </c>
    </row>
    <row r="3868" spans="1:2" x14ac:dyDescent="0.25">
      <c r="A3868" t="s">
        <v>7735</v>
      </c>
      <c r="B3868">
        <v>3868</v>
      </c>
    </row>
    <row r="3869" spans="1:2" x14ac:dyDescent="0.25">
      <c r="A3869" t="s">
        <v>7765</v>
      </c>
      <c r="B3869">
        <v>3869</v>
      </c>
    </row>
    <row r="3870" spans="1:2" x14ac:dyDescent="0.25">
      <c r="A3870" t="s">
        <v>7795</v>
      </c>
      <c r="B3870">
        <v>3870</v>
      </c>
    </row>
    <row r="3871" spans="1:2" x14ac:dyDescent="0.25">
      <c r="A3871" t="s">
        <v>7825</v>
      </c>
      <c r="B3871">
        <v>3871</v>
      </c>
    </row>
    <row r="3872" spans="1:2" x14ac:dyDescent="0.25">
      <c r="A3872" t="s">
        <v>7855</v>
      </c>
      <c r="B3872">
        <v>3872</v>
      </c>
    </row>
    <row r="3873" spans="1:2" x14ac:dyDescent="0.25">
      <c r="A3873" t="s">
        <v>7885</v>
      </c>
      <c r="B3873">
        <v>3873</v>
      </c>
    </row>
    <row r="3874" spans="1:2" x14ac:dyDescent="0.25">
      <c r="A3874" t="s">
        <v>7915</v>
      </c>
      <c r="B3874">
        <v>3874</v>
      </c>
    </row>
    <row r="3875" spans="1:2" x14ac:dyDescent="0.25">
      <c r="A3875" t="s">
        <v>7945</v>
      </c>
      <c r="B3875">
        <v>3875</v>
      </c>
    </row>
    <row r="3876" spans="1:2" x14ac:dyDescent="0.25">
      <c r="A3876" t="s">
        <v>7975</v>
      </c>
      <c r="B3876">
        <v>3876</v>
      </c>
    </row>
    <row r="3877" spans="1:2" x14ac:dyDescent="0.25">
      <c r="A3877" t="s">
        <v>8005</v>
      </c>
      <c r="B3877">
        <v>3877</v>
      </c>
    </row>
    <row r="3878" spans="1:2" x14ac:dyDescent="0.25">
      <c r="A3878" t="s">
        <v>8035</v>
      </c>
      <c r="B3878">
        <v>3878</v>
      </c>
    </row>
    <row r="3879" spans="1:2" x14ac:dyDescent="0.25">
      <c r="A3879" t="s">
        <v>8065</v>
      </c>
      <c r="B3879">
        <v>3879</v>
      </c>
    </row>
    <row r="3880" spans="1:2" x14ac:dyDescent="0.25">
      <c r="A3880" t="s">
        <v>8095</v>
      </c>
      <c r="B3880">
        <v>3880</v>
      </c>
    </row>
    <row r="3881" spans="1:2" x14ac:dyDescent="0.25">
      <c r="A3881" t="s">
        <v>8125</v>
      </c>
      <c r="B3881">
        <v>3881</v>
      </c>
    </row>
    <row r="3882" spans="1:2" x14ac:dyDescent="0.25">
      <c r="A3882" t="s">
        <v>8155</v>
      </c>
      <c r="B3882">
        <v>3882</v>
      </c>
    </row>
    <row r="3883" spans="1:2" x14ac:dyDescent="0.25">
      <c r="A3883" t="s">
        <v>8185</v>
      </c>
      <c r="B3883">
        <v>3883</v>
      </c>
    </row>
    <row r="3884" spans="1:2" x14ac:dyDescent="0.25">
      <c r="A3884" t="s">
        <v>7116</v>
      </c>
      <c r="B3884">
        <v>3884</v>
      </c>
    </row>
    <row r="3885" spans="1:2" x14ac:dyDescent="0.25">
      <c r="A3885" t="s">
        <v>7116</v>
      </c>
      <c r="B3885">
        <v>3885</v>
      </c>
    </row>
    <row r="3886" spans="1:2" x14ac:dyDescent="0.25">
      <c r="A3886" t="s">
        <v>7119</v>
      </c>
      <c r="B3886">
        <v>3886</v>
      </c>
    </row>
    <row r="3887" spans="1:2" x14ac:dyDescent="0.25">
      <c r="A3887" t="s">
        <v>7119</v>
      </c>
      <c r="B3887">
        <v>3887</v>
      </c>
    </row>
    <row r="3888" spans="1:2" x14ac:dyDescent="0.25">
      <c r="A3888" t="s">
        <v>8227</v>
      </c>
      <c r="B3888">
        <v>3888</v>
      </c>
    </row>
    <row r="3889" spans="1:2" x14ac:dyDescent="0.25">
      <c r="A3889" t="s">
        <v>8257</v>
      </c>
      <c r="B3889">
        <v>3889</v>
      </c>
    </row>
    <row r="3890" spans="1:2" x14ac:dyDescent="0.25">
      <c r="A3890" t="s">
        <v>8287</v>
      </c>
      <c r="B3890">
        <v>3890</v>
      </c>
    </row>
    <row r="3891" spans="1:2" x14ac:dyDescent="0.25">
      <c r="A3891" t="s">
        <v>8317</v>
      </c>
      <c r="B3891">
        <v>3891</v>
      </c>
    </row>
    <row r="3892" spans="1:2" x14ac:dyDescent="0.25">
      <c r="A3892" t="s">
        <v>8347</v>
      </c>
      <c r="B3892">
        <v>3892</v>
      </c>
    </row>
    <row r="3893" spans="1:2" x14ac:dyDescent="0.25">
      <c r="A3893" t="s">
        <v>8377</v>
      </c>
      <c r="B3893">
        <v>3893</v>
      </c>
    </row>
    <row r="3894" spans="1:2" x14ac:dyDescent="0.25">
      <c r="A3894" t="s">
        <v>8407</v>
      </c>
      <c r="B3894">
        <v>3894</v>
      </c>
    </row>
    <row r="3895" spans="1:2" x14ac:dyDescent="0.25">
      <c r="A3895" t="s">
        <v>8437</v>
      </c>
      <c r="B3895">
        <v>3895</v>
      </c>
    </row>
    <row r="3896" spans="1:2" x14ac:dyDescent="0.25">
      <c r="A3896" t="s">
        <v>8467</v>
      </c>
      <c r="B3896">
        <v>3896</v>
      </c>
    </row>
    <row r="3897" spans="1:2" x14ac:dyDescent="0.25">
      <c r="A3897" t="s">
        <v>8497</v>
      </c>
      <c r="B3897">
        <v>3897</v>
      </c>
    </row>
    <row r="3898" spans="1:2" x14ac:dyDescent="0.25">
      <c r="A3898" t="s">
        <v>8527</v>
      </c>
      <c r="B3898">
        <v>3898</v>
      </c>
    </row>
    <row r="3899" spans="1:2" x14ac:dyDescent="0.25">
      <c r="A3899" t="s">
        <v>8557</v>
      </c>
      <c r="B3899">
        <v>3899</v>
      </c>
    </row>
    <row r="3900" spans="1:2" x14ac:dyDescent="0.25">
      <c r="A3900" t="s">
        <v>8587</v>
      </c>
      <c r="B3900">
        <v>3900</v>
      </c>
    </row>
    <row r="3901" spans="1:2" x14ac:dyDescent="0.25">
      <c r="A3901" t="s">
        <v>8617</v>
      </c>
      <c r="B3901">
        <v>3901</v>
      </c>
    </row>
    <row r="3902" spans="1:2" x14ac:dyDescent="0.25">
      <c r="A3902" t="s">
        <v>8647</v>
      </c>
      <c r="B3902">
        <v>3902</v>
      </c>
    </row>
    <row r="3903" spans="1:2" x14ac:dyDescent="0.25">
      <c r="A3903" t="s">
        <v>7118</v>
      </c>
      <c r="B3903">
        <v>3903</v>
      </c>
    </row>
    <row r="3904" spans="1:2" x14ac:dyDescent="0.25">
      <c r="A3904" t="s">
        <v>7118</v>
      </c>
      <c r="B3904">
        <v>3904</v>
      </c>
    </row>
    <row r="3905" spans="1:2" x14ac:dyDescent="0.25">
      <c r="A3905" t="s">
        <v>8680</v>
      </c>
      <c r="B3905">
        <v>3905</v>
      </c>
    </row>
    <row r="3906" spans="1:2" x14ac:dyDescent="0.25">
      <c r="A3906" t="s">
        <v>8710</v>
      </c>
      <c r="B3906">
        <v>3906</v>
      </c>
    </row>
    <row r="3907" spans="1:2" x14ac:dyDescent="0.25">
      <c r="A3907" t="s">
        <v>8740</v>
      </c>
      <c r="B3907">
        <v>3907</v>
      </c>
    </row>
    <row r="3908" spans="1:2" x14ac:dyDescent="0.25">
      <c r="A3908" t="s">
        <v>8770</v>
      </c>
      <c r="B3908">
        <v>3908</v>
      </c>
    </row>
    <row r="3909" spans="1:2" x14ac:dyDescent="0.25">
      <c r="A3909" t="s">
        <v>8800</v>
      </c>
      <c r="B3909">
        <v>3909</v>
      </c>
    </row>
    <row r="3910" spans="1:2" x14ac:dyDescent="0.25">
      <c r="A3910" t="s">
        <v>8830</v>
      </c>
      <c r="B3910">
        <v>3910</v>
      </c>
    </row>
    <row r="3911" spans="1:2" x14ac:dyDescent="0.25">
      <c r="A3911" t="s">
        <v>8860</v>
      </c>
      <c r="B3911">
        <v>3911</v>
      </c>
    </row>
    <row r="3912" spans="1:2" x14ac:dyDescent="0.25">
      <c r="A3912" t="s">
        <v>8890</v>
      </c>
      <c r="B3912">
        <v>3912</v>
      </c>
    </row>
    <row r="3913" spans="1:2" x14ac:dyDescent="0.25">
      <c r="A3913" t="s">
        <v>7120</v>
      </c>
      <c r="B3913">
        <v>3913</v>
      </c>
    </row>
    <row r="3914" spans="1:2" x14ac:dyDescent="0.25">
      <c r="A3914" t="s">
        <v>7120</v>
      </c>
      <c r="B3914">
        <v>3914</v>
      </c>
    </row>
    <row r="3915" spans="1:2" x14ac:dyDescent="0.25">
      <c r="A3915" t="s">
        <v>8921</v>
      </c>
      <c r="B3915">
        <v>3915</v>
      </c>
    </row>
    <row r="3916" spans="1:2" x14ac:dyDescent="0.25">
      <c r="A3916" t="s">
        <v>7127</v>
      </c>
      <c r="B3916">
        <v>3916</v>
      </c>
    </row>
    <row r="3917" spans="1:2" x14ac:dyDescent="0.25">
      <c r="A3917" t="s">
        <v>7134</v>
      </c>
      <c r="B3917">
        <v>3917</v>
      </c>
    </row>
    <row r="3918" spans="1:2" x14ac:dyDescent="0.25">
      <c r="A3918" t="s">
        <v>7130</v>
      </c>
      <c r="B3918">
        <v>3918</v>
      </c>
    </row>
    <row r="3919" spans="1:2" x14ac:dyDescent="0.25">
      <c r="A3919" t="s">
        <v>7136</v>
      </c>
      <c r="B3919">
        <v>3919</v>
      </c>
    </row>
    <row r="3920" spans="1:2" x14ac:dyDescent="0.25">
      <c r="A3920" t="s">
        <v>7131</v>
      </c>
      <c r="B3920">
        <v>3920</v>
      </c>
    </row>
    <row r="3921" spans="1:2" x14ac:dyDescent="0.25">
      <c r="A3921" t="s">
        <v>7132</v>
      </c>
      <c r="B3921">
        <v>3921</v>
      </c>
    </row>
    <row r="3922" spans="1:2" x14ac:dyDescent="0.25">
      <c r="A3922" t="s">
        <v>7129</v>
      </c>
      <c r="B3922">
        <v>3922</v>
      </c>
    </row>
    <row r="3923" spans="1:2" x14ac:dyDescent="0.25">
      <c r="A3923" t="s">
        <v>7140</v>
      </c>
      <c r="B3923">
        <v>3923</v>
      </c>
    </row>
    <row r="3924" spans="1:2" x14ac:dyDescent="0.25">
      <c r="A3924" t="s">
        <v>7137</v>
      </c>
      <c r="B3924">
        <v>3924</v>
      </c>
    </row>
    <row r="3925" spans="1:2" x14ac:dyDescent="0.25">
      <c r="A3925" t="s">
        <v>7141</v>
      </c>
      <c r="B3925">
        <v>3925</v>
      </c>
    </row>
    <row r="3926" spans="1:2" x14ac:dyDescent="0.25">
      <c r="A3926" t="s">
        <v>7133</v>
      </c>
      <c r="B3926">
        <v>3926</v>
      </c>
    </row>
    <row r="3927" spans="1:2" x14ac:dyDescent="0.25">
      <c r="A3927" t="s">
        <v>7128</v>
      </c>
      <c r="B3927">
        <v>3927</v>
      </c>
    </row>
    <row r="3928" spans="1:2" x14ac:dyDescent="0.25">
      <c r="A3928" t="s">
        <v>7138</v>
      </c>
      <c r="B3928">
        <v>3928</v>
      </c>
    </row>
    <row r="3929" spans="1:2" x14ac:dyDescent="0.25">
      <c r="A3929" t="s">
        <v>7135</v>
      </c>
      <c r="B3929">
        <v>3929</v>
      </c>
    </row>
    <row r="3930" spans="1:2" x14ac:dyDescent="0.25">
      <c r="A3930" t="s">
        <v>7139</v>
      </c>
      <c r="B3930">
        <v>3930</v>
      </c>
    </row>
    <row r="3931" spans="1:2" x14ac:dyDescent="0.25">
      <c r="A3931" t="s">
        <v>7157</v>
      </c>
      <c r="B3931">
        <v>3931</v>
      </c>
    </row>
    <row r="3932" spans="1:2" x14ac:dyDescent="0.25">
      <c r="A3932" t="s">
        <v>7164</v>
      </c>
      <c r="B3932">
        <v>3932</v>
      </c>
    </row>
    <row r="3933" spans="1:2" x14ac:dyDescent="0.25">
      <c r="A3933" t="s">
        <v>7160</v>
      </c>
      <c r="B3933">
        <v>3933</v>
      </c>
    </row>
    <row r="3934" spans="1:2" x14ac:dyDescent="0.25">
      <c r="A3934" t="s">
        <v>7166</v>
      </c>
      <c r="B3934">
        <v>3934</v>
      </c>
    </row>
    <row r="3935" spans="1:2" x14ac:dyDescent="0.25">
      <c r="A3935" t="s">
        <v>7161</v>
      </c>
      <c r="B3935">
        <v>3935</v>
      </c>
    </row>
    <row r="3936" spans="1:2" x14ac:dyDescent="0.25">
      <c r="A3936" t="s">
        <v>7162</v>
      </c>
      <c r="B3936">
        <v>3936</v>
      </c>
    </row>
    <row r="3937" spans="1:2" x14ac:dyDescent="0.25">
      <c r="A3937" t="s">
        <v>7159</v>
      </c>
      <c r="B3937">
        <v>3937</v>
      </c>
    </row>
    <row r="3938" spans="1:2" x14ac:dyDescent="0.25">
      <c r="A3938" t="s">
        <v>7170</v>
      </c>
      <c r="B3938">
        <v>3938</v>
      </c>
    </row>
    <row r="3939" spans="1:2" x14ac:dyDescent="0.25">
      <c r="A3939" t="s">
        <v>7167</v>
      </c>
      <c r="B3939">
        <v>3939</v>
      </c>
    </row>
    <row r="3940" spans="1:2" x14ac:dyDescent="0.25">
      <c r="A3940" t="s">
        <v>7171</v>
      </c>
      <c r="B3940">
        <v>3940</v>
      </c>
    </row>
    <row r="3941" spans="1:2" x14ac:dyDescent="0.25">
      <c r="A3941" t="s">
        <v>7163</v>
      </c>
      <c r="B3941">
        <v>3941</v>
      </c>
    </row>
    <row r="3942" spans="1:2" x14ac:dyDescent="0.25">
      <c r="A3942" t="s">
        <v>7158</v>
      </c>
      <c r="B3942">
        <v>3942</v>
      </c>
    </row>
    <row r="3943" spans="1:2" x14ac:dyDescent="0.25">
      <c r="A3943" t="s">
        <v>7168</v>
      </c>
      <c r="B3943">
        <v>3943</v>
      </c>
    </row>
    <row r="3944" spans="1:2" x14ac:dyDescent="0.25">
      <c r="A3944" t="s">
        <v>7165</v>
      </c>
      <c r="B3944">
        <v>3944</v>
      </c>
    </row>
    <row r="3945" spans="1:2" x14ac:dyDescent="0.25">
      <c r="A3945" t="s">
        <v>7169</v>
      </c>
      <c r="B3945">
        <v>3945</v>
      </c>
    </row>
    <row r="3946" spans="1:2" x14ac:dyDescent="0.25">
      <c r="A3946" t="s">
        <v>7187</v>
      </c>
      <c r="B3946">
        <v>3946</v>
      </c>
    </row>
    <row r="3947" spans="1:2" x14ac:dyDescent="0.25">
      <c r="A3947" t="s">
        <v>7194</v>
      </c>
      <c r="B3947">
        <v>3947</v>
      </c>
    </row>
    <row r="3948" spans="1:2" x14ac:dyDescent="0.25">
      <c r="A3948" t="s">
        <v>7190</v>
      </c>
      <c r="B3948">
        <v>3948</v>
      </c>
    </row>
    <row r="3949" spans="1:2" x14ac:dyDescent="0.25">
      <c r="A3949" t="s">
        <v>7196</v>
      </c>
      <c r="B3949">
        <v>3949</v>
      </c>
    </row>
    <row r="3950" spans="1:2" x14ac:dyDescent="0.25">
      <c r="A3950" t="s">
        <v>7191</v>
      </c>
      <c r="B3950">
        <v>3950</v>
      </c>
    </row>
    <row r="3951" spans="1:2" x14ac:dyDescent="0.25">
      <c r="A3951" t="s">
        <v>7192</v>
      </c>
      <c r="B3951">
        <v>3951</v>
      </c>
    </row>
    <row r="3952" spans="1:2" x14ac:dyDescent="0.25">
      <c r="A3952" t="s">
        <v>7189</v>
      </c>
      <c r="B3952">
        <v>3952</v>
      </c>
    </row>
    <row r="3953" spans="1:2" x14ac:dyDescent="0.25">
      <c r="A3953" t="s">
        <v>7200</v>
      </c>
      <c r="B3953">
        <v>3953</v>
      </c>
    </row>
    <row r="3954" spans="1:2" x14ac:dyDescent="0.25">
      <c r="A3954" t="s">
        <v>7197</v>
      </c>
      <c r="B3954">
        <v>3954</v>
      </c>
    </row>
    <row r="3955" spans="1:2" x14ac:dyDescent="0.25">
      <c r="A3955" t="s">
        <v>7201</v>
      </c>
      <c r="B3955">
        <v>3955</v>
      </c>
    </row>
    <row r="3956" spans="1:2" x14ac:dyDescent="0.25">
      <c r="A3956" t="s">
        <v>7193</v>
      </c>
      <c r="B3956">
        <v>3956</v>
      </c>
    </row>
    <row r="3957" spans="1:2" x14ac:dyDescent="0.25">
      <c r="A3957" t="s">
        <v>7188</v>
      </c>
      <c r="B3957">
        <v>3957</v>
      </c>
    </row>
    <row r="3958" spans="1:2" x14ac:dyDescent="0.25">
      <c r="A3958" t="s">
        <v>7198</v>
      </c>
      <c r="B3958">
        <v>3958</v>
      </c>
    </row>
    <row r="3959" spans="1:2" x14ac:dyDescent="0.25">
      <c r="A3959" t="s">
        <v>7195</v>
      </c>
      <c r="B3959">
        <v>3959</v>
      </c>
    </row>
    <row r="3960" spans="1:2" x14ac:dyDescent="0.25">
      <c r="A3960" t="s">
        <v>7199</v>
      </c>
      <c r="B3960">
        <v>3960</v>
      </c>
    </row>
    <row r="3961" spans="1:2" x14ac:dyDescent="0.25">
      <c r="A3961" t="s">
        <v>7217</v>
      </c>
      <c r="B3961">
        <v>3961</v>
      </c>
    </row>
    <row r="3962" spans="1:2" x14ac:dyDescent="0.25">
      <c r="A3962" t="s">
        <v>7224</v>
      </c>
      <c r="B3962">
        <v>3962</v>
      </c>
    </row>
    <row r="3963" spans="1:2" x14ac:dyDescent="0.25">
      <c r="A3963" t="s">
        <v>7220</v>
      </c>
      <c r="B3963">
        <v>3963</v>
      </c>
    </row>
    <row r="3964" spans="1:2" x14ac:dyDescent="0.25">
      <c r="A3964" t="s">
        <v>7226</v>
      </c>
      <c r="B3964">
        <v>3964</v>
      </c>
    </row>
    <row r="3965" spans="1:2" x14ac:dyDescent="0.25">
      <c r="A3965" t="s">
        <v>7221</v>
      </c>
      <c r="B3965">
        <v>3965</v>
      </c>
    </row>
    <row r="3966" spans="1:2" x14ac:dyDescent="0.25">
      <c r="A3966" t="s">
        <v>7222</v>
      </c>
      <c r="B3966">
        <v>3966</v>
      </c>
    </row>
    <row r="3967" spans="1:2" x14ac:dyDescent="0.25">
      <c r="A3967" t="s">
        <v>7219</v>
      </c>
      <c r="B3967">
        <v>3967</v>
      </c>
    </row>
    <row r="3968" spans="1:2" x14ac:dyDescent="0.25">
      <c r="A3968" t="s">
        <v>7230</v>
      </c>
      <c r="B3968">
        <v>3968</v>
      </c>
    </row>
    <row r="3969" spans="1:2" x14ac:dyDescent="0.25">
      <c r="A3969" t="s">
        <v>7227</v>
      </c>
      <c r="B3969">
        <v>3969</v>
      </c>
    </row>
    <row r="3970" spans="1:2" x14ac:dyDescent="0.25">
      <c r="A3970" t="s">
        <v>7231</v>
      </c>
      <c r="B3970">
        <v>3970</v>
      </c>
    </row>
    <row r="3971" spans="1:2" x14ac:dyDescent="0.25">
      <c r="A3971" t="s">
        <v>7223</v>
      </c>
      <c r="B3971">
        <v>3971</v>
      </c>
    </row>
    <row r="3972" spans="1:2" x14ac:dyDescent="0.25">
      <c r="A3972" t="s">
        <v>7218</v>
      </c>
      <c r="B3972">
        <v>3972</v>
      </c>
    </row>
    <row r="3973" spans="1:2" x14ac:dyDescent="0.25">
      <c r="A3973" t="s">
        <v>7228</v>
      </c>
      <c r="B3973">
        <v>3973</v>
      </c>
    </row>
    <row r="3974" spans="1:2" x14ac:dyDescent="0.25">
      <c r="A3974" t="s">
        <v>7225</v>
      </c>
      <c r="B3974">
        <v>3974</v>
      </c>
    </row>
    <row r="3975" spans="1:2" x14ac:dyDescent="0.25">
      <c r="A3975" t="s">
        <v>7229</v>
      </c>
      <c r="B3975">
        <v>3975</v>
      </c>
    </row>
    <row r="3976" spans="1:2" x14ac:dyDescent="0.25">
      <c r="A3976" t="s">
        <v>7247</v>
      </c>
      <c r="B3976">
        <v>3976</v>
      </c>
    </row>
    <row r="3977" spans="1:2" x14ac:dyDescent="0.25">
      <c r="A3977" t="s">
        <v>7254</v>
      </c>
      <c r="B3977">
        <v>3977</v>
      </c>
    </row>
    <row r="3978" spans="1:2" x14ac:dyDescent="0.25">
      <c r="A3978" t="s">
        <v>7250</v>
      </c>
      <c r="B3978">
        <v>3978</v>
      </c>
    </row>
    <row r="3979" spans="1:2" x14ac:dyDescent="0.25">
      <c r="A3979" t="s">
        <v>7256</v>
      </c>
      <c r="B3979">
        <v>3979</v>
      </c>
    </row>
    <row r="3980" spans="1:2" x14ac:dyDescent="0.25">
      <c r="A3980" t="s">
        <v>7251</v>
      </c>
      <c r="B3980">
        <v>3980</v>
      </c>
    </row>
    <row r="3981" spans="1:2" x14ac:dyDescent="0.25">
      <c r="A3981" t="s">
        <v>7252</v>
      </c>
      <c r="B3981">
        <v>3981</v>
      </c>
    </row>
    <row r="3982" spans="1:2" x14ac:dyDescent="0.25">
      <c r="A3982" t="s">
        <v>7249</v>
      </c>
      <c r="B3982">
        <v>3982</v>
      </c>
    </row>
    <row r="3983" spans="1:2" x14ac:dyDescent="0.25">
      <c r="A3983" t="s">
        <v>7260</v>
      </c>
      <c r="B3983">
        <v>3983</v>
      </c>
    </row>
    <row r="3984" spans="1:2" x14ac:dyDescent="0.25">
      <c r="A3984" t="s">
        <v>7257</v>
      </c>
      <c r="B3984">
        <v>3984</v>
      </c>
    </row>
    <row r="3985" spans="1:2" x14ac:dyDescent="0.25">
      <c r="A3985" t="s">
        <v>7261</v>
      </c>
      <c r="B3985">
        <v>3985</v>
      </c>
    </row>
    <row r="3986" spans="1:2" x14ac:dyDescent="0.25">
      <c r="A3986" t="s">
        <v>7253</v>
      </c>
      <c r="B3986">
        <v>3986</v>
      </c>
    </row>
    <row r="3987" spans="1:2" x14ac:dyDescent="0.25">
      <c r="A3987" t="s">
        <v>7248</v>
      </c>
      <c r="B3987">
        <v>3987</v>
      </c>
    </row>
    <row r="3988" spans="1:2" x14ac:dyDescent="0.25">
      <c r="A3988" t="s">
        <v>7258</v>
      </c>
      <c r="B3988">
        <v>3988</v>
      </c>
    </row>
    <row r="3989" spans="1:2" x14ac:dyDescent="0.25">
      <c r="A3989" t="s">
        <v>7255</v>
      </c>
      <c r="B3989">
        <v>3989</v>
      </c>
    </row>
    <row r="3990" spans="1:2" x14ac:dyDescent="0.25">
      <c r="A3990" t="s">
        <v>7259</v>
      </c>
      <c r="B3990">
        <v>3990</v>
      </c>
    </row>
    <row r="3991" spans="1:2" x14ac:dyDescent="0.25">
      <c r="A3991" t="s">
        <v>3318</v>
      </c>
      <c r="B3991">
        <v>3991</v>
      </c>
    </row>
    <row r="3992" spans="1:2" x14ac:dyDescent="0.25">
      <c r="A3992" t="s">
        <v>3348</v>
      </c>
      <c r="B3992">
        <v>3992</v>
      </c>
    </row>
    <row r="3993" spans="1:2" x14ac:dyDescent="0.25">
      <c r="A3993" t="s">
        <v>3378</v>
      </c>
      <c r="B3993">
        <v>3993</v>
      </c>
    </row>
    <row r="3994" spans="1:2" x14ac:dyDescent="0.25">
      <c r="A3994" t="s">
        <v>3408</v>
      </c>
      <c r="B3994">
        <v>3994</v>
      </c>
    </row>
    <row r="3995" spans="1:2" x14ac:dyDescent="0.25">
      <c r="A3995" t="s">
        <v>3438</v>
      </c>
      <c r="B3995">
        <v>3995</v>
      </c>
    </row>
    <row r="3996" spans="1:2" x14ac:dyDescent="0.25">
      <c r="A3996" t="s">
        <v>3468</v>
      </c>
      <c r="B3996">
        <v>3996</v>
      </c>
    </row>
    <row r="3997" spans="1:2" x14ac:dyDescent="0.25">
      <c r="A3997" t="s">
        <v>3498</v>
      </c>
      <c r="B3997">
        <v>3997</v>
      </c>
    </row>
    <row r="3998" spans="1:2" x14ac:dyDescent="0.25">
      <c r="A3998" t="s">
        <v>3528</v>
      </c>
      <c r="B3998">
        <v>3998</v>
      </c>
    </row>
    <row r="3999" spans="1:2" x14ac:dyDescent="0.25">
      <c r="A3999" t="s">
        <v>3558</v>
      </c>
      <c r="B3999">
        <v>3999</v>
      </c>
    </row>
    <row r="4000" spans="1:2" x14ac:dyDescent="0.25">
      <c r="A4000" t="s">
        <v>3588</v>
      </c>
      <c r="B4000">
        <v>4000</v>
      </c>
    </row>
    <row r="4001" spans="1:2" x14ac:dyDescent="0.25">
      <c r="A4001" t="s">
        <v>3618</v>
      </c>
      <c r="B4001">
        <v>4001</v>
      </c>
    </row>
    <row r="4002" spans="1:2" x14ac:dyDescent="0.25">
      <c r="A4002" t="s">
        <v>3648</v>
      </c>
      <c r="B4002">
        <v>4002</v>
      </c>
    </row>
    <row r="4003" spans="1:2" x14ac:dyDescent="0.25">
      <c r="A4003" t="s">
        <v>3678</v>
      </c>
      <c r="B4003">
        <v>4003</v>
      </c>
    </row>
    <row r="4004" spans="1:2" x14ac:dyDescent="0.25">
      <c r="A4004" t="s">
        <v>3708</v>
      </c>
      <c r="B4004">
        <v>4004</v>
      </c>
    </row>
    <row r="4005" spans="1:2" x14ac:dyDescent="0.25">
      <c r="A4005" t="s">
        <v>3738</v>
      </c>
      <c r="B4005">
        <v>4005</v>
      </c>
    </row>
    <row r="4006" spans="1:2" x14ac:dyDescent="0.25">
      <c r="A4006" t="s">
        <v>3768</v>
      </c>
      <c r="B4006">
        <v>4006</v>
      </c>
    </row>
    <row r="4007" spans="1:2" x14ac:dyDescent="0.25">
      <c r="A4007" t="s">
        <v>3798</v>
      </c>
      <c r="B4007">
        <v>4007</v>
      </c>
    </row>
    <row r="4008" spans="1:2" x14ac:dyDescent="0.25">
      <c r="A4008" t="s">
        <v>3828</v>
      </c>
      <c r="B4008">
        <v>4008</v>
      </c>
    </row>
    <row r="4009" spans="1:2" x14ac:dyDescent="0.25">
      <c r="A4009" t="s">
        <v>3858</v>
      </c>
      <c r="B4009">
        <v>4009</v>
      </c>
    </row>
    <row r="4010" spans="1:2" x14ac:dyDescent="0.25">
      <c r="A4010" t="s">
        <v>3888</v>
      </c>
      <c r="B4010">
        <v>4010</v>
      </c>
    </row>
    <row r="4011" spans="1:2" x14ac:dyDescent="0.25">
      <c r="A4011" t="s">
        <v>3918</v>
      </c>
      <c r="B4011">
        <v>4011</v>
      </c>
    </row>
    <row r="4012" spans="1:2" x14ac:dyDescent="0.25">
      <c r="A4012" t="s">
        <v>3948</v>
      </c>
      <c r="B4012">
        <v>4012</v>
      </c>
    </row>
    <row r="4013" spans="1:2" x14ac:dyDescent="0.25">
      <c r="A4013" t="s">
        <v>3978</v>
      </c>
      <c r="B4013">
        <v>4013</v>
      </c>
    </row>
    <row r="4014" spans="1:2" x14ac:dyDescent="0.25">
      <c r="A4014" t="s">
        <v>4008</v>
      </c>
      <c r="B4014">
        <v>4014</v>
      </c>
    </row>
    <row r="4015" spans="1:2" x14ac:dyDescent="0.25">
      <c r="A4015" t="s">
        <v>4038</v>
      </c>
      <c r="B4015">
        <v>4015</v>
      </c>
    </row>
    <row r="4016" spans="1:2" x14ac:dyDescent="0.25">
      <c r="A4016" t="s">
        <v>4068</v>
      </c>
      <c r="B4016">
        <v>4016</v>
      </c>
    </row>
    <row r="4017" spans="1:2" x14ac:dyDescent="0.25">
      <c r="A4017" t="s">
        <v>4098</v>
      </c>
      <c r="B4017">
        <v>4017</v>
      </c>
    </row>
    <row r="4018" spans="1:2" x14ac:dyDescent="0.25">
      <c r="A4018" t="s">
        <v>4127</v>
      </c>
      <c r="B4018">
        <v>4018</v>
      </c>
    </row>
    <row r="4019" spans="1:2" x14ac:dyDescent="0.25">
      <c r="A4019" t="s">
        <v>4127</v>
      </c>
      <c r="B4019">
        <v>4019</v>
      </c>
    </row>
    <row r="4020" spans="1:2" x14ac:dyDescent="0.25">
      <c r="A4020" t="s">
        <v>4157</v>
      </c>
      <c r="B4020">
        <v>4020</v>
      </c>
    </row>
    <row r="4021" spans="1:2" x14ac:dyDescent="0.25">
      <c r="A4021" t="s">
        <v>4187</v>
      </c>
      <c r="B4021">
        <v>4021</v>
      </c>
    </row>
    <row r="4022" spans="1:2" x14ac:dyDescent="0.25">
      <c r="A4022" t="s">
        <v>4217</v>
      </c>
      <c r="B4022">
        <v>4022</v>
      </c>
    </row>
    <row r="4023" spans="1:2" x14ac:dyDescent="0.25">
      <c r="A4023" t="s">
        <v>4247</v>
      </c>
      <c r="B4023">
        <v>4023</v>
      </c>
    </row>
    <row r="4024" spans="1:2" x14ac:dyDescent="0.25">
      <c r="A4024" t="s">
        <v>4277</v>
      </c>
      <c r="B4024">
        <v>4024</v>
      </c>
    </row>
    <row r="4025" spans="1:2" x14ac:dyDescent="0.25">
      <c r="A4025" t="s">
        <v>4307</v>
      </c>
      <c r="B4025">
        <v>4025</v>
      </c>
    </row>
    <row r="4026" spans="1:2" x14ac:dyDescent="0.25">
      <c r="A4026" t="s">
        <v>4337</v>
      </c>
      <c r="B4026">
        <v>4026</v>
      </c>
    </row>
    <row r="4027" spans="1:2" x14ac:dyDescent="0.25">
      <c r="A4027" t="s">
        <v>4367</v>
      </c>
      <c r="B4027">
        <v>4027</v>
      </c>
    </row>
    <row r="4028" spans="1:2" x14ac:dyDescent="0.25">
      <c r="A4028" t="s">
        <v>4397</v>
      </c>
      <c r="B4028">
        <v>4028</v>
      </c>
    </row>
    <row r="4029" spans="1:2" x14ac:dyDescent="0.25">
      <c r="A4029" t="s">
        <v>4427</v>
      </c>
      <c r="B4029">
        <v>4029</v>
      </c>
    </row>
    <row r="4030" spans="1:2" x14ac:dyDescent="0.25">
      <c r="A4030" t="s">
        <v>4457</v>
      </c>
      <c r="B4030">
        <v>4030</v>
      </c>
    </row>
    <row r="4031" spans="1:2" x14ac:dyDescent="0.25">
      <c r="A4031" t="s">
        <v>4487</v>
      </c>
      <c r="B4031">
        <v>4031</v>
      </c>
    </row>
    <row r="4032" spans="1:2" x14ac:dyDescent="0.25">
      <c r="A4032" t="s">
        <v>4517</v>
      </c>
      <c r="B4032">
        <v>4032</v>
      </c>
    </row>
    <row r="4033" spans="1:2" x14ac:dyDescent="0.25">
      <c r="A4033" t="s">
        <v>4547</v>
      </c>
      <c r="B4033">
        <v>4033</v>
      </c>
    </row>
    <row r="4034" spans="1:2" x14ac:dyDescent="0.25">
      <c r="A4034" t="s">
        <v>4575</v>
      </c>
      <c r="B4034">
        <v>4034</v>
      </c>
    </row>
    <row r="4035" spans="1:2" x14ac:dyDescent="0.25">
      <c r="A4035" t="s">
        <v>4575</v>
      </c>
      <c r="B4035">
        <v>4035</v>
      </c>
    </row>
    <row r="4036" spans="1:2" x14ac:dyDescent="0.25">
      <c r="A4036" t="s">
        <v>4604</v>
      </c>
      <c r="B4036">
        <v>4036</v>
      </c>
    </row>
    <row r="4037" spans="1:2" x14ac:dyDescent="0.25">
      <c r="A4037" t="s">
        <v>4634</v>
      </c>
      <c r="B4037">
        <v>4037</v>
      </c>
    </row>
    <row r="4038" spans="1:2" x14ac:dyDescent="0.25">
      <c r="A4038" t="s">
        <v>4664</v>
      </c>
      <c r="B4038">
        <v>4038</v>
      </c>
    </row>
    <row r="4039" spans="1:2" x14ac:dyDescent="0.25">
      <c r="A4039" t="s">
        <v>4694</v>
      </c>
      <c r="B4039">
        <v>4039</v>
      </c>
    </row>
    <row r="4040" spans="1:2" x14ac:dyDescent="0.25">
      <c r="A4040" t="s">
        <v>4724</v>
      </c>
      <c r="B4040">
        <v>4040</v>
      </c>
    </row>
    <row r="4041" spans="1:2" x14ac:dyDescent="0.25">
      <c r="A4041" t="s">
        <v>4750</v>
      </c>
      <c r="B4041">
        <v>4041</v>
      </c>
    </row>
    <row r="4042" spans="1:2" x14ac:dyDescent="0.25">
      <c r="A4042" t="s">
        <v>4750</v>
      </c>
      <c r="B4042">
        <v>4042</v>
      </c>
    </row>
    <row r="4043" spans="1:2" x14ac:dyDescent="0.25">
      <c r="A4043" t="s">
        <v>4779</v>
      </c>
      <c r="B4043">
        <v>4043</v>
      </c>
    </row>
    <row r="4044" spans="1:2" x14ac:dyDescent="0.25">
      <c r="A4044" t="s">
        <v>4809</v>
      </c>
      <c r="B4044">
        <v>4044</v>
      </c>
    </row>
    <row r="4045" spans="1:2" x14ac:dyDescent="0.25">
      <c r="A4045" t="s">
        <v>4839</v>
      </c>
      <c r="B4045">
        <v>4045</v>
      </c>
    </row>
    <row r="4046" spans="1:2" x14ac:dyDescent="0.25">
      <c r="A4046" t="s">
        <v>4869</v>
      </c>
      <c r="B4046">
        <v>4046</v>
      </c>
    </row>
    <row r="4047" spans="1:2" x14ac:dyDescent="0.25">
      <c r="A4047" t="s">
        <v>4899</v>
      </c>
      <c r="B4047">
        <v>4047</v>
      </c>
    </row>
    <row r="4048" spans="1:2" x14ac:dyDescent="0.25">
      <c r="A4048" t="s">
        <v>4929</v>
      </c>
      <c r="B4048">
        <v>4048</v>
      </c>
    </row>
    <row r="4049" spans="1:2" x14ac:dyDescent="0.25">
      <c r="A4049" t="s">
        <v>4959</v>
      </c>
      <c r="B4049">
        <v>4049</v>
      </c>
    </row>
    <row r="4050" spans="1:2" x14ac:dyDescent="0.25">
      <c r="A4050" t="s">
        <v>4989</v>
      </c>
      <c r="B4050">
        <v>4050</v>
      </c>
    </row>
    <row r="4051" spans="1:2" x14ac:dyDescent="0.25">
      <c r="A4051" t="s">
        <v>5019</v>
      </c>
      <c r="B4051">
        <v>4051</v>
      </c>
    </row>
    <row r="4052" spans="1:2" x14ac:dyDescent="0.25">
      <c r="A4052" t="s">
        <v>5049</v>
      </c>
      <c r="B4052">
        <v>4052</v>
      </c>
    </row>
    <row r="4053" spans="1:2" x14ac:dyDescent="0.25">
      <c r="A4053" t="s">
        <v>5074</v>
      </c>
      <c r="B4053">
        <v>4053</v>
      </c>
    </row>
    <row r="4054" spans="1:2" x14ac:dyDescent="0.25">
      <c r="A4054" t="s">
        <v>5074</v>
      </c>
      <c r="B4054">
        <v>4054</v>
      </c>
    </row>
    <row r="4055" spans="1:2" x14ac:dyDescent="0.25">
      <c r="A4055" t="s">
        <v>5095</v>
      </c>
      <c r="B4055">
        <v>4055</v>
      </c>
    </row>
    <row r="4056" spans="1:2" x14ac:dyDescent="0.25">
      <c r="A4056" t="s">
        <v>5095</v>
      </c>
      <c r="B4056">
        <v>4056</v>
      </c>
    </row>
    <row r="4057" spans="1:2" x14ac:dyDescent="0.25">
      <c r="A4057" t="s">
        <v>5114</v>
      </c>
      <c r="B4057">
        <v>4057</v>
      </c>
    </row>
    <row r="4058" spans="1:2" x14ac:dyDescent="0.25">
      <c r="A4058" t="s">
        <v>5114</v>
      </c>
      <c r="B4058">
        <v>4058</v>
      </c>
    </row>
    <row r="4059" spans="1:2" x14ac:dyDescent="0.25">
      <c r="A4059" t="s">
        <v>5142</v>
      </c>
      <c r="B4059">
        <v>4059</v>
      </c>
    </row>
    <row r="4060" spans="1:2" x14ac:dyDescent="0.25">
      <c r="A4060" t="s">
        <v>5172</v>
      </c>
      <c r="B4060">
        <v>4060</v>
      </c>
    </row>
    <row r="4061" spans="1:2" x14ac:dyDescent="0.25">
      <c r="A4061" t="s">
        <v>5202</v>
      </c>
      <c r="B4061">
        <v>4061</v>
      </c>
    </row>
    <row r="4062" spans="1:2" x14ac:dyDescent="0.25">
      <c r="A4062" t="s">
        <v>5232</v>
      </c>
      <c r="B4062">
        <v>4062</v>
      </c>
    </row>
    <row r="4063" spans="1:2" x14ac:dyDescent="0.25">
      <c r="A4063" t="s">
        <v>5262</v>
      </c>
      <c r="B4063">
        <v>4063</v>
      </c>
    </row>
    <row r="4064" spans="1:2" x14ac:dyDescent="0.25">
      <c r="A4064" t="s">
        <v>5292</v>
      </c>
      <c r="B4064">
        <v>4064</v>
      </c>
    </row>
    <row r="4065" spans="1:2" x14ac:dyDescent="0.25">
      <c r="A4065" t="s">
        <v>5322</v>
      </c>
      <c r="B4065">
        <v>4065</v>
      </c>
    </row>
    <row r="4066" spans="1:2" x14ac:dyDescent="0.25">
      <c r="A4066" t="s">
        <v>5352</v>
      </c>
      <c r="B4066">
        <v>4066</v>
      </c>
    </row>
    <row r="4067" spans="1:2" x14ac:dyDescent="0.25">
      <c r="A4067" t="s">
        <v>5382</v>
      </c>
      <c r="B4067">
        <v>4067</v>
      </c>
    </row>
    <row r="4068" spans="1:2" x14ac:dyDescent="0.25">
      <c r="A4068" t="s">
        <v>5412</v>
      </c>
      <c r="B4068">
        <v>4068</v>
      </c>
    </row>
    <row r="4069" spans="1:2" x14ac:dyDescent="0.25">
      <c r="A4069" t="s">
        <v>5442</v>
      </c>
      <c r="B4069">
        <v>4069</v>
      </c>
    </row>
    <row r="4070" spans="1:2" x14ac:dyDescent="0.25">
      <c r="A4070" t="s">
        <v>5472</v>
      </c>
      <c r="B4070">
        <v>4070</v>
      </c>
    </row>
    <row r="4071" spans="1:2" x14ac:dyDescent="0.25">
      <c r="A4071" t="s">
        <v>5502</v>
      </c>
      <c r="B4071">
        <v>4071</v>
      </c>
    </row>
    <row r="4072" spans="1:2" x14ac:dyDescent="0.25">
      <c r="A4072" t="s">
        <v>5532</v>
      </c>
      <c r="B4072">
        <v>4072</v>
      </c>
    </row>
    <row r="4073" spans="1:2" x14ac:dyDescent="0.25">
      <c r="A4073" t="s">
        <v>5562</v>
      </c>
      <c r="B4073">
        <v>4073</v>
      </c>
    </row>
    <row r="4074" spans="1:2" x14ac:dyDescent="0.25">
      <c r="A4074" t="s">
        <v>5592</v>
      </c>
      <c r="B4074">
        <v>4074</v>
      </c>
    </row>
    <row r="4075" spans="1:2" x14ac:dyDescent="0.25">
      <c r="A4075" t="s">
        <v>5622</v>
      </c>
      <c r="B4075">
        <v>4075</v>
      </c>
    </row>
    <row r="4076" spans="1:2" x14ac:dyDescent="0.25">
      <c r="A4076" t="s">
        <v>5652</v>
      </c>
      <c r="B4076">
        <v>4076</v>
      </c>
    </row>
    <row r="4077" spans="1:2" x14ac:dyDescent="0.25">
      <c r="A4077" t="s">
        <v>5682</v>
      </c>
      <c r="B4077">
        <v>4077</v>
      </c>
    </row>
    <row r="4078" spans="1:2" x14ac:dyDescent="0.25">
      <c r="A4078" t="s">
        <v>5712</v>
      </c>
      <c r="B4078">
        <v>4078</v>
      </c>
    </row>
    <row r="4079" spans="1:2" x14ac:dyDescent="0.25">
      <c r="A4079" t="s">
        <v>5742</v>
      </c>
      <c r="B4079">
        <v>4079</v>
      </c>
    </row>
    <row r="4080" spans="1:2" x14ac:dyDescent="0.25">
      <c r="A4080" t="s">
        <v>5772</v>
      </c>
      <c r="B4080">
        <v>4080</v>
      </c>
    </row>
    <row r="4081" spans="1:2" x14ac:dyDescent="0.25">
      <c r="A4081" t="s">
        <v>5802</v>
      </c>
      <c r="B4081">
        <v>4081</v>
      </c>
    </row>
    <row r="4082" spans="1:2" x14ac:dyDescent="0.25">
      <c r="A4082" t="s">
        <v>5832</v>
      </c>
      <c r="B4082">
        <v>4082</v>
      </c>
    </row>
    <row r="4083" spans="1:2" x14ac:dyDescent="0.25">
      <c r="A4083" t="s">
        <v>5862</v>
      </c>
      <c r="B4083">
        <v>4083</v>
      </c>
    </row>
    <row r="4084" spans="1:2" x14ac:dyDescent="0.25">
      <c r="A4084" t="s">
        <v>5892</v>
      </c>
      <c r="B4084">
        <v>4084</v>
      </c>
    </row>
    <row r="4085" spans="1:2" x14ac:dyDescent="0.25">
      <c r="A4085" t="s">
        <v>5922</v>
      </c>
      <c r="B4085">
        <v>4085</v>
      </c>
    </row>
    <row r="4086" spans="1:2" x14ac:dyDescent="0.25">
      <c r="A4086" t="s">
        <v>5952</v>
      </c>
      <c r="B4086">
        <v>4086</v>
      </c>
    </row>
    <row r="4087" spans="1:2" x14ac:dyDescent="0.25">
      <c r="A4087" t="s">
        <v>5982</v>
      </c>
      <c r="B4087">
        <v>4087</v>
      </c>
    </row>
    <row r="4088" spans="1:2" x14ac:dyDescent="0.25">
      <c r="A4088" t="s">
        <v>6012</v>
      </c>
      <c r="B4088">
        <v>4088</v>
      </c>
    </row>
    <row r="4089" spans="1:2" x14ac:dyDescent="0.25">
      <c r="A4089" t="s">
        <v>6042</v>
      </c>
      <c r="B4089">
        <v>4089</v>
      </c>
    </row>
    <row r="4090" spans="1:2" x14ac:dyDescent="0.25">
      <c r="A4090" t="s">
        <v>6061</v>
      </c>
      <c r="B4090">
        <v>4090</v>
      </c>
    </row>
    <row r="4091" spans="1:2" x14ac:dyDescent="0.25">
      <c r="A4091" t="s">
        <v>6061</v>
      </c>
      <c r="B4091">
        <v>4091</v>
      </c>
    </row>
    <row r="4092" spans="1:2" x14ac:dyDescent="0.25">
      <c r="A4092" t="s">
        <v>6089</v>
      </c>
      <c r="B4092">
        <v>4092</v>
      </c>
    </row>
    <row r="4093" spans="1:2" x14ac:dyDescent="0.25">
      <c r="A4093" t="s">
        <v>6119</v>
      </c>
      <c r="B4093">
        <v>4093</v>
      </c>
    </row>
    <row r="4094" spans="1:2" x14ac:dyDescent="0.25">
      <c r="A4094" t="s">
        <v>6149</v>
      </c>
      <c r="B4094">
        <v>4094</v>
      </c>
    </row>
    <row r="4095" spans="1:2" x14ac:dyDescent="0.25">
      <c r="A4095" t="s">
        <v>6179</v>
      </c>
      <c r="B4095">
        <v>4095</v>
      </c>
    </row>
    <row r="4096" spans="1:2" x14ac:dyDescent="0.25">
      <c r="A4096" t="s">
        <v>6209</v>
      </c>
      <c r="B4096">
        <v>4096</v>
      </c>
    </row>
    <row r="4097" spans="1:2" x14ac:dyDescent="0.25">
      <c r="A4097" t="s">
        <v>6239</v>
      </c>
      <c r="B4097">
        <v>4097</v>
      </c>
    </row>
    <row r="4098" spans="1:2" x14ac:dyDescent="0.25">
      <c r="A4098" t="s">
        <v>6269</v>
      </c>
      <c r="B4098">
        <v>4098</v>
      </c>
    </row>
    <row r="4099" spans="1:2" x14ac:dyDescent="0.25">
      <c r="A4099" t="s">
        <v>6299</v>
      </c>
      <c r="B4099">
        <v>4099</v>
      </c>
    </row>
    <row r="4100" spans="1:2" x14ac:dyDescent="0.25">
      <c r="A4100" t="s">
        <v>6329</v>
      </c>
      <c r="B4100">
        <v>4100</v>
      </c>
    </row>
    <row r="4101" spans="1:2" x14ac:dyDescent="0.25">
      <c r="A4101" t="s">
        <v>6359</v>
      </c>
      <c r="B4101">
        <v>4101</v>
      </c>
    </row>
    <row r="4102" spans="1:2" x14ac:dyDescent="0.25">
      <c r="A4102" t="s">
        <v>6389</v>
      </c>
      <c r="B4102">
        <v>4102</v>
      </c>
    </row>
    <row r="4103" spans="1:2" x14ac:dyDescent="0.25">
      <c r="A4103" t="s">
        <v>6419</v>
      </c>
      <c r="B4103">
        <v>4103</v>
      </c>
    </row>
    <row r="4104" spans="1:2" x14ac:dyDescent="0.25">
      <c r="A4104" t="s">
        <v>6449</v>
      </c>
      <c r="B4104">
        <v>4104</v>
      </c>
    </row>
    <row r="4105" spans="1:2" x14ac:dyDescent="0.25">
      <c r="A4105" t="s">
        <v>6479</v>
      </c>
      <c r="B4105">
        <v>4105</v>
      </c>
    </row>
    <row r="4106" spans="1:2" x14ac:dyDescent="0.25">
      <c r="A4106" t="s">
        <v>6509</v>
      </c>
      <c r="B4106">
        <v>4106</v>
      </c>
    </row>
    <row r="4107" spans="1:2" x14ac:dyDescent="0.25">
      <c r="A4107" t="s">
        <v>6539</v>
      </c>
      <c r="B4107">
        <v>4107</v>
      </c>
    </row>
    <row r="4108" spans="1:2" x14ac:dyDescent="0.25">
      <c r="A4108" t="s">
        <v>6569</v>
      </c>
      <c r="B4108">
        <v>4108</v>
      </c>
    </row>
    <row r="4109" spans="1:2" x14ac:dyDescent="0.25">
      <c r="A4109" t="s">
        <v>6599</v>
      </c>
      <c r="B4109">
        <v>4109</v>
      </c>
    </row>
    <row r="4110" spans="1:2" x14ac:dyDescent="0.25">
      <c r="A4110" t="s">
        <v>6617</v>
      </c>
      <c r="B4110">
        <v>4110</v>
      </c>
    </row>
    <row r="4111" spans="1:2" x14ac:dyDescent="0.25">
      <c r="A4111" t="s">
        <v>6617</v>
      </c>
      <c r="B4111">
        <v>4111</v>
      </c>
    </row>
    <row r="4112" spans="1:2" x14ac:dyDescent="0.25">
      <c r="A4112" t="s">
        <v>6644</v>
      </c>
      <c r="B4112">
        <v>4112</v>
      </c>
    </row>
    <row r="4113" spans="1:2" x14ac:dyDescent="0.25">
      <c r="A4113" t="s">
        <v>6674</v>
      </c>
      <c r="B4113">
        <v>4113</v>
      </c>
    </row>
    <row r="4114" spans="1:2" x14ac:dyDescent="0.25">
      <c r="A4114" t="s">
        <v>6704</v>
      </c>
      <c r="B4114">
        <v>4114</v>
      </c>
    </row>
    <row r="4115" spans="1:2" x14ac:dyDescent="0.25">
      <c r="A4115" t="s">
        <v>6734</v>
      </c>
      <c r="B4115">
        <v>4115</v>
      </c>
    </row>
    <row r="4116" spans="1:2" x14ac:dyDescent="0.25">
      <c r="A4116" t="s">
        <v>6764</v>
      </c>
      <c r="B4116">
        <v>4116</v>
      </c>
    </row>
    <row r="4117" spans="1:2" x14ac:dyDescent="0.25">
      <c r="A4117" t="s">
        <v>6794</v>
      </c>
      <c r="B4117">
        <v>4117</v>
      </c>
    </row>
    <row r="4118" spans="1:2" x14ac:dyDescent="0.25">
      <c r="A4118" t="s">
        <v>6824</v>
      </c>
      <c r="B4118">
        <v>4118</v>
      </c>
    </row>
    <row r="4119" spans="1:2" x14ac:dyDescent="0.25">
      <c r="A4119" t="s">
        <v>6854</v>
      </c>
      <c r="B4119">
        <v>4119</v>
      </c>
    </row>
    <row r="4120" spans="1:2" x14ac:dyDescent="0.25">
      <c r="A4120" t="s">
        <v>6871</v>
      </c>
      <c r="B4120">
        <v>4120</v>
      </c>
    </row>
    <row r="4121" spans="1:2" x14ac:dyDescent="0.25">
      <c r="A4121" t="s">
        <v>6871</v>
      </c>
      <c r="B4121">
        <v>4121</v>
      </c>
    </row>
    <row r="4122" spans="1:2" x14ac:dyDescent="0.25">
      <c r="A4122" t="s">
        <v>6897</v>
      </c>
      <c r="B4122">
        <v>4122</v>
      </c>
    </row>
    <row r="4123" spans="1:2" x14ac:dyDescent="0.25">
      <c r="A4123" t="s">
        <v>6927</v>
      </c>
      <c r="B4123">
        <v>4123</v>
      </c>
    </row>
    <row r="4124" spans="1:2" x14ac:dyDescent="0.25">
      <c r="A4124" t="s">
        <v>6957</v>
      </c>
      <c r="B4124">
        <v>4124</v>
      </c>
    </row>
    <row r="4125" spans="1:2" x14ac:dyDescent="0.25">
      <c r="A4125" t="s">
        <v>6987</v>
      </c>
      <c r="B4125">
        <v>4125</v>
      </c>
    </row>
    <row r="4126" spans="1:2" x14ac:dyDescent="0.25">
      <c r="A4126" t="s">
        <v>7017</v>
      </c>
      <c r="B4126">
        <v>4126</v>
      </c>
    </row>
    <row r="4127" spans="1:2" x14ac:dyDescent="0.25">
      <c r="A4127" t="s">
        <v>7047</v>
      </c>
      <c r="B4127">
        <v>4127</v>
      </c>
    </row>
    <row r="4128" spans="1:2" x14ac:dyDescent="0.25">
      <c r="A4128" t="s">
        <v>7077</v>
      </c>
      <c r="B4128">
        <v>4128</v>
      </c>
    </row>
    <row r="4129" spans="1:2" x14ac:dyDescent="0.25">
      <c r="A4129" t="s">
        <v>7107</v>
      </c>
      <c r="B4129">
        <v>4129</v>
      </c>
    </row>
    <row r="4130" spans="1:2" x14ac:dyDescent="0.25">
      <c r="A4130" t="s">
        <v>7123</v>
      </c>
      <c r="B4130">
        <v>4130</v>
      </c>
    </row>
    <row r="4131" spans="1:2" x14ac:dyDescent="0.25">
      <c r="A4131" t="s">
        <v>7123</v>
      </c>
      <c r="B4131">
        <v>4131</v>
      </c>
    </row>
    <row r="4132" spans="1:2" x14ac:dyDescent="0.25">
      <c r="A4132" t="s">
        <v>7148</v>
      </c>
      <c r="B4132">
        <v>4132</v>
      </c>
    </row>
    <row r="4133" spans="1:2" x14ac:dyDescent="0.25">
      <c r="A4133" t="s">
        <v>7178</v>
      </c>
      <c r="B4133">
        <v>4133</v>
      </c>
    </row>
    <row r="4134" spans="1:2" x14ac:dyDescent="0.25">
      <c r="A4134" t="s">
        <v>7208</v>
      </c>
      <c r="B4134">
        <v>4134</v>
      </c>
    </row>
    <row r="4135" spans="1:2" x14ac:dyDescent="0.25">
      <c r="A4135" t="s">
        <v>7238</v>
      </c>
      <c r="B4135">
        <v>4135</v>
      </c>
    </row>
    <row r="4136" spans="1:2" x14ac:dyDescent="0.25">
      <c r="A4136" t="s">
        <v>7268</v>
      </c>
      <c r="B4136">
        <v>4136</v>
      </c>
    </row>
    <row r="4137" spans="1:2" x14ac:dyDescent="0.25">
      <c r="A4137" t="s">
        <v>7278</v>
      </c>
      <c r="B4137">
        <v>4137</v>
      </c>
    </row>
    <row r="4138" spans="1:2" x14ac:dyDescent="0.25">
      <c r="A4138" t="s">
        <v>7278</v>
      </c>
      <c r="B4138">
        <v>4138</v>
      </c>
    </row>
    <row r="4139" spans="1:2" x14ac:dyDescent="0.25">
      <c r="A4139" t="s">
        <v>7307</v>
      </c>
      <c r="B4139">
        <v>4139</v>
      </c>
    </row>
    <row r="4140" spans="1:2" x14ac:dyDescent="0.25">
      <c r="A4140" t="s">
        <v>7337</v>
      </c>
      <c r="B4140">
        <v>4140</v>
      </c>
    </row>
    <row r="4141" spans="1:2" x14ac:dyDescent="0.25">
      <c r="A4141" t="s">
        <v>7367</v>
      </c>
      <c r="B4141">
        <v>4141</v>
      </c>
    </row>
    <row r="4142" spans="1:2" x14ac:dyDescent="0.25">
      <c r="A4142" t="s">
        <v>7397</v>
      </c>
      <c r="B4142">
        <v>4142</v>
      </c>
    </row>
    <row r="4143" spans="1:2" x14ac:dyDescent="0.25">
      <c r="A4143" t="s">
        <v>7427</v>
      </c>
      <c r="B4143">
        <v>4143</v>
      </c>
    </row>
    <row r="4144" spans="1:2" x14ac:dyDescent="0.25">
      <c r="A4144" t="s">
        <v>7457</v>
      </c>
      <c r="B4144">
        <v>4144</v>
      </c>
    </row>
    <row r="4145" spans="1:2" x14ac:dyDescent="0.25">
      <c r="A4145" t="s">
        <v>7487</v>
      </c>
      <c r="B4145">
        <v>4145</v>
      </c>
    </row>
    <row r="4146" spans="1:2" x14ac:dyDescent="0.25">
      <c r="A4146" t="s">
        <v>7517</v>
      </c>
      <c r="B4146">
        <v>4146</v>
      </c>
    </row>
    <row r="4147" spans="1:2" x14ac:dyDescent="0.25">
      <c r="A4147" t="s">
        <v>7547</v>
      </c>
      <c r="B4147">
        <v>4147</v>
      </c>
    </row>
    <row r="4148" spans="1:2" x14ac:dyDescent="0.25">
      <c r="A4148" t="s">
        <v>7577</v>
      </c>
      <c r="B4148">
        <v>4148</v>
      </c>
    </row>
    <row r="4149" spans="1:2" x14ac:dyDescent="0.25">
      <c r="A4149" t="s">
        <v>7607</v>
      </c>
      <c r="B4149">
        <v>4149</v>
      </c>
    </row>
    <row r="4150" spans="1:2" x14ac:dyDescent="0.25">
      <c r="A4150" t="s">
        <v>7637</v>
      </c>
      <c r="B4150">
        <v>4150</v>
      </c>
    </row>
    <row r="4151" spans="1:2" x14ac:dyDescent="0.25">
      <c r="A4151" t="s">
        <v>7667</v>
      </c>
      <c r="B4151">
        <v>4151</v>
      </c>
    </row>
    <row r="4152" spans="1:2" x14ac:dyDescent="0.25">
      <c r="A4152" t="s">
        <v>7697</v>
      </c>
      <c r="B4152">
        <v>4152</v>
      </c>
    </row>
    <row r="4153" spans="1:2" x14ac:dyDescent="0.25">
      <c r="A4153" t="s">
        <v>7727</v>
      </c>
      <c r="B4153">
        <v>4153</v>
      </c>
    </row>
    <row r="4154" spans="1:2" x14ac:dyDescent="0.25">
      <c r="A4154" t="s">
        <v>7757</v>
      </c>
      <c r="B4154">
        <v>4154</v>
      </c>
    </row>
    <row r="4155" spans="1:2" x14ac:dyDescent="0.25">
      <c r="A4155" t="s">
        <v>7787</v>
      </c>
      <c r="B4155">
        <v>4155</v>
      </c>
    </row>
    <row r="4156" spans="1:2" x14ac:dyDescent="0.25">
      <c r="A4156" t="s">
        <v>7817</v>
      </c>
      <c r="B4156">
        <v>4156</v>
      </c>
    </row>
    <row r="4157" spans="1:2" x14ac:dyDescent="0.25">
      <c r="A4157" t="s">
        <v>7847</v>
      </c>
      <c r="B4157">
        <v>4157</v>
      </c>
    </row>
    <row r="4158" spans="1:2" x14ac:dyDescent="0.25">
      <c r="A4158" t="s">
        <v>7877</v>
      </c>
      <c r="B4158">
        <v>4158</v>
      </c>
    </row>
    <row r="4159" spans="1:2" x14ac:dyDescent="0.25">
      <c r="A4159" t="s">
        <v>7907</v>
      </c>
      <c r="B4159">
        <v>4159</v>
      </c>
    </row>
    <row r="4160" spans="1:2" x14ac:dyDescent="0.25">
      <c r="A4160" t="s">
        <v>7937</v>
      </c>
      <c r="B4160">
        <v>4160</v>
      </c>
    </row>
    <row r="4161" spans="1:2" x14ac:dyDescent="0.25">
      <c r="A4161" t="s">
        <v>7967</v>
      </c>
      <c r="B4161">
        <v>4161</v>
      </c>
    </row>
    <row r="4162" spans="1:2" x14ac:dyDescent="0.25">
      <c r="A4162" t="s">
        <v>7997</v>
      </c>
      <c r="B4162">
        <v>4162</v>
      </c>
    </row>
    <row r="4163" spans="1:2" x14ac:dyDescent="0.25">
      <c r="A4163" t="s">
        <v>8027</v>
      </c>
      <c r="B4163">
        <v>4163</v>
      </c>
    </row>
    <row r="4164" spans="1:2" x14ac:dyDescent="0.25">
      <c r="A4164" t="s">
        <v>8057</v>
      </c>
      <c r="B4164">
        <v>4164</v>
      </c>
    </row>
    <row r="4165" spans="1:2" x14ac:dyDescent="0.25">
      <c r="A4165" t="s">
        <v>8087</v>
      </c>
      <c r="B4165">
        <v>4165</v>
      </c>
    </row>
    <row r="4166" spans="1:2" x14ac:dyDescent="0.25">
      <c r="A4166" t="s">
        <v>8117</v>
      </c>
      <c r="B4166">
        <v>4166</v>
      </c>
    </row>
    <row r="4167" spans="1:2" x14ac:dyDescent="0.25">
      <c r="A4167" t="s">
        <v>8147</v>
      </c>
      <c r="B4167">
        <v>4167</v>
      </c>
    </row>
    <row r="4168" spans="1:2" x14ac:dyDescent="0.25">
      <c r="A4168" t="s">
        <v>8177</v>
      </c>
      <c r="B4168">
        <v>4168</v>
      </c>
    </row>
    <row r="4169" spans="1:2" x14ac:dyDescent="0.25">
      <c r="A4169" t="s">
        <v>7277</v>
      </c>
      <c r="B4169">
        <v>4169</v>
      </c>
    </row>
    <row r="4170" spans="1:2" x14ac:dyDescent="0.25">
      <c r="A4170" t="s">
        <v>7277</v>
      </c>
      <c r="B4170">
        <v>4170</v>
      </c>
    </row>
    <row r="4171" spans="1:2" x14ac:dyDescent="0.25">
      <c r="A4171" t="s">
        <v>7280</v>
      </c>
      <c r="B4171">
        <v>4171</v>
      </c>
    </row>
    <row r="4172" spans="1:2" x14ac:dyDescent="0.25">
      <c r="A4172" t="s">
        <v>7280</v>
      </c>
      <c r="B4172">
        <v>4172</v>
      </c>
    </row>
    <row r="4173" spans="1:2" x14ac:dyDescent="0.25">
      <c r="A4173" t="s">
        <v>8219</v>
      </c>
      <c r="B4173">
        <v>4173</v>
      </c>
    </row>
    <row r="4174" spans="1:2" x14ac:dyDescent="0.25">
      <c r="A4174" t="s">
        <v>8249</v>
      </c>
      <c r="B4174">
        <v>4174</v>
      </c>
    </row>
    <row r="4175" spans="1:2" x14ac:dyDescent="0.25">
      <c r="A4175" t="s">
        <v>8279</v>
      </c>
      <c r="B4175">
        <v>4175</v>
      </c>
    </row>
    <row r="4176" spans="1:2" x14ac:dyDescent="0.25">
      <c r="A4176" t="s">
        <v>8309</v>
      </c>
      <c r="B4176">
        <v>4176</v>
      </c>
    </row>
    <row r="4177" spans="1:2" x14ac:dyDescent="0.25">
      <c r="A4177" t="s">
        <v>8339</v>
      </c>
      <c r="B4177">
        <v>4177</v>
      </c>
    </row>
    <row r="4178" spans="1:2" x14ac:dyDescent="0.25">
      <c r="A4178" t="s">
        <v>8369</v>
      </c>
      <c r="B4178">
        <v>4178</v>
      </c>
    </row>
    <row r="4179" spans="1:2" x14ac:dyDescent="0.25">
      <c r="A4179" t="s">
        <v>8399</v>
      </c>
      <c r="B4179">
        <v>4179</v>
      </c>
    </row>
    <row r="4180" spans="1:2" x14ac:dyDescent="0.25">
      <c r="A4180" t="s">
        <v>8429</v>
      </c>
      <c r="B4180">
        <v>4180</v>
      </c>
    </row>
    <row r="4181" spans="1:2" x14ac:dyDescent="0.25">
      <c r="A4181" t="s">
        <v>8459</v>
      </c>
      <c r="B4181">
        <v>4181</v>
      </c>
    </row>
    <row r="4182" spans="1:2" x14ac:dyDescent="0.25">
      <c r="A4182" t="s">
        <v>8489</v>
      </c>
      <c r="B4182">
        <v>4182</v>
      </c>
    </row>
    <row r="4183" spans="1:2" x14ac:dyDescent="0.25">
      <c r="A4183" t="s">
        <v>8519</v>
      </c>
      <c r="B4183">
        <v>4183</v>
      </c>
    </row>
    <row r="4184" spans="1:2" x14ac:dyDescent="0.25">
      <c r="A4184" t="s">
        <v>8549</v>
      </c>
      <c r="B4184">
        <v>4184</v>
      </c>
    </row>
    <row r="4185" spans="1:2" x14ac:dyDescent="0.25">
      <c r="A4185" t="s">
        <v>8579</v>
      </c>
      <c r="B4185">
        <v>4185</v>
      </c>
    </row>
    <row r="4186" spans="1:2" x14ac:dyDescent="0.25">
      <c r="A4186" t="s">
        <v>8609</v>
      </c>
      <c r="B4186">
        <v>4186</v>
      </c>
    </row>
    <row r="4187" spans="1:2" x14ac:dyDescent="0.25">
      <c r="A4187" t="s">
        <v>8639</v>
      </c>
      <c r="B4187">
        <v>4187</v>
      </c>
    </row>
    <row r="4188" spans="1:2" x14ac:dyDescent="0.25">
      <c r="A4188" t="s">
        <v>7279</v>
      </c>
      <c r="B4188">
        <v>4188</v>
      </c>
    </row>
    <row r="4189" spans="1:2" x14ac:dyDescent="0.25">
      <c r="A4189" t="s">
        <v>7279</v>
      </c>
      <c r="B4189">
        <v>4189</v>
      </c>
    </row>
    <row r="4190" spans="1:2" x14ac:dyDescent="0.25">
      <c r="A4190" t="s">
        <v>8672</v>
      </c>
      <c r="B4190">
        <v>4190</v>
      </c>
    </row>
    <row r="4191" spans="1:2" x14ac:dyDescent="0.25">
      <c r="A4191" t="s">
        <v>8702</v>
      </c>
      <c r="B4191">
        <v>4191</v>
      </c>
    </row>
    <row r="4192" spans="1:2" x14ac:dyDescent="0.25">
      <c r="A4192" t="s">
        <v>8732</v>
      </c>
      <c r="B4192">
        <v>4192</v>
      </c>
    </row>
    <row r="4193" spans="1:2" x14ac:dyDescent="0.25">
      <c r="A4193" t="s">
        <v>8762</v>
      </c>
      <c r="B4193">
        <v>4193</v>
      </c>
    </row>
    <row r="4194" spans="1:2" x14ac:dyDescent="0.25">
      <c r="A4194" t="s">
        <v>8792</v>
      </c>
      <c r="B4194">
        <v>4194</v>
      </c>
    </row>
    <row r="4195" spans="1:2" x14ac:dyDescent="0.25">
      <c r="A4195" t="s">
        <v>8822</v>
      </c>
      <c r="B4195">
        <v>4195</v>
      </c>
    </row>
    <row r="4196" spans="1:2" x14ac:dyDescent="0.25">
      <c r="A4196" t="s">
        <v>8852</v>
      </c>
      <c r="B4196">
        <v>4196</v>
      </c>
    </row>
    <row r="4197" spans="1:2" x14ac:dyDescent="0.25">
      <c r="A4197" t="s">
        <v>8882</v>
      </c>
      <c r="B4197">
        <v>4197</v>
      </c>
    </row>
    <row r="4198" spans="1:2" x14ac:dyDescent="0.25">
      <c r="A4198" t="s">
        <v>7281</v>
      </c>
      <c r="B4198">
        <v>4198</v>
      </c>
    </row>
    <row r="4199" spans="1:2" x14ac:dyDescent="0.25">
      <c r="A4199" t="s">
        <v>7281</v>
      </c>
      <c r="B4199">
        <v>4199</v>
      </c>
    </row>
    <row r="4200" spans="1:2" x14ac:dyDescent="0.25">
      <c r="A4200" t="s">
        <v>8913</v>
      </c>
      <c r="B4200">
        <v>4200</v>
      </c>
    </row>
    <row r="4201" spans="1:2" x14ac:dyDescent="0.25">
      <c r="A4201" t="s">
        <v>7286</v>
      </c>
      <c r="B4201">
        <v>4201</v>
      </c>
    </row>
    <row r="4202" spans="1:2" x14ac:dyDescent="0.25">
      <c r="A4202" t="s">
        <v>7293</v>
      </c>
      <c r="B4202">
        <v>4202</v>
      </c>
    </row>
    <row r="4203" spans="1:2" x14ac:dyDescent="0.25">
      <c r="A4203" t="s">
        <v>7289</v>
      </c>
      <c r="B4203">
        <v>4203</v>
      </c>
    </row>
    <row r="4204" spans="1:2" x14ac:dyDescent="0.25">
      <c r="A4204" t="s">
        <v>7295</v>
      </c>
      <c r="B4204">
        <v>4204</v>
      </c>
    </row>
    <row r="4205" spans="1:2" x14ac:dyDescent="0.25">
      <c r="A4205" t="s">
        <v>7290</v>
      </c>
      <c r="B4205">
        <v>4205</v>
      </c>
    </row>
    <row r="4206" spans="1:2" x14ac:dyDescent="0.25">
      <c r="A4206" t="s">
        <v>7291</v>
      </c>
      <c r="B4206">
        <v>4206</v>
      </c>
    </row>
    <row r="4207" spans="1:2" x14ac:dyDescent="0.25">
      <c r="A4207" t="s">
        <v>7288</v>
      </c>
      <c r="B4207">
        <v>4207</v>
      </c>
    </row>
    <row r="4208" spans="1:2" x14ac:dyDescent="0.25">
      <c r="A4208" t="s">
        <v>7299</v>
      </c>
      <c r="B4208">
        <v>4208</v>
      </c>
    </row>
    <row r="4209" spans="1:2" x14ac:dyDescent="0.25">
      <c r="A4209" t="s">
        <v>7296</v>
      </c>
      <c r="B4209">
        <v>4209</v>
      </c>
    </row>
    <row r="4210" spans="1:2" x14ac:dyDescent="0.25">
      <c r="A4210" t="s">
        <v>7300</v>
      </c>
      <c r="B4210">
        <v>4210</v>
      </c>
    </row>
    <row r="4211" spans="1:2" x14ac:dyDescent="0.25">
      <c r="A4211" t="s">
        <v>7292</v>
      </c>
      <c r="B4211">
        <v>4211</v>
      </c>
    </row>
    <row r="4212" spans="1:2" x14ac:dyDescent="0.25">
      <c r="A4212" t="s">
        <v>7287</v>
      </c>
      <c r="B4212">
        <v>4212</v>
      </c>
    </row>
    <row r="4213" spans="1:2" x14ac:dyDescent="0.25">
      <c r="A4213" t="s">
        <v>7297</v>
      </c>
      <c r="B4213">
        <v>4213</v>
      </c>
    </row>
    <row r="4214" spans="1:2" x14ac:dyDescent="0.25">
      <c r="A4214" t="s">
        <v>7294</v>
      </c>
      <c r="B4214">
        <v>4214</v>
      </c>
    </row>
    <row r="4215" spans="1:2" x14ac:dyDescent="0.25">
      <c r="A4215" t="s">
        <v>7298</v>
      </c>
      <c r="B4215">
        <v>4215</v>
      </c>
    </row>
    <row r="4216" spans="1:2" x14ac:dyDescent="0.25">
      <c r="A4216" t="s">
        <v>7316</v>
      </c>
      <c r="B4216">
        <v>4216</v>
      </c>
    </row>
    <row r="4217" spans="1:2" x14ac:dyDescent="0.25">
      <c r="A4217" t="s">
        <v>7323</v>
      </c>
      <c r="B4217">
        <v>4217</v>
      </c>
    </row>
    <row r="4218" spans="1:2" x14ac:dyDescent="0.25">
      <c r="A4218" t="s">
        <v>7319</v>
      </c>
      <c r="B4218">
        <v>4218</v>
      </c>
    </row>
    <row r="4219" spans="1:2" x14ac:dyDescent="0.25">
      <c r="A4219" t="s">
        <v>7325</v>
      </c>
      <c r="B4219">
        <v>4219</v>
      </c>
    </row>
    <row r="4220" spans="1:2" x14ac:dyDescent="0.25">
      <c r="A4220" t="s">
        <v>7320</v>
      </c>
      <c r="B4220">
        <v>4220</v>
      </c>
    </row>
    <row r="4221" spans="1:2" x14ac:dyDescent="0.25">
      <c r="A4221" t="s">
        <v>7321</v>
      </c>
      <c r="B4221">
        <v>4221</v>
      </c>
    </row>
    <row r="4222" spans="1:2" x14ac:dyDescent="0.25">
      <c r="A4222" t="s">
        <v>7318</v>
      </c>
      <c r="B4222">
        <v>4222</v>
      </c>
    </row>
    <row r="4223" spans="1:2" x14ac:dyDescent="0.25">
      <c r="A4223" t="s">
        <v>7329</v>
      </c>
      <c r="B4223">
        <v>4223</v>
      </c>
    </row>
    <row r="4224" spans="1:2" x14ac:dyDescent="0.25">
      <c r="A4224" t="s">
        <v>7326</v>
      </c>
      <c r="B4224">
        <v>4224</v>
      </c>
    </row>
    <row r="4225" spans="1:2" x14ac:dyDescent="0.25">
      <c r="A4225" t="s">
        <v>7330</v>
      </c>
      <c r="B4225">
        <v>4225</v>
      </c>
    </row>
    <row r="4226" spans="1:2" x14ac:dyDescent="0.25">
      <c r="A4226" t="s">
        <v>7322</v>
      </c>
      <c r="B4226">
        <v>4226</v>
      </c>
    </row>
    <row r="4227" spans="1:2" x14ac:dyDescent="0.25">
      <c r="A4227" t="s">
        <v>7317</v>
      </c>
      <c r="B4227">
        <v>4227</v>
      </c>
    </row>
    <row r="4228" spans="1:2" x14ac:dyDescent="0.25">
      <c r="A4228" t="s">
        <v>7327</v>
      </c>
      <c r="B4228">
        <v>4228</v>
      </c>
    </row>
    <row r="4229" spans="1:2" x14ac:dyDescent="0.25">
      <c r="A4229" t="s">
        <v>7324</v>
      </c>
      <c r="B4229">
        <v>4229</v>
      </c>
    </row>
    <row r="4230" spans="1:2" x14ac:dyDescent="0.25">
      <c r="A4230" t="s">
        <v>7328</v>
      </c>
      <c r="B4230">
        <v>4230</v>
      </c>
    </row>
    <row r="4231" spans="1:2" x14ac:dyDescent="0.25">
      <c r="A4231" t="s">
        <v>7346</v>
      </c>
      <c r="B4231">
        <v>4231</v>
      </c>
    </row>
    <row r="4232" spans="1:2" x14ac:dyDescent="0.25">
      <c r="A4232" t="s">
        <v>7353</v>
      </c>
      <c r="B4232">
        <v>4232</v>
      </c>
    </row>
    <row r="4233" spans="1:2" x14ac:dyDescent="0.25">
      <c r="A4233" t="s">
        <v>7349</v>
      </c>
      <c r="B4233">
        <v>4233</v>
      </c>
    </row>
    <row r="4234" spans="1:2" x14ac:dyDescent="0.25">
      <c r="A4234" t="s">
        <v>7355</v>
      </c>
      <c r="B4234">
        <v>4234</v>
      </c>
    </row>
    <row r="4235" spans="1:2" x14ac:dyDescent="0.25">
      <c r="A4235" t="s">
        <v>7350</v>
      </c>
      <c r="B4235">
        <v>4235</v>
      </c>
    </row>
    <row r="4236" spans="1:2" x14ac:dyDescent="0.25">
      <c r="A4236" t="s">
        <v>7351</v>
      </c>
      <c r="B4236">
        <v>4236</v>
      </c>
    </row>
    <row r="4237" spans="1:2" x14ac:dyDescent="0.25">
      <c r="A4237" t="s">
        <v>7348</v>
      </c>
      <c r="B4237">
        <v>4237</v>
      </c>
    </row>
    <row r="4238" spans="1:2" x14ac:dyDescent="0.25">
      <c r="A4238" t="s">
        <v>7359</v>
      </c>
      <c r="B4238">
        <v>4238</v>
      </c>
    </row>
    <row r="4239" spans="1:2" x14ac:dyDescent="0.25">
      <c r="A4239" t="s">
        <v>7356</v>
      </c>
      <c r="B4239">
        <v>4239</v>
      </c>
    </row>
    <row r="4240" spans="1:2" x14ac:dyDescent="0.25">
      <c r="A4240" t="s">
        <v>7360</v>
      </c>
      <c r="B4240">
        <v>4240</v>
      </c>
    </row>
    <row r="4241" spans="1:2" x14ac:dyDescent="0.25">
      <c r="A4241" t="s">
        <v>7352</v>
      </c>
      <c r="B4241">
        <v>4241</v>
      </c>
    </row>
    <row r="4242" spans="1:2" x14ac:dyDescent="0.25">
      <c r="A4242" t="s">
        <v>7347</v>
      </c>
      <c r="B4242">
        <v>4242</v>
      </c>
    </row>
    <row r="4243" spans="1:2" x14ac:dyDescent="0.25">
      <c r="A4243" t="s">
        <v>7357</v>
      </c>
      <c r="B4243">
        <v>4243</v>
      </c>
    </row>
    <row r="4244" spans="1:2" x14ac:dyDescent="0.25">
      <c r="A4244" t="s">
        <v>7354</v>
      </c>
      <c r="B4244">
        <v>4244</v>
      </c>
    </row>
    <row r="4245" spans="1:2" x14ac:dyDescent="0.25">
      <c r="A4245" t="s">
        <v>7358</v>
      </c>
      <c r="B4245">
        <v>4245</v>
      </c>
    </row>
    <row r="4246" spans="1:2" x14ac:dyDescent="0.25">
      <c r="A4246" t="s">
        <v>7376</v>
      </c>
      <c r="B4246">
        <v>4246</v>
      </c>
    </row>
    <row r="4247" spans="1:2" x14ac:dyDescent="0.25">
      <c r="A4247" t="s">
        <v>7383</v>
      </c>
      <c r="B4247">
        <v>4247</v>
      </c>
    </row>
    <row r="4248" spans="1:2" x14ac:dyDescent="0.25">
      <c r="A4248" t="s">
        <v>7379</v>
      </c>
      <c r="B4248">
        <v>4248</v>
      </c>
    </row>
    <row r="4249" spans="1:2" x14ac:dyDescent="0.25">
      <c r="A4249" t="s">
        <v>7385</v>
      </c>
      <c r="B4249">
        <v>4249</v>
      </c>
    </row>
    <row r="4250" spans="1:2" x14ac:dyDescent="0.25">
      <c r="A4250" t="s">
        <v>7380</v>
      </c>
      <c r="B4250">
        <v>4250</v>
      </c>
    </row>
    <row r="4251" spans="1:2" x14ac:dyDescent="0.25">
      <c r="A4251" t="s">
        <v>7381</v>
      </c>
      <c r="B4251">
        <v>4251</v>
      </c>
    </row>
    <row r="4252" spans="1:2" x14ac:dyDescent="0.25">
      <c r="A4252" t="s">
        <v>7378</v>
      </c>
      <c r="B4252">
        <v>4252</v>
      </c>
    </row>
    <row r="4253" spans="1:2" x14ac:dyDescent="0.25">
      <c r="A4253" t="s">
        <v>7389</v>
      </c>
      <c r="B4253">
        <v>4253</v>
      </c>
    </row>
    <row r="4254" spans="1:2" x14ac:dyDescent="0.25">
      <c r="A4254" t="s">
        <v>7386</v>
      </c>
      <c r="B4254">
        <v>4254</v>
      </c>
    </row>
    <row r="4255" spans="1:2" x14ac:dyDescent="0.25">
      <c r="A4255" t="s">
        <v>7390</v>
      </c>
      <c r="B4255">
        <v>4255</v>
      </c>
    </row>
    <row r="4256" spans="1:2" x14ac:dyDescent="0.25">
      <c r="A4256" t="s">
        <v>7382</v>
      </c>
      <c r="B4256">
        <v>4256</v>
      </c>
    </row>
    <row r="4257" spans="1:2" x14ac:dyDescent="0.25">
      <c r="A4257" t="s">
        <v>7377</v>
      </c>
      <c r="B4257">
        <v>4257</v>
      </c>
    </row>
    <row r="4258" spans="1:2" x14ac:dyDescent="0.25">
      <c r="A4258" t="s">
        <v>7387</v>
      </c>
      <c r="B4258">
        <v>4258</v>
      </c>
    </row>
    <row r="4259" spans="1:2" x14ac:dyDescent="0.25">
      <c r="A4259" t="s">
        <v>7384</v>
      </c>
      <c r="B4259">
        <v>4259</v>
      </c>
    </row>
    <row r="4260" spans="1:2" x14ac:dyDescent="0.25">
      <c r="A4260" t="s">
        <v>7388</v>
      </c>
      <c r="B4260">
        <v>4260</v>
      </c>
    </row>
    <row r="4261" spans="1:2" x14ac:dyDescent="0.25">
      <c r="A4261" t="s">
        <v>7406</v>
      </c>
      <c r="B4261">
        <v>4261</v>
      </c>
    </row>
    <row r="4262" spans="1:2" x14ac:dyDescent="0.25">
      <c r="A4262" t="s">
        <v>7413</v>
      </c>
      <c r="B4262">
        <v>4262</v>
      </c>
    </row>
    <row r="4263" spans="1:2" x14ac:dyDescent="0.25">
      <c r="A4263" t="s">
        <v>7409</v>
      </c>
      <c r="B4263">
        <v>4263</v>
      </c>
    </row>
    <row r="4264" spans="1:2" x14ac:dyDescent="0.25">
      <c r="A4264" t="s">
        <v>7415</v>
      </c>
      <c r="B4264">
        <v>4264</v>
      </c>
    </row>
    <row r="4265" spans="1:2" x14ac:dyDescent="0.25">
      <c r="A4265" t="s">
        <v>7410</v>
      </c>
      <c r="B4265">
        <v>4265</v>
      </c>
    </row>
    <row r="4266" spans="1:2" x14ac:dyDescent="0.25">
      <c r="A4266" t="s">
        <v>7411</v>
      </c>
      <c r="B4266">
        <v>4266</v>
      </c>
    </row>
    <row r="4267" spans="1:2" x14ac:dyDescent="0.25">
      <c r="A4267" t="s">
        <v>7408</v>
      </c>
      <c r="B4267">
        <v>4267</v>
      </c>
    </row>
    <row r="4268" spans="1:2" x14ac:dyDescent="0.25">
      <c r="A4268" t="s">
        <v>7419</v>
      </c>
      <c r="B4268">
        <v>4268</v>
      </c>
    </row>
    <row r="4269" spans="1:2" x14ac:dyDescent="0.25">
      <c r="A4269" t="s">
        <v>7416</v>
      </c>
      <c r="B4269">
        <v>4269</v>
      </c>
    </row>
    <row r="4270" spans="1:2" x14ac:dyDescent="0.25">
      <c r="A4270" t="s">
        <v>7420</v>
      </c>
      <c r="B4270">
        <v>4270</v>
      </c>
    </row>
    <row r="4271" spans="1:2" x14ac:dyDescent="0.25">
      <c r="A4271" t="s">
        <v>7412</v>
      </c>
      <c r="B4271">
        <v>4271</v>
      </c>
    </row>
    <row r="4272" spans="1:2" x14ac:dyDescent="0.25">
      <c r="A4272" t="s">
        <v>7407</v>
      </c>
      <c r="B4272">
        <v>4272</v>
      </c>
    </row>
    <row r="4273" spans="1:2" x14ac:dyDescent="0.25">
      <c r="A4273" t="s">
        <v>7417</v>
      </c>
      <c r="B4273">
        <v>4273</v>
      </c>
    </row>
    <row r="4274" spans="1:2" x14ac:dyDescent="0.25">
      <c r="A4274" t="s">
        <v>7414</v>
      </c>
      <c r="B4274">
        <v>4274</v>
      </c>
    </row>
    <row r="4275" spans="1:2" x14ac:dyDescent="0.25">
      <c r="A4275" t="s">
        <v>7418</v>
      </c>
      <c r="B4275">
        <v>4275</v>
      </c>
    </row>
    <row r="4276" spans="1:2" x14ac:dyDescent="0.25">
      <c r="A4276" t="s">
        <v>7436</v>
      </c>
      <c r="B4276">
        <v>4276</v>
      </c>
    </row>
    <row r="4277" spans="1:2" x14ac:dyDescent="0.25">
      <c r="A4277" t="s">
        <v>7443</v>
      </c>
      <c r="B4277">
        <v>4277</v>
      </c>
    </row>
    <row r="4278" spans="1:2" x14ac:dyDescent="0.25">
      <c r="A4278" t="s">
        <v>7439</v>
      </c>
      <c r="B4278">
        <v>4278</v>
      </c>
    </row>
    <row r="4279" spans="1:2" x14ac:dyDescent="0.25">
      <c r="A4279" t="s">
        <v>7445</v>
      </c>
      <c r="B4279">
        <v>4279</v>
      </c>
    </row>
    <row r="4280" spans="1:2" x14ac:dyDescent="0.25">
      <c r="A4280" t="s">
        <v>7440</v>
      </c>
      <c r="B4280">
        <v>4280</v>
      </c>
    </row>
    <row r="4281" spans="1:2" x14ac:dyDescent="0.25">
      <c r="A4281" t="s">
        <v>7441</v>
      </c>
      <c r="B4281">
        <v>4281</v>
      </c>
    </row>
    <row r="4282" spans="1:2" x14ac:dyDescent="0.25">
      <c r="A4282" t="s">
        <v>7438</v>
      </c>
      <c r="B4282">
        <v>4282</v>
      </c>
    </row>
    <row r="4283" spans="1:2" x14ac:dyDescent="0.25">
      <c r="A4283" t="s">
        <v>7449</v>
      </c>
      <c r="B4283">
        <v>4283</v>
      </c>
    </row>
    <row r="4284" spans="1:2" x14ac:dyDescent="0.25">
      <c r="A4284" t="s">
        <v>7446</v>
      </c>
      <c r="B4284">
        <v>4284</v>
      </c>
    </row>
    <row r="4285" spans="1:2" x14ac:dyDescent="0.25">
      <c r="A4285" t="s">
        <v>7450</v>
      </c>
      <c r="B4285">
        <v>4285</v>
      </c>
    </row>
    <row r="4286" spans="1:2" x14ac:dyDescent="0.25">
      <c r="A4286" t="s">
        <v>7442</v>
      </c>
      <c r="B4286">
        <v>4286</v>
      </c>
    </row>
    <row r="4287" spans="1:2" x14ac:dyDescent="0.25">
      <c r="A4287" t="s">
        <v>7437</v>
      </c>
      <c r="B4287">
        <v>4287</v>
      </c>
    </row>
    <row r="4288" spans="1:2" x14ac:dyDescent="0.25">
      <c r="A4288" t="s">
        <v>7447</v>
      </c>
      <c r="B4288">
        <v>4288</v>
      </c>
    </row>
    <row r="4289" spans="1:2" x14ac:dyDescent="0.25">
      <c r="A4289" t="s">
        <v>7444</v>
      </c>
      <c r="B4289">
        <v>4289</v>
      </c>
    </row>
    <row r="4290" spans="1:2" x14ac:dyDescent="0.25">
      <c r="A4290" t="s">
        <v>7448</v>
      </c>
      <c r="B4290">
        <v>4290</v>
      </c>
    </row>
    <row r="4291" spans="1:2" x14ac:dyDescent="0.25">
      <c r="A4291" t="s">
        <v>7466</v>
      </c>
      <c r="B4291">
        <v>4291</v>
      </c>
    </row>
    <row r="4292" spans="1:2" x14ac:dyDescent="0.25">
      <c r="A4292" t="s">
        <v>7473</v>
      </c>
      <c r="B4292">
        <v>4292</v>
      </c>
    </row>
    <row r="4293" spans="1:2" x14ac:dyDescent="0.25">
      <c r="A4293" t="s">
        <v>7469</v>
      </c>
      <c r="B4293">
        <v>4293</v>
      </c>
    </row>
    <row r="4294" spans="1:2" x14ac:dyDescent="0.25">
      <c r="A4294" t="s">
        <v>7475</v>
      </c>
      <c r="B4294">
        <v>4294</v>
      </c>
    </row>
    <row r="4295" spans="1:2" x14ac:dyDescent="0.25">
      <c r="A4295" t="s">
        <v>7470</v>
      </c>
      <c r="B4295">
        <v>4295</v>
      </c>
    </row>
    <row r="4296" spans="1:2" x14ac:dyDescent="0.25">
      <c r="A4296" t="s">
        <v>7471</v>
      </c>
      <c r="B4296">
        <v>4296</v>
      </c>
    </row>
    <row r="4297" spans="1:2" x14ac:dyDescent="0.25">
      <c r="A4297" t="s">
        <v>7468</v>
      </c>
      <c r="B4297">
        <v>4297</v>
      </c>
    </row>
    <row r="4298" spans="1:2" x14ac:dyDescent="0.25">
      <c r="A4298" t="s">
        <v>7479</v>
      </c>
      <c r="B4298">
        <v>4298</v>
      </c>
    </row>
    <row r="4299" spans="1:2" x14ac:dyDescent="0.25">
      <c r="A4299" t="s">
        <v>7476</v>
      </c>
      <c r="B4299">
        <v>4299</v>
      </c>
    </row>
    <row r="4300" spans="1:2" x14ac:dyDescent="0.25">
      <c r="A4300" t="s">
        <v>7480</v>
      </c>
      <c r="B4300">
        <v>4300</v>
      </c>
    </row>
    <row r="4301" spans="1:2" x14ac:dyDescent="0.25">
      <c r="A4301" t="s">
        <v>7472</v>
      </c>
      <c r="B4301">
        <v>4301</v>
      </c>
    </row>
    <row r="4302" spans="1:2" x14ac:dyDescent="0.25">
      <c r="A4302" t="s">
        <v>7467</v>
      </c>
      <c r="B4302">
        <v>4302</v>
      </c>
    </row>
    <row r="4303" spans="1:2" x14ac:dyDescent="0.25">
      <c r="A4303" t="s">
        <v>7477</v>
      </c>
      <c r="B4303">
        <v>4303</v>
      </c>
    </row>
    <row r="4304" spans="1:2" x14ac:dyDescent="0.25">
      <c r="A4304" t="s">
        <v>7474</v>
      </c>
      <c r="B4304">
        <v>4304</v>
      </c>
    </row>
    <row r="4305" spans="1:2" x14ac:dyDescent="0.25">
      <c r="A4305" t="s">
        <v>7478</v>
      </c>
      <c r="B4305">
        <v>4305</v>
      </c>
    </row>
    <row r="4306" spans="1:2" x14ac:dyDescent="0.25">
      <c r="A4306" t="s">
        <v>7496</v>
      </c>
      <c r="B4306">
        <v>4306</v>
      </c>
    </row>
    <row r="4307" spans="1:2" x14ac:dyDescent="0.25">
      <c r="A4307" t="s">
        <v>7503</v>
      </c>
      <c r="B4307">
        <v>4307</v>
      </c>
    </row>
    <row r="4308" spans="1:2" x14ac:dyDescent="0.25">
      <c r="A4308" t="s">
        <v>7499</v>
      </c>
      <c r="B4308">
        <v>4308</v>
      </c>
    </row>
    <row r="4309" spans="1:2" x14ac:dyDescent="0.25">
      <c r="A4309" t="s">
        <v>7505</v>
      </c>
      <c r="B4309">
        <v>4309</v>
      </c>
    </row>
    <row r="4310" spans="1:2" x14ac:dyDescent="0.25">
      <c r="A4310" t="s">
        <v>7500</v>
      </c>
      <c r="B4310">
        <v>4310</v>
      </c>
    </row>
    <row r="4311" spans="1:2" x14ac:dyDescent="0.25">
      <c r="A4311" t="s">
        <v>7501</v>
      </c>
      <c r="B4311">
        <v>4311</v>
      </c>
    </row>
    <row r="4312" spans="1:2" x14ac:dyDescent="0.25">
      <c r="A4312" t="s">
        <v>7498</v>
      </c>
      <c r="B4312">
        <v>4312</v>
      </c>
    </row>
    <row r="4313" spans="1:2" x14ac:dyDescent="0.25">
      <c r="A4313" t="s">
        <v>7509</v>
      </c>
      <c r="B4313">
        <v>4313</v>
      </c>
    </row>
    <row r="4314" spans="1:2" x14ac:dyDescent="0.25">
      <c r="A4314" t="s">
        <v>7506</v>
      </c>
      <c r="B4314">
        <v>4314</v>
      </c>
    </row>
    <row r="4315" spans="1:2" x14ac:dyDescent="0.25">
      <c r="A4315" t="s">
        <v>7510</v>
      </c>
      <c r="B4315">
        <v>4315</v>
      </c>
    </row>
    <row r="4316" spans="1:2" x14ac:dyDescent="0.25">
      <c r="A4316" t="s">
        <v>7502</v>
      </c>
      <c r="B4316">
        <v>4316</v>
      </c>
    </row>
    <row r="4317" spans="1:2" x14ac:dyDescent="0.25">
      <c r="A4317" t="s">
        <v>7497</v>
      </c>
      <c r="B4317">
        <v>4317</v>
      </c>
    </row>
    <row r="4318" spans="1:2" x14ac:dyDescent="0.25">
      <c r="A4318" t="s">
        <v>7507</v>
      </c>
      <c r="B4318">
        <v>4318</v>
      </c>
    </row>
    <row r="4319" spans="1:2" x14ac:dyDescent="0.25">
      <c r="A4319" t="s">
        <v>7504</v>
      </c>
      <c r="B4319">
        <v>4319</v>
      </c>
    </row>
    <row r="4320" spans="1:2" x14ac:dyDescent="0.25">
      <c r="A4320" t="s">
        <v>7508</v>
      </c>
      <c r="B4320">
        <v>4320</v>
      </c>
    </row>
    <row r="4321" spans="1:2" x14ac:dyDescent="0.25">
      <c r="A4321" t="s">
        <v>7526</v>
      </c>
      <c r="B4321">
        <v>4321</v>
      </c>
    </row>
    <row r="4322" spans="1:2" x14ac:dyDescent="0.25">
      <c r="A4322" t="s">
        <v>7533</v>
      </c>
      <c r="B4322">
        <v>4322</v>
      </c>
    </row>
    <row r="4323" spans="1:2" x14ac:dyDescent="0.25">
      <c r="A4323" t="s">
        <v>7529</v>
      </c>
      <c r="B4323">
        <v>4323</v>
      </c>
    </row>
    <row r="4324" spans="1:2" x14ac:dyDescent="0.25">
      <c r="A4324" t="s">
        <v>7535</v>
      </c>
      <c r="B4324">
        <v>4324</v>
      </c>
    </row>
    <row r="4325" spans="1:2" x14ac:dyDescent="0.25">
      <c r="A4325" t="s">
        <v>7530</v>
      </c>
      <c r="B4325">
        <v>4325</v>
      </c>
    </row>
    <row r="4326" spans="1:2" x14ac:dyDescent="0.25">
      <c r="A4326" t="s">
        <v>7531</v>
      </c>
      <c r="B4326">
        <v>4326</v>
      </c>
    </row>
    <row r="4327" spans="1:2" x14ac:dyDescent="0.25">
      <c r="A4327" t="s">
        <v>7528</v>
      </c>
      <c r="B4327">
        <v>4327</v>
      </c>
    </row>
    <row r="4328" spans="1:2" x14ac:dyDescent="0.25">
      <c r="A4328" t="s">
        <v>7539</v>
      </c>
      <c r="B4328">
        <v>4328</v>
      </c>
    </row>
    <row r="4329" spans="1:2" x14ac:dyDescent="0.25">
      <c r="A4329" t="s">
        <v>7536</v>
      </c>
      <c r="B4329">
        <v>4329</v>
      </c>
    </row>
    <row r="4330" spans="1:2" x14ac:dyDescent="0.25">
      <c r="A4330" t="s">
        <v>7540</v>
      </c>
      <c r="B4330">
        <v>4330</v>
      </c>
    </row>
    <row r="4331" spans="1:2" x14ac:dyDescent="0.25">
      <c r="A4331" t="s">
        <v>7532</v>
      </c>
      <c r="B4331">
        <v>4331</v>
      </c>
    </row>
    <row r="4332" spans="1:2" x14ac:dyDescent="0.25">
      <c r="A4332" t="s">
        <v>7527</v>
      </c>
      <c r="B4332">
        <v>4332</v>
      </c>
    </row>
    <row r="4333" spans="1:2" x14ac:dyDescent="0.25">
      <c r="A4333" t="s">
        <v>7537</v>
      </c>
      <c r="B4333">
        <v>4333</v>
      </c>
    </row>
    <row r="4334" spans="1:2" x14ac:dyDescent="0.25">
      <c r="A4334" t="s">
        <v>7534</v>
      </c>
      <c r="B4334">
        <v>4334</v>
      </c>
    </row>
    <row r="4335" spans="1:2" x14ac:dyDescent="0.25">
      <c r="A4335" t="s">
        <v>7538</v>
      </c>
      <c r="B4335">
        <v>4335</v>
      </c>
    </row>
    <row r="4336" spans="1:2" x14ac:dyDescent="0.25">
      <c r="A4336" t="s">
        <v>7556</v>
      </c>
      <c r="B4336">
        <v>4336</v>
      </c>
    </row>
    <row r="4337" spans="1:2" x14ac:dyDescent="0.25">
      <c r="A4337" t="s">
        <v>7563</v>
      </c>
      <c r="B4337">
        <v>4337</v>
      </c>
    </row>
    <row r="4338" spans="1:2" x14ac:dyDescent="0.25">
      <c r="A4338" t="s">
        <v>7559</v>
      </c>
      <c r="B4338">
        <v>4338</v>
      </c>
    </row>
    <row r="4339" spans="1:2" x14ac:dyDescent="0.25">
      <c r="A4339" t="s">
        <v>7565</v>
      </c>
      <c r="B4339">
        <v>4339</v>
      </c>
    </row>
    <row r="4340" spans="1:2" x14ac:dyDescent="0.25">
      <c r="A4340" t="s">
        <v>7560</v>
      </c>
      <c r="B4340">
        <v>4340</v>
      </c>
    </row>
    <row r="4341" spans="1:2" x14ac:dyDescent="0.25">
      <c r="A4341" t="s">
        <v>7561</v>
      </c>
      <c r="B4341">
        <v>4341</v>
      </c>
    </row>
    <row r="4342" spans="1:2" x14ac:dyDescent="0.25">
      <c r="A4342" t="s">
        <v>7558</v>
      </c>
      <c r="B4342">
        <v>4342</v>
      </c>
    </row>
    <row r="4343" spans="1:2" x14ac:dyDescent="0.25">
      <c r="A4343" t="s">
        <v>7569</v>
      </c>
      <c r="B4343">
        <v>4343</v>
      </c>
    </row>
    <row r="4344" spans="1:2" x14ac:dyDescent="0.25">
      <c r="A4344" t="s">
        <v>7566</v>
      </c>
      <c r="B4344">
        <v>4344</v>
      </c>
    </row>
    <row r="4345" spans="1:2" x14ac:dyDescent="0.25">
      <c r="A4345" t="s">
        <v>7570</v>
      </c>
      <c r="B4345">
        <v>4345</v>
      </c>
    </row>
    <row r="4346" spans="1:2" x14ac:dyDescent="0.25">
      <c r="A4346" t="s">
        <v>7562</v>
      </c>
      <c r="B4346">
        <v>4346</v>
      </c>
    </row>
    <row r="4347" spans="1:2" x14ac:dyDescent="0.25">
      <c r="A4347" t="s">
        <v>7557</v>
      </c>
      <c r="B4347">
        <v>4347</v>
      </c>
    </row>
    <row r="4348" spans="1:2" x14ac:dyDescent="0.25">
      <c r="A4348" t="s">
        <v>7567</v>
      </c>
      <c r="B4348">
        <v>4348</v>
      </c>
    </row>
    <row r="4349" spans="1:2" x14ac:dyDescent="0.25">
      <c r="A4349" t="s">
        <v>7564</v>
      </c>
      <c r="B4349">
        <v>4349</v>
      </c>
    </row>
    <row r="4350" spans="1:2" x14ac:dyDescent="0.25">
      <c r="A4350" t="s">
        <v>7568</v>
      </c>
      <c r="B4350">
        <v>4350</v>
      </c>
    </row>
    <row r="4351" spans="1:2" x14ac:dyDescent="0.25">
      <c r="A4351" t="s">
        <v>7586</v>
      </c>
      <c r="B4351">
        <v>4351</v>
      </c>
    </row>
    <row r="4352" spans="1:2" x14ac:dyDescent="0.25">
      <c r="A4352" t="s">
        <v>7593</v>
      </c>
      <c r="B4352">
        <v>4352</v>
      </c>
    </row>
    <row r="4353" spans="1:2" x14ac:dyDescent="0.25">
      <c r="A4353" t="s">
        <v>7589</v>
      </c>
      <c r="B4353">
        <v>4353</v>
      </c>
    </row>
    <row r="4354" spans="1:2" x14ac:dyDescent="0.25">
      <c r="A4354" t="s">
        <v>7595</v>
      </c>
      <c r="B4354">
        <v>4354</v>
      </c>
    </row>
    <row r="4355" spans="1:2" x14ac:dyDescent="0.25">
      <c r="A4355" t="s">
        <v>7590</v>
      </c>
      <c r="B4355">
        <v>4355</v>
      </c>
    </row>
    <row r="4356" spans="1:2" x14ac:dyDescent="0.25">
      <c r="A4356" t="s">
        <v>7591</v>
      </c>
      <c r="B4356">
        <v>4356</v>
      </c>
    </row>
    <row r="4357" spans="1:2" x14ac:dyDescent="0.25">
      <c r="A4357" t="s">
        <v>7588</v>
      </c>
      <c r="B4357">
        <v>4357</v>
      </c>
    </row>
    <row r="4358" spans="1:2" x14ac:dyDescent="0.25">
      <c r="A4358" t="s">
        <v>7599</v>
      </c>
      <c r="B4358">
        <v>4358</v>
      </c>
    </row>
    <row r="4359" spans="1:2" x14ac:dyDescent="0.25">
      <c r="A4359" t="s">
        <v>7596</v>
      </c>
      <c r="B4359">
        <v>4359</v>
      </c>
    </row>
    <row r="4360" spans="1:2" x14ac:dyDescent="0.25">
      <c r="A4360" t="s">
        <v>7600</v>
      </c>
      <c r="B4360">
        <v>4360</v>
      </c>
    </row>
    <row r="4361" spans="1:2" x14ac:dyDescent="0.25">
      <c r="A4361" t="s">
        <v>7592</v>
      </c>
      <c r="B4361">
        <v>4361</v>
      </c>
    </row>
    <row r="4362" spans="1:2" x14ac:dyDescent="0.25">
      <c r="A4362" t="s">
        <v>7587</v>
      </c>
      <c r="B4362">
        <v>4362</v>
      </c>
    </row>
    <row r="4363" spans="1:2" x14ac:dyDescent="0.25">
      <c r="A4363" t="s">
        <v>7597</v>
      </c>
      <c r="B4363">
        <v>4363</v>
      </c>
    </row>
    <row r="4364" spans="1:2" x14ac:dyDescent="0.25">
      <c r="A4364" t="s">
        <v>7594</v>
      </c>
      <c r="B4364">
        <v>4364</v>
      </c>
    </row>
    <row r="4365" spans="1:2" x14ac:dyDescent="0.25">
      <c r="A4365" t="s">
        <v>7598</v>
      </c>
      <c r="B4365">
        <v>4365</v>
      </c>
    </row>
    <row r="4366" spans="1:2" x14ac:dyDescent="0.25">
      <c r="A4366" t="s">
        <v>7616</v>
      </c>
      <c r="B4366">
        <v>4366</v>
      </c>
    </row>
    <row r="4367" spans="1:2" x14ac:dyDescent="0.25">
      <c r="A4367" t="s">
        <v>7623</v>
      </c>
      <c r="B4367">
        <v>4367</v>
      </c>
    </row>
    <row r="4368" spans="1:2" x14ac:dyDescent="0.25">
      <c r="A4368" t="s">
        <v>7619</v>
      </c>
      <c r="B4368">
        <v>4368</v>
      </c>
    </row>
    <row r="4369" spans="1:2" x14ac:dyDescent="0.25">
      <c r="A4369" t="s">
        <v>7625</v>
      </c>
      <c r="B4369">
        <v>4369</v>
      </c>
    </row>
    <row r="4370" spans="1:2" x14ac:dyDescent="0.25">
      <c r="A4370" t="s">
        <v>7620</v>
      </c>
      <c r="B4370">
        <v>4370</v>
      </c>
    </row>
    <row r="4371" spans="1:2" x14ac:dyDescent="0.25">
      <c r="A4371" t="s">
        <v>7621</v>
      </c>
      <c r="B4371">
        <v>4371</v>
      </c>
    </row>
    <row r="4372" spans="1:2" x14ac:dyDescent="0.25">
      <c r="A4372" t="s">
        <v>7618</v>
      </c>
      <c r="B4372">
        <v>4372</v>
      </c>
    </row>
    <row r="4373" spans="1:2" x14ac:dyDescent="0.25">
      <c r="A4373" t="s">
        <v>7629</v>
      </c>
      <c r="B4373">
        <v>4373</v>
      </c>
    </row>
    <row r="4374" spans="1:2" x14ac:dyDescent="0.25">
      <c r="A4374" t="s">
        <v>7626</v>
      </c>
      <c r="B4374">
        <v>4374</v>
      </c>
    </row>
    <row r="4375" spans="1:2" x14ac:dyDescent="0.25">
      <c r="A4375" t="s">
        <v>7630</v>
      </c>
      <c r="B4375">
        <v>4375</v>
      </c>
    </row>
    <row r="4376" spans="1:2" x14ac:dyDescent="0.25">
      <c r="A4376" t="s">
        <v>7622</v>
      </c>
      <c r="B4376">
        <v>4376</v>
      </c>
    </row>
    <row r="4377" spans="1:2" x14ac:dyDescent="0.25">
      <c r="A4377" t="s">
        <v>7617</v>
      </c>
      <c r="B4377">
        <v>4377</v>
      </c>
    </row>
    <row r="4378" spans="1:2" x14ac:dyDescent="0.25">
      <c r="A4378" t="s">
        <v>7627</v>
      </c>
      <c r="B4378">
        <v>4378</v>
      </c>
    </row>
    <row r="4379" spans="1:2" x14ac:dyDescent="0.25">
      <c r="A4379" t="s">
        <v>7624</v>
      </c>
      <c r="B4379">
        <v>4379</v>
      </c>
    </row>
    <row r="4380" spans="1:2" x14ac:dyDescent="0.25">
      <c r="A4380" t="s">
        <v>7628</v>
      </c>
      <c r="B4380">
        <v>4380</v>
      </c>
    </row>
    <row r="4381" spans="1:2" x14ac:dyDescent="0.25">
      <c r="A4381" t="s">
        <v>7646</v>
      </c>
      <c r="B4381">
        <v>4381</v>
      </c>
    </row>
    <row r="4382" spans="1:2" x14ac:dyDescent="0.25">
      <c r="A4382" t="s">
        <v>7653</v>
      </c>
      <c r="B4382">
        <v>4382</v>
      </c>
    </row>
    <row r="4383" spans="1:2" x14ac:dyDescent="0.25">
      <c r="A4383" t="s">
        <v>7649</v>
      </c>
      <c r="B4383">
        <v>4383</v>
      </c>
    </row>
    <row r="4384" spans="1:2" x14ac:dyDescent="0.25">
      <c r="A4384" t="s">
        <v>7655</v>
      </c>
      <c r="B4384">
        <v>4384</v>
      </c>
    </row>
    <row r="4385" spans="1:2" x14ac:dyDescent="0.25">
      <c r="A4385" t="s">
        <v>7650</v>
      </c>
      <c r="B4385">
        <v>4385</v>
      </c>
    </row>
    <row r="4386" spans="1:2" x14ac:dyDescent="0.25">
      <c r="A4386" t="s">
        <v>7651</v>
      </c>
      <c r="B4386">
        <v>4386</v>
      </c>
    </row>
    <row r="4387" spans="1:2" x14ac:dyDescent="0.25">
      <c r="A4387" t="s">
        <v>7648</v>
      </c>
      <c r="B4387">
        <v>4387</v>
      </c>
    </row>
    <row r="4388" spans="1:2" x14ac:dyDescent="0.25">
      <c r="A4388" t="s">
        <v>7659</v>
      </c>
      <c r="B4388">
        <v>4388</v>
      </c>
    </row>
    <row r="4389" spans="1:2" x14ac:dyDescent="0.25">
      <c r="A4389" t="s">
        <v>7656</v>
      </c>
      <c r="B4389">
        <v>4389</v>
      </c>
    </row>
    <row r="4390" spans="1:2" x14ac:dyDescent="0.25">
      <c r="A4390" t="s">
        <v>7660</v>
      </c>
      <c r="B4390">
        <v>4390</v>
      </c>
    </row>
    <row r="4391" spans="1:2" x14ac:dyDescent="0.25">
      <c r="A4391" t="s">
        <v>7652</v>
      </c>
      <c r="B4391">
        <v>4391</v>
      </c>
    </row>
    <row r="4392" spans="1:2" x14ac:dyDescent="0.25">
      <c r="A4392" t="s">
        <v>7647</v>
      </c>
      <c r="B4392">
        <v>4392</v>
      </c>
    </row>
    <row r="4393" spans="1:2" x14ac:dyDescent="0.25">
      <c r="A4393" t="s">
        <v>7657</v>
      </c>
      <c r="B4393">
        <v>4393</v>
      </c>
    </row>
    <row r="4394" spans="1:2" x14ac:dyDescent="0.25">
      <c r="A4394" t="s">
        <v>7654</v>
      </c>
      <c r="B4394">
        <v>4394</v>
      </c>
    </row>
    <row r="4395" spans="1:2" x14ac:dyDescent="0.25">
      <c r="A4395" t="s">
        <v>7658</v>
      </c>
      <c r="B4395">
        <v>4395</v>
      </c>
    </row>
    <row r="4396" spans="1:2" x14ac:dyDescent="0.25">
      <c r="A4396" t="s">
        <v>7676</v>
      </c>
      <c r="B4396">
        <v>4396</v>
      </c>
    </row>
    <row r="4397" spans="1:2" x14ac:dyDescent="0.25">
      <c r="A4397" t="s">
        <v>7683</v>
      </c>
      <c r="B4397">
        <v>4397</v>
      </c>
    </row>
    <row r="4398" spans="1:2" x14ac:dyDescent="0.25">
      <c r="A4398" t="s">
        <v>7679</v>
      </c>
      <c r="B4398">
        <v>4398</v>
      </c>
    </row>
    <row r="4399" spans="1:2" x14ac:dyDescent="0.25">
      <c r="A4399" t="s">
        <v>7685</v>
      </c>
      <c r="B4399">
        <v>4399</v>
      </c>
    </row>
    <row r="4400" spans="1:2" x14ac:dyDescent="0.25">
      <c r="A4400" t="s">
        <v>7680</v>
      </c>
      <c r="B4400">
        <v>4400</v>
      </c>
    </row>
    <row r="4401" spans="1:2" x14ac:dyDescent="0.25">
      <c r="A4401" t="s">
        <v>7681</v>
      </c>
      <c r="B4401">
        <v>4401</v>
      </c>
    </row>
    <row r="4402" spans="1:2" x14ac:dyDescent="0.25">
      <c r="A4402" t="s">
        <v>7678</v>
      </c>
      <c r="B4402">
        <v>4402</v>
      </c>
    </row>
    <row r="4403" spans="1:2" x14ac:dyDescent="0.25">
      <c r="A4403" t="s">
        <v>7689</v>
      </c>
      <c r="B4403">
        <v>4403</v>
      </c>
    </row>
    <row r="4404" spans="1:2" x14ac:dyDescent="0.25">
      <c r="A4404" t="s">
        <v>7686</v>
      </c>
      <c r="B4404">
        <v>4404</v>
      </c>
    </row>
    <row r="4405" spans="1:2" x14ac:dyDescent="0.25">
      <c r="A4405" t="s">
        <v>7690</v>
      </c>
      <c r="B4405">
        <v>4405</v>
      </c>
    </row>
    <row r="4406" spans="1:2" x14ac:dyDescent="0.25">
      <c r="A4406" t="s">
        <v>7682</v>
      </c>
      <c r="B4406">
        <v>4406</v>
      </c>
    </row>
    <row r="4407" spans="1:2" x14ac:dyDescent="0.25">
      <c r="A4407" t="s">
        <v>7677</v>
      </c>
      <c r="B4407">
        <v>4407</v>
      </c>
    </row>
    <row r="4408" spans="1:2" x14ac:dyDescent="0.25">
      <c r="A4408" t="s">
        <v>7687</v>
      </c>
      <c r="B4408">
        <v>4408</v>
      </c>
    </row>
    <row r="4409" spans="1:2" x14ac:dyDescent="0.25">
      <c r="A4409" t="s">
        <v>7684</v>
      </c>
      <c r="B4409">
        <v>4409</v>
      </c>
    </row>
    <row r="4410" spans="1:2" x14ac:dyDescent="0.25">
      <c r="A4410" t="s">
        <v>7688</v>
      </c>
      <c r="B4410">
        <v>4410</v>
      </c>
    </row>
    <row r="4411" spans="1:2" x14ac:dyDescent="0.25">
      <c r="A4411" t="s">
        <v>7706</v>
      </c>
      <c r="B4411">
        <v>4411</v>
      </c>
    </row>
    <row r="4412" spans="1:2" x14ac:dyDescent="0.25">
      <c r="A4412" t="s">
        <v>7713</v>
      </c>
      <c r="B4412">
        <v>4412</v>
      </c>
    </row>
    <row r="4413" spans="1:2" x14ac:dyDescent="0.25">
      <c r="A4413" t="s">
        <v>7709</v>
      </c>
      <c r="B4413">
        <v>4413</v>
      </c>
    </row>
    <row r="4414" spans="1:2" x14ac:dyDescent="0.25">
      <c r="A4414" t="s">
        <v>7715</v>
      </c>
      <c r="B4414">
        <v>4414</v>
      </c>
    </row>
    <row r="4415" spans="1:2" x14ac:dyDescent="0.25">
      <c r="A4415" t="s">
        <v>7710</v>
      </c>
      <c r="B4415">
        <v>4415</v>
      </c>
    </row>
    <row r="4416" spans="1:2" x14ac:dyDescent="0.25">
      <c r="A4416" t="s">
        <v>7711</v>
      </c>
      <c r="B4416">
        <v>4416</v>
      </c>
    </row>
    <row r="4417" spans="1:2" x14ac:dyDescent="0.25">
      <c r="A4417" t="s">
        <v>7708</v>
      </c>
      <c r="B4417">
        <v>4417</v>
      </c>
    </row>
    <row r="4418" spans="1:2" x14ac:dyDescent="0.25">
      <c r="A4418" t="s">
        <v>7719</v>
      </c>
      <c r="B4418">
        <v>4418</v>
      </c>
    </row>
    <row r="4419" spans="1:2" x14ac:dyDescent="0.25">
      <c r="A4419" t="s">
        <v>7716</v>
      </c>
      <c r="B4419">
        <v>4419</v>
      </c>
    </row>
    <row r="4420" spans="1:2" x14ac:dyDescent="0.25">
      <c r="A4420" t="s">
        <v>7720</v>
      </c>
      <c r="B4420">
        <v>4420</v>
      </c>
    </row>
    <row r="4421" spans="1:2" x14ac:dyDescent="0.25">
      <c r="A4421" t="s">
        <v>7712</v>
      </c>
      <c r="B4421">
        <v>4421</v>
      </c>
    </row>
    <row r="4422" spans="1:2" x14ac:dyDescent="0.25">
      <c r="A4422" t="s">
        <v>7707</v>
      </c>
      <c r="B4422">
        <v>4422</v>
      </c>
    </row>
    <row r="4423" spans="1:2" x14ac:dyDescent="0.25">
      <c r="A4423" t="s">
        <v>7717</v>
      </c>
      <c r="B4423">
        <v>4423</v>
      </c>
    </row>
    <row r="4424" spans="1:2" x14ac:dyDescent="0.25">
      <c r="A4424" t="s">
        <v>7714</v>
      </c>
      <c r="B4424">
        <v>4424</v>
      </c>
    </row>
    <row r="4425" spans="1:2" x14ac:dyDescent="0.25">
      <c r="A4425" t="s">
        <v>7718</v>
      </c>
      <c r="B4425">
        <v>4425</v>
      </c>
    </row>
    <row r="4426" spans="1:2" x14ac:dyDescent="0.25">
      <c r="A4426" t="s">
        <v>7736</v>
      </c>
      <c r="B4426">
        <v>4426</v>
      </c>
    </row>
    <row r="4427" spans="1:2" x14ac:dyDescent="0.25">
      <c r="A4427" t="s">
        <v>7743</v>
      </c>
      <c r="B4427">
        <v>4427</v>
      </c>
    </row>
    <row r="4428" spans="1:2" x14ac:dyDescent="0.25">
      <c r="A4428" t="s">
        <v>7739</v>
      </c>
      <c r="B4428">
        <v>4428</v>
      </c>
    </row>
    <row r="4429" spans="1:2" x14ac:dyDescent="0.25">
      <c r="A4429" t="s">
        <v>7745</v>
      </c>
      <c r="B4429">
        <v>4429</v>
      </c>
    </row>
    <row r="4430" spans="1:2" x14ac:dyDescent="0.25">
      <c r="A4430" t="s">
        <v>7740</v>
      </c>
      <c r="B4430">
        <v>4430</v>
      </c>
    </row>
    <row r="4431" spans="1:2" x14ac:dyDescent="0.25">
      <c r="A4431" t="s">
        <v>7741</v>
      </c>
      <c r="B4431">
        <v>4431</v>
      </c>
    </row>
    <row r="4432" spans="1:2" x14ac:dyDescent="0.25">
      <c r="A4432" t="s">
        <v>7738</v>
      </c>
      <c r="B4432">
        <v>4432</v>
      </c>
    </row>
    <row r="4433" spans="1:2" x14ac:dyDescent="0.25">
      <c r="A4433" t="s">
        <v>7749</v>
      </c>
      <c r="B4433">
        <v>4433</v>
      </c>
    </row>
    <row r="4434" spans="1:2" x14ac:dyDescent="0.25">
      <c r="A4434" t="s">
        <v>7746</v>
      </c>
      <c r="B4434">
        <v>4434</v>
      </c>
    </row>
    <row r="4435" spans="1:2" x14ac:dyDescent="0.25">
      <c r="A4435" t="s">
        <v>7750</v>
      </c>
      <c r="B4435">
        <v>4435</v>
      </c>
    </row>
    <row r="4436" spans="1:2" x14ac:dyDescent="0.25">
      <c r="A4436" t="s">
        <v>7742</v>
      </c>
      <c r="B4436">
        <v>4436</v>
      </c>
    </row>
    <row r="4437" spans="1:2" x14ac:dyDescent="0.25">
      <c r="A4437" t="s">
        <v>7737</v>
      </c>
      <c r="B4437">
        <v>4437</v>
      </c>
    </row>
    <row r="4438" spans="1:2" x14ac:dyDescent="0.25">
      <c r="A4438" t="s">
        <v>7747</v>
      </c>
      <c r="B4438">
        <v>4438</v>
      </c>
    </row>
    <row r="4439" spans="1:2" x14ac:dyDescent="0.25">
      <c r="A4439" t="s">
        <v>7744</v>
      </c>
      <c r="B4439">
        <v>4439</v>
      </c>
    </row>
    <row r="4440" spans="1:2" x14ac:dyDescent="0.25">
      <c r="A4440" t="s">
        <v>7748</v>
      </c>
      <c r="B4440">
        <v>4440</v>
      </c>
    </row>
    <row r="4441" spans="1:2" x14ac:dyDescent="0.25">
      <c r="A4441" t="s">
        <v>7766</v>
      </c>
      <c r="B4441">
        <v>4441</v>
      </c>
    </row>
    <row r="4442" spans="1:2" x14ac:dyDescent="0.25">
      <c r="A4442" t="s">
        <v>7773</v>
      </c>
      <c r="B4442">
        <v>4442</v>
      </c>
    </row>
    <row r="4443" spans="1:2" x14ac:dyDescent="0.25">
      <c r="A4443" t="s">
        <v>7769</v>
      </c>
      <c r="B4443">
        <v>4443</v>
      </c>
    </row>
    <row r="4444" spans="1:2" x14ac:dyDescent="0.25">
      <c r="A4444" t="s">
        <v>7775</v>
      </c>
      <c r="B4444">
        <v>4444</v>
      </c>
    </row>
    <row r="4445" spans="1:2" x14ac:dyDescent="0.25">
      <c r="A4445" t="s">
        <v>7770</v>
      </c>
      <c r="B4445">
        <v>4445</v>
      </c>
    </row>
    <row r="4446" spans="1:2" x14ac:dyDescent="0.25">
      <c r="A4446" t="s">
        <v>7771</v>
      </c>
      <c r="B4446">
        <v>4446</v>
      </c>
    </row>
    <row r="4447" spans="1:2" x14ac:dyDescent="0.25">
      <c r="A4447" t="s">
        <v>7768</v>
      </c>
      <c r="B4447">
        <v>4447</v>
      </c>
    </row>
    <row r="4448" spans="1:2" x14ac:dyDescent="0.25">
      <c r="A4448" t="s">
        <v>7779</v>
      </c>
      <c r="B4448">
        <v>4448</v>
      </c>
    </row>
    <row r="4449" spans="1:2" x14ac:dyDescent="0.25">
      <c r="A4449" t="s">
        <v>7776</v>
      </c>
      <c r="B4449">
        <v>4449</v>
      </c>
    </row>
    <row r="4450" spans="1:2" x14ac:dyDescent="0.25">
      <c r="A4450" t="s">
        <v>7780</v>
      </c>
      <c r="B4450">
        <v>4450</v>
      </c>
    </row>
    <row r="4451" spans="1:2" x14ac:dyDescent="0.25">
      <c r="A4451" t="s">
        <v>7772</v>
      </c>
      <c r="B4451">
        <v>4451</v>
      </c>
    </row>
    <row r="4452" spans="1:2" x14ac:dyDescent="0.25">
      <c r="A4452" t="s">
        <v>7767</v>
      </c>
      <c r="B4452">
        <v>4452</v>
      </c>
    </row>
    <row r="4453" spans="1:2" x14ac:dyDescent="0.25">
      <c r="A4453" t="s">
        <v>7777</v>
      </c>
      <c r="B4453">
        <v>4453</v>
      </c>
    </row>
    <row r="4454" spans="1:2" x14ac:dyDescent="0.25">
      <c r="A4454" t="s">
        <v>7774</v>
      </c>
      <c r="B4454">
        <v>4454</v>
      </c>
    </row>
    <row r="4455" spans="1:2" x14ac:dyDescent="0.25">
      <c r="A4455" t="s">
        <v>7778</v>
      </c>
      <c r="B4455">
        <v>4455</v>
      </c>
    </row>
    <row r="4456" spans="1:2" x14ac:dyDescent="0.25">
      <c r="A4456" t="s">
        <v>7796</v>
      </c>
      <c r="B4456">
        <v>4456</v>
      </c>
    </row>
    <row r="4457" spans="1:2" x14ac:dyDescent="0.25">
      <c r="A4457" t="s">
        <v>7803</v>
      </c>
      <c r="B4457">
        <v>4457</v>
      </c>
    </row>
    <row r="4458" spans="1:2" x14ac:dyDescent="0.25">
      <c r="A4458" t="s">
        <v>7799</v>
      </c>
      <c r="B4458">
        <v>4458</v>
      </c>
    </row>
    <row r="4459" spans="1:2" x14ac:dyDescent="0.25">
      <c r="A4459" t="s">
        <v>7805</v>
      </c>
      <c r="B4459">
        <v>4459</v>
      </c>
    </row>
    <row r="4460" spans="1:2" x14ac:dyDescent="0.25">
      <c r="A4460" t="s">
        <v>7800</v>
      </c>
      <c r="B4460">
        <v>4460</v>
      </c>
    </row>
    <row r="4461" spans="1:2" x14ac:dyDescent="0.25">
      <c r="A4461" t="s">
        <v>7801</v>
      </c>
      <c r="B4461">
        <v>4461</v>
      </c>
    </row>
    <row r="4462" spans="1:2" x14ac:dyDescent="0.25">
      <c r="A4462" t="s">
        <v>7798</v>
      </c>
      <c r="B4462">
        <v>4462</v>
      </c>
    </row>
    <row r="4463" spans="1:2" x14ac:dyDescent="0.25">
      <c r="A4463" t="s">
        <v>7809</v>
      </c>
      <c r="B4463">
        <v>4463</v>
      </c>
    </row>
    <row r="4464" spans="1:2" x14ac:dyDescent="0.25">
      <c r="A4464" t="s">
        <v>7806</v>
      </c>
      <c r="B4464">
        <v>4464</v>
      </c>
    </row>
    <row r="4465" spans="1:2" x14ac:dyDescent="0.25">
      <c r="A4465" t="s">
        <v>7810</v>
      </c>
      <c r="B4465">
        <v>4465</v>
      </c>
    </row>
    <row r="4466" spans="1:2" x14ac:dyDescent="0.25">
      <c r="A4466" t="s">
        <v>7802</v>
      </c>
      <c r="B4466">
        <v>4466</v>
      </c>
    </row>
    <row r="4467" spans="1:2" x14ac:dyDescent="0.25">
      <c r="A4467" t="s">
        <v>7797</v>
      </c>
      <c r="B4467">
        <v>4467</v>
      </c>
    </row>
    <row r="4468" spans="1:2" x14ac:dyDescent="0.25">
      <c r="A4468" t="s">
        <v>7807</v>
      </c>
      <c r="B4468">
        <v>4468</v>
      </c>
    </row>
    <row r="4469" spans="1:2" x14ac:dyDescent="0.25">
      <c r="A4469" t="s">
        <v>7804</v>
      </c>
      <c r="B4469">
        <v>4469</v>
      </c>
    </row>
    <row r="4470" spans="1:2" x14ac:dyDescent="0.25">
      <c r="A4470" t="s">
        <v>7808</v>
      </c>
      <c r="B4470">
        <v>4470</v>
      </c>
    </row>
    <row r="4471" spans="1:2" x14ac:dyDescent="0.25">
      <c r="A4471" t="s">
        <v>7826</v>
      </c>
      <c r="B4471">
        <v>4471</v>
      </c>
    </row>
    <row r="4472" spans="1:2" x14ac:dyDescent="0.25">
      <c r="A4472" t="s">
        <v>7833</v>
      </c>
      <c r="B4472">
        <v>4472</v>
      </c>
    </row>
    <row r="4473" spans="1:2" x14ac:dyDescent="0.25">
      <c r="A4473" t="s">
        <v>7829</v>
      </c>
      <c r="B4473">
        <v>4473</v>
      </c>
    </row>
    <row r="4474" spans="1:2" x14ac:dyDescent="0.25">
      <c r="A4474" t="s">
        <v>7835</v>
      </c>
      <c r="B4474">
        <v>4474</v>
      </c>
    </row>
    <row r="4475" spans="1:2" x14ac:dyDescent="0.25">
      <c r="A4475" t="s">
        <v>7830</v>
      </c>
      <c r="B4475">
        <v>4475</v>
      </c>
    </row>
    <row r="4476" spans="1:2" x14ac:dyDescent="0.25">
      <c r="A4476" t="s">
        <v>7831</v>
      </c>
      <c r="B4476">
        <v>4476</v>
      </c>
    </row>
    <row r="4477" spans="1:2" x14ac:dyDescent="0.25">
      <c r="A4477" t="s">
        <v>7828</v>
      </c>
      <c r="B4477">
        <v>4477</v>
      </c>
    </row>
    <row r="4478" spans="1:2" x14ac:dyDescent="0.25">
      <c r="A4478" t="s">
        <v>7839</v>
      </c>
      <c r="B4478">
        <v>4478</v>
      </c>
    </row>
    <row r="4479" spans="1:2" x14ac:dyDescent="0.25">
      <c r="A4479" t="s">
        <v>7836</v>
      </c>
      <c r="B4479">
        <v>4479</v>
      </c>
    </row>
    <row r="4480" spans="1:2" x14ac:dyDescent="0.25">
      <c r="A4480" t="s">
        <v>7840</v>
      </c>
      <c r="B4480">
        <v>4480</v>
      </c>
    </row>
    <row r="4481" spans="1:2" x14ac:dyDescent="0.25">
      <c r="A4481" t="s">
        <v>7832</v>
      </c>
      <c r="B4481">
        <v>4481</v>
      </c>
    </row>
    <row r="4482" spans="1:2" x14ac:dyDescent="0.25">
      <c r="A4482" t="s">
        <v>7827</v>
      </c>
      <c r="B4482">
        <v>4482</v>
      </c>
    </row>
    <row r="4483" spans="1:2" x14ac:dyDescent="0.25">
      <c r="A4483" t="s">
        <v>7837</v>
      </c>
      <c r="B4483">
        <v>4483</v>
      </c>
    </row>
    <row r="4484" spans="1:2" x14ac:dyDescent="0.25">
      <c r="A4484" t="s">
        <v>7834</v>
      </c>
      <c r="B4484">
        <v>4484</v>
      </c>
    </row>
    <row r="4485" spans="1:2" x14ac:dyDescent="0.25">
      <c r="A4485" t="s">
        <v>7838</v>
      </c>
      <c r="B4485">
        <v>4485</v>
      </c>
    </row>
    <row r="4486" spans="1:2" x14ac:dyDescent="0.25">
      <c r="A4486" t="s">
        <v>7856</v>
      </c>
      <c r="B4486">
        <v>4486</v>
      </c>
    </row>
    <row r="4487" spans="1:2" x14ac:dyDescent="0.25">
      <c r="A4487" t="s">
        <v>7863</v>
      </c>
      <c r="B4487">
        <v>4487</v>
      </c>
    </row>
    <row r="4488" spans="1:2" x14ac:dyDescent="0.25">
      <c r="A4488" t="s">
        <v>7859</v>
      </c>
      <c r="B4488">
        <v>4488</v>
      </c>
    </row>
    <row r="4489" spans="1:2" x14ac:dyDescent="0.25">
      <c r="A4489" t="s">
        <v>7865</v>
      </c>
      <c r="B4489">
        <v>4489</v>
      </c>
    </row>
    <row r="4490" spans="1:2" x14ac:dyDescent="0.25">
      <c r="A4490" t="s">
        <v>7860</v>
      </c>
      <c r="B4490">
        <v>4490</v>
      </c>
    </row>
    <row r="4491" spans="1:2" x14ac:dyDescent="0.25">
      <c r="A4491" t="s">
        <v>7861</v>
      </c>
      <c r="B4491">
        <v>4491</v>
      </c>
    </row>
    <row r="4492" spans="1:2" x14ac:dyDescent="0.25">
      <c r="A4492" t="s">
        <v>7858</v>
      </c>
      <c r="B4492">
        <v>4492</v>
      </c>
    </row>
    <row r="4493" spans="1:2" x14ac:dyDescent="0.25">
      <c r="A4493" t="s">
        <v>7869</v>
      </c>
      <c r="B4493">
        <v>4493</v>
      </c>
    </row>
    <row r="4494" spans="1:2" x14ac:dyDescent="0.25">
      <c r="A4494" t="s">
        <v>7866</v>
      </c>
      <c r="B4494">
        <v>4494</v>
      </c>
    </row>
    <row r="4495" spans="1:2" x14ac:dyDescent="0.25">
      <c r="A4495" t="s">
        <v>7870</v>
      </c>
      <c r="B4495">
        <v>4495</v>
      </c>
    </row>
    <row r="4496" spans="1:2" x14ac:dyDescent="0.25">
      <c r="A4496" t="s">
        <v>7862</v>
      </c>
      <c r="B4496">
        <v>4496</v>
      </c>
    </row>
    <row r="4497" spans="1:2" x14ac:dyDescent="0.25">
      <c r="A4497" t="s">
        <v>7857</v>
      </c>
      <c r="B4497">
        <v>4497</v>
      </c>
    </row>
    <row r="4498" spans="1:2" x14ac:dyDescent="0.25">
      <c r="A4498" t="s">
        <v>7867</v>
      </c>
      <c r="B4498">
        <v>4498</v>
      </c>
    </row>
    <row r="4499" spans="1:2" x14ac:dyDescent="0.25">
      <c r="A4499" t="s">
        <v>7864</v>
      </c>
      <c r="B4499">
        <v>4499</v>
      </c>
    </row>
    <row r="4500" spans="1:2" x14ac:dyDescent="0.25">
      <c r="A4500" t="s">
        <v>7868</v>
      </c>
      <c r="B4500">
        <v>4500</v>
      </c>
    </row>
    <row r="4501" spans="1:2" x14ac:dyDescent="0.25">
      <c r="A4501" t="s">
        <v>7886</v>
      </c>
      <c r="B4501">
        <v>4501</v>
      </c>
    </row>
    <row r="4502" spans="1:2" x14ac:dyDescent="0.25">
      <c r="A4502" t="s">
        <v>7893</v>
      </c>
      <c r="B4502">
        <v>4502</v>
      </c>
    </row>
    <row r="4503" spans="1:2" x14ac:dyDescent="0.25">
      <c r="A4503" t="s">
        <v>7889</v>
      </c>
      <c r="B4503">
        <v>4503</v>
      </c>
    </row>
    <row r="4504" spans="1:2" x14ac:dyDescent="0.25">
      <c r="A4504" t="s">
        <v>7895</v>
      </c>
      <c r="B4504">
        <v>4504</v>
      </c>
    </row>
    <row r="4505" spans="1:2" x14ac:dyDescent="0.25">
      <c r="A4505" t="s">
        <v>7890</v>
      </c>
      <c r="B4505">
        <v>4505</v>
      </c>
    </row>
    <row r="4506" spans="1:2" x14ac:dyDescent="0.25">
      <c r="A4506" t="s">
        <v>7891</v>
      </c>
      <c r="B4506">
        <v>4506</v>
      </c>
    </row>
    <row r="4507" spans="1:2" x14ac:dyDescent="0.25">
      <c r="A4507" t="s">
        <v>7888</v>
      </c>
      <c r="B4507">
        <v>4507</v>
      </c>
    </row>
    <row r="4508" spans="1:2" x14ac:dyDescent="0.25">
      <c r="A4508" t="s">
        <v>7899</v>
      </c>
      <c r="B4508">
        <v>4508</v>
      </c>
    </row>
    <row r="4509" spans="1:2" x14ac:dyDescent="0.25">
      <c r="A4509" t="s">
        <v>7896</v>
      </c>
      <c r="B4509">
        <v>4509</v>
      </c>
    </row>
    <row r="4510" spans="1:2" x14ac:dyDescent="0.25">
      <c r="A4510" t="s">
        <v>7900</v>
      </c>
      <c r="B4510">
        <v>4510</v>
      </c>
    </row>
    <row r="4511" spans="1:2" x14ac:dyDescent="0.25">
      <c r="A4511" t="s">
        <v>7892</v>
      </c>
      <c r="B4511">
        <v>4511</v>
      </c>
    </row>
    <row r="4512" spans="1:2" x14ac:dyDescent="0.25">
      <c r="A4512" t="s">
        <v>7887</v>
      </c>
      <c r="B4512">
        <v>4512</v>
      </c>
    </row>
    <row r="4513" spans="1:2" x14ac:dyDescent="0.25">
      <c r="A4513" t="s">
        <v>7897</v>
      </c>
      <c r="B4513">
        <v>4513</v>
      </c>
    </row>
    <row r="4514" spans="1:2" x14ac:dyDescent="0.25">
      <c r="A4514" t="s">
        <v>7894</v>
      </c>
      <c r="B4514">
        <v>4514</v>
      </c>
    </row>
    <row r="4515" spans="1:2" x14ac:dyDescent="0.25">
      <c r="A4515" t="s">
        <v>7898</v>
      </c>
      <c r="B4515">
        <v>4515</v>
      </c>
    </row>
    <row r="4516" spans="1:2" x14ac:dyDescent="0.25">
      <c r="A4516" t="s">
        <v>7916</v>
      </c>
      <c r="B4516">
        <v>4516</v>
      </c>
    </row>
    <row r="4517" spans="1:2" x14ac:dyDescent="0.25">
      <c r="A4517" t="s">
        <v>7923</v>
      </c>
      <c r="B4517">
        <v>4517</v>
      </c>
    </row>
    <row r="4518" spans="1:2" x14ac:dyDescent="0.25">
      <c r="A4518" t="s">
        <v>7919</v>
      </c>
      <c r="B4518">
        <v>4518</v>
      </c>
    </row>
    <row r="4519" spans="1:2" x14ac:dyDescent="0.25">
      <c r="A4519" t="s">
        <v>7925</v>
      </c>
      <c r="B4519">
        <v>4519</v>
      </c>
    </row>
    <row r="4520" spans="1:2" x14ac:dyDescent="0.25">
      <c r="A4520" t="s">
        <v>7920</v>
      </c>
      <c r="B4520">
        <v>4520</v>
      </c>
    </row>
    <row r="4521" spans="1:2" x14ac:dyDescent="0.25">
      <c r="A4521" t="s">
        <v>7921</v>
      </c>
      <c r="B4521">
        <v>4521</v>
      </c>
    </row>
    <row r="4522" spans="1:2" x14ac:dyDescent="0.25">
      <c r="A4522" t="s">
        <v>7918</v>
      </c>
      <c r="B4522">
        <v>4522</v>
      </c>
    </row>
    <row r="4523" spans="1:2" x14ac:dyDescent="0.25">
      <c r="A4523" t="s">
        <v>7929</v>
      </c>
      <c r="B4523">
        <v>4523</v>
      </c>
    </row>
    <row r="4524" spans="1:2" x14ac:dyDescent="0.25">
      <c r="A4524" t="s">
        <v>7926</v>
      </c>
      <c r="B4524">
        <v>4524</v>
      </c>
    </row>
    <row r="4525" spans="1:2" x14ac:dyDescent="0.25">
      <c r="A4525" t="s">
        <v>7930</v>
      </c>
      <c r="B4525">
        <v>4525</v>
      </c>
    </row>
    <row r="4526" spans="1:2" x14ac:dyDescent="0.25">
      <c r="A4526" t="s">
        <v>7922</v>
      </c>
      <c r="B4526">
        <v>4526</v>
      </c>
    </row>
    <row r="4527" spans="1:2" x14ac:dyDescent="0.25">
      <c r="A4527" t="s">
        <v>7917</v>
      </c>
      <c r="B4527">
        <v>4527</v>
      </c>
    </row>
    <row r="4528" spans="1:2" x14ac:dyDescent="0.25">
      <c r="A4528" t="s">
        <v>7927</v>
      </c>
      <c r="B4528">
        <v>4528</v>
      </c>
    </row>
    <row r="4529" spans="1:2" x14ac:dyDescent="0.25">
      <c r="A4529" t="s">
        <v>7924</v>
      </c>
      <c r="B4529">
        <v>4529</v>
      </c>
    </row>
    <row r="4530" spans="1:2" x14ac:dyDescent="0.25">
      <c r="A4530" t="s">
        <v>7928</v>
      </c>
      <c r="B4530">
        <v>4530</v>
      </c>
    </row>
    <row r="4531" spans="1:2" x14ac:dyDescent="0.25">
      <c r="A4531" t="s">
        <v>7946</v>
      </c>
      <c r="B4531">
        <v>4531</v>
      </c>
    </row>
    <row r="4532" spans="1:2" x14ac:dyDescent="0.25">
      <c r="A4532" t="s">
        <v>7953</v>
      </c>
      <c r="B4532">
        <v>4532</v>
      </c>
    </row>
    <row r="4533" spans="1:2" x14ac:dyDescent="0.25">
      <c r="A4533" t="s">
        <v>7949</v>
      </c>
      <c r="B4533">
        <v>4533</v>
      </c>
    </row>
    <row r="4534" spans="1:2" x14ac:dyDescent="0.25">
      <c r="A4534" t="s">
        <v>7955</v>
      </c>
      <c r="B4534">
        <v>4534</v>
      </c>
    </row>
    <row r="4535" spans="1:2" x14ac:dyDescent="0.25">
      <c r="A4535" t="s">
        <v>7950</v>
      </c>
      <c r="B4535">
        <v>4535</v>
      </c>
    </row>
    <row r="4536" spans="1:2" x14ac:dyDescent="0.25">
      <c r="A4536" t="s">
        <v>7951</v>
      </c>
      <c r="B4536">
        <v>4536</v>
      </c>
    </row>
    <row r="4537" spans="1:2" x14ac:dyDescent="0.25">
      <c r="A4537" t="s">
        <v>7948</v>
      </c>
      <c r="B4537">
        <v>4537</v>
      </c>
    </row>
    <row r="4538" spans="1:2" x14ac:dyDescent="0.25">
      <c r="A4538" t="s">
        <v>7959</v>
      </c>
      <c r="B4538">
        <v>4538</v>
      </c>
    </row>
    <row r="4539" spans="1:2" x14ac:dyDescent="0.25">
      <c r="A4539" t="s">
        <v>7956</v>
      </c>
      <c r="B4539">
        <v>4539</v>
      </c>
    </row>
    <row r="4540" spans="1:2" x14ac:dyDescent="0.25">
      <c r="A4540" t="s">
        <v>7960</v>
      </c>
      <c r="B4540">
        <v>4540</v>
      </c>
    </row>
    <row r="4541" spans="1:2" x14ac:dyDescent="0.25">
      <c r="A4541" t="s">
        <v>7952</v>
      </c>
      <c r="B4541">
        <v>4541</v>
      </c>
    </row>
    <row r="4542" spans="1:2" x14ac:dyDescent="0.25">
      <c r="A4542" t="s">
        <v>7947</v>
      </c>
      <c r="B4542">
        <v>4542</v>
      </c>
    </row>
    <row r="4543" spans="1:2" x14ac:dyDescent="0.25">
      <c r="A4543" t="s">
        <v>7957</v>
      </c>
      <c r="B4543">
        <v>4543</v>
      </c>
    </row>
    <row r="4544" spans="1:2" x14ac:dyDescent="0.25">
      <c r="A4544" t="s">
        <v>7954</v>
      </c>
      <c r="B4544">
        <v>4544</v>
      </c>
    </row>
    <row r="4545" spans="1:2" x14ac:dyDescent="0.25">
      <c r="A4545" t="s">
        <v>7958</v>
      </c>
      <c r="B4545">
        <v>4545</v>
      </c>
    </row>
    <row r="4546" spans="1:2" x14ac:dyDescent="0.25">
      <c r="A4546" t="s">
        <v>7976</v>
      </c>
      <c r="B4546">
        <v>4546</v>
      </c>
    </row>
    <row r="4547" spans="1:2" x14ac:dyDescent="0.25">
      <c r="A4547" t="s">
        <v>7983</v>
      </c>
      <c r="B4547">
        <v>4547</v>
      </c>
    </row>
    <row r="4548" spans="1:2" x14ac:dyDescent="0.25">
      <c r="A4548" t="s">
        <v>7979</v>
      </c>
      <c r="B4548">
        <v>4548</v>
      </c>
    </row>
    <row r="4549" spans="1:2" x14ac:dyDescent="0.25">
      <c r="A4549" t="s">
        <v>7985</v>
      </c>
      <c r="B4549">
        <v>4549</v>
      </c>
    </row>
    <row r="4550" spans="1:2" x14ac:dyDescent="0.25">
      <c r="A4550" t="s">
        <v>7980</v>
      </c>
      <c r="B4550">
        <v>4550</v>
      </c>
    </row>
    <row r="4551" spans="1:2" x14ac:dyDescent="0.25">
      <c r="A4551" t="s">
        <v>7981</v>
      </c>
      <c r="B4551">
        <v>4551</v>
      </c>
    </row>
    <row r="4552" spans="1:2" x14ac:dyDescent="0.25">
      <c r="A4552" t="s">
        <v>7978</v>
      </c>
      <c r="B4552">
        <v>4552</v>
      </c>
    </row>
    <row r="4553" spans="1:2" x14ac:dyDescent="0.25">
      <c r="A4553" t="s">
        <v>7989</v>
      </c>
      <c r="B4553">
        <v>4553</v>
      </c>
    </row>
    <row r="4554" spans="1:2" x14ac:dyDescent="0.25">
      <c r="A4554" t="s">
        <v>7986</v>
      </c>
      <c r="B4554">
        <v>4554</v>
      </c>
    </row>
    <row r="4555" spans="1:2" x14ac:dyDescent="0.25">
      <c r="A4555" t="s">
        <v>7990</v>
      </c>
      <c r="B4555">
        <v>4555</v>
      </c>
    </row>
    <row r="4556" spans="1:2" x14ac:dyDescent="0.25">
      <c r="A4556" t="s">
        <v>7982</v>
      </c>
      <c r="B4556">
        <v>4556</v>
      </c>
    </row>
    <row r="4557" spans="1:2" x14ac:dyDescent="0.25">
      <c r="A4557" t="s">
        <v>7977</v>
      </c>
      <c r="B4557">
        <v>4557</v>
      </c>
    </row>
    <row r="4558" spans="1:2" x14ac:dyDescent="0.25">
      <c r="A4558" t="s">
        <v>7987</v>
      </c>
      <c r="B4558">
        <v>4558</v>
      </c>
    </row>
    <row r="4559" spans="1:2" x14ac:dyDescent="0.25">
      <c r="A4559" t="s">
        <v>7984</v>
      </c>
      <c r="B4559">
        <v>4559</v>
      </c>
    </row>
    <row r="4560" spans="1:2" x14ac:dyDescent="0.25">
      <c r="A4560" t="s">
        <v>7988</v>
      </c>
      <c r="B4560">
        <v>4560</v>
      </c>
    </row>
    <row r="4561" spans="1:2" x14ac:dyDescent="0.25">
      <c r="A4561" t="s">
        <v>8006</v>
      </c>
      <c r="B4561">
        <v>4561</v>
      </c>
    </row>
    <row r="4562" spans="1:2" x14ac:dyDescent="0.25">
      <c r="A4562" t="s">
        <v>8013</v>
      </c>
      <c r="B4562">
        <v>4562</v>
      </c>
    </row>
    <row r="4563" spans="1:2" x14ac:dyDescent="0.25">
      <c r="A4563" t="s">
        <v>8009</v>
      </c>
      <c r="B4563">
        <v>4563</v>
      </c>
    </row>
    <row r="4564" spans="1:2" x14ac:dyDescent="0.25">
      <c r="A4564" t="s">
        <v>8015</v>
      </c>
      <c r="B4564">
        <v>4564</v>
      </c>
    </row>
    <row r="4565" spans="1:2" x14ac:dyDescent="0.25">
      <c r="A4565" t="s">
        <v>8010</v>
      </c>
      <c r="B4565">
        <v>4565</v>
      </c>
    </row>
    <row r="4566" spans="1:2" x14ac:dyDescent="0.25">
      <c r="A4566" t="s">
        <v>8011</v>
      </c>
      <c r="B4566">
        <v>4566</v>
      </c>
    </row>
    <row r="4567" spans="1:2" x14ac:dyDescent="0.25">
      <c r="A4567" t="s">
        <v>8008</v>
      </c>
      <c r="B4567">
        <v>4567</v>
      </c>
    </row>
    <row r="4568" spans="1:2" x14ac:dyDescent="0.25">
      <c r="A4568" t="s">
        <v>8019</v>
      </c>
      <c r="B4568">
        <v>4568</v>
      </c>
    </row>
    <row r="4569" spans="1:2" x14ac:dyDescent="0.25">
      <c r="A4569" t="s">
        <v>8016</v>
      </c>
      <c r="B4569">
        <v>4569</v>
      </c>
    </row>
    <row r="4570" spans="1:2" x14ac:dyDescent="0.25">
      <c r="A4570" t="s">
        <v>8020</v>
      </c>
      <c r="B4570">
        <v>4570</v>
      </c>
    </row>
    <row r="4571" spans="1:2" x14ac:dyDescent="0.25">
      <c r="A4571" t="s">
        <v>8012</v>
      </c>
      <c r="B4571">
        <v>4571</v>
      </c>
    </row>
    <row r="4572" spans="1:2" x14ac:dyDescent="0.25">
      <c r="A4572" t="s">
        <v>8007</v>
      </c>
      <c r="B4572">
        <v>4572</v>
      </c>
    </row>
    <row r="4573" spans="1:2" x14ac:dyDescent="0.25">
      <c r="A4573" t="s">
        <v>8017</v>
      </c>
      <c r="B4573">
        <v>4573</v>
      </c>
    </row>
    <row r="4574" spans="1:2" x14ac:dyDescent="0.25">
      <c r="A4574" t="s">
        <v>8014</v>
      </c>
      <c r="B4574">
        <v>4574</v>
      </c>
    </row>
    <row r="4575" spans="1:2" x14ac:dyDescent="0.25">
      <c r="A4575" t="s">
        <v>8018</v>
      </c>
      <c r="B4575">
        <v>4575</v>
      </c>
    </row>
    <row r="4576" spans="1:2" x14ac:dyDescent="0.25">
      <c r="A4576" t="s">
        <v>8036</v>
      </c>
      <c r="B4576">
        <v>4576</v>
      </c>
    </row>
    <row r="4577" spans="1:2" x14ac:dyDescent="0.25">
      <c r="A4577" t="s">
        <v>8043</v>
      </c>
      <c r="B4577">
        <v>4577</v>
      </c>
    </row>
    <row r="4578" spans="1:2" x14ac:dyDescent="0.25">
      <c r="A4578" t="s">
        <v>8039</v>
      </c>
      <c r="B4578">
        <v>4578</v>
      </c>
    </row>
    <row r="4579" spans="1:2" x14ac:dyDescent="0.25">
      <c r="A4579" t="s">
        <v>8045</v>
      </c>
      <c r="B4579">
        <v>4579</v>
      </c>
    </row>
    <row r="4580" spans="1:2" x14ac:dyDescent="0.25">
      <c r="A4580" t="s">
        <v>8040</v>
      </c>
      <c r="B4580">
        <v>4580</v>
      </c>
    </row>
    <row r="4581" spans="1:2" x14ac:dyDescent="0.25">
      <c r="A4581" t="s">
        <v>8041</v>
      </c>
      <c r="B4581">
        <v>4581</v>
      </c>
    </row>
    <row r="4582" spans="1:2" x14ac:dyDescent="0.25">
      <c r="A4582" t="s">
        <v>8038</v>
      </c>
      <c r="B4582">
        <v>4582</v>
      </c>
    </row>
    <row r="4583" spans="1:2" x14ac:dyDescent="0.25">
      <c r="A4583" t="s">
        <v>8049</v>
      </c>
      <c r="B4583">
        <v>4583</v>
      </c>
    </row>
    <row r="4584" spans="1:2" x14ac:dyDescent="0.25">
      <c r="A4584" t="s">
        <v>8046</v>
      </c>
      <c r="B4584">
        <v>4584</v>
      </c>
    </row>
    <row r="4585" spans="1:2" x14ac:dyDescent="0.25">
      <c r="A4585" t="s">
        <v>8050</v>
      </c>
      <c r="B4585">
        <v>4585</v>
      </c>
    </row>
    <row r="4586" spans="1:2" x14ac:dyDescent="0.25">
      <c r="A4586" t="s">
        <v>8042</v>
      </c>
      <c r="B4586">
        <v>4586</v>
      </c>
    </row>
    <row r="4587" spans="1:2" x14ac:dyDescent="0.25">
      <c r="A4587" t="s">
        <v>8037</v>
      </c>
      <c r="B4587">
        <v>4587</v>
      </c>
    </row>
    <row r="4588" spans="1:2" x14ac:dyDescent="0.25">
      <c r="A4588" t="s">
        <v>8047</v>
      </c>
      <c r="B4588">
        <v>4588</v>
      </c>
    </row>
    <row r="4589" spans="1:2" x14ac:dyDescent="0.25">
      <c r="A4589" t="s">
        <v>8044</v>
      </c>
      <c r="B4589">
        <v>4589</v>
      </c>
    </row>
    <row r="4590" spans="1:2" x14ac:dyDescent="0.25">
      <c r="A4590" t="s">
        <v>8048</v>
      </c>
      <c r="B4590">
        <v>4590</v>
      </c>
    </row>
    <row r="4591" spans="1:2" x14ac:dyDescent="0.25">
      <c r="A4591" t="s">
        <v>8066</v>
      </c>
      <c r="B4591">
        <v>4591</v>
      </c>
    </row>
    <row r="4592" spans="1:2" x14ac:dyDescent="0.25">
      <c r="A4592" t="s">
        <v>8073</v>
      </c>
      <c r="B4592">
        <v>4592</v>
      </c>
    </row>
    <row r="4593" spans="1:2" x14ac:dyDescent="0.25">
      <c r="A4593" t="s">
        <v>8069</v>
      </c>
      <c r="B4593">
        <v>4593</v>
      </c>
    </row>
    <row r="4594" spans="1:2" x14ac:dyDescent="0.25">
      <c r="A4594" t="s">
        <v>8075</v>
      </c>
      <c r="B4594">
        <v>4594</v>
      </c>
    </row>
    <row r="4595" spans="1:2" x14ac:dyDescent="0.25">
      <c r="A4595" t="s">
        <v>8070</v>
      </c>
      <c r="B4595">
        <v>4595</v>
      </c>
    </row>
    <row r="4596" spans="1:2" x14ac:dyDescent="0.25">
      <c r="A4596" t="s">
        <v>8071</v>
      </c>
      <c r="B4596">
        <v>4596</v>
      </c>
    </row>
    <row r="4597" spans="1:2" x14ac:dyDescent="0.25">
      <c r="A4597" t="s">
        <v>8068</v>
      </c>
      <c r="B4597">
        <v>4597</v>
      </c>
    </row>
    <row r="4598" spans="1:2" x14ac:dyDescent="0.25">
      <c r="A4598" t="s">
        <v>8079</v>
      </c>
      <c r="B4598">
        <v>4598</v>
      </c>
    </row>
    <row r="4599" spans="1:2" x14ac:dyDescent="0.25">
      <c r="A4599" t="s">
        <v>8076</v>
      </c>
      <c r="B4599">
        <v>4599</v>
      </c>
    </row>
    <row r="4600" spans="1:2" x14ac:dyDescent="0.25">
      <c r="A4600" t="s">
        <v>8080</v>
      </c>
      <c r="B4600">
        <v>4600</v>
      </c>
    </row>
    <row r="4601" spans="1:2" x14ac:dyDescent="0.25">
      <c r="A4601" t="s">
        <v>8072</v>
      </c>
      <c r="B4601">
        <v>4601</v>
      </c>
    </row>
    <row r="4602" spans="1:2" x14ac:dyDescent="0.25">
      <c r="A4602" t="s">
        <v>8067</v>
      </c>
      <c r="B4602">
        <v>4602</v>
      </c>
    </row>
    <row r="4603" spans="1:2" x14ac:dyDescent="0.25">
      <c r="A4603" t="s">
        <v>8077</v>
      </c>
      <c r="B4603">
        <v>4603</v>
      </c>
    </row>
    <row r="4604" spans="1:2" x14ac:dyDescent="0.25">
      <c r="A4604" t="s">
        <v>8074</v>
      </c>
      <c r="B4604">
        <v>4604</v>
      </c>
    </row>
    <row r="4605" spans="1:2" x14ac:dyDescent="0.25">
      <c r="A4605" t="s">
        <v>8078</v>
      </c>
      <c r="B4605">
        <v>4605</v>
      </c>
    </row>
    <row r="4606" spans="1:2" x14ac:dyDescent="0.25">
      <c r="A4606" t="s">
        <v>8096</v>
      </c>
      <c r="B4606">
        <v>4606</v>
      </c>
    </row>
    <row r="4607" spans="1:2" x14ac:dyDescent="0.25">
      <c r="A4607" t="s">
        <v>8103</v>
      </c>
      <c r="B4607">
        <v>4607</v>
      </c>
    </row>
    <row r="4608" spans="1:2" x14ac:dyDescent="0.25">
      <c r="A4608" t="s">
        <v>8099</v>
      </c>
      <c r="B4608">
        <v>4608</v>
      </c>
    </row>
    <row r="4609" spans="1:2" x14ac:dyDescent="0.25">
      <c r="A4609" t="s">
        <v>8105</v>
      </c>
      <c r="B4609">
        <v>4609</v>
      </c>
    </row>
    <row r="4610" spans="1:2" x14ac:dyDescent="0.25">
      <c r="A4610" t="s">
        <v>8100</v>
      </c>
      <c r="B4610">
        <v>4610</v>
      </c>
    </row>
    <row r="4611" spans="1:2" x14ac:dyDescent="0.25">
      <c r="A4611" t="s">
        <v>8101</v>
      </c>
      <c r="B4611">
        <v>4611</v>
      </c>
    </row>
    <row r="4612" spans="1:2" x14ac:dyDescent="0.25">
      <c r="A4612" t="s">
        <v>8098</v>
      </c>
      <c r="B4612">
        <v>4612</v>
      </c>
    </row>
    <row r="4613" spans="1:2" x14ac:dyDescent="0.25">
      <c r="A4613" t="s">
        <v>8109</v>
      </c>
      <c r="B4613">
        <v>4613</v>
      </c>
    </row>
    <row r="4614" spans="1:2" x14ac:dyDescent="0.25">
      <c r="A4614" t="s">
        <v>8106</v>
      </c>
      <c r="B4614">
        <v>4614</v>
      </c>
    </row>
    <row r="4615" spans="1:2" x14ac:dyDescent="0.25">
      <c r="A4615" t="s">
        <v>8110</v>
      </c>
      <c r="B4615">
        <v>4615</v>
      </c>
    </row>
    <row r="4616" spans="1:2" x14ac:dyDescent="0.25">
      <c r="A4616" t="s">
        <v>8102</v>
      </c>
      <c r="B4616">
        <v>4616</v>
      </c>
    </row>
    <row r="4617" spans="1:2" x14ac:dyDescent="0.25">
      <c r="A4617" t="s">
        <v>8097</v>
      </c>
      <c r="B4617">
        <v>4617</v>
      </c>
    </row>
    <row r="4618" spans="1:2" x14ac:dyDescent="0.25">
      <c r="A4618" t="s">
        <v>8107</v>
      </c>
      <c r="B4618">
        <v>4618</v>
      </c>
    </row>
    <row r="4619" spans="1:2" x14ac:dyDescent="0.25">
      <c r="A4619" t="s">
        <v>8104</v>
      </c>
      <c r="B4619">
        <v>4619</v>
      </c>
    </row>
    <row r="4620" spans="1:2" x14ac:dyDescent="0.25">
      <c r="A4620" t="s">
        <v>8108</v>
      </c>
      <c r="B4620">
        <v>4620</v>
      </c>
    </row>
    <row r="4621" spans="1:2" x14ac:dyDescent="0.25">
      <c r="A4621" t="s">
        <v>8126</v>
      </c>
      <c r="B4621">
        <v>4621</v>
      </c>
    </row>
    <row r="4622" spans="1:2" x14ac:dyDescent="0.25">
      <c r="A4622" t="s">
        <v>8133</v>
      </c>
      <c r="B4622">
        <v>4622</v>
      </c>
    </row>
    <row r="4623" spans="1:2" x14ac:dyDescent="0.25">
      <c r="A4623" t="s">
        <v>8129</v>
      </c>
      <c r="B4623">
        <v>4623</v>
      </c>
    </row>
    <row r="4624" spans="1:2" x14ac:dyDescent="0.25">
      <c r="A4624" t="s">
        <v>8135</v>
      </c>
      <c r="B4624">
        <v>4624</v>
      </c>
    </row>
    <row r="4625" spans="1:2" x14ac:dyDescent="0.25">
      <c r="A4625" t="s">
        <v>8130</v>
      </c>
      <c r="B4625">
        <v>4625</v>
      </c>
    </row>
    <row r="4626" spans="1:2" x14ac:dyDescent="0.25">
      <c r="A4626" t="s">
        <v>8131</v>
      </c>
      <c r="B4626">
        <v>4626</v>
      </c>
    </row>
    <row r="4627" spans="1:2" x14ac:dyDescent="0.25">
      <c r="A4627" t="s">
        <v>8128</v>
      </c>
      <c r="B4627">
        <v>4627</v>
      </c>
    </row>
    <row r="4628" spans="1:2" x14ac:dyDescent="0.25">
      <c r="A4628" t="s">
        <v>8139</v>
      </c>
      <c r="B4628">
        <v>4628</v>
      </c>
    </row>
    <row r="4629" spans="1:2" x14ac:dyDescent="0.25">
      <c r="A4629" t="s">
        <v>8136</v>
      </c>
      <c r="B4629">
        <v>4629</v>
      </c>
    </row>
    <row r="4630" spans="1:2" x14ac:dyDescent="0.25">
      <c r="A4630" t="s">
        <v>8140</v>
      </c>
      <c r="B4630">
        <v>4630</v>
      </c>
    </row>
    <row r="4631" spans="1:2" x14ac:dyDescent="0.25">
      <c r="A4631" t="s">
        <v>8132</v>
      </c>
      <c r="B4631">
        <v>4631</v>
      </c>
    </row>
    <row r="4632" spans="1:2" x14ac:dyDescent="0.25">
      <c r="A4632" t="s">
        <v>8127</v>
      </c>
      <c r="B4632">
        <v>4632</v>
      </c>
    </row>
    <row r="4633" spans="1:2" x14ac:dyDescent="0.25">
      <c r="A4633" t="s">
        <v>8137</v>
      </c>
      <c r="B4633">
        <v>4633</v>
      </c>
    </row>
    <row r="4634" spans="1:2" x14ac:dyDescent="0.25">
      <c r="A4634" t="s">
        <v>8134</v>
      </c>
      <c r="B4634">
        <v>4634</v>
      </c>
    </row>
    <row r="4635" spans="1:2" x14ac:dyDescent="0.25">
      <c r="A4635" t="s">
        <v>8138</v>
      </c>
      <c r="B4635">
        <v>4635</v>
      </c>
    </row>
    <row r="4636" spans="1:2" x14ac:dyDescent="0.25">
      <c r="A4636" t="s">
        <v>8156</v>
      </c>
      <c r="B4636">
        <v>4636</v>
      </c>
    </row>
    <row r="4637" spans="1:2" x14ac:dyDescent="0.25">
      <c r="A4637" t="s">
        <v>8163</v>
      </c>
      <c r="B4637">
        <v>4637</v>
      </c>
    </row>
    <row r="4638" spans="1:2" x14ac:dyDescent="0.25">
      <c r="A4638" t="s">
        <v>8159</v>
      </c>
      <c r="B4638">
        <v>4638</v>
      </c>
    </row>
    <row r="4639" spans="1:2" x14ac:dyDescent="0.25">
      <c r="A4639" t="s">
        <v>8165</v>
      </c>
      <c r="B4639">
        <v>4639</v>
      </c>
    </row>
    <row r="4640" spans="1:2" x14ac:dyDescent="0.25">
      <c r="A4640" t="s">
        <v>8160</v>
      </c>
      <c r="B4640">
        <v>4640</v>
      </c>
    </row>
    <row r="4641" spans="1:2" x14ac:dyDescent="0.25">
      <c r="A4641" t="s">
        <v>8161</v>
      </c>
      <c r="B4641">
        <v>4641</v>
      </c>
    </row>
    <row r="4642" spans="1:2" x14ac:dyDescent="0.25">
      <c r="A4642" t="s">
        <v>8158</v>
      </c>
      <c r="B4642">
        <v>4642</v>
      </c>
    </row>
    <row r="4643" spans="1:2" x14ac:dyDescent="0.25">
      <c r="A4643" t="s">
        <v>8169</v>
      </c>
      <c r="B4643">
        <v>4643</v>
      </c>
    </row>
    <row r="4644" spans="1:2" x14ac:dyDescent="0.25">
      <c r="A4644" t="s">
        <v>8166</v>
      </c>
      <c r="B4644">
        <v>4644</v>
      </c>
    </row>
    <row r="4645" spans="1:2" x14ac:dyDescent="0.25">
      <c r="A4645" t="s">
        <v>8170</v>
      </c>
      <c r="B4645">
        <v>4645</v>
      </c>
    </row>
    <row r="4646" spans="1:2" x14ac:dyDescent="0.25">
      <c r="A4646" t="s">
        <v>8162</v>
      </c>
      <c r="B4646">
        <v>4646</v>
      </c>
    </row>
    <row r="4647" spans="1:2" x14ac:dyDescent="0.25">
      <c r="A4647" t="s">
        <v>8157</v>
      </c>
      <c r="B4647">
        <v>4647</v>
      </c>
    </row>
    <row r="4648" spans="1:2" x14ac:dyDescent="0.25">
      <c r="A4648" t="s">
        <v>8167</v>
      </c>
      <c r="B4648">
        <v>4648</v>
      </c>
    </row>
    <row r="4649" spans="1:2" x14ac:dyDescent="0.25">
      <c r="A4649" t="s">
        <v>8164</v>
      </c>
      <c r="B4649">
        <v>4649</v>
      </c>
    </row>
    <row r="4650" spans="1:2" x14ac:dyDescent="0.25">
      <c r="A4650" t="s">
        <v>8168</v>
      </c>
      <c r="B4650">
        <v>4650</v>
      </c>
    </row>
    <row r="4651" spans="1:2" x14ac:dyDescent="0.25">
      <c r="A4651" t="s">
        <v>3313</v>
      </c>
      <c r="B4651">
        <v>4651</v>
      </c>
    </row>
    <row r="4652" spans="1:2" x14ac:dyDescent="0.25">
      <c r="A4652" t="s">
        <v>3343</v>
      </c>
      <c r="B4652">
        <v>4652</v>
      </c>
    </row>
    <row r="4653" spans="1:2" x14ac:dyDescent="0.25">
      <c r="A4653" t="s">
        <v>3373</v>
      </c>
      <c r="B4653">
        <v>4653</v>
      </c>
    </row>
    <row r="4654" spans="1:2" x14ac:dyDescent="0.25">
      <c r="A4654" t="s">
        <v>3403</v>
      </c>
      <c r="B4654">
        <v>4654</v>
      </c>
    </row>
    <row r="4655" spans="1:2" x14ac:dyDescent="0.25">
      <c r="A4655" t="s">
        <v>3433</v>
      </c>
      <c r="B4655">
        <v>4655</v>
      </c>
    </row>
    <row r="4656" spans="1:2" x14ac:dyDescent="0.25">
      <c r="A4656" t="s">
        <v>3463</v>
      </c>
      <c r="B4656">
        <v>4656</v>
      </c>
    </row>
    <row r="4657" spans="1:2" x14ac:dyDescent="0.25">
      <c r="A4657" t="s">
        <v>3493</v>
      </c>
      <c r="B4657">
        <v>4657</v>
      </c>
    </row>
    <row r="4658" spans="1:2" x14ac:dyDescent="0.25">
      <c r="A4658" t="s">
        <v>3523</v>
      </c>
      <c r="B4658">
        <v>4658</v>
      </c>
    </row>
    <row r="4659" spans="1:2" x14ac:dyDescent="0.25">
      <c r="A4659" t="s">
        <v>3553</v>
      </c>
      <c r="B4659">
        <v>4659</v>
      </c>
    </row>
    <row r="4660" spans="1:2" x14ac:dyDescent="0.25">
      <c r="A4660" t="s">
        <v>3583</v>
      </c>
      <c r="B4660">
        <v>4660</v>
      </c>
    </row>
    <row r="4661" spans="1:2" x14ac:dyDescent="0.25">
      <c r="A4661" t="s">
        <v>3613</v>
      </c>
      <c r="B4661">
        <v>4661</v>
      </c>
    </row>
    <row r="4662" spans="1:2" x14ac:dyDescent="0.25">
      <c r="A4662" t="s">
        <v>3643</v>
      </c>
      <c r="B4662">
        <v>4662</v>
      </c>
    </row>
    <row r="4663" spans="1:2" x14ac:dyDescent="0.25">
      <c r="A4663" t="s">
        <v>3673</v>
      </c>
      <c r="B4663">
        <v>4663</v>
      </c>
    </row>
    <row r="4664" spans="1:2" x14ac:dyDescent="0.25">
      <c r="A4664" t="s">
        <v>3703</v>
      </c>
      <c r="B4664">
        <v>4664</v>
      </c>
    </row>
    <row r="4665" spans="1:2" x14ac:dyDescent="0.25">
      <c r="A4665" t="s">
        <v>3733</v>
      </c>
      <c r="B4665">
        <v>4665</v>
      </c>
    </row>
    <row r="4666" spans="1:2" x14ac:dyDescent="0.25">
      <c r="A4666" t="s">
        <v>3763</v>
      </c>
      <c r="B4666">
        <v>4666</v>
      </c>
    </row>
    <row r="4667" spans="1:2" x14ac:dyDescent="0.25">
      <c r="A4667" t="s">
        <v>3793</v>
      </c>
      <c r="B4667">
        <v>4667</v>
      </c>
    </row>
    <row r="4668" spans="1:2" x14ac:dyDescent="0.25">
      <c r="A4668" t="s">
        <v>3823</v>
      </c>
      <c r="B4668">
        <v>4668</v>
      </c>
    </row>
    <row r="4669" spans="1:2" x14ac:dyDescent="0.25">
      <c r="A4669" t="s">
        <v>3853</v>
      </c>
      <c r="B4669">
        <v>4669</v>
      </c>
    </row>
    <row r="4670" spans="1:2" x14ac:dyDescent="0.25">
      <c r="A4670" t="s">
        <v>3883</v>
      </c>
      <c r="B4670">
        <v>4670</v>
      </c>
    </row>
    <row r="4671" spans="1:2" x14ac:dyDescent="0.25">
      <c r="A4671" t="s">
        <v>3913</v>
      </c>
      <c r="B4671">
        <v>4671</v>
      </c>
    </row>
    <row r="4672" spans="1:2" x14ac:dyDescent="0.25">
      <c r="A4672" t="s">
        <v>3943</v>
      </c>
      <c r="B4672">
        <v>4672</v>
      </c>
    </row>
    <row r="4673" spans="1:2" x14ac:dyDescent="0.25">
      <c r="A4673" t="s">
        <v>3973</v>
      </c>
      <c r="B4673">
        <v>4673</v>
      </c>
    </row>
    <row r="4674" spans="1:2" x14ac:dyDescent="0.25">
      <c r="A4674" t="s">
        <v>4003</v>
      </c>
      <c r="B4674">
        <v>4674</v>
      </c>
    </row>
    <row r="4675" spans="1:2" x14ac:dyDescent="0.25">
      <c r="A4675" t="s">
        <v>4033</v>
      </c>
      <c r="B4675">
        <v>4675</v>
      </c>
    </row>
    <row r="4676" spans="1:2" x14ac:dyDescent="0.25">
      <c r="A4676" t="s">
        <v>4063</v>
      </c>
      <c r="B4676">
        <v>4676</v>
      </c>
    </row>
    <row r="4677" spans="1:2" x14ac:dyDescent="0.25">
      <c r="A4677" t="s">
        <v>4093</v>
      </c>
      <c r="B4677">
        <v>4677</v>
      </c>
    </row>
    <row r="4678" spans="1:2" x14ac:dyDescent="0.25">
      <c r="A4678" t="s">
        <v>4122</v>
      </c>
      <c r="B4678">
        <v>4678</v>
      </c>
    </row>
    <row r="4679" spans="1:2" x14ac:dyDescent="0.25">
      <c r="A4679" t="s">
        <v>4122</v>
      </c>
      <c r="B4679">
        <v>4679</v>
      </c>
    </row>
    <row r="4680" spans="1:2" x14ac:dyDescent="0.25">
      <c r="A4680" t="s">
        <v>4152</v>
      </c>
      <c r="B4680">
        <v>4680</v>
      </c>
    </row>
    <row r="4681" spans="1:2" x14ac:dyDescent="0.25">
      <c r="A4681" t="s">
        <v>4182</v>
      </c>
      <c r="B4681">
        <v>4681</v>
      </c>
    </row>
    <row r="4682" spans="1:2" x14ac:dyDescent="0.25">
      <c r="A4682" t="s">
        <v>4212</v>
      </c>
      <c r="B4682">
        <v>4682</v>
      </c>
    </row>
    <row r="4683" spans="1:2" x14ac:dyDescent="0.25">
      <c r="A4683" t="s">
        <v>4242</v>
      </c>
      <c r="B4683">
        <v>4683</v>
      </c>
    </row>
    <row r="4684" spans="1:2" x14ac:dyDescent="0.25">
      <c r="A4684" t="s">
        <v>4272</v>
      </c>
      <c r="B4684">
        <v>4684</v>
      </c>
    </row>
    <row r="4685" spans="1:2" x14ac:dyDescent="0.25">
      <c r="A4685" t="s">
        <v>4302</v>
      </c>
      <c r="B4685">
        <v>4685</v>
      </c>
    </row>
    <row r="4686" spans="1:2" x14ac:dyDescent="0.25">
      <c r="A4686" t="s">
        <v>4332</v>
      </c>
      <c r="B4686">
        <v>4686</v>
      </c>
    </row>
    <row r="4687" spans="1:2" x14ac:dyDescent="0.25">
      <c r="A4687" t="s">
        <v>4362</v>
      </c>
      <c r="B4687">
        <v>4687</v>
      </c>
    </row>
    <row r="4688" spans="1:2" x14ac:dyDescent="0.25">
      <c r="A4688" t="s">
        <v>4392</v>
      </c>
      <c r="B4688">
        <v>4688</v>
      </c>
    </row>
    <row r="4689" spans="1:2" x14ac:dyDescent="0.25">
      <c r="A4689" t="s">
        <v>4422</v>
      </c>
      <c r="B4689">
        <v>4689</v>
      </c>
    </row>
    <row r="4690" spans="1:2" x14ac:dyDescent="0.25">
      <c r="A4690" t="s">
        <v>4452</v>
      </c>
      <c r="B4690">
        <v>4690</v>
      </c>
    </row>
    <row r="4691" spans="1:2" x14ac:dyDescent="0.25">
      <c r="A4691" t="s">
        <v>4482</v>
      </c>
      <c r="B4691">
        <v>4691</v>
      </c>
    </row>
    <row r="4692" spans="1:2" x14ac:dyDescent="0.25">
      <c r="A4692" t="s">
        <v>4512</v>
      </c>
      <c r="B4692">
        <v>4692</v>
      </c>
    </row>
    <row r="4693" spans="1:2" x14ac:dyDescent="0.25">
      <c r="A4693" t="s">
        <v>4542</v>
      </c>
      <c r="B4693">
        <v>4693</v>
      </c>
    </row>
    <row r="4694" spans="1:2" x14ac:dyDescent="0.25">
      <c r="A4694" t="s">
        <v>4570</v>
      </c>
      <c r="B4694">
        <v>4694</v>
      </c>
    </row>
    <row r="4695" spans="1:2" x14ac:dyDescent="0.25">
      <c r="A4695" t="s">
        <v>4570</v>
      </c>
      <c r="B4695">
        <v>4695</v>
      </c>
    </row>
    <row r="4696" spans="1:2" x14ac:dyDescent="0.25">
      <c r="A4696" t="s">
        <v>4599</v>
      </c>
      <c r="B4696">
        <v>4696</v>
      </c>
    </row>
    <row r="4697" spans="1:2" x14ac:dyDescent="0.25">
      <c r="A4697" t="s">
        <v>4629</v>
      </c>
      <c r="B4697">
        <v>4697</v>
      </c>
    </row>
    <row r="4698" spans="1:2" x14ac:dyDescent="0.25">
      <c r="A4698" t="s">
        <v>4659</v>
      </c>
      <c r="B4698">
        <v>4698</v>
      </c>
    </row>
    <row r="4699" spans="1:2" x14ac:dyDescent="0.25">
      <c r="A4699" t="s">
        <v>4689</v>
      </c>
      <c r="B4699">
        <v>4699</v>
      </c>
    </row>
    <row r="4700" spans="1:2" x14ac:dyDescent="0.25">
      <c r="A4700" t="s">
        <v>4719</v>
      </c>
      <c r="B4700">
        <v>4700</v>
      </c>
    </row>
    <row r="4701" spans="1:2" x14ac:dyDescent="0.25">
      <c r="A4701" t="s">
        <v>4746</v>
      </c>
      <c r="B4701">
        <v>4701</v>
      </c>
    </row>
    <row r="4702" spans="1:2" x14ac:dyDescent="0.25">
      <c r="A4702" t="s">
        <v>4746</v>
      </c>
      <c r="B4702">
        <v>4702</v>
      </c>
    </row>
    <row r="4703" spans="1:2" x14ac:dyDescent="0.25">
      <c r="A4703" t="s">
        <v>4774</v>
      </c>
      <c r="B4703">
        <v>4703</v>
      </c>
    </row>
    <row r="4704" spans="1:2" x14ac:dyDescent="0.25">
      <c r="A4704" t="s">
        <v>4804</v>
      </c>
      <c r="B4704">
        <v>4704</v>
      </c>
    </row>
    <row r="4705" spans="1:2" x14ac:dyDescent="0.25">
      <c r="A4705" t="s">
        <v>4834</v>
      </c>
      <c r="B4705">
        <v>4705</v>
      </c>
    </row>
    <row r="4706" spans="1:2" x14ac:dyDescent="0.25">
      <c r="A4706" t="s">
        <v>4864</v>
      </c>
      <c r="B4706">
        <v>4706</v>
      </c>
    </row>
    <row r="4707" spans="1:2" x14ac:dyDescent="0.25">
      <c r="A4707" t="s">
        <v>4894</v>
      </c>
      <c r="B4707">
        <v>4707</v>
      </c>
    </row>
    <row r="4708" spans="1:2" x14ac:dyDescent="0.25">
      <c r="A4708" t="s">
        <v>4924</v>
      </c>
      <c r="B4708">
        <v>4708</v>
      </c>
    </row>
    <row r="4709" spans="1:2" x14ac:dyDescent="0.25">
      <c r="A4709" t="s">
        <v>4954</v>
      </c>
      <c r="B4709">
        <v>4709</v>
      </c>
    </row>
    <row r="4710" spans="1:2" x14ac:dyDescent="0.25">
      <c r="A4710" t="s">
        <v>4984</v>
      </c>
      <c r="B4710">
        <v>4710</v>
      </c>
    </row>
    <row r="4711" spans="1:2" x14ac:dyDescent="0.25">
      <c r="A4711" t="s">
        <v>5014</v>
      </c>
      <c r="B4711">
        <v>4711</v>
      </c>
    </row>
    <row r="4712" spans="1:2" x14ac:dyDescent="0.25">
      <c r="A4712" t="s">
        <v>5044</v>
      </c>
      <c r="B4712">
        <v>4712</v>
      </c>
    </row>
    <row r="4713" spans="1:2" x14ac:dyDescent="0.25">
      <c r="A4713" t="s">
        <v>5070</v>
      </c>
      <c r="B4713">
        <v>4713</v>
      </c>
    </row>
    <row r="4714" spans="1:2" x14ac:dyDescent="0.25">
      <c r="A4714" t="s">
        <v>5070</v>
      </c>
      <c r="B4714">
        <v>4714</v>
      </c>
    </row>
    <row r="4715" spans="1:2" x14ac:dyDescent="0.25">
      <c r="A4715" t="s">
        <v>5092</v>
      </c>
      <c r="B4715">
        <v>4715</v>
      </c>
    </row>
    <row r="4716" spans="1:2" x14ac:dyDescent="0.25">
      <c r="A4716" t="s">
        <v>5092</v>
      </c>
      <c r="B4716">
        <v>4716</v>
      </c>
    </row>
    <row r="4717" spans="1:2" x14ac:dyDescent="0.25">
      <c r="A4717" t="s">
        <v>5112</v>
      </c>
      <c r="B4717">
        <v>4717</v>
      </c>
    </row>
    <row r="4718" spans="1:2" x14ac:dyDescent="0.25">
      <c r="A4718" t="s">
        <v>5112</v>
      </c>
      <c r="B4718">
        <v>4718</v>
      </c>
    </row>
    <row r="4719" spans="1:2" x14ac:dyDescent="0.25">
      <c r="A4719" t="s">
        <v>5137</v>
      </c>
      <c r="B4719">
        <v>4719</v>
      </c>
    </row>
    <row r="4720" spans="1:2" x14ac:dyDescent="0.25">
      <c r="A4720" t="s">
        <v>5167</v>
      </c>
      <c r="B4720">
        <v>4720</v>
      </c>
    </row>
    <row r="4721" spans="1:2" x14ac:dyDescent="0.25">
      <c r="A4721" t="s">
        <v>5197</v>
      </c>
      <c r="B4721">
        <v>4721</v>
      </c>
    </row>
    <row r="4722" spans="1:2" x14ac:dyDescent="0.25">
      <c r="A4722" t="s">
        <v>5227</v>
      </c>
      <c r="B4722">
        <v>4722</v>
      </c>
    </row>
    <row r="4723" spans="1:2" x14ac:dyDescent="0.25">
      <c r="A4723" t="s">
        <v>5257</v>
      </c>
      <c r="B4723">
        <v>4723</v>
      </c>
    </row>
    <row r="4724" spans="1:2" x14ac:dyDescent="0.25">
      <c r="A4724" t="s">
        <v>5287</v>
      </c>
      <c r="B4724">
        <v>4724</v>
      </c>
    </row>
    <row r="4725" spans="1:2" x14ac:dyDescent="0.25">
      <c r="A4725" t="s">
        <v>5317</v>
      </c>
      <c r="B4725">
        <v>4725</v>
      </c>
    </row>
    <row r="4726" spans="1:2" x14ac:dyDescent="0.25">
      <c r="A4726" t="s">
        <v>5347</v>
      </c>
      <c r="B4726">
        <v>4726</v>
      </c>
    </row>
    <row r="4727" spans="1:2" x14ac:dyDescent="0.25">
      <c r="A4727" t="s">
        <v>5377</v>
      </c>
      <c r="B4727">
        <v>4727</v>
      </c>
    </row>
    <row r="4728" spans="1:2" x14ac:dyDescent="0.25">
      <c r="A4728" t="s">
        <v>5407</v>
      </c>
      <c r="B4728">
        <v>4728</v>
      </c>
    </row>
    <row r="4729" spans="1:2" x14ac:dyDescent="0.25">
      <c r="A4729" t="s">
        <v>5437</v>
      </c>
      <c r="B4729">
        <v>4729</v>
      </c>
    </row>
    <row r="4730" spans="1:2" x14ac:dyDescent="0.25">
      <c r="A4730" t="s">
        <v>5467</v>
      </c>
      <c r="B4730">
        <v>4730</v>
      </c>
    </row>
    <row r="4731" spans="1:2" x14ac:dyDescent="0.25">
      <c r="A4731" t="s">
        <v>5497</v>
      </c>
      <c r="B4731">
        <v>4731</v>
      </c>
    </row>
    <row r="4732" spans="1:2" x14ac:dyDescent="0.25">
      <c r="A4732" t="s">
        <v>5527</v>
      </c>
      <c r="B4732">
        <v>4732</v>
      </c>
    </row>
    <row r="4733" spans="1:2" x14ac:dyDescent="0.25">
      <c r="A4733" t="s">
        <v>5557</v>
      </c>
      <c r="B4733">
        <v>4733</v>
      </c>
    </row>
    <row r="4734" spans="1:2" x14ac:dyDescent="0.25">
      <c r="A4734" t="s">
        <v>5587</v>
      </c>
      <c r="B4734">
        <v>4734</v>
      </c>
    </row>
    <row r="4735" spans="1:2" x14ac:dyDescent="0.25">
      <c r="A4735" t="s">
        <v>5617</v>
      </c>
      <c r="B4735">
        <v>4735</v>
      </c>
    </row>
    <row r="4736" spans="1:2" x14ac:dyDescent="0.25">
      <c r="A4736" t="s">
        <v>5647</v>
      </c>
      <c r="B4736">
        <v>4736</v>
      </c>
    </row>
    <row r="4737" spans="1:2" x14ac:dyDescent="0.25">
      <c r="A4737" t="s">
        <v>5677</v>
      </c>
      <c r="B4737">
        <v>4737</v>
      </c>
    </row>
    <row r="4738" spans="1:2" x14ac:dyDescent="0.25">
      <c r="A4738" t="s">
        <v>5707</v>
      </c>
      <c r="B4738">
        <v>4738</v>
      </c>
    </row>
    <row r="4739" spans="1:2" x14ac:dyDescent="0.25">
      <c r="A4739" t="s">
        <v>5737</v>
      </c>
      <c r="B4739">
        <v>4739</v>
      </c>
    </row>
    <row r="4740" spans="1:2" x14ac:dyDescent="0.25">
      <c r="A4740" t="s">
        <v>5767</v>
      </c>
      <c r="B4740">
        <v>4740</v>
      </c>
    </row>
    <row r="4741" spans="1:2" x14ac:dyDescent="0.25">
      <c r="A4741" t="s">
        <v>5797</v>
      </c>
      <c r="B4741">
        <v>4741</v>
      </c>
    </row>
    <row r="4742" spans="1:2" x14ac:dyDescent="0.25">
      <c r="A4742" t="s">
        <v>5827</v>
      </c>
      <c r="B4742">
        <v>4742</v>
      </c>
    </row>
    <row r="4743" spans="1:2" x14ac:dyDescent="0.25">
      <c r="A4743" t="s">
        <v>5857</v>
      </c>
      <c r="B4743">
        <v>4743</v>
      </c>
    </row>
    <row r="4744" spans="1:2" x14ac:dyDescent="0.25">
      <c r="A4744" t="s">
        <v>5887</v>
      </c>
      <c r="B4744">
        <v>4744</v>
      </c>
    </row>
    <row r="4745" spans="1:2" x14ac:dyDescent="0.25">
      <c r="A4745" t="s">
        <v>5917</v>
      </c>
      <c r="B4745">
        <v>4745</v>
      </c>
    </row>
    <row r="4746" spans="1:2" x14ac:dyDescent="0.25">
      <c r="A4746" t="s">
        <v>5947</v>
      </c>
      <c r="B4746">
        <v>4746</v>
      </c>
    </row>
    <row r="4747" spans="1:2" x14ac:dyDescent="0.25">
      <c r="A4747" t="s">
        <v>5977</v>
      </c>
      <c r="B4747">
        <v>4747</v>
      </c>
    </row>
    <row r="4748" spans="1:2" x14ac:dyDescent="0.25">
      <c r="A4748" t="s">
        <v>6007</v>
      </c>
      <c r="B4748">
        <v>4748</v>
      </c>
    </row>
    <row r="4749" spans="1:2" x14ac:dyDescent="0.25">
      <c r="A4749" t="s">
        <v>6037</v>
      </c>
      <c r="B4749">
        <v>4749</v>
      </c>
    </row>
    <row r="4750" spans="1:2" x14ac:dyDescent="0.25">
      <c r="A4750" t="s">
        <v>6060</v>
      </c>
      <c r="B4750">
        <v>4750</v>
      </c>
    </row>
    <row r="4751" spans="1:2" x14ac:dyDescent="0.25">
      <c r="A4751" t="s">
        <v>6060</v>
      </c>
      <c r="B4751">
        <v>4751</v>
      </c>
    </row>
    <row r="4752" spans="1:2" x14ac:dyDescent="0.25">
      <c r="A4752" t="s">
        <v>6084</v>
      </c>
      <c r="B4752">
        <v>4752</v>
      </c>
    </row>
    <row r="4753" spans="1:2" x14ac:dyDescent="0.25">
      <c r="A4753" t="s">
        <v>6114</v>
      </c>
      <c r="B4753">
        <v>4753</v>
      </c>
    </row>
    <row r="4754" spans="1:2" x14ac:dyDescent="0.25">
      <c r="A4754" t="s">
        <v>6144</v>
      </c>
      <c r="B4754">
        <v>4754</v>
      </c>
    </row>
    <row r="4755" spans="1:2" x14ac:dyDescent="0.25">
      <c r="A4755" t="s">
        <v>6174</v>
      </c>
      <c r="B4755">
        <v>4755</v>
      </c>
    </row>
    <row r="4756" spans="1:2" x14ac:dyDescent="0.25">
      <c r="A4756" t="s">
        <v>6204</v>
      </c>
      <c r="B4756">
        <v>4756</v>
      </c>
    </row>
    <row r="4757" spans="1:2" x14ac:dyDescent="0.25">
      <c r="A4757" t="s">
        <v>6234</v>
      </c>
      <c r="B4757">
        <v>4757</v>
      </c>
    </row>
    <row r="4758" spans="1:2" x14ac:dyDescent="0.25">
      <c r="A4758" t="s">
        <v>6264</v>
      </c>
      <c r="B4758">
        <v>4758</v>
      </c>
    </row>
    <row r="4759" spans="1:2" x14ac:dyDescent="0.25">
      <c r="A4759" t="s">
        <v>6294</v>
      </c>
      <c r="B4759">
        <v>4759</v>
      </c>
    </row>
    <row r="4760" spans="1:2" x14ac:dyDescent="0.25">
      <c r="A4760" t="s">
        <v>6324</v>
      </c>
      <c r="B4760">
        <v>4760</v>
      </c>
    </row>
    <row r="4761" spans="1:2" x14ac:dyDescent="0.25">
      <c r="A4761" t="s">
        <v>6354</v>
      </c>
      <c r="B4761">
        <v>4761</v>
      </c>
    </row>
    <row r="4762" spans="1:2" x14ac:dyDescent="0.25">
      <c r="A4762" t="s">
        <v>6384</v>
      </c>
      <c r="B4762">
        <v>4762</v>
      </c>
    </row>
    <row r="4763" spans="1:2" x14ac:dyDescent="0.25">
      <c r="A4763" t="s">
        <v>6414</v>
      </c>
      <c r="B4763">
        <v>4763</v>
      </c>
    </row>
    <row r="4764" spans="1:2" x14ac:dyDescent="0.25">
      <c r="A4764" t="s">
        <v>6444</v>
      </c>
      <c r="B4764">
        <v>4764</v>
      </c>
    </row>
    <row r="4765" spans="1:2" x14ac:dyDescent="0.25">
      <c r="A4765" t="s">
        <v>6474</v>
      </c>
      <c r="B4765">
        <v>4765</v>
      </c>
    </row>
    <row r="4766" spans="1:2" x14ac:dyDescent="0.25">
      <c r="A4766" t="s">
        <v>6504</v>
      </c>
      <c r="B4766">
        <v>4766</v>
      </c>
    </row>
    <row r="4767" spans="1:2" x14ac:dyDescent="0.25">
      <c r="A4767" t="s">
        <v>6534</v>
      </c>
      <c r="B4767">
        <v>4767</v>
      </c>
    </row>
    <row r="4768" spans="1:2" x14ac:dyDescent="0.25">
      <c r="A4768" t="s">
        <v>6564</v>
      </c>
      <c r="B4768">
        <v>4768</v>
      </c>
    </row>
    <row r="4769" spans="1:2" x14ac:dyDescent="0.25">
      <c r="A4769" t="s">
        <v>6594</v>
      </c>
      <c r="B4769">
        <v>4769</v>
      </c>
    </row>
    <row r="4770" spans="1:2" x14ac:dyDescent="0.25">
      <c r="A4770" t="s">
        <v>6616</v>
      </c>
      <c r="B4770">
        <v>4770</v>
      </c>
    </row>
    <row r="4771" spans="1:2" x14ac:dyDescent="0.25">
      <c r="A4771" t="s">
        <v>6616</v>
      </c>
      <c r="B4771">
        <v>4771</v>
      </c>
    </row>
    <row r="4772" spans="1:2" x14ac:dyDescent="0.25">
      <c r="A4772" t="s">
        <v>6639</v>
      </c>
      <c r="B4772">
        <v>4772</v>
      </c>
    </row>
    <row r="4773" spans="1:2" x14ac:dyDescent="0.25">
      <c r="A4773" t="s">
        <v>6669</v>
      </c>
      <c r="B4773">
        <v>4773</v>
      </c>
    </row>
    <row r="4774" spans="1:2" x14ac:dyDescent="0.25">
      <c r="A4774" t="s">
        <v>6699</v>
      </c>
      <c r="B4774">
        <v>4774</v>
      </c>
    </row>
    <row r="4775" spans="1:2" x14ac:dyDescent="0.25">
      <c r="A4775" t="s">
        <v>6729</v>
      </c>
      <c r="B4775">
        <v>4775</v>
      </c>
    </row>
    <row r="4776" spans="1:2" x14ac:dyDescent="0.25">
      <c r="A4776" t="s">
        <v>6759</v>
      </c>
      <c r="B4776">
        <v>4776</v>
      </c>
    </row>
    <row r="4777" spans="1:2" x14ac:dyDescent="0.25">
      <c r="A4777" t="s">
        <v>6789</v>
      </c>
      <c r="B4777">
        <v>4777</v>
      </c>
    </row>
    <row r="4778" spans="1:2" x14ac:dyDescent="0.25">
      <c r="A4778" t="s">
        <v>6819</v>
      </c>
      <c r="B4778">
        <v>4778</v>
      </c>
    </row>
    <row r="4779" spans="1:2" x14ac:dyDescent="0.25">
      <c r="A4779" t="s">
        <v>6849</v>
      </c>
      <c r="B4779">
        <v>4779</v>
      </c>
    </row>
    <row r="4780" spans="1:2" x14ac:dyDescent="0.25">
      <c r="A4780" t="s">
        <v>6870</v>
      </c>
      <c r="B4780">
        <v>4780</v>
      </c>
    </row>
    <row r="4781" spans="1:2" x14ac:dyDescent="0.25">
      <c r="A4781" t="s">
        <v>6870</v>
      </c>
      <c r="B4781">
        <v>4781</v>
      </c>
    </row>
    <row r="4782" spans="1:2" x14ac:dyDescent="0.25">
      <c r="A4782" t="s">
        <v>6892</v>
      </c>
      <c r="B4782">
        <v>4782</v>
      </c>
    </row>
    <row r="4783" spans="1:2" x14ac:dyDescent="0.25">
      <c r="A4783" t="s">
        <v>6922</v>
      </c>
      <c r="B4783">
        <v>4783</v>
      </c>
    </row>
    <row r="4784" spans="1:2" x14ac:dyDescent="0.25">
      <c r="A4784" t="s">
        <v>6952</v>
      </c>
      <c r="B4784">
        <v>4784</v>
      </c>
    </row>
    <row r="4785" spans="1:2" x14ac:dyDescent="0.25">
      <c r="A4785" t="s">
        <v>6982</v>
      </c>
      <c r="B4785">
        <v>4785</v>
      </c>
    </row>
    <row r="4786" spans="1:2" x14ac:dyDescent="0.25">
      <c r="A4786" t="s">
        <v>7012</v>
      </c>
      <c r="B4786">
        <v>4786</v>
      </c>
    </row>
    <row r="4787" spans="1:2" x14ac:dyDescent="0.25">
      <c r="A4787" t="s">
        <v>7042</v>
      </c>
      <c r="B4787">
        <v>4787</v>
      </c>
    </row>
    <row r="4788" spans="1:2" x14ac:dyDescent="0.25">
      <c r="A4788" t="s">
        <v>7072</v>
      </c>
      <c r="B4788">
        <v>4788</v>
      </c>
    </row>
    <row r="4789" spans="1:2" x14ac:dyDescent="0.25">
      <c r="A4789" t="s">
        <v>7102</v>
      </c>
      <c r="B4789">
        <v>4789</v>
      </c>
    </row>
    <row r="4790" spans="1:2" x14ac:dyDescent="0.25">
      <c r="A4790" t="s">
        <v>7122</v>
      </c>
      <c r="B4790">
        <v>4790</v>
      </c>
    </row>
    <row r="4791" spans="1:2" x14ac:dyDescent="0.25">
      <c r="A4791" t="s">
        <v>7122</v>
      </c>
      <c r="B4791">
        <v>4791</v>
      </c>
    </row>
    <row r="4792" spans="1:2" x14ac:dyDescent="0.25">
      <c r="A4792" t="s">
        <v>7143</v>
      </c>
      <c r="B4792">
        <v>4792</v>
      </c>
    </row>
    <row r="4793" spans="1:2" x14ac:dyDescent="0.25">
      <c r="A4793" t="s">
        <v>7173</v>
      </c>
      <c r="B4793">
        <v>4793</v>
      </c>
    </row>
    <row r="4794" spans="1:2" x14ac:dyDescent="0.25">
      <c r="A4794" t="s">
        <v>7203</v>
      </c>
      <c r="B4794">
        <v>4794</v>
      </c>
    </row>
    <row r="4795" spans="1:2" x14ac:dyDescent="0.25">
      <c r="A4795" t="s">
        <v>7233</v>
      </c>
      <c r="B4795">
        <v>4795</v>
      </c>
    </row>
    <row r="4796" spans="1:2" x14ac:dyDescent="0.25">
      <c r="A4796" t="s">
        <v>7263</v>
      </c>
      <c r="B4796">
        <v>4796</v>
      </c>
    </row>
    <row r="4797" spans="1:2" x14ac:dyDescent="0.25">
      <c r="A4797" t="s">
        <v>7282</v>
      </c>
      <c r="B4797">
        <v>4797</v>
      </c>
    </row>
    <row r="4798" spans="1:2" x14ac:dyDescent="0.25">
      <c r="A4798" t="s">
        <v>7282</v>
      </c>
      <c r="B4798">
        <v>4798</v>
      </c>
    </row>
    <row r="4799" spans="1:2" x14ac:dyDescent="0.25">
      <c r="A4799" t="s">
        <v>7302</v>
      </c>
      <c r="B4799">
        <v>4799</v>
      </c>
    </row>
    <row r="4800" spans="1:2" x14ac:dyDescent="0.25">
      <c r="A4800" t="s">
        <v>7332</v>
      </c>
      <c r="B4800">
        <v>4800</v>
      </c>
    </row>
    <row r="4801" spans="1:2" x14ac:dyDescent="0.25">
      <c r="A4801" t="s">
        <v>7362</v>
      </c>
      <c r="B4801">
        <v>4801</v>
      </c>
    </row>
    <row r="4802" spans="1:2" x14ac:dyDescent="0.25">
      <c r="A4802" t="s">
        <v>7392</v>
      </c>
      <c r="B4802">
        <v>4802</v>
      </c>
    </row>
    <row r="4803" spans="1:2" x14ac:dyDescent="0.25">
      <c r="A4803" t="s">
        <v>7422</v>
      </c>
      <c r="B4803">
        <v>4803</v>
      </c>
    </row>
    <row r="4804" spans="1:2" x14ac:dyDescent="0.25">
      <c r="A4804" t="s">
        <v>7452</v>
      </c>
      <c r="B4804">
        <v>4804</v>
      </c>
    </row>
    <row r="4805" spans="1:2" x14ac:dyDescent="0.25">
      <c r="A4805" t="s">
        <v>7482</v>
      </c>
      <c r="B4805">
        <v>4805</v>
      </c>
    </row>
    <row r="4806" spans="1:2" x14ac:dyDescent="0.25">
      <c r="A4806" t="s">
        <v>7512</v>
      </c>
      <c r="B4806">
        <v>4806</v>
      </c>
    </row>
    <row r="4807" spans="1:2" x14ac:dyDescent="0.25">
      <c r="A4807" t="s">
        <v>7542</v>
      </c>
      <c r="B4807">
        <v>4807</v>
      </c>
    </row>
    <row r="4808" spans="1:2" x14ac:dyDescent="0.25">
      <c r="A4808" t="s">
        <v>7572</v>
      </c>
      <c r="B4808">
        <v>4808</v>
      </c>
    </row>
    <row r="4809" spans="1:2" x14ac:dyDescent="0.25">
      <c r="A4809" t="s">
        <v>7602</v>
      </c>
      <c r="B4809">
        <v>4809</v>
      </c>
    </row>
    <row r="4810" spans="1:2" x14ac:dyDescent="0.25">
      <c r="A4810" t="s">
        <v>7632</v>
      </c>
      <c r="B4810">
        <v>4810</v>
      </c>
    </row>
    <row r="4811" spans="1:2" x14ac:dyDescent="0.25">
      <c r="A4811" t="s">
        <v>7662</v>
      </c>
      <c r="B4811">
        <v>4811</v>
      </c>
    </row>
    <row r="4812" spans="1:2" x14ac:dyDescent="0.25">
      <c r="A4812" t="s">
        <v>7692</v>
      </c>
      <c r="B4812">
        <v>4812</v>
      </c>
    </row>
    <row r="4813" spans="1:2" x14ac:dyDescent="0.25">
      <c r="A4813" t="s">
        <v>7722</v>
      </c>
      <c r="B4813">
        <v>4813</v>
      </c>
    </row>
    <row r="4814" spans="1:2" x14ac:dyDescent="0.25">
      <c r="A4814" t="s">
        <v>7752</v>
      </c>
      <c r="B4814">
        <v>4814</v>
      </c>
    </row>
    <row r="4815" spans="1:2" x14ac:dyDescent="0.25">
      <c r="A4815" t="s">
        <v>7782</v>
      </c>
      <c r="B4815">
        <v>4815</v>
      </c>
    </row>
    <row r="4816" spans="1:2" x14ac:dyDescent="0.25">
      <c r="A4816" t="s">
        <v>7812</v>
      </c>
      <c r="B4816">
        <v>4816</v>
      </c>
    </row>
    <row r="4817" spans="1:2" x14ac:dyDescent="0.25">
      <c r="A4817" t="s">
        <v>7842</v>
      </c>
      <c r="B4817">
        <v>4817</v>
      </c>
    </row>
    <row r="4818" spans="1:2" x14ac:dyDescent="0.25">
      <c r="A4818" t="s">
        <v>7872</v>
      </c>
      <c r="B4818">
        <v>4818</v>
      </c>
    </row>
    <row r="4819" spans="1:2" x14ac:dyDescent="0.25">
      <c r="A4819" t="s">
        <v>7902</v>
      </c>
      <c r="B4819">
        <v>4819</v>
      </c>
    </row>
    <row r="4820" spans="1:2" x14ac:dyDescent="0.25">
      <c r="A4820" t="s">
        <v>7932</v>
      </c>
      <c r="B4820">
        <v>4820</v>
      </c>
    </row>
    <row r="4821" spans="1:2" x14ac:dyDescent="0.25">
      <c r="A4821" t="s">
        <v>7962</v>
      </c>
      <c r="B4821">
        <v>4821</v>
      </c>
    </row>
    <row r="4822" spans="1:2" x14ac:dyDescent="0.25">
      <c r="A4822" t="s">
        <v>7992</v>
      </c>
      <c r="B4822">
        <v>4822</v>
      </c>
    </row>
    <row r="4823" spans="1:2" x14ac:dyDescent="0.25">
      <c r="A4823" t="s">
        <v>8022</v>
      </c>
      <c r="B4823">
        <v>4823</v>
      </c>
    </row>
    <row r="4824" spans="1:2" x14ac:dyDescent="0.25">
      <c r="A4824" t="s">
        <v>8052</v>
      </c>
      <c r="B4824">
        <v>4824</v>
      </c>
    </row>
    <row r="4825" spans="1:2" x14ac:dyDescent="0.25">
      <c r="A4825" t="s">
        <v>8082</v>
      </c>
      <c r="B4825">
        <v>4825</v>
      </c>
    </row>
    <row r="4826" spans="1:2" x14ac:dyDescent="0.25">
      <c r="A4826" t="s">
        <v>8112</v>
      </c>
      <c r="B4826">
        <v>4826</v>
      </c>
    </row>
    <row r="4827" spans="1:2" x14ac:dyDescent="0.25">
      <c r="A4827" t="s">
        <v>8142</v>
      </c>
      <c r="B4827">
        <v>4827</v>
      </c>
    </row>
    <row r="4828" spans="1:2" x14ac:dyDescent="0.25">
      <c r="A4828" t="s">
        <v>8172</v>
      </c>
      <c r="B4828">
        <v>4828</v>
      </c>
    </row>
    <row r="4829" spans="1:2" x14ac:dyDescent="0.25">
      <c r="A4829" t="s">
        <v>8186</v>
      </c>
      <c r="B4829">
        <v>4829</v>
      </c>
    </row>
    <row r="4830" spans="1:2" x14ac:dyDescent="0.25">
      <c r="A4830" t="s">
        <v>8186</v>
      </c>
      <c r="B4830">
        <v>4830</v>
      </c>
    </row>
    <row r="4831" spans="1:2" x14ac:dyDescent="0.25">
      <c r="A4831" t="s">
        <v>8188</v>
      </c>
      <c r="B4831">
        <v>4831</v>
      </c>
    </row>
    <row r="4832" spans="1:2" x14ac:dyDescent="0.25">
      <c r="A4832" t="s">
        <v>8188</v>
      </c>
      <c r="B4832">
        <v>4832</v>
      </c>
    </row>
    <row r="4833" spans="1:2" x14ac:dyDescent="0.25">
      <c r="A4833" t="s">
        <v>8214</v>
      </c>
      <c r="B4833">
        <v>4833</v>
      </c>
    </row>
    <row r="4834" spans="1:2" x14ac:dyDescent="0.25">
      <c r="A4834" t="s">
        <v>8244</v>
      </c>
      <c r="B4834">
        <v>4834</v>
      </c>
    </row>
    <row r="4835" spans="1:2" x14ac:dyDescent="0.25">
      <c r="A4835" t="s">
        <v>8274</v>
      </c>
      <c r="B4835">
        <v>4835</v>
      </c>
    </row>
    <row r="4836" spans="1:2" x14ac:dyDescent="0.25">
      <c r="A4836" t="s">
        <v>8304</v>
      </c>
      <c r="B4836">
        <v>4836</v>
      </c>
    </row>
    <row r="4837" spans="1:2" x14ac:dyDescent="0.25">
      <c r="A4837" t="s">
        <v>8334</v>
      </c>
      <c r="B4837">
        <v>4837</v>
      </c>
    </row>
    <row r="4838" spans="1:2" x14ac:dyDescent="0.25">
      <c r="A4838" t="s">
        <v>8364</v>
      </c>
      <c r="B4838">
        <v>4838</v>
      </c>
    </row>
    <row r="4839" spans="1:2" x14ac:dyDescent="0.25">
      <c r="A4839" t="s">
        <v>8394</v>
      </c>
      <c r="B4839">
        <v>4839</v>
      </c>
    </row>
    <row r="4840" spans="1:2" x14ac:dyDescent="0.25">
      <c r="A4840" t="s">
        <v>8424</v>
      </c>
      <c r="B4840">
        <v>4840</v>
      </c>
    </row>
    <row r="4841" spans="1:2" x14ac:dyDescent="0.25">
      <c r="A4841" t="s">
        <v>8454</v>
      </c>
      <c r="B4841">
        <v>4841</v>
      </c>
    </row>
    <row r="4842" spans="1:2" x14ac:dyDescent="0.25">
      <c r="A4842" t="s">
        <v>8484</v>
      </c>
      <c r="B4842">
        <v>4842</v>
      </c>
    </row>
    <row r="4843" spans="1:2" x14ac:dyDescent="0.25">
      <c r="A4843" t="s">
        <v>8514</v>
      </c>
      <c r="B4843">
        <v>4843</v>
      </c>
    </row>
    <row r="4844" spans="1:2" x14ac:dyDescent="0.25">
      <c r="A4844" t="s">
        <v>8544</v>
      </c>
      <c r="B4844">
        <v>4844</v>
      </c>
    </row>
    <row r="4845" spans="1:2" x14ac:dyDescent="0.25">
      <c r="A4845" t="s">
        <v>8574</v>
      </c>
      <c r="B4845">
        <v>4845</v>
      </c>
    </row>
    <row r="4846" spans="1:2" x14ac:dyDescent="0.25">
      <c r="A4846" t="s">
        <v>8604</v>
      </c>
      <c r="B4846">
        <v>4846</v>
      </c>
    </row>
    <row r="4847" spans="1:2" x14ac:dyDescent="0.25">
      <c r="A4847" t="s">
        <v>8634</v>
      </c>
      <c r="B4847">
        <v>4847</v>
      </c>
    </row>
    <row r="4848" spans="1:2" x14ac:dyDescent="0.25">
      <c r="A4848" t="s">
        <v>8187</v>
      </c>
      <c r="B4848">
        <v>4848</v>
      </c>
    </row>
    <row r="4849" spans="1:2" x14ac:dyDescent="0.25">
      <c r="A4849" t="s">
        <v>8187</v>
      </c>
      <c r="B4849">
        <v>4849</v>
      </c>
    </row>
    <row r="4850" spans="1:2" x14ac:dyDescent="0.25">
      <c r="A4850" t="s">
        <v>8667</v>
      </c>
      <c r="B4850">
        <v>4850</v>
      </c>
    </row>
    <row r="4851" spans="1:2" x14ac:dyDescent="0.25">
      <c r="A4851" t="s">
        <v>8697</v>
      </c>
      <c r="B4851">
        <v>4851</v>
      </c>
    </row>
    <row r="4852" spans="1:2" x14ac:dyDescent="0.25">
      <c r="A4852" t="s">
        <v>8727</v>
      </c>
      <c r="B4852">
        <v>4852</v>
      </c>
    </row>
    <row r="4853" spans="1:2" x14ac:dyDescent="0.25">
      <c r="A4853" t="s">
        <v>8757</v>
      </c>
      <c r="B4853">
        <v>4853</v>
      </c>
    </row>
    <row r="4854" spans="1:2" x14ac:dyDescent="0.25">
      <c r="A4854" t="s">
        <v>8787</v>
      </c>
      <c r="B4854">
        <v>4854</v>
      </c>
    </row>
    <row r="4855" spans="1:2" x14ac:dyDescent="0.25">
      <c r="A4855" t="s">
        <v>8817</v>
      </c>
      <c r="B4855">
        <v>4855</v>
      </c>
    </row>
    <row r="4856" spans="1:2" x14ac:dyDescent="0.25">
      <c r="A4856" t="s">
        <v>8847</v>
      </c>
      <c r="B4856">
        <v>4856</v>
      </c>
    </row>
    <row r="4857" spans="1:2" x14ac:dyDescent="0.25">
      <c r="A4857" t="s">
        <v>8877</v>
      </c>
      <c r="B4857">
        <v>4857</v>
      </c>
    </row>
    <row r="4858" spans="1:2" x14ac:dyDescent="0.25">
      <c r="A4858" t="s">
        <v>8189</v>
      </c>
      <c r="B4858">
        <v>4858</v>
      </c>
    </row>
    <row r="4859" spans="1:2" x14ac:dyDescent="0.25">
      <c r="A4859" t="s">
        <v>8189</v>
      </c>
      <c r="B4859">
        <v>4859</v>
      </c>
    </row>
    <row r="4860" spans="1:2" x14ac:dyDescent="0.25">
      <c r="A4860" t="s">
        <v>8908</v>
      </c>
      <c r="B4860">
        <v>4860</v>
      </c>
    </row>
    <row r="4861" spans="1:2" x14ac:dyDescent="0.25">
      <c r="A4861" t="s">
        <v>3323</v>
      </c>
      <c r="B4861">
        <v>4861</v>
      </c>
    </row>
    <row r="4862" spans="1:2" x14ac:dyDescent="0.25">
      <c r="A4862" t="s">
        <v>3353</v>
      </c>
      <c r="B4862">
        <v>4862</v>
      </c>
    </row>
    <row r="4863" spans="1:2" x14ac:dyDescent="0.25">
      <c r="A4863" t="s">
        <v>3383</v>
      </c>
      <c r="B4863">
        <v>4863</v>
      </c>
    </row>
    <row r="4864" spans="1:2" x14ac:dyDescent="0.25">
      <c r="A4864" t="s">
        <v>3413</v>
      </c>
      <c r="B4864">
        <v>4864</v>
      </c>
    </row>
    <row r="4865" spans="1:2" x14ac:dyDescent="0.25">
      <c r="A4865" t="s">
        <v>3443</v>
      </c>
      <c r="B4865">
        <v>4865</v>
      </c>
    </row>
    <row r="4866" spans="1:2" x14ac:dyDescent="0.25">
      <c r="A4866" t="s">
        <v>3473</v>
      </c>
      <c r="B4866">
        <v>4866</v>
      </c>
    </row>
    <row r="4867" spans="1:2" x14ac:dyDescent="0.25">
      <c r="A4867" t="s">
        <v>3503</v>
      </c>
      <c r="B4867">
        <v>4867</v>
      </c>
    </row>
    <row r="4868" spans="1:2" x14ac:dyDescent="0.25">
      <c r="A4868" t="s">
        <v>3533</v>
      </c>
      <c r="B4868">
        <v>4868</v>
      </c>
    </row>
    <row r="4869" spans="1:2" x14ac:dyDescent="0.25">
      <c r="A4869" t="s">
        <v>3563</v>
      </c>
      <c r="B4869">
        <v>4869</v>
      </c>
    </row>
    <row r="4870" spans="1:2" x14ac:dyDescent="0.25">
      <c r="A4870" t="s">
        <v>3593</v>
      </c>
      <c r="B4870">
        <v>4870</v>
      </c>
    </row>
    <row r="4871" spans="1:2" x14ac:dyDescent="0.25">
      <c r="A4871" t="s">
        <v>3623</v>
      </c>
      <c r="B4871">
        <v>4871</v>
      </c>
    </row>
    <row r="4872" spans="1:2" x14ac:dyDescent="0.25">
      <c r="A4872" t="s">
        <v>3653</v>
      </c>
      <c r="B4872">
        <v>4872</v>
      </c>
    </row>
    <row r="4873" spans="1:2" x14ac:dyDescent="0.25">
      <c r="A4873" t="s">
        <v>3683</v>
      </c>
      <c r="B4873">
        <v>4873</v>
      </c>
    </row>
    <row r="4874" spans="1:2" x14ac:dyDescent="0.25">
      <c r="A4874" t="s">
        <v>3713</v>
      </c>
      <c r="B4874">
        <v>4874</v>
      </c>
    </row>
    <row r="4875" spans="1:2" x14ac:dyDescent="0.25">
      <c r="A4875" t="s">
        <v>3743</v>
      </c>
      <c r="B4875">
        <v>4875</v>
      </c>
    </row>
    <row r="4876" spans="1:2" x14ac:dyDescent="0.25">
      <c r="A4876" t="s">
        <v>3773</v>
      </c>
      <c r="B4876">
        <v>4876</v>
      </c>
    </row>
    <row r="4877" spans="1:2" x14ac:dyDescent="0.25">
      <c r="A4877" t="s">
        <v>3803</v>
      </c>
      <c r="B4877">
        <v>4877</v>
      </c>
    </row>
    <row r="4878" spans="1:2" x14ac:dyDescent="0.25">
      <c r="A4878" t="s">
        <v>3833</v>
      </c>
      <c r="B4878">
        <v>4878</v>
      </c>
    </row>
    <row r="4879" spans="1:2" x14ac:dyDescent="0.25">
      <c r="A4879" t="s">
        <v>3863</v>
      </c>
      <c r="B4879">
        <v>4879</v>
      </c>
    </row>
    <row r="4880" spans="1:2" x14ac:dyDescent="0.25">
      <c r="A4880" t="s">
        <v>3893</v>
      </c>
      <c r="B4880">
        <v>4880</v>
      </c>
    </row>
    <row r="4881" spans="1:2" x14ac:dyDescent="0.25">
      <c r="A4881" t="s">
        <v>3923</v>
      </c>
      <c r="B4881">
        <v>4881</v>
      </c>
    </row>
    <row r="4882" spans="1:2" x14ac:dyDescent="0.25">
      <c r="A4882" t="s">
        <v>3953</v>
      </c>
      <c r="B4882">
        <v>4882</v>
      </c>
    </row>
    <row r="4883" spans="1:2" x14ac:dyDescent="0.25">
      <c r="A4883" t="s">
        <v>3983</v>
      </c>
      <c r="B4883">
        <v>4883</v>
      </c>
    </row>
    <row r="4884" spans="1:2" x14ac:dyDescent="0.25">
      <c r="A4884" t="s">
        <v>4013</v>
      </c>
      <c r="B4884">
        <v>4884</v>
      </c>
    </row>
    <row r="4885" spans="1:2" x14ac:dyDescent="0.25">
      <c r="A4885" t="s">
        <v>4043</v>
      </c>
      <c r="B4885">
        <v>4885</v>
      </c>
    </row>
    <row r="4886" spans="1:2" x14ac:dyDescent="0.25">
      <c r="A4886" t="s">
        <v>4073</v>
      </c>
      <c r="B4886">
        <v>4886</v>
      </c>
    </row>
    <row r="4887" spans="1:2" x14ac:dyDescent="0.25">
      <c r="A4887" t="s">
        <v>4103</v>
      </c>
      <c r="B4887">
        <v>4887</v>
      </c>
    </row>
    <row r="4888" spans="1:2" x14ac:dyDescent="0.25">
      <c r="A4888" t="s">
        <v>4132</v>
      </c>
      <c r="B4888">
        <v>4888</v>
      </c>
    </row>
    <row r="4889" spans="1:2" x14ac:dyDescent="0.25">
      <c r="A4889" t="s">
        <v>4132</v>
      </c>
      <c r="B4889">
        <v>4889</v>
      </c>
    </row>
    <row r="4890" spans="1:2" x14ac:dyDescent="0.25">
      <c r="A4890" t="s">
        <v>4162</v>
      </c>
      <c r="B4890">
        <v>4890</v>
      </c>
    </row>
    <row r="4891" spans="1:2" x14ac:dyDescent="0.25">
      <c r="A4891" t="s">
        <v>4192</v>
      </c>
      <c r="B4891">
        <v>4891</v>
      </c>
    </row>
    <row r="4892" spans="1:2" x14ac:dyDescent="0.25">
      <c r="A4892" t="s">
        <v>4222</v>
      </c>
      <c r="B4892">
        <v>4892</v>
      </c>
    </row>
    <row r="4893" spans="1:2" x14ac:dyDescent="0.25">
      <c r="A4893" t="s">
        <v>4252</v>
      </c>
      <c r="B4893">
        <v>4893</v>
      </c>
    </row>
    <row r="4894" spans="1:2" x14ac:dyDescent="0.25">
      <c r="A4894" t="s">
        <v>4282</v>
      </c>
      <c r="B4894">
        <v>4894</v>
      </c>
    </row>
    <row r="4895" spans="1:2" x14ac:dyDescent="0.25">
      <c r="A4895" t="s">
        <v>4312</v>
      </c>
      <c r="B4895">
        <v>4895</v>
      </c>
    </row>
    <row r="4896" spans="1:2" x14ac:dyDescent="0.25">
      <c r="A4896" t="s">
        <v>4342</v>
      </c>
      <c r="B4896">
        <v>4896</v>
      </c>
    </row>
    <row r="4897" spans="1:2" x14ac:dyDescent="0.25">
      <c r="A4897" t="s">
        <v>4372</v>
      </c>
      <c r="B4897">
        <v>4897</v>
      </c>
    </row>
    <row r="4898" spans="1:2" x14ac:dyDescent="0.25">
      <c r="A4898" t="s">
        <v>4402</v>
      </c>
      <c r="B4898">
        <v>4898</v>
      </c>
    </row>
    <row r="4899" spans="1:2" x14ac:dyDescent="0.25">
      <c r="A4899" t="s">
        <v>4432</v>
      </c>
      <c r="B4899">
        <v>4899</v>
      </c>
    </row>
    <row r="4900" spans="1:2" x14ac:dyDescent="0.25">
      <c r="A4900" t="s">
        <v>4462</v>
      </c>
      <c r="B4900">
        <v>4900</v>
      </c>
    </row>
    <row r="4901" spans="1:2" x14ac:dyDescent="0.25">
      <c r="A4901" t="s">
        <v>4492</v>
      </c>
      <c r="B4901">
        <v>4901</v>
      </c>
    </row>
    <row r="4902" spans="1:2" x14ac:dyDescent="0.25">
      <c r="A4902" t="s">
        <v>4522</v>
      </c>
      <c r="B4902">
        <v>4902</v>
      </c>
    </row>
    <row r="4903" spans="1:2" x14ac:dyDescent="0.25">
      <c r="A4903" t="s">
        <v>4552</v>
      </c>
      <c r="B4903">
        <v>4903</v>
      </c>
    </row>
    <row r="4904" spans="1:2" x14ac:dyDescent="0.25">
      <c r="A4904" t="s">
        <v>4579</v>
      </c>
      <c r="B4904">
        <v>4904</v>
      </c>
    </row>
    <row r="4905" spans="1:2" x14ac:dyDescent="0.25">
      <c r="A4905" t="s">
        <v>4579</v>
      </c>
      <c r="B4905">
        <v>4905</v>
      </c>
    </row>
    <row r="4906" spans="1:2" x14ac:dyDescent="0.25">
      <c r="A4906" t="s">
        <v>4609</v>
      </c>
      <c r="B4906">
        <v>4906</v>
      </c>
    </row>
    <row r="4907" spans="1:2" x14ac:dyDescent="0.25">
      <c r="A4907" t="s">
        <v>4639</v>
      </c>
      <c r="B4907">
        <v>4907</v>
      </c>
    </row>
    <row r="4908" spans="1:2" x14ac:dyDescent="0.25">
      <c r="A4908" t="s">
        <v>4669</v>
      </c>
      <c r="B4908">
        <v>4908</v>
      </c>
    </row>
    <row r="4909" spans="1:2" x14ac:dyDescent="0.25">
      <c r="A4909" t="s">
        <v>4699</v>
      </c>
      <c r="B4909">
        <v>4909</v>
      </c>
    </row>
    <row r="4910" spans="1:2" x14ac:dyDescent="0.25">
      <c r="A4910" t="s">
        <v>4729</v>
      </c>
      <c r="B4910">
        <v>4910</v>
      </c>
    </row>
    <row r="4911" spans="1:2" x14ac:dyDescent="0.25">
      <c r="A4911" t="s">
        <v>4754</v>
      </c>
      <c r="B4911">
        <v>4911</v>
      </c>
    </row>
    <row r="4912" spans="1:2" x14ac:dyDescent="0.25">
      <c r="A4912" t="s">
        <v>4754</v>
      </c>
      <c r="B4912">
        <v>4912</v>
      </c>
    </row>
    <row r="4913" spans="1:2" x14ac:dyDescent="0.25">
      <c r="A4913" t="s">
        <v>4784</v>
      </c>
      <c r="B4913">
        <v>4913</v>
      </c>
    </row>
    <row r="4914" spans="1:2" x14ac:dyDescent="0.25">
      <c r="A4914" t="s">
        <v>4814</v>
      </c>
      <c r="B4914">
        <v>4914</v>
      </c>
    </row>
    <row r="4915" spans="1:2" x14ac:dyDescent="0.25">
      <c r="A4915" t="s">
        <v>4844</v>
      </c>
      <c r="B4915">
        <v>4915</v>
      </c>
    </row>
    <row r="4916" spans="1:2" x14ac:dyDescent="0.25">
      <c r="A4916" t="s">
        <v>4874</v>
      </c>
      <c r="B4916">
        <v>4916</v>
      </c>
    </row>
    <row r="4917" spans="1:2" x14ac:dyDescent="0.25">
      <c r="A4917" t="s">
        <v>4904</v>
      </c>
      <c r="B4917">
        <v>4917</v>
      </c>
    </row>
    <row r="4918" spans="1:2" x14ac:dyDescent="0.25">
      <c r="A4918" t="s">
        <v>4934</v>
      </c>
      <c r="B4918">
        <v>4918</v>
      </c>
    </row>
    <row r="4919" spans="1:2" x14ac:dyDescent="0.25">
      <c r="A4919" t="s">
        <v>4964</v>
      </c>
      <c r="B4919">
        <v>4919</v>
      </c>
    </row>
    <row r="4920" spans="1:2" x14ac:dyDescent="0.25">
      <c r="A4920" t="s">
        <v>4994</v>
      </c>
      <c r="B4920">
        <v>4920</v>
      </c>
    </row>
    <row r="4921" spans="1:2" x14ac:dyDescent="0.25">
      <c r="A4921" t="s">
        <v>5024</v>
      </c>
      <c r="B4921">
        <v>4921</v>
      </c>
    </row>
    <row r="4922" spans="1:2" x14ac:dyDescent="0.25">
      <c r="A4922" t="s">
        <v>5054</v>
      </c>
      <c r="B4922">
        <v>4922</v>
      </c>
    </row>
    <row r="4923" spans="1:2" x14ac:dyDescent="0.25">
      <c r="A4923" t="s">
        <v>5077</v>
      </c>
      <c r="B4923">
        <v>4923</v>
      </c>
    </row>
    <row r="4924" spans="1:2" x14ac:dyDescent="0.25">
      <c r="A4924" t="s">
        <v>5077</v>
      </c>
      <c r="B4924">
        <v>4924</v>
      </c>
    </row>
    <row r="4925" spans="1:2" x14ac:dyDescent="0.25">
      <c r="A4925" t="s">
        <v>5098</v>
      </c>
      <c r="B4925">
        <v>4925</v>
      </c>
    </row>
    <row r="4926" spans="1:2" x14ac:dyDescent="0.25">
      <c r="A4926" t="s">
        <v>5098</v>
      </c>
      <c r="B4926">
        <v>4926</v>
      </c>
    </row>
    <row r="4927" spans="1:2" x14ac:dyDescent="0.25">
      <c r="A4927" t="s">
        <v>5117</v>
      </c>
      <c r="B4927">
        <v>4927</v>
      </c>
    </row>
    <row r="4928" spans="1:2" x14ac:dyDescent="0.25">
      <c r="A4928" t="s">
        <v>5117</v>
      </c>
      <c r="B4928">
        <v>4928</v>
      </c>
    </row>
    <row r="4929" spans="1:2" x14ac:dyDescent="0.25">
      <c r="A4929" t="s">
        <v>5147</v>
      </c>
      <c r="B4929">
        <v>4929</v>
      </c>
    </row>
    <row r="4930" spans="1:2" x14ac:dyDescent="0.25">
      <c r="A4930" t="s">
        <v>5177</v>
      </c>
      <c r="B4930">
        <v>4930</v>
      </c>
    </row>
    <row r="4931" spans="1:2" x14ac:dyDescent="0.25">
      <c r="A4931" t="s">
        <v>5207</v>
      </c>
      <c r="B4931">
        <v>4931</v>
      </c>
    </row>
    <row r="4932" spans="1:2" x14ac:dyDescent="0.25">
      <c r="A4932" t="s">
        <v>5237</v>
      </c>
      <c r="B4932">
        <v>4932</v>
      </c>
    </row>
    <row r="4933" spans="1:2" x14ac:dyDescent="0.25">
      <c r="A4933" t="s">
        <v>5267</v>
      </c>
      <c r="B4933">
        <v>4933</v>
      </c>
    </row>
    <row r="4934" spans="1:2" x14ac:dyDescent="0.25">
      <c r="A4934" t="s">
        <v>5297</v>
      </c>
      <c r="B4934">
        <v>4934</v>
      </c>
    </row>
    <row r="4935" spans="1:2" x14ac:dyDescent="0.25">
      <c r="A4935" t="s">
        <v>5327</v>
      </c>
      <c r="B4935">
        <v>4935</v>
      </c>
    </row>
    <row r="4936" spans="1:2" x14ac:dyDescent="0.25">
      <c r="A4936" t="s">
        <v>5357</v>
      </c>
      <c r="B4936">
        <v>4936</v>
      </c>
    </row>
    <row r="4937" spans="1:2" x14ac:dyDescent="0.25">
      <c r="A4937" t="s">
        <v>5387</v>
      </c>
      <c r="B4937">
        <v>4937</v>
      </c>
    </row>
    <row r="4938" spans="1:2" x14ac:dyDescent="0.25">
      <c r="A4938" t="s">
        <v>5417</v>
      </c>
      <c r="B4938">
        <v>4938</v>
      </c>
    </row>
    <row r="4939" spans="1:2" x14ac:dyDescent="0.25">
      <c r="A4939" t="s">
        <v>5447</v>
      </c>
      <c r="B4939">
        <v>4939</v>
      </c>
    </row>
    <row r="4940" spans="1:2" x14ac:dyDescent="0.25">
      <c r="A4940" t="s">
        <v>5477</v>
      </c>
      <c r="B4940">
        <v>4940</v>
      </c>
    </row>
    <row r="4941" spans="1:2" x14ac:dyDescent="0.25">
      <c r="A4941" t="s">
        <v>5507</v>
      </c>
      <c r="B4941">
        <v>4941</v>
      </c>
    </row>
    <row r="4942" spans="1:2" x14ac:dyDescent="0.25">
      <c r="A4942" t="s">
        <v>5537</v>
      </c>
      <c r="B4942">
        <v>4942</v>
      </c>
    </row>
    <row r="4943" spans="1:2" x14ac:dyDescent="0.25">
      <c r="A4943" t="s">
        <v>5567</v>
      </c>
      <c r="B4943">
        <v>4943</v>
      </c>
    </row>
    <row r="4944" spans="1:2" x14ac:dyDescent="0.25">
      <c r="A4944" t="s">
        <v>5597</v>
      </c>
      <c r="B4944">
        <v>4944</v>
      </c>
    </row>
    <row r="4945" spans="1:2" x14ac:dyDescent="0.25">
      <c r="A4945" t="s">
        <v>5627</v>
      </c>
      <c r="B4945">
        <v>4945</v>
      </c>
    </row>
    <row r="4946" spans="1:2" x14ac:dyDescent="0.25">
      <c r="A4946" t="s">
        <v>5657</v>
      </c>
      <c r="B4946">
        <v>4946</v>
      </c>
    </row>
    <row r="4947" spans="1:2" x14ac:dyDescent="0.25">
      <c r="A4947" t="s">
        <v>5687</v>
      </c>
      <c r="B4947">
        <v>4947</v>
      </c>
    </row>
    <row r="4948" spans="1:2" x14ac:dyDescent="0.25">
      <c r="A4948" t="s">
        <v>5717</v>
      </c>
      <c r="B4948">
        <v>4948</v>
      </c>
    </row>
    <row r="4949" spans="1:2" x14ac:dyDescent="0.25">
      <c r="A4949" t="s">
        <v>5747</v>
      </c>
      <c r="B4949">
        <v>4949</v>
      </c>
    </row>
    <row r="4950" spans="1:2" x14ac:dyDescent="0.25">
      <c r="A4950" t="s">
        <v>5777</v>
      </c>
      <c r="B4950">
        <v>4950</v>
      </c>
    </row>
    <row r="4951" spans="1:2" x14ac:dyDescent="0.25">
      <c r="A4951" t="s">
        <v>5807</v>
      </c>
      <c r="B4951">
        <v>4951</v>
      </c>
    </row>
    <row r="4952" spans="1:2" x14ac:dyDescent="0.25">
      <c r="A4952" t="s">
        <v>5837</v>
      </c>
      <c r="B4952">
        <v>4952</v>
      </c>
    </row>
    <row r="4953" spans="1:2" x14ac:dyDescent="0.25">
      <c r="A4953" t="s">
        <v>5867</v>
      </c>
      <c r="B4953">
        <v>4953</v>
      </c>
    </row>
    <row r="4954" spans="1:2" x14ac:dyDescent="0.25">
      <c r="A4954" t="s">
        <v>5897</v>
      </c>
      <c r="B4954">
        <v>4954</v>
      </c>
    </row>
    <row r="4955" spans="1:2" x14ac:dyDescent="0.25">
      <c r="A4955" t="s">
        <v>5927</v>
      </c>
      <c r="B4955">
        <v>4955</v>
      </c>
    </row>
    <row r="4956" spans="1:2" x14ac:dyDescent="0.25">
      <c r="A4956" t="s">
        <v>5957</v>
      </c>
      <c r="B4956">
        <v>4956</v>
      </c>
    </row>
    <row r="4957" spans="1:2" x14ac:dyDescent="0.25">
      <c r="A4957" t="s">
        <v>5987</v>
      </c>
      <c r="B4957">
        <v>4957</v>
      </c>
    </row>
    <row r="4958" spans="1:2" x14ac:dyDescent="0.25">
      <c r="A4958" t="s">
        <v>6017</v>
      </c>
      <c r="B4958">
        <v>4958</v>
      </c>
    </row>
    <row r="4959" spans="1:2" x14ac:dyDescent="0.25">
      <c r="A4959" t="s">
        <v>6047</v>
      </c>
      <c r="B4959">
        <v>4959</v>
      </c>
    </row>
    <row r="4960" spans="1:2" x14ac:dyDescent="0.25">
      <c r="A4960" t="s">
        <v>6064</v>
      </c>
      <c r="B4960">
        <v>4960</v>
      </c>
    </row>
    <row r="4961" spans="1:2" x14ac:dyDescent="0.25">
      <c r="A4961" t="s">
        <v>6064</v>
      </c>
      <c r="B4961">
        <v>4961</v>
      </c>
    </row>
    <row r="4962" spans="1:2" x14ac:dyDescent="0.25">
      <c r="A4962" t="s">
        <v>6094</v>
      </c>
      <c r="B4962">
        <v>4962</v>
      </c>
    </row>
    <row r="4963" spans="1:2" x14ac:dyDescent="0.25">
      <c r="A4963" t="s">
        <v>6124</v>
      </c>
      <c r="B4963">
        <v>4963</v>
      </c>
    </row>
    <row r="4964" spans="1:2" x14ac:dyDescent="0.25">
      <c r="A4964" t="s">
        <v>6154</v>
      </c>
      <c r="B4964">
        <v>4964</v>
      </c>
    </row>
    <row r="4965" spans="1:2" x14ac:dyDescent="0.25">
      <c r="A4965" t="s">
        <v>6184</v>
      </c>
      <c r="B4965">
        <v>4965</v>
      </c>
    </row>
    <row r="4966" spans="1:2" x14ac:dyDescent="0.25">
      <c r="A4966" t="s">
        <v>6214</v>
      </c>
      <c r="B4966">
        <v>4966</v>
      </c>
    </row>
    <row r="4967" spans="1:2" x14ac:dyDescent="0.25">
      <c r="A4967" t="s">
        <v>6244</v>
      </c>
      <c r="B4967">
        <v>4967</v>
      </c>
    </row>
    <row r="4968" spans="1:2" x14ac:dyDescent="0.25">
      <c r="A4968" t="s">
        <v>6274</v>
      </c>
      <c r="B4968">
        <v>4968</v>
      </c>
    </row>
    <row r="4969" spans="1:2" x14ac:dyDescent="0.25">
      <c r="A4969" t="s">
        <v>6304</v>
      </c>
      <c r="B4969">
        <v>4969</v>
      </c>
    </row>
    <row r="4970" spans="1:2" x14ac:dyDescent="0.25">
      <c r="A4970" t="s">
        <v>6334</v>
      </c>
      <c r="B4970">
        <v>4970</v>
      </c>
    </row>
    <row r="4971" spans="1:2" x14ac:dyDescent="0.25">
      <c r="A4971" t="s">
        <v>6364</v>
      </c>
      <c r="B4971">
        <v>4971</v>
      </c>
    </row>
    <row r="4972" spans="1:2" x14ac:dyDescent="0.25">
      <c r="A4972" t="s">
        <v>6394</v>
      </c>
      <c r="B4972">
        <v>4972</v>
      </c>
    </row>
    <row r="4973" spans="1:2" x14ac:dyDescent="0.25">
      <c r="A4973" t="s">
        <v>6424</v>
      </c>
      <c r="B4973">
        <v>4973</v>
      </c>
    </row>
    <row r="4974" spans="1:2" x14ac:dyDescent="0.25">
      <c r="A4974" t="s">
        <v>6454</v>
      </c>
      <c r="B4974">
        <v>4974</v>
      </c>
    </row>
    <row r="4975" spans="1:2" x14ac:dyDescent="0.25">
      <c r="A4975" t="s">
        <v>6484</v>
      </c>
      <c r="B4975">
        <v>4975</v>
      </c>
    </row>
    <row r="4976" spans="1:2" x14ac:dyDescent="0.25">
      <c r="A4976" t="s">
        <v>6514</v>
      </c>
      <c r="B4976">
        <v>4976</v>
      </c>
    </row>
    <row r="4977" spans="1:2" x14ac:dyDescent="0.25">
      <c r="A4977" t="s">
        <v>6544</v>
      </c>
      <c r="B4977">
        <v>4977</v>
      </c>
    </row>
    <row r="4978" spans="1:2" x14ac:dyDescent="0.25">
      <c r="A4978" t="s">
        <v>6574</v>
      </c>
      <c r="B4978">
        <v>4978</v>
      </c>
    </row>
    <row r="4979" spans="1:2" x14ac:dyDescent="0.25">
      <c r="A4979" t="s">
        <v>6604</v>
      </c>
      <c r="B4979">
        <v>4979</v>
      </c>
    </row>
    <row r="4980" spans="1:2" x14ac:dyDescent="0.25">
      <c r="A4980" t="s">
        <v>6620</v>
      </c>
      <c r="B4980">
        <v>4980</v>
      </c>
    </row>
    <row r="4981" spans="1:2" x14ac:dyDescent="0.25">
      <c r="A4981" t="s">
        <v>6620</v>
      </c>
      <c r="B4981">
        <v>4981</v>
      </c>
    </row>
    <row r="4982" spans="1:2" x14ac:dyDescent="0.25">
      <c r="A4982" t="s">
        <v>6649</v>
      </c>
      <c r="B4982">
        <v>4982</v>
      </c>
    </row>
    <row r="4983" spans="1:2" x14ac:dyDescent="0.25">
      <c r="A4983" t="s">
        <v>6679</v>
      </c>
      <c r="B4983">
        <v>4983</v>
      </c>
    </row>
    <row r="4984" spans="1:2" x14ac:dyDescent="0.25">
      <c r="A4984" t="s">
        <v>6709</v>
      </c>
      <c r="B4984">
        <v>4984</v>
      </c>
    </row>
    <row r="4985" spans="1:2" x14ac:dyDescent="0.25">
      <c r="A4985" t="s">
        <v>6739</v>
      </c>
      <c r="B4985">
        <v>4985</v>
      </c>
    </row>
    <row r="4986" spans="1:2" x14ac:dyDescent="0.25">
      <c r="A4986" t="s">
        <v>6769</v>
      </c>
      <c r="B4986">
        <v>4986</v>
      </c>
    </row>
    <row r="4987" spans="1:2" x14ac:dyDescent="0.25">
      <c r="A4987" t="s">
        <v>6799</v>
      </c>
      <c r="B4987">
        <v>4987</v>
      </c>
    </row>
    <row r="4988" spans="1:2" x14ac:dyDescent="0.25">
      <c r="A4988" t="s">
        <v>6829</v>
      </c>
      <c r="B4988">
        <v>4988</v>
      </c>
    </row>
    <row r="4989" spans="1:2" x14ac:dyDescent="0.25">
      <c r="A4989" t="s">
        <v>6859</v>
      </c>
      <c r="B4989">
        <v>4989</v>
      </c>
    </row>
    <row r="4990" spans="1:2" x14ac:dyDescent="0.25">
      <c r="A4990" t="s">
        <v>6873</v>
      </c>
      <c r="B4990">
        <v>4990</v>
      </c>
    </row>
    <row r="4991" spans="1:2" x14ac:dyDescent="0.25">
      <c r="A4991" t="s">
        <v>6873</v>
      </c>
      <c r="B4991">
        <v>4991</v>
      </c>
    </row>
    <row r="4992" spans="1:2" x14ac:dyDescent="0.25">
      <c r="A4992" t="s">
        <v>6902</v>
      </c>
      <c r="B4992">
        <v>4992</v>
      </c>
    </row>
    <row r="4993" spans="1:2" x14ac:dyDescent="0.25">
      <c r="A4993" t="s">
        <v>6932</v>
      </c>
      <c r="B4993">
        <v>4993</v>
      </c>
    </row>
    <row r="4994" spans="1:2" x14ac:dyDescent="0.25">
      <c r="A4994" t="s">
        <v>6962</v>
      </c>
      <c r="B4994">
        <v>4994</v>
      </c>
    </row>
    <row r="4995" spans="1:2" x14ac:dyDescent="0.25">
      <c r="A4995" t="s">
        <v>6992</v>
      </c>
      <c r="B4995">
        <v>4995</v>
      </c>
    </row>
    <row r="4996" spans="1:2" x14ac:dyDescent="0.25">
      <c r="A4996" t="s">
        <v>7022</v>
      </c>
      <c r="B4996">
        <v>4996</v>
      </c>
    </row>
    <row r="4997" spans="1:2" x14ac:dyDescent="0.25">
      <c r="A4997" t="s">
        <v>7052</v>
      </c>
      <c r="B4997">
        <v>4997</v>
      </c>
    </row>
    <row r="4998" spans="1:2" x14ac:dyDescent="0.25">
      <c r="A4998" t="s">
        <v>7082</v>
      </c>
      <c r="B4998">
        <v>4998</v>
      </c>
    </row>
    <row r="4999" spans="1:2" x14ac:dyDescent="0.25">
      <c r="A4999" t="s">
        <v>7112</v>
      </c>
      <c r="B4999">
        <v>4999</v>
      </c>
    </row>
    <row r="5000" spans="1:2" x14ac:dyDescent="0.25">
      <c r="A5000" t="s">
        <v>7125</v>
      </c>
      <c r="B5000">
        <v>5000</v>
      </c>
    </row>
    <row r="5001" spans="1:2" x14ac:dyDescent="0.25">
      <c r="A5001" t="s">
        <v>7125</v>
      </c>
      <c r="B5001">
        <v>5001</v>
      </c>
    </row>
    <row r="5002" spans="1:2" x14ac:dyDescent="0.25">
      <c r="A5002" t="s">
        <v>7153</v>
      </c>
      <c r="B5002">
        <v>5002</v>
      </c>
    </row>
    <row r="5003" spans="1:2" x14ac:dyDescent="0.25">
      <c r="A5003" t="s">
        <v>7183</v>
      </c>
      <c r="B5003">
        <v>5003</v>
      </c>
    </row>
    <row r="5004" spans="1:2" x14ac:dyDescent="0.25">
      <c r="A5004" t="s">
        <v>7213</v>
      </c>
      <c r="B5004">
        <v>5004</v>
      </c>
    </row>
    <row r="5005" spans="1:2" x14ac:dyDescent="0.25">
      <c r="A5005" t="s">
        <v>7243</v>
      </c>
      <c r="B5005">
        <v>5005</v>
      </c>
    </row>
    <row r="5006" spans="1:2" x14ac:dyDescent="0.25">
      <c r="A5006" t="s">
        <v>7273</v>
      </c>
      <c r="B5006">
        <v>5006</v>
      </c>
    </row>
    <row r="5007" spans="1:2" x14ac:dyDescent="0.25">
      <c r="A5007" t="s">
        <v>7284</v>
      </c>
      <c r="B5007">
        <v>5007</v>
      </c>
    </row>
    <row r="5008" spans="1:2" x14ac:dyDescent="0.25">
      <c r="A5008" t="s">
        <v>7284</v>
      </c>
      <c r="B5008">
        <v>5008</v>
      </c>
    </row>
    <row r="5009" spans="1:2" x14ac:dyDescent="0.25">
      <c r="A5009" t="s">
        <v>7312</v>
      </c>
      <c r="B5009">
        <v>5009</v>
      </c>
    </row>
    <row r="5010" spans="1:2" x14ac:dyDescent="0.25">
      <c r="A5010" t="s">
        <v>7342</v>
      </c>
      <c r="B5010">
        <v>5010</v>
      </c>
    </row>
    <row r="5011" spans="1:2" x14ac:dyDescent="0.25">
      <c r="A5011" t="s">
        <v>7372</v>
      </c>
      <c r="B5011">
        <v>5011</v>
      </c>
    </row>
    <row r="5012" spans="1:2" x14ac:dyDescent="0.25">
      <c r="A5012" t="s">
        <v>7402</v>
      </c>
      <c r="B5012">
        <v>5012</v>
      </c>
    </row>
    <row r="5013" spans="1:2" x14ac:dyDescent="0.25">
      <c r="A5013" t="s">
        <v>7432</v>
      </c>
      <c r="B5013">
        <v>5013</v>
      </c>
    </row>
    <row r="5014" spans="1:2" x14ac:dyDescent="0.25">
      <c r="A5014" t="s">
        <v>7462</v>
      </c>
      <c r="B5014">
        <v>5014</v>
      </c>
    </row>
    <row r="5015" spans="1:2" x14ac:dyDescent="0.25">
      <c r="A5015" t="s">
        <v>7492</v>
      </c>
      <c r="B5015">
        <v>5015</v>
      </c>
    </row>
    <row r="5016" spans="1:2" x14ac:dyDescent="0.25">
      <c r="A5016" t="s">
        <v>7522</v>
      </c>
      <c r="B5016">
        <v>5016</v>
      </c>
    </row>
    <row r="5017" spans="1:2" x14ac:dyDescent="0.25">
      <c r="A5017" t="s">
        <v>7552</v>
      </c>
      <c r="B5017">
        <v>5017</v>
      </c>
    </row>
    <row r="5018" spans="1:2" x14ac:dyDescent="0.25">
      <c r="A5018" t="s">
        <v>7582</v>
      </c>
      <c r="B5018">
        <v>5018</v>
      </c>
    </row>
    <row r="5019" spans="1:2" x14ac:dyDescent="0.25">
      <c r="A5019" t="s">
        <v>7612</v>
      </c>
      <c r="B5019">
        <v>5019</v>
      </c>
    </row>
    <row r="5020" spans="1:2" x14ac:dyDescent="0.25">
      <c r="A5020" t="s">
        <v>7642</v>
      </c>
      <c r="B5020">
        <v>5020</v>
      </c>
    </row>
    <row r="5021" spans="1:2" x14ac:dyDescent="0.25">
      <c r="A5021" t="s">
        <v>7672</v>
      </c>
      <c r="B5021">
        <v>5021</v>
      </c>
    </row>
    <row r="5022" spans="1:2" x14ac:dyDescent="0.25">
      <c r="A5022" t="s">
        <v>7702</v>
      </c>
      <c r="B5022">
        <v>5022</v>
      </c>
    </row>
    <row r="5023" spans="1:2" x14ac:dyDescent="0.25">
      <c r="A5023" t="s">
        <v>7732</v>
      </c>
      <c r="B5023">
        <v>5023</v>
      </c>
    </row>
    <row r="5024" spans="1:2" x14ac:dyDescent="0.25">
      <c r="A5024" t="s">
        <v>7762</v>
      </c>
      <c r="B5024">
        <v>5024</v>
      </c>
    </row>
    <row r="5025" spans="1:2" x14ac:dyDescent="0.25">
      <c r="A5025" t="s">
        <v>7792</v>
      </c>
      <c r="B5025">
        <v>5025</v>
      </c>
    </row>
    <row r="5026" spans="1:2" x14ac:dyDescent="0.25">
      <c r="A5026" t="s">
        <v>7822</v>
      </c>
      <c r="B5026">
        <v>5026</v>
      </c>
    </row>
    <row r="5027" spans="1:2" x14ac:dyDescent="0.25">
      <c r="A5027" t="s">
        <v>7852</v>
      </c>
      <c r="B5027">
        <v>5027</v>
      </c>
    </row>
    <row r="5028" spans="1:2" x14ac:dyDescent="0.25">
      <c r="A5028" t="s">
        <v>7882</v>
      </c>
      <c r="B5028">
        <v>5028</v>
      </c>
    </row>
    <row r="5029" spans="1:2" x14ac:dyDescent="0.25">
      <c r="A5029" t="s">
        <v>7912</v>
      </c>
      <c r="B5029">
        <v>5029</v>
      </c>
    </row>
    <row r="5030" spans="1:2" x14ac:dyDescent="0.25">
      <c r="A5030" t="s">
        <v>7942</v>
      </c>
      <c r="B5030">
        <v>5030</v>
      </c>
    </row>
    <row r="5031" spans="1:2" x14ac:dyDescent="0.25">
      <c r="A5031" t="s">
        <v>7972</v>
      </c>
      <c r="B5031">
        <v>5031</v>
      </c>
    </row>
    <row r="5032" spans="1:2" x14ac:dyDescent="0.25">
      <c r="A5032" t="s">
        <v>8002</v>
      </c>
      <c r="B5032">
        <v>5032</v>
      </c>
    </row>
    <row r="5033" spans="1:2" x14ac:dyDescent="0.25">
      <c r="A5033" t="s">
        <v>8032</v>
      </c>
      <c r="B5033">
        <v>5033</v>
      </c>
    </row>
    <row r="5034" spans="1:2" x14ac:dyDescent="0.25">
      <c r="A5034" t="s">
        <v>8062</v>
      </c>
      <c r="B5034">
        <v>5034</v>
      </c>
    </row>
    <row r="5035" spans="1:2" x14ac:dyDescent="0.25">
      <c r="A5035" t="s">
        <v>8092</v>
      </c>
      <c r="B5035">
        <v>5035</v>
      </c>
    </row>
    <row r="5036" spans="1:2" x14ac:dyDescent="0.25">
      <c r="A5036" t="s">
        <v>8122</v>
      </c>
      <c r="B5036">
        <v>5036</v>
      </c>
    </row>
    <row r="5037" spans="1:2" x14ac:dyDescent="0.25">
      <c r="A5037" t="s">
        <v>8152</v>
      </c>
      <c r="B5037">
        <v>5037</v>
      </c>
    </row>
    <row r="5038" spans="1:2" x14ac:dyDescent="0.25">
      <c r="A5038" t="s">
        <v>8182</v>
      </c>
      <c r="B5038">
        <v>5038</v>
      </c>
    </row>
    <row r="5039" spans="1:2" x14ac:dyDescent="0.25">
      <c r="A5039" t="s">
        <v>8191</v>
      </c>
      <c r="B5039">
        <v>5039</v>
      </c>
    </row>
    <row r="5040" spans="1:2" x14ac:dyDescent="0.25">
      <c r="A5040" t="s">
        <v>8191</v>
      </c>
      <c r="B5040">
        <v>5040</v>
      </c>
    </row>
    <row r="5041" spans="1:2" x14ac:dyDescent="0.25">
      <c r="A5041" t="s">
        <v>8194</v>
      </c>
      <c r="B5041">
        <v>5041</v>
      </c>
    </row>
    <row r="5042" spans="1:2" x14ac:dyDescent="0.25">
      <c r="A5042" t="s">
        <v>8194</v>
      </c>
      <c r="B5042">
        <v>5042</v>
      </c>
    </row>
    <row r="5043" spans="1:2" x14ac:dyDescent="0.25">
      <c r="A5043" t="s">
        <v>8224</v>
      </c>
      <c r="B5043">
        <v>5043</v>
      </c>
    </row>
    <row r="5044" spans="1:2" x14ac:dyDescent="0.25">
      <c r="A5044" t="s">
        <v>8254</v>
      </c>
      <c r="B5044">
        <v>5044</v>
      </c>
    </row>
    <row r="5045" spans="1:2" x14ac:dyDescent="0.25">
      <c r="A5045" t="s">
        <v>8284</v>
      </c>
      <c r="B5045">
        <v>5045</v>
      </c>
    </row>
    <row r="5046" spans="1:2" x14ac:dyDescent="0.25">
      <c r="A5046" t="s">
        <v>8314</v>
      </c>
      <c r="B5046">
        <v>5046</v>
      </c>
    </row>
    <row r="5047" spans="1:2" x14ac:dyDescent="0.25">
      <c r="A5047" t="s">
        <v>8344</v>
      </c>
      <c r="B5047">
        <v>5047</v>
      </c>
    </row>
    <row r="5048" spans="1:2" x14ac:dyDescent="0.25">
      <c r="A5048" t="s">
        <v>8374</v>
      </c>
      <c r="B5048">
        <v>5048</v>
      </c>
    </row>
    <row r="5049" spans="1:2" x14ac:dyDescent="0.25">
      <c r="A5049" t="s">
        <v>8404</v>
      </c>
      <c r="B5049">
        <v>5049</v>
      </c>
    </row>
    <row r="5050" spans="1:2" x14ac:dyDescent="0.25">
      <c r="A5050" t="s">
        <v>8434</v>
      </c>
      <c r="B5050">
        <v>5050</v>
      </c>
    </row>
    <row r="5051" spans="1:2" x14ac:dyDescent="0.25">
      <c r="A5051" t="s">
        <v>8464</v>
      </c>
      <c r="B5051">
        <v>5051</v>
      </c>
    </row>
    <row r="5052" spans="1:2" x14ac:dyDescent="0.25">
      <c r="A5052" t="s">
        <v>8494</v>
      </c>
      <c r="B5052">
        <v>5052</v>
      </c>
    </row>
    <row r="5053" spans="1:2" x14ac:dyDescent="0.25">
      <c r="A5053" t="s">
        <v>8524</v>
      </c>
      <c r="B5053">
        <v>5053</v>
      </c>
    </row>
    <row r="5054" spans="1:2" x14ac:dyDescent="0.25">
      <c r="A5054" t="s">
        <v>8554</v>
      </c>
      <c r="B5054">
        <v>5054</v>
      </c>
    </row>
    <row r="5055" spans="1:2" x14ac:dyDescent="0.25">
      <c r="A5055" t="s">
        <v>8584</v>
      </c>
      <c r="B5055">
        <v>5055</v>
      </c>
    </row>
    <row r="5056" spans="1:2" x14ac:dyDescent="0.25">
      <c r="A5056" t="s">
        <v>8614</v>
      </c>
      <c r="B5056">
        <v>5056</v>
      </c>
    </row>
    <row r="5057" spans="1:2" x14ac:dyDescent="0.25">
      <c r="A5057" t="s">
        <v>8644</v>
      </c>
      <c r="B5057">
        <v>5057</v>
      </c>
    </row>
    <row r="5058" spans="1:2" x14ac:dyDescent="0.25">
      <c r="A5058" t="s">
        <v>8193</v>
      </c>
      <c r="B5058">
        <v>5058</v>
      </c>
    </row>
    <row r="5059" spans="1:2" x14ac:dyDescent="0.25">
      <c r="A5059" t="s">
        <v>8193</v>
      </c>
      <c r="B5059">
        <v>5059</v>
      </c>
    </row>
    <row r="5060" spans="1:2" x14ac:dyDescent="0.25">
      <c r="A5060" t="s">
        <v>8677</v>
      </c>
      <c r="B5060">
        <v>5060</v>
      </c>
    </row>
    <row r="5061" spans="1:2" x14ac:dyDescent="0.25">
      <c r="A5061" t="s">
        <v>8707</v>
      </c>
      <c r="B5061">
        <v>5061</v>
      </c>
    </row>
    <row r="5062" spans="1:2" x14ac:dyDescent="0.25">
      <c r="A5062" t="s">
        <v>8737</v>
      </c>
      <c r="B5062">
        <v>5062</v>
      </c>
    </row>
    <row r="5063" spans="1:2" x14ac:dyDescent="0.25">
      <c r="A5063" t="s">
        <v>8767</v>
      </c>
      <c r="B5063">
        <v>5063</v>
      </c>
    </row>
    <row r="5064" spans="1:2" x14ac:dyDescent="0.25">
      <c r="A5064" t="s">
        <v>8797</v>
      </c>
      <c r="B5064">
        <v>5064</v>
      </c>
    </row>
    <row r="5065" spans="1:2" x14ac:dyDescent="0.25">
      <c r="A5065" t="s">
        <v>8827</v>
      </c>
      <c r="B5065">
        <v>5065</v>
      </c>
    </row>
    <row r="5066" spans="1:2" x14ac:dyDescent="0.25">
      <c r="A5066" t="s">
        <v>8857</v>
      </c>
      <c r="B5066">
        <v>5066</v>
      </c>
    </row>
    <row r="5067" spans="1:2" x14ac:dyDescent="0.25">
      <c r="A5067" t="s">
        <v>8887</v>
      </c>
      <c r="B5067">
        <v>5067</v>
      </c>
    </row>
    <row r="5068" spans="1:2" x14ac:dyDescent="0.25">
      <c r="A5068" t="s">
        <v>8195</v>
      </c>
      <c r="B5068">
        <v>5068</v>
      </c>
    </row>
    <row r="5069" spans="1:2" x14ac:dyDescent="0.25">
      <c r="A5069" t="s">
        <v>8195</v>
      </c>
      <c r="B5069">
        <v>5069</v>
      </c>
    </row>
    <row r="5070" spans="1:2" x14ac:dyDescent="0.25">
      <c r="A5070" t="s">
        <v>8918</v>
      </c>
      <c r="B5070">
        <v>5070</v>
      </c>
    </row>
    <row r="5071" spans="1:2" x14ac:dyDescent="0.25">
      <c r="A5071" t="s">
        <v>8198</v>
      </c>
      <c r="B5071">
        <v>5071</v>
      </c>
    </row>
    <row r="5072" spans="1:2" x14ac:dyDescent="0.25">
      <c r="A5072" t="s">
        <v>8205</v>
      </c>
      <c r="B5072">
        <v>5072</v>
      </c>
    </row>
    <row r="5073" spans="1:2" x14ac:dyDescent="0.25">
      <c r="A5073" t="s">
        <v>8201</v>
      </c>
      <c r="B5073">
        <v>5073</v>
      </c>
    </row>
    <row r="5074" spans="1:2" x14ac:dyDescent="0.25">
      <c r="A5074" t="s">
        <v>8207</v>
      </c>
      <c r="B5074">
        <v>5074</v>
      </c>
    </row>
    <row r="5075" spans="1:2" x14ac:dyDescent="0.25">
      <c r="A5075" t="s">
        <v>8202</v>
      </c>
      <c r="B5075">
        <v>5075</v>
      </c>
    </row>
    <row r="5076" spans="1:2" x14ac:dyDescent="0.25">
      <c r="A5076" t="s">
        <v>8203</v>
      </c>
      <c r="B5076">
        <v>5076</v>
      </c>
    </row>
    <row r="5077" spans="1:2" x14ac:dyDescent="0.25">
      <c r="A5077" t="s">
        <v>8200</v>
      </c>
      <c r="B5077">
        <v>5077</v>
      </c>
    </row>
    <row r="5078" spans="1:2" x14ac:dyDescent="0.25">
      <c r="A5078" t="s">
        <v>8211</v>
      </c>
      <c r="B5078">
        <v>5078</v>
      </c>
    </row>
    <row r="5079" spans="1:2" x14ac:dyDescent="0.25">
      <c r="A5079" t="s">
        <v>8208</v>
      </c>
      <c r="B5079">
        <v>5079</v>
      </c>
    </row>
    <row r="5080" spans="1:2" x14ac:dyDescent="0.25">
      <c r="A5080" t="s">
        <v>8212</v>
      </c>
      <c r="B5080">
        <v>5080</v>
      </c>
    </row>
    <row r="5081" spans="1:2" x14ac:dyDescent="0.25">
      <c r="A5081" t="s">
        <v>8204</v>
      </c>
      <c r="B5081">
        <v>5081</v>
      </c>
    </row>
    <row r="5082" spans="1:2" x14ac:dyDescent="0.25">
      <c r="A5082" t="s">
        <v>8199</v>
      </c>
      <c r="B5082">
        <v>5082</v>
      </c>
    </row>
    <row r="5083" spans="1:2" x14ac:dyDescent="0.25">
      <c r="A5083" t="s">
        <v>8209</v>
      </c>
      <c r="B5083">
        <v>5083</v>
      </c>
    </row>
    <row r="5084" spans="1:2" x14ac:dyDescent="0.25">
      <c r="A5084" t="s">
        <v>8206</v>
      </c>
      <c r="B5084">
        <v>5084</v>
      </c>
    </row>
    <row r="5085" spans="1:2" x14ac:dyDescent="0.25">
      <c r="A5085" t="s">
        <v>8210</v>
      </c>
      <c r="B5085">
        <v>5085</v>
      </c>
    </row>
    <row r="5086" spans="1:2" x14ac:dyDescent="0.25">
      <c r="A5086" t="s">
        <v>8228</v>
      </c>
      <c r="B5086">
        <v>5086</v>
      </c>
    </row>
    <row r="5087" spans="1:2" x14ac:dyDescent="0.25">
      <c r="A5087" t="s">
        <v>8235</v>
      </c>
      <c r="B5087">
        <v>5087</v>
      </c>
    </row>
    <row r="5088" spans="1:2" x14ac:dyDescent="0.25">
      <c r="A5088" t="s">
        <v>8231</v>
      </c>
      <c r="B5088">
        <v>5088</v>
      </c>
    </row>
    <row r="5089" spans="1:2" x14ac:dyDescent="0.25">
      <c r="A5089" t="s">
        <v>8237</v>
      </c>
      <c r="B5089">
        <v>5089</v>
      </c>
    </row>
    <row r="5090" spans="1:2" x14ac:dyDescent="0.25">
      <c r="A5090" t="s">
        <v>8232</v>
      </c>
      <c r="B5090">
        <v>5090</v>
      </c>
    </row>
    <row r="5091" spans="1:2" x14ac:dyDescent="0.25">
      <c r="A5091" t="s">
        <v>8233</v>
      </c>
      <c r="B5091">
        <v>5091</v>
      </c>
    </row>
    <row r="5092" spans="1:2" x14ac:dyDescent="0.25">
      <c r="A5092" t="s">
        <v>8230</v>
      </c>
      <c r="B5092">
        <v>5092</v>
      </c>
    </row>
    <row r="5093" spans="1:2" x14ac:dyDescent="0.25">
      <c r="A5093" t="s">
        <v>8241</v>
      </c>
      <c r="B5093">
        <v>5093</v>
      </c>
    </row>
    <row r="5094" spans="1:2" x14ac:dyDescent="0.25">
      <c r="A5094" t="s">
        <v>8238</v>
      </c>
      <c r="B5094">
        <v>5094</v>
      </c>
    </row>
    <row r="5095" spans="1:2" x14ac:dyDescent="0.25">
      <c r="A5095" t="s">
        <v>8242</v>
      </c>
      <c r="B5095">
        <v>5095</v>
      </c>
    </row>
    <row r="5096" spans="1:2" x14ac:dyDescent="0.25">
      <c r="A5096" t="s">
        <v>8234</v>
      </c>
      <c r="B5096">
        <v>5096</v>
      </c>
    </row>
    <row r="5097" spans="1:2" x14ac:dyDescent="0.25">
      <c r="A5097" t="s">
        <v>8229</v>
      </c>
      <c r="B5097">
        <v>5097</v>
      </c>
    </row>
    <row r="5098" spans="1:2" x14ac:dyDescent="0.25">
      <c r="A5098" t="s">
        <v>8239</v>
      </c>
      <c r="B5098">
        <v>5098</v>
      </c>
    </row>
    <row r="5099" spans="1:2" x14ac:dyDescent="0.25">
      <c r="A5099" t="s">
        <v>8236</v>
      </c>
      <c r="B5099">
        <v>5099</v>
      </c>
    </row>
    <row r="5100" spans="1:2" x14ac:dyDescent="0.25">
      <c r="A5100" t="s">
        <v>8240</v>
      </c>
      <c r="B5100">
        <v>5100</v>
      </c>
    </row>
    <row r="5101" spans="1:2" x14ac:dyDescent="0.25">
      <c r="A5101" t="s">
        <v>8258</v>
      </c>
      <c r="B5101">
        <v>5101</v>
      </c>
    </row>
    <row r="5102" spans="1:2" x14ac:dyDescent="0.25">
      <c r="A5102" t="s">
        <v>8265</v>
      </c>
      <c r="B5102">
        <v>5102</v>
      </c>
    </row>
    <row r="5103" spans="1:2" x14ac:dyDescent="0.25">
      <c r="A5103" t="s">
        <v>8261</v>
      </c>
      <c r="B5103">
        <v>5103</v>
      </c>
    </row>
    <row r="5104" spans="1:2" x14ac:dyDescent="0.25">
      <c r="A5104" t="s">
        <v>8267</v>
      </c>
      <c r="B5104">
        <v>5104</v>
      </c>
    </row>
    <row r="5105" spans="1:2" x14ac:dyDescent="0.25">
      <c r="A5105" t="s">
        <v>8262</v>
      </c>
      <c r="B5105">
        <v>5105</v>
      </c>
    </row>
    <row r="5106" spans="1:2" x14ac:dyDescent="0.25">
      <c r="A5106" t="s">
        <v>8263</v>
      </c>
      <c r="B5106">
        <v>5106</v>
      </c>
    </row>
    <row r="5107" spans="1:2" x14ac:dyDescent="0.25">
      <c r="A5107" t="s">
        <v>8260</v>
      </c>
      <c r="B5107">
        <v>5107</v>
      </c>
    </row>
    <row r="5108" spans="1:2" x14ac:dyDescent="0.25">
      <c r="A5108" t="s">
        <v>8271</v>
      </c>
      <c r="B5108">
        <v>5108</v>
      </c>
    </row>
    <row r="5109" spans="1:2" x14ac:dyDescent="0.25">
      <c r="A5109" t="s">
        <v>8268</v>
      </c>
      <c r="B5109">
        <v>5109</v>
      </c>
    </row>
    <row r="5110" spans="1:2" x14ac:dyDescent="0.25">
      <c r="A5110" t="s">
        <v>8272</v>
      </c>
      <c r="B5110">
        <v>5110</v>
      </c>
    </row>
    <row r="5111" spans="1:2" x14ac:dyDescent="0.25">
      <c r="A5111" t="s">
        <v>8264</v>
      </c>
      <c r="B5111">
        <v>5111</v>
      </c>
    </row>
    <row r="5112" spans="1:2" x14ac:dyDescent="0.25">
      <c r="A5112" t="s">
        <v>8259</v>
      </c>
      <c r="B5112">
        <v>5112</v>
      </c>
    </row>
    <row r="5113" spans="1:2" x14ac:dyDescent="0.25">
      <c r="A5113" t="s">
        <v>8269</v>
      </c>
      <c r="B5113">
        <v>5113</v>
      </c>
    </row>
    <row r="5114" spans="1:2" x14ac:dyDescent="0.25">
      <c r="A5114" t="s">
        <v>8266</v>
      </c>
      <c r="B5114">
        <v>5114</v>
      </c>
    </row>
    <row r="5115" spans="1:2" x14ac:dyDescent="0.25">
      <c r="A5115" t="s">
        <v>8270</v>
      </c>
      <c r="B5115">
        <v>5115</v>
      </c>
    </row>
    <row r="5116" spans="1:2" x14ac:dyDescent="0.25">
      <c r="A5116" t="s">
        <v>8288</v>
      </c>
      <c r="B5116">
        <v>5116</v>
      </c>
    </row>
    <row r="5117" spans="1:2" x14ac:dyDescent="0.25">
      <c r="A5117" t="s">
        <v>8295</v>
      </c>
      <c r="B5117">
        <v>5117</v>
      </c>
    </row>
    <row r="5118" spans="1:2" x14ac:dyDescent="0.25">
      <c r="A5118" t="s">
        <v>8291</v>
      </c>
      <c r="B5118">
        <v>5118</v>
      </c>
    </row>
    <row r="5119" spans="1:2" x14ac:dyDescent="0.25">
      <c r="A5119" t="s">
        <v>8297</v>
      </c>
      <c r="B5119">
        <v>5119</v>
      </c>
    </row>
    <row r="5120" spans="1:2" x14ac:dyDescent="0.25">
      <c r="A5120" t="s">
        <v>8292</v>
      </c>
      <c r="B5120">
        <v>5120</v>
      </c>
    </row>
    <row r="5121" spans="1:2" x14ac:dyDescent="0.25">
      <c r="A5121" t="s">
        <v>8293</v>
      </c>
      <c r="B5121">
        <v>5121</v>
      </c>
    </row>
    <row r="5122" spans="1:2" x14ac:dyDescent="0.25">
      <c r="A5122" t="s">
        <v>8290</v>
      </c>
      <c r="B5122">
        <v>5122</v>
      </c>
    </row>
    <row r="5123" spans="1:2" x14ac:dyDescent="0.25">
      <c r="A5123" t="s">
        <v>8301</v>
      </c>
      <c r="B5123">
        <v>5123</v>
      </c>
    </row>
    <row r="5124" spans="1:2" x14ac:dyDescent="0.25">
      <c r="A5124" t="s">
        <v>8298</v>
      </c>
      <c r="B5124">
        <v>5124</v>
      </c>
    </row>
    <row r="5125" spans="1:2" x14ac:dyDescent="0.25">
      <c r="A5125" t="s">
        <v>8302</v>
      </c>
      <c r="B5125">
        <v>5125</v>
      </c>
    </row>
    <row r="5126" spans="1:2" x14ac:dyDescent="0.25">
      <c r="A5126" t="s">
        <v>8294</v>
      </c>
      <c r="B5126">
        <v>5126</v>
      </c>
    </row>
    <row r="5127" spans="1:2" x14ac:dyDescent="0.25">
      <c r="A5127" t="s">
        <v>8289</v>
      </c>
      <c r="B5127">
        <v>5127</v>
      </c>
    </row>
    <row r="5128" spans="1:2" x14ac:dyDescent="0.25">
      <c r="A5128" t="s">
        <v>8299</v>
      </c>
      <c r="B5128">
        <v>5128</v>
      </c>
    </row>
    <row r="5129" spans="1:2" x14ac:dyDescent="0.25">
      <c r="A5129" t="s">
        <v>8296</v>
      </c>
      <c r="B5129">
        <v>5129</v>
      </c>
    </row>
    <row r="5130" spans="1:2" x14ac:dyDescent="0.25">
      <c r="A5130" t="s">
        <v>8300</v>
      </c>
      <c r="B5130">
        <v>5130</v>
      </c>
    </row>
    <row r="5131" spans="1:2" x14ac:dyDescent="0.25">
      <c r="A5131" t="s">
        <v>8318</v>
      </c>
      <c r="B5131">
        <v>5131</v>
      </c>
    </row>
    <row r="5132" spans="1:2" x14ac:dyDescent="0.25">
      <c r="A5132" t="s">
        <v>8325</v>
      </c>
      <c r="B5132">
        <v>5132</v>
      </c>
    </row>
    <row r="5133" spans="1:2" x14ac:dyDescent="0.25">
      <c r="A5133" t="s">
        <v>8321</v>
      </c>
      <c r="B5133">
        <v>5133</v>
      </c>
    </row>
    <row r="5134" spans="1:2" x14ac:dyDescent="0.25">
      <c r="A5134" t="s">
        <v>8327</v>
      </c>
      <c r="B5134">
        <v>5134</v>
      </c>
    </row>
    <row r="5135" spans="1:2" x14ac:dyDescent="0.25">
      <c r="A5135" t="s">
        <v>8322</v>
      </c>
      <c r="B5135">
        <v>5135</v>
      </c>
    </row>
    <row r="5136" spans="1:2" x14ac:dyDescent="0.25">
      <c r="A5136" t="s">
        <v>8323</v>
      </c>
      <c r="B5136">
        <v>5136</v>
      </c>
    </row>
    <row r="5137" spans="1:2" x14ac:dyDescent="0.25">
      <c r="A5137" t="s">
        <v>8320</v>
      </c>
      <c r="B5137">
        <v>5137</v>
      </c>
    </row>
    <row r="5138" spans="1:2" x14ac:dyDescent="0.25">
      <c r="A5138" t="s">
        <v>8331</v>
      </c>
      <c r="B5138">
        <v>5138</v>
      </c>
    </row>
    <row r="5139" spans="1:2" x14ac:dyDescent="0.25">
      <c r="A5139" t="s">
        <v>8328</v>
      </c>
      <c r="B5139">
        <v>5139</v>
      </c>
    </row>
    <row r="5140" spans="1:2" x14ac:dyDescent="0.25">
      <c r="A5140" t="s">
        <v>8332</v>
      </c>
      <c r="B5140">
        <v>5140</v>
      </c>
    </row>
    <row r="5141" spans="1:2" x14ac:dyDescent="0.25">
      <c r="A5141" t="s">
        <v>8324</v>
      </c>
      <c r="B5141">
        <v>5141</v>
      </c>
    </row>
    <row r="5142" spans="1:2" x14ac:dyDescent="0.25">
      <c r="A5142" t="s">
        <v>8319</v>
      </c>
      <c r="B5142">
        <v>5142</v>
      </c>
    </row>
    <row r="5143" spans="1:2" x14ac:dyDescent="0.25">
      <c r="A5143" t="s">
        <v>8329</v>
      </c>
      <c r="B5143">
        <v>5143</v>
      </c>
    </row>
    <row r="5144" spans="1:2" x14ac:dyDescent="0.25">
      <c r="A5144" t="s">
        <v>8326</v>
      </c>
      <c r="B5144">
        <v>5144</v>
      </c>
    </row>
    <row r="5145" spans="1:2" x14ac:dyDescent="0.25">
      <c r="A5145" t="s">
        <v>8330</v>
      </c>
      <c r="B5145">
        <v>5145</v>
      </c>
    </row>
    <row r="5146" spans="1:2" x14ac:dyDescent="0.25">
      <c r="A5146" t="s">
        <v>8348</v>
      </c>
      <c r="B5146">
        <v>5146</v>
      </c>
    </row>
    <row r="5147" spans="1:2" x14ac:dyDescent="0.25">
      <c r="A5147" t="s">
        <v>8355</v>
      </c>
      <c r="B5147">
        <v>5147</v>
      </c>
    </row>
    <row r="5148" spans="1:2" x14ac:dyDescent="0.25">
      <c r="A5148" t="s">
        <v>8351</v>
      </c>
      <c r="B5148">
        <v>5148</v>
      </c>
    </row>
    <row r="5149" spans="1:2" x14ac:dyDescent="0.25">
      <c r="A5149" t="s">
        <v>8357</v>
      </c>
      <c r="B5149">
        <v>5149</v>
      </c>
    </row>
    <row r="5150" spans="1:2" x14ac:dyDescent="0.25">
      <c r="A5150" t="s">
        <v>8352</v>
      </c>
      <c r="B5150">
        <v>5150</v>
      </c>
    </row>
    <row r="5151" spans="1:2" x14ac:dyDescent="0.25">
      <c r="A5151" t="s">
        <v>8353</v>
      </c>
      <c r="B5151">
        <v>5151</v>
      </c>
    </row>
    <row r="5152" spans="1:2" x14ac:dyDescent="0.25">
      <c r="A5152" t="s">
        <v>8350</v>
      </c>
      <c r="B5152">
        <v>5152</v>
      </c>
    </row>
    <row r="5153" spans="1:2" x14ac:dyDescent="0.25">
      <c r="A5153" t="s">
        <v>8361</v>
      </c>
      <c r="B5153">
        <v>5153</v>
      </c>
    </row>
    <row r="5154" spans="1:2" x14ac:dyDescent="0.25">
      <c r="A5154" t="s">
        <v>8358</v>
      </c>
      <c r="B5154">
        <v>5154</v>
      </c>
    </row>
    <row r="5155" spans="1:2" x14ac:dyDescent="0.25">
      <c r="A5155" t="s">
        <v>8362</v>
      </c>
      <c r="B5155">
        <v>5155</v>
      </c>
    </row>
    <row r="5156" spans="1:2" x14ac:dyDescent="0.25">
      <c r="A5156" t="s">
        <v>8354</v>
      </c>
      <c r="B5156">
        <v>5156</v>
      </c>
    </row>
    <row r="5157" spans="1:2" x14ac:dyDescent="0.25">
      <c r="A5157" t="s">
        <v>8349</v>
      </c>
      <c r="B5157">
        <v>5157</v>
      </c>
    </row>
    <row r="5158" spans="1:2" x14ac:dyDescent="0.25">
      <c r="A5158" t="s">
        <v>8359</v>
      </c>
      <c r="B5158">
        <v>5158</v>
      </c>
    </row>
    <row r="5159" spans="1:2" x14ac:dyDescent="0.25">
      <c r="A5159" t="s">
        <v>8356</v>
      </c>
      <c r="B5159">
        <v>5159</v>
      </c>
    </row>
    <row r="5160" spans="1:2" x14ac:dyDescent="0.25">
      <c r="A5160" t="s">
        <v>8360</v>
      </c>
      <c r="B5160">
        <v>5160</v>
      </c>
    </row>
    <row r="5161" spans="1:2" x14ac:dyDescent="0.25">
      <c r="A5161" t="s">
        <v>8378</v>
      </c>
      <c r="B5161">
        <v>5161</v>
      </c>
    </row>
    <row r="5162" spans="1:2" x14ac:dyDescent="0.25">
      <c r="A5162" t="s">
        <v>8385</v>
      </c>
      <c r="B5162">
        <v>5162</v>
      </c>
    </row>
    <row r="5163" spans="1:2" x14ac:dyDescent="0.25">
      <c r="A5163" t="s">
        <v>8381</v>
      </c>
      <c r="B5163">
        <v>5163</v>
      </c>
    </row>
    <row r="5164" spans="1:2" x14ac:dyDescent="0.25">
      <c r="A5164" t="s">
        <v>8387</v>
      </c>
      <c r="B5164">
        <v>5164</v>
      </c>
    </row>
    <row r="5165" spans="1:2" x14ac:dyDescent="0.25">
      <c r="A5165" t="s">
        <v>8382</v>
      </c>
      <c r="B5165">
        <v>5165</v>
      </c>
    </row>
    <row r="5166" spans="1:2" x14ac:dyDescent="0.25">
      <c r="A5166" t="s">
        <v>8383</v>
      </c>
      <c r="B5166">
        <v>5166</v>
      </c>
    </row>
    <row r="5167" spans="1:2" x14ac:dyDescent="0.25">
      <c r="A5167" t="s">
        <v>8380</v>
      </c>
      <c r="B5167">
        <v>5167</v>
      </c>
    </row>
    <row r="5168" spans="1:2" x14ac:dyDescent="0.25">
      <c r="A5168" t="s">
        <v>8391</v>
      </c>
      <c r="B5168">
        <v>5168</v>
      </c>
    </row>
    <row r="5169" spans="1:2" x14ac:dyDescent="0.25">
      <c r="A5169" t="s">
        <v>8388</v>
      </c>
      <c r="B5169">
        <v>5169</v>
      </c>
    </row>
    <row r="5170" spans="1:2" x14ac:dyDescent="0.25">
      <c r="A5170" t="s">
        <v>8392</v>
      </c>
      <c r="B5170">
        <v>5170</v>
      </c>
    </row>
    <row r="5171" spans="1:2" x14ac:dyDescent="0.25">
      <c r="A5171" t="s">
        <v>8384</v>
      </c>
      <c r="B5171">
        <v>5171</v>
      </c>
    </row>
    <row r="5172" spans="1:2" x14ac:dyDescent="0.25">
      <c r="A5172" t="s">
        <v>8379</v>
      </c>
      <c r="B5172">
        <v>5172</v>
      </c>
    </row>
    <row r="5173" spans="1:2" x14ac:dyDescent="0.25">
      <c r="A5173" t="s">
        <v>8389</v>
      </c>
      <c r="B5173">
        <v>5173</v>
      </c>
    </row>
    <row r="5174" spans="1:2" x14ac:dyDescent="0.25">
      <c r="A5174" t="s">
        <v>8386</v>
      </c>
      <c r="B5174">
        <v>5174</v>
      </c>
    </row>
    <row r="5175" spans="1:2" x14ac:dyDescent="0.25">
      <c r="A5175" t="s">
        <v>8390</v>
      </c>
      <c r="B5175">
        <v>5175</v>
      </c>
    </row>
    <row r="5176" spans="1:2" x14ac:dyDescent="0.25">
      <c r="A5176" t="s">
        <v>8408</v>
      </c>
      <c r="B5176">
        <v>5176</v>
      </c>
    </row>
    <row r="5177" spans="1:2" x14ac:dyDescent="0.25">
      <c r="A5177" t="s">
        <v>8415</v>
      </c>
      <c r="B5177">
        <v>5177</v>
      </c>
    </row>
    <row r="5178" spans="1:2" x14ac:dyDescent="0.25">
      <c r="A5178" t="s">
        <v>8411</v>
      </c>
      <c r="B5178">
        <v>5178</v>
      </c>
    </row>
    <row r="5179" spans="1:2" x14ac:dyDescent="0.25">
      <c r="A5179" t="s">
        <v>8417</v>
      </c>
      <c r="B5179">
        <v>5179</v>
      </c>
    </row>
    <row r="5180" spans="1:2" x14ac:dyDescent="0.25">
      <c r="A5180" t="s">
        <v>8412</v>
      </c>
      <c r="B5180">
        <v>5180</v>
      </c>
    </row>
    <row r="5181" spans="1:2" x14ac:dyDescent="0.25">
      <c r="A5181" t="s">
        <v>8413</v>
      </c>
      <c r="B5181">
        <v>5181</v>
      </c>
    </row>
    <row r="5182" spans="1:2" x14ac:dyDescent="0.25">
      <c r="A5182" t="s">
        <v>8410</v>
      </c>
      <c r="B5182">
        <v>5182</v>
      </c>
    </row>
    <row r="5183" spans="1:2" x14ac:dyDescent="0.25">
      <c r="A5183" t="s">
        <v>8421</v>
      </c>
      <c r="B5183">
        <v>5183</v>
      </c>
    </row>
    <row r="5184" spans="1:2" x14ac:dyDescent="0.25">
      <c r="A5184" t="s">
        <v>8418</v>
      </c>
      <c r="B5184">
        <v>5184</v>
      </c>
    </row>
    <row r="5185" spans="1:2" x14ac:dyDescent="0.25">
      <c r="A5185" t="s">
        <v>8422</v>
      </c>
      <c r="B5185">
        <v>5185</v>
      </c>
    </row>
    <row r="5186" spans="1:2" x14ac:dyDescent="0.25">
      <c r="A5186" t="s">
        <v>8414</v>
      </c>
      <c r="B5186">
        <v>5186</v>
      </c>
    </row>
    <row r="5187" spans="1:2" x14ac:dyDescent="0.25">
      <c r="A5187" t="s">
        <v>8409</v>
      </c>
      <c r="B5187">
        <v>5187</v>
      </c>
    </row>
    <row r="5188" spans="1:2" x14ac:dyDescent="0.25">
      <c r="A5188" t="s">
        <v>8419</v>
      </c>
      <c r="B5188">
        <v>5188</v>
      </c>
    </row>
    <row r="5189" spans="1:2" x14ac:dyDescent="0.25">
      <c r="A5189" t="s">
        <v>8416</v>
      </c>
      <c r="B5189">
        <v>5189</v>
      </c>
    </row>
    <row r="5190" spans="1:2" x14ac:dyDescent="0.25">
      <c r="A5190" t="s">
        <v>8420</v>
      </c>
      <c r="B5190">
        <v>5190</v>
      </c>
    </row>
    <row r="5191" spans="1:2" x14ac:dyDescent="0.25">
      <c r="A5191" t="s">
        <v>8438</v>
      </c>
      <c r="B5191">
        <v>5191</v>
      </c>
    </row>
    <row r="5192" spans="1:2" x14ac:dyDescent="0.25">
      <c r="A5192" t="s">
        <v>8445</v>
      </c>
      <c r="B5192">
        <v>5192</v>
      </c>
    </row>
    <row r="5193" spans="1:2" x14ac:dyDescent="0.25">
      <c r="A5193" t="s">
        <v>8441</v>
      </c>
      <c r="B5193">
        <v>5193</v>
      </c>
    </row>
    <row r="5194" spans="1:2" x14ac:dyDescent="0.25">
      <c r="A5194" t="s">
        <v>8447</v>
      </c>
      <c r="B5194">
        <v>5194</v>
      </c>
    </row>
    <row r="5195" spans="1:2" x14ac:dyDescent="0.25">
      <c r="A5195" t="s">
        <v>8442</v>
      </c>
      <c r="B5195">
        <v>5195</v>
      </c>
    </row>
    <row r="5196" spans="1:2" x14ac:dyDescent="0.25">
      <c r="A5196" t="s">
        <v>8443</v>
      </c>
      <c r="B5196">
        <v>5196</v>
      </c>
    </row>
    <row r="5197" spans="1:2" x14ac:dyDescent="0.25">
      <c r="A5197" t="s">
        <v>8440</v>
      </c>
      <c r="B5197">
        <v>5197</v>
      </c>
    </row>
    <row r="5198" spans="1:2" x14ac:dyDescent="0.25">
      <c r="A5198" t="s">
        <v>8451</v>
      </c>
      <c r="B5198">
        <v>5198</v>
      </c>
    </row>
    <row r="5199" spans="1:2" x14ac:dyDescent="0.25">
      <c r="A5199" t="s">
        <v>8448</v>
      </c>
      <c r="B5199">
        <v>5199</v>
      </c>
    </row>
    <row r="5200" spans="1:2" x14ac:dyDescent="0.25">
      <c r="A5200" t="s">
        <v>8452</v>
      </c>
      <c r="B5200">
        <v>5200</v>
      </c>
    </row>
    <row r="5201" spans="1:2" x14ac:dyDescent="0.25">
      <c r="A5201" t="s">
        <v>8444</v>
      </c>
      <c r="B5201">
        <v>5201</v>
      </c>
    </row>
    <row r="5202" spans="1:2" x14ac:dyDescent="0.25">
      <c r="A5202" t="s">
        <v>8439</v>
      </c>
      <c r="B5202">
        <v>5202</v>
      </c>
    </row>
    <row r="5203" spans="1:2" x14ac:dyDescent="0.25">
      <c r="A5203" t="s">
        <v>8449</v>
      </c>
      <c r="B5203">
        <v>5203</v>
      </c>
    </row>
    <row r="5204" spans="1:2" x14ac:dyDescent="0.25">
      <c r="A5204" t="s">
        <v>8446</v>
      </c>
      <c r="B5204">
        <v>5204</v>
      </c>
    </row>
    <row r="5205" spans="1:2" x14ac:dyDescent="0.25">
      <c r="A5205" t="s">
        <v>8450</v>
      </c>
      <c r="B5205">
        <v>5205</v>
      </c>
    </row>
    <row r="5206" spans="1:2" x14ac:dyDescent="0.25">
      <c r="A5206" t="s">
        <v>8468</v>
      </c>
      <c r="B5206">
        <v>5206</v>
      </c>
    </row>
    <row r="5207" spans="1:2" x14ac:dyDescent="0.25">
      <c r="A5207" t="s">
        <v>8475</v>
      </c>
      <c r="B5207">
        <v>5207</v>
      </c>
    </row>
    <row r="5208" spans="1:2" x14ac:dyDescent="0.25">
      <c r="A5208" t="s">
        <v>8471</v>
      </c>
      <c r="B5208">
        <v>5208</v>
      </c>
    </row>
    <row r="5209" spans="1:2" x14ac:dyDescent="0.25">
      <c r="A5209" t="s">
        <v>8477</v>
      </c>
      <c r="B5209">
        <v>5209</v>
      </c>
    </row>
    <row r="5210" spans="1:2" x14ac:dyDescent="0.25">
      <c r="A5210" t="s">
        <v>8472</v>
      </c>
      <c r="B5210">
        <v>5210</v>
      </c>
    </row>
    <row r="5211" spans="1:2" x14ac:dyDescent="0.25">
      <c r="A5211" t="s">
        <v>8473</v>
      </c>
      <c r="B5211">
        <v>5211</v>
      </c>
    </row>
    <row r="5212" spans="1:2" x14ac:dyDescent="0.25">
      <c r="A5212" t="s">
        <v>8470</v>
      </c>
      <c r="B5212">
        <v>5212</v>
      </c>
    </row>
    <row r="5213" spans="1:2" x14ac:dyDescent="0.25">
      <c r="A5213" t="s">
        <v>8481</v>
      </c>
      <c r="B5213">
        <v>5213</v>
      </c>
    </row>
    <row r="5214" spans="1:2" x14ac:dyDescent="0.25">
      <c r="A5214" t="s">
        <v>8478</v>
      </c>
      <c r="B5214">
        <v>5214</v>
      </c>
    </row>
    <row r="5215" spans="1:2" x14ac:dyDescent="0.25">
      <c r="A5215" t="s">
        <v>8482</v>
      </c>
      <c r="B5215">
        <v>5215</v>
      </c>
    </row>
    <row r="5216" spans="1:2" x14ac:dyDescent="0.25">
      <c r="A5216" t="s">
        <v>8474</v>
      </c>
      <c r="B5216">
        <v>5216</v>
      </c>
    </row>
    <row r="5217" spans="1:2" x14ac:dyDescent="0.25">
      <c r="A5217" t="s">
        <v>8469</v>
      </c>
      <c r="B5217">
        <v>5217</v>
      </c>
    </row>
    <row r="5218" spans="1:2" x14ac:dyDescent="0.25">
      <c r="A5218" t="s">
        <v>8479</v>
      </c>
      <c r="B5218">
        <v>5218</v>
      </c>
    </row>
    <row r="5219" spans="1:2" x14ac:dyDescent="0.25">
      <c r="A5219" t="s">
        <v>8476</v>
      </c>
      <c r="B5219">
        <v>5219</v>
      </c>
    </row>
    <row r="5220" spans="1:2" x14ac:dyDescent="0.25">
      <c r="A5220" t="s">
        <v>8480</v>
      </c>
      <c r="B5220">
        <v>5220</v>
      </c>
    </row>
    <row r="5221" spans="1:2" x14ac:dyDescent="0.25">
      <c r="A5221" t="s">
        <v>8498</v>
      </c>
      <c r="B5221">
        <v>5221</v>
      </c>
    </row>
    <row r="5222" spans="1:2" x14ac:dyDescent="0.25">
      <c r="A5222" t="s">
        <v>8505</v>
      </c>
      <c r="B5222">
        <v>5222</v>
      </c>
    </row>
    <row r="5223" spans="1:2" x14ac:dyDescent="0.25">
      <c r="A5223" t="s">
        <v>8501</v>
      </c>
      <c r="B5223">
        <v>5223</v>
      </c>
    </row>
    <row r="5224" spans="1:2" x14ac:dyDescent="0.25">
      <c r="A5224" t="s">
        <v>8507</v>
      </c>
      <c r="B5224">
        <v>5224</v>
      </c>
    </row>
    <row r="5225" spans="1:2" x14ac:dyDescent="0.25">
      <c r="A5225" t="s">
        <v>8502</v>
      </c>
      <c r="B5225">
        <v>5225</v>
      </c>
    </row>
    <row r="5226" spans="1:2" x14ac:dyDescent="0.25">
      <c r="A5226" t="s">
        <v>8503</v>
      </c>
      <c r="B5226">
        <v>5226</v>
      </c>
    </row>
    <row r="5227" spans="1:2" x14ac:dyDescent="0.25">
      <c r="A5227" t="s">
        <v>8500</v>
      </c>
      <c r="B5227">
        <v>5227</v>
      </c>
    </row>
    <row r="5228" spans="1:2" x14ac:dyDescent="0.25">
      <c r="A5228" t="s">
        <v>8511</v>
      </c>
      <c r="B5228">
        <v>5228</v>
      </c>
    </row>
    <row r="5229" spans="1:2" x14ac:dyDescent="0.25">
      <c r="A5229" t="s">
        <v>8508</v>
      </c>
      <c r="B5229">
        <v>5229</v>
      </c>
    </row>
    <row r="5230" spans="1:2" x14ac:dyDescent="0.25">
      <c r="A5230" t="s">
        <v>8512</v>
      </c>
      <c r="B5230">
        <v>5230</v>
      </c>
    </row>
    <row r="5231" spans="1:2" x14ac:dyDescent="0.25">
      <c r="A5231" t="s">
        <v>8504</v>
      </c>
      <c r="B5231">
        <v>5231</v>
      </c>
    </row>
    <row r="5232" spans="1:2" x14ac:dyDescent="0.25">
      <c r="A5232" t="s">
        <v>8499</v>
      </c>
      <c r="B5232">
        <v>5232</v>
      </c>
    </row>
    <row r="5233" spans="1:2" x14ac:dyDescent="0.25">
      <c r="A5233" t="s">
        <v>8509</v>
      </c>
      <c r="B5233">
        <v>5233</v>
      </c>
    </row>
    <row r="5234" spans="1:2" x14ac:dyDescent="0.25">
      <c r="A5234" t="s">
        <v>8506</v>
      </c>
      <c r="B5234">
        <v>5234</v>
      </c>
    </row>
    <row r="5235" spans="1:2" x14ac:dyDescent="0.25">
      <c r="A5235" t="s">
        <v>8510</v>
      </c>
      <c r="B5235">
        <v>5235</v>
      </c>
    </row>
    <row r="5236" spans="1:2" x14ac:dyDescent="0.25">
      <c r="A5236" t="s">
        <v>8528</v>
      </c>
      <c r="B5236">
        <v>5236</v>
      </c>
    </row>
    <row r="5237" spans="1:2" x14ac:dyDescent="0.25">
      <c r="A5237" t="s">
        <v>8535</v>
      </c>
      <c r="B5237">
        <v>5237</v>
      </c>
    </row>
    <row r="5238" spans="1:2" x14ac:dyDescent="0.25">
      <c r="A5238" t="s">
        <v>8531</v>
      </c>
      <c r="B5238">
        <v>5238</v>
      </c>
    </row>
    <row r="5239" spans="1:2" x14ac:dyDescent="0.25">
      <c r="A5239" t="s">
        <v>8537</v>
      </c>
      <c r="B5239">
        <v>5239</v>
      </c>
    </row>
    <row r="5240" spans="1:2" x14ac:dyDescent="0.25">
      <c r="A5240" t="s">
        <v>8532</v>
      </c>
      <c r="B5240">
        <v>5240</v>
      </c>
    </row>
    <row r="5241" spans="1:2" x14ac:dyDescent="0.25">
      <c r="A5241" t="s">
        <v>8533</v>
      </c>
      <c r="B5241">
        <v>5241</v>
      </c>
    </row>
    <row r="5242" spans="1:2" x14ac:dyDescent="0.25">
      <c r="A5242" t="s">
        <v>8530</v>
      </c>
      <c r="B5242">
        <v>5242</v>
      </c>
    </row>
    <row r="5243" spans="1:2" x14ac:dyDescent="0.25">
      <c r="A5243" t="s">
        <v>8541</v>
      </c>
      <c r="B5243">
        <v>5243</v>
      </c>
    </row>
    <row r="5244" spans="1:2" x14ac:dyDescent="0.25">
      <c r="A5244" t="s">
        <v>8538</v>
      </c>
      <c r="B5244">
        <v>5244</v>
      </c>
    </row>
    <row r="5245" spans="1:2" x14ac:dyDescent="0.25">
      <c r="A5245" t="s">
        <v>8542</v>
      </c>
      <c r="B5245">
        <v>5245</v>
      </c>
    </row>
    <row r="5246" spans="1:2" x14ac:dyDescent="0.25">
      <c r="A5246" t="s">
        <v>8534</v>
      </c>
      <c r="B5246">
        <v>5246</v>
      </c>
    </row>
    <row r="5247" spans="1:2" x14ac:dyDescent="0.25">
      <c r="A5247" t="s">
        <v>8529</v>
      </c>
      <c r="B5247">
        <v>5247</v>
      </c>
    </row>
    <row r="5248" spans="1:2" x14ac:dyDescent="0.25">
      <c r="A5248" t="s">
        <v>8539</v>
      </c>
      <c r="B5248">
        <v>5248</v>
      </c>
    </row>
    <row r="5249" spans="1:2" x14ac:dyDescent="0.25">
      <c r="A5249" t="s">
        <v>8536</v>
      </c>
      <c r="B5249">
        <v>5249</v>
      </c>
    </row>
    <row r="5250" spans="1:2" x14ac:dyDescent="0.25">
      <c r="A5250" t="s">
        <v>8540</v>
      </c>
      <c r="B5250">
        <v>5250</v>
      </c>
    </row>
    <row r="5251" spans="1:2" x14ac:dyDescent="0.25">
      <c r="A5251" t="s">
        <v>8558</v>
      </c>
      <c r="B5251">
        <v>5251</v>
      </c>
    </row>
    <row r="5252" spans="1:2" x14ac:dyDescent="0.25">
      <c r="A5252" t="s">
        <v>8565</v>
      </c>
      <c r="B5252">
        <v>5252</v>
      </c>
    </row>
    <row r="5253" spans="1:2" x14ac:dyDescent="0.25">
      <c r="A5253" t="s">
        <v>8561</v>
      </c>
      <c r="B5253">
        <v>5253</v>
      </c>
    </row>
    <row r="5254" spans="1:2" x14ac:dyDescent="0.25">
      <c r="A5254" t="s">
        <v>8567</v>
      </c>
      <c r="B5254">
        <v>5254</v>
      </c>
    </row>
    <row r="5255" spans="1:2" x14ac:dyDescent="0.25">
      <c r="A5255" t="s">
        <v>8562</v>
      </c>
      <c r="B5255">
        <v>5255</v>
      </c>
    </row>
    <row r="5256" spans="1:2" x14ac:dyDescent="0.25">
      <c r="A5256" t="s">
        <v>8563</v>
      </c>
      <c r="B5256">
        <v>5256</v>
      </c>
    </row>
    <row r="5257" spans="1:2" x14ac:dyDescent="0.25">
      <c r="A5257" t="s">
        <v>8560</v>
      </c>
      <c r="B5257">
        <v>5257</v>
      </c>
    </row>
    <row r="5258" spans="1:2" x14ac:dyDescent="0.25">
      <c r="A5258" t="s">
        <v>8571</v>
      </c>
      <c r="B5258">
        <v>5258</v>
      </c>
    </row>
    <row r="5259" spans="1:2" x14ac:dyDescent="0.25">
      <c r="A5259" t="s">
        <v>8568</v>
      </c>
      <c r="B5259">
        <v>5259</v>
      </c>
    </row>
    <row r="5260" spans="1:2" x14ac:dyDescent="0.25">
      <c r="A5260" t="s">
        <v>8572</v>
      </c>
      <c r="B5260">
        <v>5260</v>
      </c>
    </row>
    <row r="5261" spans="1:2" x14ac:dyDescent="0.25">
      <c r="A5261" t="s">
        <v>8564</v>
      </c>
      <c r="B5261">
        <v>5261</v>
      </c>
    </row>
    <row r="5262" spans="1:2" x14ac:dyDescent="0.25">
      <c r="A5262" t="s">
        <v>8559</v>
      </c>
      <c r="B5262">
        <v>5262</v>
      </c>
    </row>
    <row r="5263" spans="1:2" x14ac:dyDescent="0.25">
      <c r="A5263" t="s">
        <v>8569</v>
      </c>
      <c r="B5263">
        <v>5263</v>
      </c>
    </row>
    <row r="5264" spans="1:2" x14ac:dyDescent="0.25">
      <c r="A5264" t="s">
        <v>8566</v>
      </c>
      <c r="B5264">
        <v>5264</v>
      </c>
    </row>
    <row r="5265" spans="1:2" x14ac:dyDescent="0.25">
      <c r="A5265" t="s">
        <v>8570</v>
      </c>
      <c r="B5265">
        <v>5265</v>
      </c>
    </row>
    <row r="5266" spans="1:2" x14ac:dyDescent="0.25">
      <c r="A5266" t="s">
        <v>8588</v>
      </c>
      <c r="B5266">
        <v>5266</v>
      </c>
    </row>
    <row r="5267" spans="1:2" x14ac:dyDescent="0.25">
      <c r="A5267" t="s">
        <v>8595</v>
      </c>
      <c r="B5267">
        <v>5267</v>
      </c>
    </row>
    <row r="5268" spans="1:2" x14ac:dyDescent="0.25">
      <c r="A5268" t="s">
        <v>8591</v>
      </c>
      <c r="B5268">
        <v>5268</v>
      </c>
    </row>
    <row r="5269" spans="1:2" x14ac:dyDescent="0.25">
      <c r="A5269" t="s">
        <v>8597</v>
      </c>
      <c r="B5269">
        <v>5269</v>
      </c>
    </row>
    <row r="5270" spans="1:2" x14ac:dyDescent="0.25">
      <c r="A5270" t="s">
        <v>8592</v>
      </c>
      <c r="B5270">
        <v>5270</v>
      </c>
    </row>
    <row r="5271" spans="1:2" x14ac:dyDescent="0.25">
      <c r="A5271" t="s">
        <v>8593</v>
      </c>
      <c r="B5271">
        <v>5271</v>
      </c>
    </row>
    <row r="5272" spans="1:2" x14ac:dyDescent="0.25">
      <c r="A5272" t="s">
        <v>8590</v>
      </c>
      <c r="B5272">
        <v>5272</v>
      </c>
    </row>
    <row r="5273" spans="1:2" x14ac:dyDescent="0.25">
      <c r="A5273" t="s">
        <v>8601</v>
      </c>
      <c r="B5273">
        <v>5273</v>
      </c>
    </row>
    <row r="5274" spans="1:2" x14ac:dyDescent="0.25">
      <c r="A5274" t="s">
        <v>8598</v>
      </c>
      <c r="B5274">
        <v>5274</v>
      </c>
    </row>
    <row r="5275" spans="1:2" x14ac:dyDescent="0.25">
      <c r="A5275" t="s">
        <v>8602</v>
      </c>
      <c r="B5275">
        <v>5275</v>
      </c>
    </row>
    <row r="5276" spans="1:2" x14ac:dyDescent="0.25">
      <c r="A5276" t="s">
        <v>8594</v>
      </c>
      <c r="B5276">
        <v>5276</v>
      </c>
    </row>
    <row r="5277" spans="1:2" x14ac:dyDescent="0.25">
      <c r="A5277" t="s">
        <v>8589</v>
      </c>
      <c r="B5277">
        <v>5277</v>
      </c>
    </row>
    <row r="5278" spans="1:2" x14ac:dyDescent="0.25">
      <c r="A5278" t="s">
        <v>8599</v>
      </c>
      <c r="B5278">
        <v>5278</v>
      </c>
    </row>
    <row r="5279" spans="1:2" x14ac:dyDescent="0.25">
      <c r="A5279" t="s">
        <v>8596</v>
      </c>
      <c r="B5279">
        <v>5279</v>
      </c>
    </row>
    <row r="5280" spans="1:2" x14ac:dyDescent="0.25">
      <c r="A5280" t="s">
        <v>8600</v>
      </c>
      <c r="B5280">
        <v>5280</v>
      </c>
    </row>
    <row r="5281" spans="1:2" x14ac:dyDescent="0.25">
      <c r="A5281" t="s">
        <v>8618</v>
      </c>
      <c r="B5281">
        <v>5281</v>
      </c>
    </row>
    <row r="5282" spans="1:2" x14ac:dyDescent="0.25">
      <c r="A5282" t="s">
        <v>8625</v>
      </c>
      <c r="B5282">
        <v>5282</v>
      </c>
    </row>
    <row r="5283" spans="1:2" x14ac:dyDescent="0.25">
      <c r="A5283" t="s">
        <v>8621</v>
      </c>
      <c r="B5283">
        <v>5283</v>
      </c>
    </row>
    <row r="5284" spans="1:2" x14ac:dyDescent="0.25">
      <c r="A5284" t="s">
        <v>8627</v>
      </c>
      <c r="B5284">
        <v>5284</v>
      </c>
    </row>
    <row r="5285" spans="1:2" x14ac:dyDescent="0.25">
      <c r="A5285" t="s">
        <v>8622</v>
      </c>
      <c r="B5285">
        <v>5285</v>
      </c>
    </row>
    <row r="5286" spans="1:2" x14ac:dyDescent="0.25">
      <c r="A5286" t="s">
        <v>8623</v>
      </c>
      <c r="B5286">
        <v>5286</v>
      </c>
    </row>
    <row r="5287" spans="1:2" x14ac:dyDescent="0.25">
      <c r="A5287" t="s">
        <v>8620</v>
      </c>
      <c r="B5287">
        <v>5287</v>
      </c>
    </row>
    <row r="5288" spans="1:2" x14ac:dyDescent="0.25">
      <c r="A5288" t="s">
        <v>8631</v>
      </c>
      <c r="B5288">
        <v>5288</v>
      </c>
    </row>
    <row r="5289" spans="1:2" x14ac:dyDescent="0.25">
      <c r="A5289" t="s">
        <v>8628</v>
      </c>
      <c r="B5289">
        <v>5289</v>
      </c>
    </row>
    <row r="5290" spans="1:2" x14ac:dyDescent="0.25">
      <c r="A5290" t="s">
        <v>8632</v>
      </c>
      <c r="B5290">
        <v>5290</v>
      </c>
    </row>
    <row r="5291" spans="1:2" x14ac:dyDescent="0.25">
      <c r="A5291" t="s">
        <v>8624</v>
      </c>
      <c r="B5291">
        <v>5291</v>
      </c>
    </row>
    <row r="5292" spans="1:2" x14ac:dyDescent="0.25">
      <c r="A5292" t="s">
        <v>8619</v>
      </c>
      <c r="B5292">
        <v>5292</v>
      </c>
    </row>
    <row r="5293" spans="1:2" x14ac:dyDescent="0.25">
      <c r="A5293" t="s">
        <v>8629</v>
      </c>
      <c r="B5293">
        <v>5293</v>
      </c>
    </row>
    <row r="5294" spans="1:2" x14ac:dyDescent="0.25">
      <c r="A5294" t="s">
        <v>8626</v>
      </c>
      <c r="B5294">
        <v>5294</v>
      </c>
    </row>
    <row r="5295" spans="1:2" x14ac:dyDescent="0.25">
      <c r="A5295" t="s">
        <v>8630</v>
      </c>
      <c r="B5295">
        <v>5295</v>
      </c>
    </row>
    <row r="5296" spans="1:2" x14ac:dyDescent="0.25">
      <c r="A5296" t="s">
        <v>3320</v>
      </c>
      <c r="B5296">
        <v>5296</v>
      </c>
    </row>
    <row r="5297" spans="1:2" x14ac:dyDescent="0.25">
      <c r="A5297" t="s">
        <v>3350</v>
      </c>
      <c r="B5297">
        <v>5297</v>
      </c>
    </row>
    <row r="5298" spans="1:2" x14ac:dyDescent="0.25">
      <c r="A5298" t="s">
        <v>3380</v>
      </c>
      <c r="B5298">
        <v>5298</v>
      </c>
    </row>
    <row r="5299" spans="1:2" x14ac:dyDescent="0.25">
      <c r="A5299" t="s">
        <v>3410</v>
      </c>
      <c r="B5299">
        <v>5299</v>
      </c>
    </row>
    <row r="5300" spans="1:2" x14ac:dyDescent="0.25">
      <c r="A5300" t="s">
        <v>3440</v>
      </c>
      <c r="B5300">
        <v>5300</v>
      </c>
    </row>
    <row r="5301" spans="1:2" x14ac:dyDescent="0.25">
      <c r="A5301" t="s">
        <v>3470</v>
      </c>
      <c r="B5301">
        <v>5301</v>
      </c>
    </row>
    <row r="5302" spans="1:2" x14ac:dyDescent="0.25">
      <c r="A5302" t="s">
        <v>3500</v>
      </c>
      <c r="B5302">
        <v>5302</v>
      </c>
    </row>
    <row r="5303" spans="1:2" x14ac:dyDescent="0.25">
      <c r="A5303" t="s">
        <v>3530</v>
      </c>
      <c r="B5303">
        <v>5303</v>
      </c>
    </row>
    <row r="5304" spans="1:2" x14ac:dyDescent="0.25">
      <c r="A5304" t="s">
        <v>3560</v>
      </c>
      <c r="B5304">
        <v>5304</v>
      </c>
    </row>
    <row r="5305" spans="1:2" x14ac:dyDescent="0.25">
      <c r="A5305" t="s">
        <v>3590</v>
      </c>
      <c r="B5305">
        <v>5305</v>
      </c>
    </row>
    <row r="5306" spans="1:2" x14ac:dyDescent="0.25">
      <c r="A5306" t="s">
        <v>3620</v>
      </c>
      <c r="B5306">
        <v>5306</v>
      </c>
    </row>
    <row r="5307" spans="1:2" x14ac:dyDescent="0.25">
      <c r="A5307" t="s">
        <v>3650</v>
      </c>
      <c r="B5307">
        <v>5307</v>
      </c>
    </row>
    <row r="5308" spans="1:2" x14ac:dyDescent="0.25">
      <c r="A5308" t="s">
        <v>3680</v>
      </c>
      <c r="B5308">
        <v>5308</v>
      </c>
    </row>
    <row r="5309" spans="1:2" x14ac:dyDescent="0.25">
      <c r="A5309" t="s">
        <v>3710</v>
      </c>
      <c r="B5309">
        <v>5309</v>
      </c>
    </row>
    <row r="5310" spans="1:2" x14ac:dyDescent="0.25">
      <c r="A5310" t="s">
        <v>3740</v>
      </c>
      <c r="B5310">
        <v>5310</v>
      </c>
    </row>
    <row r="5311" spans="1:2" x14ac:dyDescent="0.25">
      <c r="A5311" t="s">
        <v>3770</v>
      </c>
      <c r="B5311">
        <v>5311</v>
      </c>
    </row>
    <row r="5312" spans="1:2" x14ac:dyDescent="0.25">
      <c r="A5312" t="s">
        <v>3800</v>
      </c>
      <c r="B5312">
        <v>5312</v>
      </c>
    </row>
    <row r="5313" spans="1:2" x14ac:dyDescent="0.25">
      <c r="A5313" t="s">
        <v>3830</v>
      </c>
      <c r="B5313">
        <v>5313</v>
      </c>
    </row>
    <row r="5314" spans="1:2" x14ac:dyDescent="0.25">
      <c r="A5314" t="s">
        <v>3860</v>
      </c>
      <c r="B5314">
        <v>5314</v>
      </c>
    </row>
    <row r="5315" spans="1:2" x14ac:dyDescent="0.25">
      <c r="A5315" t="s">
        <v>3890</v>
      </c>
      <c r="B5315">
        <v>5315</v>
      </c>
    </row>
    <row r="5316" spans="1:2" x14ac:dyDescent="0.25">
      <c r="A5316" t="s">
        <v>3920</v>
      </c>
      <c r="B5316">
        <v>5316</v>
      </c>
    </row>
    <row r="5317" spans="1:2" x14ac:dyDescent="0.25">
      <c r="A5317" t="s">
        <v>3950</v>
      </c>
      <c r="B5317">
        <v>5317</v>
      </c>
    </row>
    <row r="5318" spans="1:2" x14ac:dyDescent="0.25">
      <c r="A5318" t="s">
        <v>3980</v>
      </c>
      <c r="B5318">
        <v>5318</v>
      </c>
    </row>
    <row r="5319" spans="1:2" x14ac:dyDescent="0.25">
      <c r="A5319" t="s">
        <v>4010</v>
      </c>
      <c r="B5319">
        <v>5319</v>
      </c>
    </row>
    <row r="5320" spans="1:2" x14ac:dyDescent="0.25">
      <c r="A5320" t="s">
        <v>4040</v>
      </c>
      <c r="B5320">
        <v>5320</v>
      </c>
    </row>
    <row r="5321" spans="1:2" x14ac:dyDescent="0.25">
      <c r="A5321" t="s">
        <v>4070</v>
      </c>
      <c r="B5321">
        <v>5321</v>
      </c>
    </row>
    <row r="5322" spans="1:2" x14ac:dyDescent="0.25">
      <c r="A5322" t="s">
        <v>4100</v>
      </c>
      <c r="B5322">
        <v>5322</v>
      </c>
    </row>
    <row r="5323" spans="1:2" x14ac:dyDescent="0.25">
      <c r="A5323" t="s">
        <v>4129</v>
      </c>
      <c r="B5323">
        <v>5323</v>
      </c>
    </row>
    <row r="5324" spans="1:2" x14ac:dyDescent="0.25">
      <c r="A5324" t="s">
        <v>4129</v>
      </c>
      <c r="B5324">
        <v>5324</v>
      </c>
    </row>
    <row r="5325" spans="1:2" x14ac:dyDescent="0.25">
      <c r="A5325" t="s">
        <v>4159</v>
      </c>
      <c r="B5325">
        <v>5325</v>
      </c>
    </row>
    <row r="5326" spans="1:2" x14ac:dyDescent="0.25">
      <c r="A5326" t="s">
        <v>4189</v>
      </c>
      <c r="B5326">
        <v>5326</v>
      </c>
    </row>
    <row r="5327" spans="1:2" x14ac:dyDescent="0.25">
      <c r="A5327" t="s">
        <v>4219</v>
      </c>
      <c r="B5327">
        <v>5327</v>
      </c>
    </row>
    <row r="5328" spans="1:2" x14ac:dyDescent="0.25">
      <c r="A5328" t="s">
        <v>4249</v>
      </c>
      <c r="B5328">
        <v>5328</v>
      </c>
    </row>
    <row r="5329" spans="1:2" x14ac:dyDescent="0.25">
      <c r="A5329" t="s">
        <v>4279</v>
      </c>
      <c r="B5329">
        <v>5329</v>
      </c>
    </row>
    <row r="5330" spans="1:2" x14ac:dyDescent="0.25">
      <c r="A5330" t="s">
        <v>4309</v>
      </c>
      <c r="B5330">
        <v>5330</v>
      </c>
    </row>
    <row r="5331" spans="1:2" x14ac:dyDescent="0.25">
      <c r="A5331" t="s">
        <v>4339</v>
      </c>
      <c r="B5331">
        <v>5331</v>
      </c>
    </row>
    <row r="5332" spans="1:2" x14ac:dyDescent="0.25">
      <c r="A5332" t="s">
        <v>4369</v>
      </c>
      <c r="B5332">
        <v>5332</v>
      </c>
    </row>
    <row r="5333" spans="1:2" x14ac:dyDescent="0.25">
      <c r="A5333" t="s">
        <v>4399</v>
      </c>
      <c r="B5333">
        <v>5333</v>
      </c>
    </row>
    <row r="5334" spans="1:2" x14ac:dyDescent="0.25">
      <c r="A5334" t="s">
        <v>4429</v>
      </c>
      <c r="B5334">
        <v>5334</v>
      </c>
    </row>
    <row r="5335" spans="1:2" x14ac:dyDescent="0.25">
      <c r="A5335" t="s">
        <v>4459</v>
      </c>
      <c r="B5335">
        <v>5335</v>
      </c>
    </row>
    <row r="5336" spans="1:2" x14ac:dyDescent="0.25">
      <c r="A5336" t="s">
        <v>4489</v>
      </c>
      <c r="B5336">
        <v>5336</v>
      </c>
    </row>
    <row r="5337" spans="1:2" x14ac:dyDescent="0.25">
      <c r="A5337" t="s">
        <v>4519</v>
      </c>
      <c r="B5337">
        <v>5337</v>
      </c>
    </row>
    <row r="5338" spans="1:2" x14ac:dyDescent="0.25">
      <c r="A5338" t="s">
        <v>4549</v>
      </c>
      <c r="B5338">
        <v>5338</v>
      </c>
    </row>
    <row r="5339" spans="1:2" x14ac:dyDescent="0.25">
      <c r="A5339" t="s">
        <v>4576</v>
      </c>
      <c r="B5339">
        <v>5339</v>
      </c>
    </row>
    <row r="5340" spans="1:2" x14ac:dyDescent="0.25">
      <c r="A5340" t="s">
        <v>4576</v>
      </c>
      <c r="B5340">
        <v>5340</v>
      </c>
    </row>
    <row r="5341" spans="1:2" x14ac:dyDescent="0.25">
      <c r="A5341" t="s">
        <v>4606</v>
      </c>
      <c r="B5341">
        <v>5341</v>
      </c>
    </row>
    <row r="5342" spans="1:2" x14ac:dyDescent="0.25">
      <c r="A5342" t="s">
        <v>4636</v>
      </c>
      <c r="B5342">
        <v>5342</v>
      </c>
    </row>
    <row r="5343" spans="1:2" x14ac:dyDescent="0.25">
      <c r="A5343" t="s">
        <v>4666</v>
      </c>
      <c r="B5343">
        <v>5343</v>
      </c>
    </row>
    <row r="5344" spans="1:2" x14ac:dyDescent="0.25">
      <c r="A5344" t="s">
        <v>4696</v>
      </c>
      <c r="B5344">
        <v>5344</v>
      </c>
    </row>
    <row r="5345" spans="1:2" x14ac:dyDescent="0.25">
      <c r="A5345" t="s">
        <v>4726</v>
      </c>
      <c r="B5345">
        <v>5345</v>
      </c>
    </row>
    <row r="5346" spans="1:2" x14ac:dyDescent="0.25">
      <c r="A5346" t="s">
        <v>4751</v>
      </c>
      <c r="B5346">
        <v>5346</v>
      </c>
    </row>
    <row r="5347" spans="1:2" x14ac:dyDescent="0.25">
      <c r="A5347" t="s">
        <v>4751</v>
      </c>
      <c r="B5347">
        <v>5347</v>
      </c>
    </row>
    <row r="5348" spans="1:2" x14ac:dyDescent="0.25">
      <c r="A5348" t="s">
        <v>4781</v>
      </c>
      <c r="B5348">
        <v>5348</v>
      </c>
    </row>
    <row r="5349" spans="1:2" x14ac:dyDescent="0.25">
      <c r="A5349" t="s">
        <v>4811</v>
      </c>
      <c r="B5349">
        <v>5349</v>
      </c>
    </row>
    <row r="5350" spans="1:2" x14ac:dyDescent="0.25">
      <c r="A5350" t="s">
        <v>4841</v>
      </c>
      <c r="B5350">
        <v>5350</v>
      </c>
    </row>
    <row r="5351" spans="1:2" x14ac:dyDescent="0.25">
      <c r="A5351" t="s">
        <v>4871</v>
      </c>
      <c r="B5351">
        <v>5351</v>
      </c>
    </row>
    <row r="5352" spans="1:2" x14ac:dyDescent="0.25">
      <c r="A5352" t="s">
        <v>4901</v>
      </c>
      <c r="B5352">
        <v>5352</v>
      </c>
    </row>
    <row r="5353" spans="1:2" x14ac:dyDescent="0.25">
      <c r="A5353" t="s">
        <v>4931</v>
      </c>
      <c r="B5353">
        <v>5353</v>
      </c>
    </row>
    <row r="5354" spans="1:2" x14ac:dyDescent="0.25">
      <c r="A5354" t="s">
        <v>4961</v>
      </c>
      <c r="B5354">
        <v>5354</v>
      </c>
    </row>
    <row r="5355" spans="1:2" x14ac:dyDescent="0.25">
      <c r="A5355" t="s">
        <v>4991</v>
      </c>
      <c r="B5355">
        <v>5355</v>
      </c>
    </row>
    <row r="5356" spans="1:2" x14ac:dyDescent="0.25">
      <c r="A5356" t="s">
        <v>5021</v>
      </c>
      <c r="B5356">
        <v>5356</v>
      </c>
    </row>
    <row r="5357" spans="1:2" x14ac:dyDescent="0.25">
      <c r="A5357" t="s">
        <v>5051</v>
      </c>
      <c r="B5357">
        <v>5357</v>
      </c>
    </row>
    <row r="5358" spans="1:2" x14ac:dyDescent="0.25">
      <c r="A5358" t="s">
        <v>5075</v>
      </c>
      <c r="B5358">
        <v>5358</v>
      </c>
    </row>
    <row r="5359" spans="1:2" x14ac:dyDescent="0.25">
      <c r="A5359" t="s">
        <v>5075</v>
      </c>
      <c r="B5359">
        <v>5359</v>
      </c>
    </row>
    <row r="5360" spans="1:2" x14ac:dyDescent="0.25">
      <c r="A5360" t="s">
        <v>5096</v>
      </c>
      <c r="B5360">
        <v>5360</v>
      </c>
    </row>
    <row r="5361" spans="1:2" x14ac:dyDescent="0.25">
      <c r="A5361" t="s">
        <v>5096</v>
      </c>
      <c r="B5361">
        <v>5361</v>
      </c>
    </row>
    <row r="5362" spans="1:2" x14ac:dyDescent="0.25">
      <c r="A5362" t="s">
        <v>5115</v>
      </c>
      <c r="B5362">
        <v>5362</v>
      </c>
    </row>
    <row r="5363" spans="1:2" x14ac:dyDescent="0.25">
      <c r="A5363" t="s">
        <v>5115</v>
      </c>
      <c r="B5363">
        <v>5363</v>
      </c>
    </row>
    <row r="5364" spans="1:2" x14ac:dyDescent="0.25">
      <c r="A5364" t="s">
        <v>5144</v>
      </c>
      <c r="B5364">
        <v>5364</v>
      </c>
    </row>
    <row r="5365" spans="1:2" x14ac:dyDescent="0.25">
      <c r="A5365" t="s">
        <v>5174</v>
      </c>
      <c r="B5365">
        <v>5365</v>
      </c>
    </row>
    <row r="5366" spans="1:2" x14ac:dyDescent="0.25">
      <c r="A5366" t="s">
        <v>5204</v>
      </c>
      <c r="B5366">
        <v>5366</v>
      </c>
    </row>
    <row r="5367" spans="1:2" x14ac:dyDescent="0.25">
      <c r="A5367" t="s">
        <v>5234</v>
      </c>
      <c r="B5367">
        <v>5367</v>
      </c>
    </row>
    <row r="5368" spans="1:2" x14ac:dyDescent="0.25">
      <c r="A5368" t="s">
        <v>5264</v>
      </c>
      <c r="B5368">
        <v>5368</v>
      </c>
    </row>
    <row r="5369" spans="1:2" x14ac:dyDescent="0.25">
      <c r="A5369" t="s">
        <v>5294</v>
      </c>
      <c r="B5369">
        <v>5369</v>
      </c>
    </row>
    <row r="5370" spans="1:2" x14ac:dyDescent="0.25">
      <c r="A5370" t="s">
        <v>5324</v>
      </c>
      <c r="B5370">
        <v>5370</v>
      </c>
    </row>
    <row r="5371" spans="1:2" x14ac:dyDescent="0.25">
      <c r="A5371" t="s">
        <v>5354</v>
      </c>
      <c r="B5371">
        <v>5371</v>
      </c>
    </row>
    <row r="5372" spans="1:2" x14ac:dyDescent="0.25">
      <c r="A5372" t="s">
        <v>5384</v>
      </c>
      <c r="B5372">
        <v>5372</v>
      </c>
    </row>
    <row r="5373" spans="1:2" x14ac:dyDescent="0.25">
      <c r="A5373" t="s">
        <v>5414</v>
      </c>
      <c r="B5373">
        <v>5373</v>
      </c>
    </row>
    <row r="5374" spans="1:2" x14ac:dyDescent="0.25">
      <c r="A5374" t="s">
        <v>5444</v>
      </c>
      <c r="B5374">
        <v>5374</v>
      </c>
    </row>
    <row r="5375" spans="1:2" x14ac:dyDescent="0.25">
      <c r="A5375" t="s">
        <v>5474</v>
      </c>
      <c r="B5375">
        <v>5375</v>
      </c>
    </row>
    <row r="5376" spans="1:2" x14ac:dyDescent="0.25">
      <c r="A5376" t="s">
        <v>5504</v>
      </c>
      <c r="B5376">
        <v>5376</v>
      </c>
    </row>
    <row r="5377" spans="1:2" x14ac:dyDescent="0.25">
      <c r="A5377" t="s">
        <v>5534</v>
      </c>
      <c r="B5377">
        <v>5377</v>
      </c>
    </row>
    <row r="5378" spans="1:2" x14ac:dyDescent="0.25">
      <c r="A5378" t="s">
        <v>5564</v>
      </c>
      <c r="B5378">
        <v>5378</v>
      </c>
    </row>
    <row r="5379" spans="1:2" x14ac:dyDescent="0.25">
      <c r="A5379" t="s">
        <v>5594</v>
      </c>
      <c r="B5379">
        <v>5379</v>
      </c>
    </row>
    <row r="5380" spans="1:2" x14ac:dyDescent="0.25">
      <c r="A5380" t="s">
        <v>5624</v>
      </c>
      <c r="B5380">
        <v>5380</v>
      </c>
    </row>
    <row r="5381" spans="1:2" x14ac:dyDescent="0.25">
      <c r="A5381" t="s">
        <v>5654</v>
      </c>
      <c r="B5381">
        <v>5381</v>
      </c>
    </row>
    <row r="5382" spans="1:2" x14ac:dyDescent="0.25">
      <c r="A5382" t="s">
        <v>5684</v>
      </c>
      <c r="B5382">
        <v>5382</v>
      </c>
    </row>
    <row r="5383" spans="1:2" x14ac:dyDescent="0.25">
      <c r="A5383" t="s">
        <v>5714</v>
      </c>
      <c r="B5383">
        <v>5383</v>
      </c>
    </row>
    <row r="5384" spans="1:2" x14ac:dyDescent="0.25">
      <c r="A5384" t="s">
        <v>5744</v>
      </c>
      <c r="B5384">
        <v>5384</v>
      </c>
    </row>
    <row r="5385" spans="1:2" x14ac:dyDescent="0.25">
      <c r="A5385" t="s">
        <v>5774</v>
      </c>
      <c r="B5385">
        <v>5385</v>
      </c>
    </row>
    <row r="5386" spans="1:2" x14ac:dyDescent="0.25">
      <c r="A5386" t="s">
        <v>5804</v>
      </c>
      <c r="B5386">
        <v>5386</v>
      </c>
    </row>
    <row r="5387" spans="1:2" x14ac:dyDescent="0.25">
      <c r="A5387" t="s">
        <v>5834</v>
      </c>
      <c r="B5387">
        <v>5387</v>
      </c>
    </row>
    <row r="5388" spans="1:2" x14ac:dyDescent="0.25">
      <c r="A5388" t="s">
        <v>5864</v>
      </c>
      <c r="B5388">
        <v>5388</v>
      </c>
    </row>
    <row r="5389" spans="1:2" x14ac:dyDescent="0.25">
      <c r="A5389" t="s">
        <v>5894</v>
      </c>
      <c r="B5389">
        <v>5389</v>
      </c>
    </row>
    <row r="5390" spans="1:2" x14ac:dyDescent="0.25">
      <c r="A5390" t="s">
        <v>5924</v>
      </c>
      <c r="B5390">
        <v>5390</v>
      </c>
    </row>
    <row r="5391" spans="1:2" x14ac:dyDescent="0.25">
      <c r="A5391" t="s">
        <v>5954</v>
      </c>
      <c r="B5391">
        <v>5391</v>
      </c>
    </row>
    <row r="5392" spans="1:2" x14ac:dyDescent="0.25">
      <c r="A5392" t="s">
        <v>5984</v>
      </c>
      <c r="B5392">
        <v>5392</v>
      </c>
    </row>
    <row r="5393" spans="1:2" x14ac:dyDescent="0.25">
      <c r="A5393" t="s">
        <v>6014</v>
      </c>
      <c r="B5393">
        <v>5393</v>
      </c>
    </row>
    <row r="5394" spans="1:2" x14ac:dyDescent="0.25">
      <c r="A5394" t="s">
        <v>6044</v>
      </c>
      <c r="B5394">
        <v>5394</v>
      </c>
    </row>
    <row r="5395" spans="1:2" x14ac:dyDescent="0.25">
      <c r="A5395" t="s">
        <v>6062</v>
      </c>
      <c r="B5395">
        <v>5395</v>
      </c>
    </row>
    <row r="5396" spans="1:2" x14ac:dyDescent="0.25">
      <c r="A5396" t="s">
        <v>6062</v>
      </c>
      <c r="B5396">
        <v>5396</v>
      </c>
    </row>
    <row r="5397" spans="1:2" x14ac:dyDescent="0.25">
      <c r="A5397" t="s">
        <v>6091</v>
      </c>
      <c r="B5397">
        <v>5397</v>
      </c>
    </row>
    <row r="5398" spans="1:2" x14ac:dyDescent="0.25">
      <c r="A5398" t="s">
        <v>6121</v>
      </c>
      <c r="B5398">
        <v>5398</v>
      </c>
    </row>
    <row r="5399" spans="1:2" x14ac:dyDescent="0.25">
      <c r="A5399" t="s">
        <v>6151</v>
      </c>
      <c r="B5399">
        <v>5399</v>
      </c>
    </row>
    <row r="5400" spans="1:2" x14ac:dyDescent="0.25">
      <c r="A5400" t="s">
        <v>6181</v>
      </c>
      <c r="B5400">
        <v>5400</v>
      </c>
    </row>
    <row r="5401" spans="1:2" x14ac:dyDescent="0.25">
      <c r="A5401" t="s">
        <v>6211</v>
      </c>
      <c r="B5401">
        <v>5401</v>
      </c>
    </row>
    <row r="5402" spans="1:2" x14ac:dyDescent="0.25">
      <c r="A5402" t="s">
        <v>6241</v>
      </c>
      <c r="B5402">
        <v>5402</v>
      </c>
    </row>
    <row r="5403" spans="1:2" x14ac:dyDescent="0.25">
      <c r="A5403" t="s">
        <v>6271</v>
      </c>
      <c r="B5403">
        <v>5403</v>
      </c>
    </row>
    <row r="5404" spans="1:2" x14ac:dyDescent="0.25">
      <c r="A5404" t="s">
        <v>6301</v>
      </c>
      <c r="B5404">
        <v>5404</v>
      </c>
    </row>
    <row r="5405" spans="1:2" x14ac:dyDescent="0.25">
      <c r="A5405" t="s">
        <v>6331</v>
      </c>
      <c r="B5405">
        <v>5405</v>
      </c>
    </row>
    <row r="5406" spans="1:2" x14ac:dyDescent="0.25">
      <c r="A5406" t="s">
        <v>6361</v>
      </c>
      <c r="B5406">
        <v>5406</v>
      </c>
    </row>
    <row r="5407" spans="1:2" x14ac:dyDescent="0.25">
      <c r="A5407" t="s">
        <v>6391</v>
      </c>
      <c r="B5407">
        <v>5407</v>
      </c>
    </row>
    <row r="5408" spans="1:2" x14ac:dyDescent="0.25">
      <c r="A5408" t="s">
        <v>6421</v>
      </c>
      <c r="B5408">
        <v>5408</v>
      </c>
    </row>
    <row r="5409" spans="1:2" x14ac:dyDescent="0.25">
      <c r="A5409" t="s">
        <v>6451</v>
      </c>
      <c r="B5409">
        <v>5409</v>
      </c>
    </row>
    <row r="5410" spans="1:2" x14ac:dyDescent="0.25">
      <c r="A5410" t="s">
        <v>6481</v>
      </c>
      <c r="B5410">
        <v>5410</v>
      </c>
    </row>
    <row r="5411" spans="1:2" x14ac:dyDescent="0.25">
      <c r="A5411" t="s">
        <v>6511</v>
      </c>
      <c r="B5411">
        <v>5411</v>
      </c>
    </row>
    <row r="5412" spans="1:2" x14ac:dyDescent="0.25">
      <c r="A5412" t="s">
        <v>6541</v>
      </c>
      <c r="B5412">
        <v>5412</v>
      </c>
    </row>
    <row r="5413" spans="1:2" x14ac:dyDescent="0.25">
      <c r="A5413" t="s">
        <v>6571</v>
      </c>
      <c r="B5413">
        <v>5413</v>
      </c>
    </row>
    <row r="5414" spans="1:2" x14ac:dyDescent="0.25">
      <c r="A5414" t="s">
        <v>6601</v>
      </c>
      <c r="B5414">
        <v>5414</v>
      </c>
    </row>
    <row r="5415" spans="1:2" x14ac:dyDescent="0.25">
      <c r="A5415" t="s">
        <v>6618</v>
      </c>
      <c r="B5415">
        <v>5415</v>
      </c>
    </row>
    <row r="5416" spans="1:2" x14ac:dyDescent="0.25">
      <c r="A5416" t="s">
        <v>6618</v>
      </c>
      <c r="B5416">
        <v>5416</v>
      </c>
    </row>
    <row r="5417" spans="1:2" x14ac:dyDescent="0.25">
      <c r="A5417" t="s">
        <v>6646</v>
      </c>
      <c r="B5417">
        <v>5417</v>
      </c>
    </row>
    <row r="5418" spans="1:2" x14ac:dyDescent="0.25">
      <c r="A5418" t="s">
        <v>6676</v>
      </c>
      <c r="B5418">
        <v>5418</v>
      </c>
    </row>
    <row r="5419" spans="1:2" x14ac:dyDescent="0.25">
      <c r="A5419" t="s">
        <v>6706</v>
      </c>
      <c r="B5419">
        <v>5419</v>
      </c>
    </row>
    <row r="5420" spans="1:2" x14ac:dyDescent="0.25">
      <c r="A5420" t="s">
        <v>6736</v>
      </c>
      <c r="B5420">
        <v>5420</v>
      </c>
    </row>
    <row r="5421" spans="1:2" x14ac:dyDescent="0.25">
      <c r="A5421" t="s">
        <v>6766</v>
      </c>
      <c r="B5421">
        <v>5421</v>
      </c>
    </row>
    <row r="5422" spans="1:2" x14ac:dyDescent="0.25">
      <c r="A5422" t="s">
        <v>6796</v>
      </c>
      <c r="B5422">
        <v>5422</v>
      </c>
    </row>
    <row r="5423" spans="1:2" x14ac:dyDescent="0.25">
      <c r="A5423" t="s">
        <v>6826</v>
      </c>
      <c r="B5423">
        <v>5423</v>
      </c>
    </row>
    <row r="5424" spans="1:2" x14ac:dyDescent="0.25">
      <c r="A5424" t="s">
        <v>6856</v>
      </c>
      <c r="B5424">
        <v>5424</v>
      </c>
    </row>
    <row r="5425" spans="1:2" x14ac:dyDescent="0.25">
      <c r="A5425" t="s">
        <v>6872</v>
      </c>
      <c r="B5425">
        <v>5425</v>
      </c>
    </row>
    <row r="5426" spans="1:2" x14ac:dyDescent="0.25">
      <c r="A5426" t="s">
        <v>6872</v>
      </c>
      <c r="B5426">
        <v>5426</v>
      </c>
    </row>
    <row r="5427" spans="1:2" x14ac:dyDescent="0.25">
      <c r="A5427" t="s">
        <v>6899</v>
      </c>
      <c r="B5427">
        <v>5427</v>
      </c>
    </row>
    <row r="5428" spans="1:2" x14ac:dyDescent="0.25">
      <c r="A5428" t="s">
        <v>6929</v>
      </c>
      <c r="B5428">
        <v>5428</v>
      </c>
    </row>
    <row r="5429" spans="1:2" x14ac:dyDescent="0.25">
      <c r="A5429" t="s">
        <v>6959</v>
      </c>
      <c r="B5429">
        <v>5429</v>
      </c>
    </row>
    <row r="5430" spans="1:2" x14ac:dyDescent="0.25">
      <c r="A5430" t="s">
        <v>6989</v>
      </c>
      <c r="B5430">
        <v>5430</v>
      </c>
    </row>
    <row r="5431" spans="1:2" x14ac:dyDescent="0.25">
      <c r="A5431" t="s">
        <v>7019</v>
      </c>
      <c r="B5431">
        <v>5431</v>
      </c>
    </row>
    <row r="5432" spans="1:2" x14ac:dyDescent="0.25">
      <c r="A5432" t="s">
        <v>7049</v>
      </c>
      <c r="B5432">
        <v>5432</v>
      </c>
    </row>
    <row r="5433" spans="1:2" x14ac:dyDescent="0.25">
      <c r="A5433" t="s">
        <v>7079</v>
      </c>
      <c r="B5433">
        <v>5433</v>
      </c>
    </row>
    <row r="5434" spans="1:2" x14ac:dyDescent="0.25">
      <c r="A5434" t="s">
        <v>7109</v>
      </c>
      <c r="B5434">
        <v>5434</v>
      </c>
    </row>
    <row r="5435" spans="1:2" x14ac:dyDescent="0.25">
      <c r="A5435" t="s">
        <v>7124</v>
      </c>
      <c r="B5435">
        <v>5435</v>
      </c>
    </row>
    <row r="5436" spans="1:2" x14ac:dyDescent="0.25">
      <c r="A5436" t="s">
        <v>7124</v>
      </c>
      <c r="B5436">
        <v>5436</v>
      </c>
    </row>
    <row r="5437" spans="1:2" x14ac:dyDescent="0.25">
      <c r="A5437" t="s">
        <v>7150</v>
      </c>
      <c r="B5437">
        <v>5437</v>
      </c>
    </row>
    <row r="5438" spans="1:2" x14ac:dyDescent="0.25">
      <c r="A5438" t="s">
        <v>7180</v>
      </c>
      <c r="B5438">
        <v>5438</v>
      </c>
    </row>
    <row r="5439" spans="1:2" x14ac:dyDescent="0.25">
      <c r="A5439" t="s">
        <v>7210</v>
      </c>
      <c r="B5439">
        <v>5439</v>
      </c>
    </row>
    <row r="5440" spans="1:2" x14ac:dyDescent="0.25">
      <c r="A5440" t="s">
        <v>7240</v>
      </c>
      <c r="B5440">
        <v>5440</v>
      </c>
    </row>
    <row r="5441" spans="1:2" x14ac:dyDescent="0.25">
      <c r="A5441" t="s">
        <v>7270</v>
      </c>
      <c r="B5441">
        <v>5441</v>
      </c>
    </row>
    <row r="5442" spans="1:2" x14ac:dyDescent="0.25">
      <c r="A5442" t="s">
        <v>7283</v>
      </c>
      <c r="B5442">
        <v>5442</v>
      </c>
    </row>
    <row r="5443" spans="1:2" x14ac:dyDescent="0.25">
      <c r="A5443" t="s">
        <v>7283</v>
      </c>
      <c r="B5443">
        <v>5443</v>
      </c>
    </row>
    <row r="5444" spans="1:2" x14ac:dyDescent="0.25">
      <c r="A5444" t="s">
        <v>7309</v>
      </c>
      <c r="B5444">
        <v>5444</v>
      </c>
    </row>
    <row r="5445" spans="1:2" x14ac:dyDescent="0.25">
      <c r="A5445" t="s">
        <v>7339</v>
      </c>
      <c r="B5445">
        <v>5445</v>
      </c>
    </row>
    <row r="5446" spans="1:2" x14ac:dyDescent="0.25">
      <c r="A5446" t="s">
        <v>7369</v>
      </c>
      <c r="B5446">
        <v>5446</v>
      </c>
    </row>
    <row r="5447" spans="1:2" x14ac:dyDescent="0.25">
      <c r="A5447" t="s">
        <v>7399</v>
      </c>
      <c r="B5447">
        <v>5447</v>
      </c>
    </row>
    <row r="5448" spans="1:2" x14ac:dyDescent="0.25">
      <c r="A5448" t="s">
        <v>7429</v>
      </c>
      <c r="B5448">
        <v>5448</v>
      </c>
    </row>
    <row r="5449" spans="1:2" x14ac:dyDescent="0.25">
      <c r="A5449" t="s">
        <v>7459</v>
      </c>
      <c r="B5449">
        <v>5449</v>
      </c>
    </row>
    <row r="5450" spans="1:2" x14ac:dyDescent="0.25">
      <c r="A5450" t="s">
        <v>7489</v>
      </c>
      <c r="B5450">
        <v>5450</v>
      </c>
    </row>
    <row r="5451" spans="1:2" x14ac:dyDescent="0.25">
      <c r="A5451" t="s">
        <v>7519</v>
      </c>
      <c r="B5451">
        <v>5451</v>
      </c>
    </row>
    <row r="5452" spans="1:2" x14ac:dyDescent="0.25">
      <c r="A5452" t="s">
        <v>7549</v>
      </c>
      <c r="B5452">
        <v>5452</v>
      </c>
    </row>
    <row r="5453" spans="1:2" x14ac:dyDescent="0.25">
      <c r="A5453" t="s">
        <v>7579</v>
      </c>
      <c r="B5453">
        <v>5453</v>
      </c>
    </row>
    <row r="5454" spans="1:2" x14ac:dyDescent="0.25">
      <c r="A5454" t="s">
        <v>7609</v>
      </c>
      <c r="B5454">
        <v>5454</v>
      </c>
    </row>
    <row r="5455" spans="1:2" x14ac:dyDescent="0.25">
      <c r="A5455" t="s">
        <v>7639</v>
      </c>
      <c r="B5455">
        <v>5455</v>
      </c>
    </row>
    <row r="5456" spans="1:2" x14ac:dyDescent="0.25">
      <c r="A5456" t="s">
        <v>7669</v>
      </c>
      <c r="B5456">
        <v>5456</v>
      </c>
    </row>
    <row r="5457" spans="1:2" x14ac:dyDescent="0.25">
      <c r="A5457" t="s">
        <v>7699</v>
      </c>
      <c r="B5457">
        <v>5457</v>
      </c>
    </row>
    <row r="5458" spans="1:2" x14ac:dyDescent="0.25">
      <c r="A5458" t="s">
        <v>7729</v>
      </c>
      <c r="B5458">
        <v>5458</v>
      </c>
    </row>
    <row r="5459" spans="1:2" x14ac:dyDescent="0.25">
      <c r="A5459" t="s">
        <v>7759</v>
      </c>
      <c r="B5459">
        <v>5459</v>
      </c>
    </row>
    <row r="5460" spans="1:2" x14ac:dyDescent="0.25">
      <c r="A5460" t="s">
        <v>7789</v>
      </c>
      <c r="B5460">
        <v>5460</v>
      </c>
    </row>
    <row r="5461" spans="1:2" x14ac:dyDescent="0.25">
      <c r="A5461" t="s">
        <v>7819</v>
      </c>
      <c r="B5461">
        <v>5461</v>
      </c>
    </row>
    <row r="5462" spans="1:2" x14ac:dyDescent="0.25">
      <c r="A5462" t="s">
        <v>7849</v>
      </c>
      <c r="B5462">
        <v>5462</v>
      </c>
    </row>
    <row r="5463" spans="1:2" x14ac:dyDescent="0.25">
      <c r="A5463" t="s">
        <v>7879</v>
      </c>
      <c r="B5463">
        <v>5463</v>
      </c>
    </row>
    <row r="5464" spans="1:2" x14ac:dyDescent="0.25">
      <c r="A5464" t="s">
        <v>7909</v>
      </c>
      <c r="B5464">
        <v>5464</v>
      </c>
    </row>
    <row r="5465" spans="1:2" x14ac:dyDescent="0.25">
      <c r="A5465" t="s">
        <v>7939</v>
      </c>
      <c r="B5465">
        <v>5465</v>
      </c>
    </row>
    <row r="5466" spans="1:2" x14ac:dyDescent="0.25">
      <c r="A5466" t="s">
        <v>7969</v>
      </c>
      <c r="B5466">
        <v>5466</v>
      </c>
    </row>
    <row r="5467" spans="1:2" x14ac:dyDescent="0.25">
      <c r="A5467" t="s">
        <v>7999</v>
      </c>
      <c r="B5467">
        <v>5467</v>
      </c>
    </row>
    <row r="5468" spans="1:2" x14ac:dyDescent="0.25">
      <c r="A5468" t="s">
        <v>8029</v>
      </c>
      <c r="B5468">
        <v>5468</v>
      </c>
    </row>
    <row r="5469" spans="1:2" x14ac:dyDescent="0.25">
      <c r="A5469" t="s">
        <v>8059</v>
      </c>
      <c r="B5469">
        <v>5469</v>
      </c>
    </row>
    <row r="5470" spans="1:2" x14ac:dyDescent="0.25">
      <c r="A5470" t="s">
        <v>8089</v>
      </c>
      <c r="B5470">
        <v>5470</v>
      </c>
    </row>
    <row r="5471" spans="1:2" x14ac:dyDescent="0.25">
      <c r="A5471" t="s">
        <v>8119</v>
      </c>
      <c r="B5471">
        <v>5471</v>
      </c>
    </row>
    <row r="5472" spans="1:2" x14ac:dyDescent="0.25">
      <c r="A5472" t="s">
        <v>8149</v>
      </c>
      <c r="B5472">
        <v>5472</v>
      </c>
    </row>
    <row r="5473" spans="1:2" x14ac:dyDescent="0.25">
      <c r="A5473" t="s">
        <v>8179</v>
      </c>
      <c r="B5473">
        <v>5473</v>
      </c>
    </row>
    <row r="5474" spans="1:2" x14ac:dyDescent="0.25">
      <c r="A5474" t="s">
        <v>8190</v>
      </c>
      <c r="B5474">
        <v>5474</v>
      </c>
    </row>
    <row r="5475" spans="1:2" x14ac:dyDescent="0.25">
      <c r="A5475" t="s">
        <v>8190</v>
      </c>
      <c r="B5475">
        <v>5475</v>
      </c>
    </row>
    <row r="5476" spans="1:2" x14ac:dyDescent="0.25">
      <c r="A5476" t="s">
        <v>8196</v>
      </c>
      <c r="B5476">
        <v>5476</v>
      </c>
    </row>
    <row r="5477" spans="1:2" x14ac:dyDescent="0.25">
      <c r="A5477" t="s">
        <v>8196</v>
      </c>
      <c r="B5477">
        <v>5477</v>
      </c>
    </row>
    <row r="5478" spans="1:2" x14ac:dyDescent="0.25">
      <c r="A5478" t="s">
        <v>8221</v>
      </c>
      <c r="B5478">
        <v>5478</v>
      </c>
    </row>
    <row r="5479" spans="1:2" x14ac:dyDescent="0.25">
      <c r="A5479" t="s">
        <v>8251</v>
      </c>
      <c r="B5479">
        <v>5479</v>
      </c>
    </row>
    <row r="5480" spans="1:2" x14ac:dyDescent="0.25">
      <c r="A5480" t="s">
        <v>8281</v>
      </c>
      <c r="B5480">
        <v>5480</v>
      </c>
    </row>
    <row r="5481" spans="1:2" x14ac:dyDescent="0.25">
      <c r="A5481" t="s">
        <v>8311</v>
      </c>
      <c r="B5481">
        <v>5481</v>
      </c>
    </row>
    <row r="5482" spans="1:2" x14ac:dyDescent="0.25">
      <c r="A5482" t="s">
        <v>8341</v>
      </c>
      <c r="B5482">
        <v>5482</v>
      </c>
    </row>
    <row r="5483" spans="1:2" x14ac:dyDescent="0.25">
      <c r="A5483" t="s">
        <v>8371</v>
      </c>
      <c r="B5483">
        <v>5483</v>
      </c>
    </row>
    <row r="5484" spans="1:2" x14ac:dyDescent="0.25">
      <c r="A5484" t="s">
        <v>8401</v>
      </c>
      <c r="B5484">
        <v>5484</v>
      </c>
    </row>
    <row r="5485" spans="1:2" x14ac:dyDescent="0.25">
      <c r="A5485" t="s">
        <v>8431</v>
      </c>
      <c r="B5485">
        <v>5485</v>
      </c>
    </row>
    <row r="5486" spans="1:2" x14ac:dyDescent="0.25">
      <c r="A5486" t="s">
        <v>8461</v>
      </c>
      <c r="B5486">
        <v>5486</v>
      </c>
    </row>
    <row r="5487" spans="1:2" x14ac:dyDescent="0.25">
      <c r="A5487" t="s">
        <v>8491</v>
      </c>
      <c r="B5487">
        <v>5487</v>
      </c>
    </row>
    <row r="5488" spans="1:2" x14ac:dyDescent="0.25">
      <c r="A5488" t="s">
        <v>8521</v>
      </c>
      <c r="B5488">
        <v>5488</v>
      </c>
    </row>
    <row r="5489" spans="1:2" x14ac:dyDescent="0.25">
      <c r="A5489" t="s">
        <v>8551</v>
      </c>
      <c r="B5489">
        <v>5489</v>
      </c>
    </row>
    <row r="5490" spans="1:2" x14ac:dyDescent="0.25">
      <c r="A5490" t="s">
        <v>8581</v>
      </c>
      <c r="B5490">
        <v>5490</v>
      </c>
    </row>
    <row r="5491" spans="1:2" x14ac:dyDescent="0.25">
      <c r="A5491" t="s">
        <v>8611</v>
      </c>
      <c r="B5491">
        <v>5491</v>
      </c>
    </row>
    <row r="5492" spans="1:2" x14ac:dyDescent="0.25">
      <c r="A5492" t="s">
        <v>8641</v>
      </c>
      <c r="B5492">
        <v>5492</v>
      </c>
    </row>
    <row r="5493" spans="1:2" x14ac:dyDescent="0.25">
      <c r="A5493" t="s">
        <v>8648</v>
      </c>
      <c r="B5493">
        <v>5493</v>
      </c>
    </row>
    <row r="5494" spans="1:2" x14ac:dyDescent="0.25">
      <c r="A5494" t="s">
        <v>8648</v>
      </c>
      <c r="B5494">
        <v>5494</v>
      </c>
    </row>
    <row r="5495" spans="1:2" x14ac:dyDescent="0.25">
      <c r="A5495" t="s">
        <v>8674</v>
      </c>
      <c r="B5495">
        <v>5495</v>
      </c>
    </row>
    <row r="5496" spans="1:2" x14ac:dyDescent="0.25">
      <c r="A5496" t="s">
        <v>8704</v>
      </c>
      <c r="B5496">
        <v>5496</v>
      </c>
    </row>
    <row r="5497" spans="1:2" x14ac:dyDescent="0.25">
      <c r="A5497" t="s">
        <v>8734</v>
      </c>
      <c r="B5497">
        <v>5497</v>
      </c>
    </row>
    <row r="5498" spans="1:2" x14ac:dyDescent="0.25">
      <c r="A5498" t="s">
        <v>8764</v>
      </c>
      <c r="B5498">
        <v>5498</v>
      </c>
    </row>
    <row r="5499" spans="1:2" x14ac:dyDescent="0.25">
      <c r="A5499" t="s">
        <v>8794</v>
      </c>
      <c r="B5499">
        <v>5499</v>
      </c>
    </row>
    <row r="5500" spans="1:2" x14ac:dyDescent="0.25">
      <c r="A5500" t="s">
        <v>8824</v>
      </c>
      <c r="B5500">
        <v>5500</v>
      </c>
    </row>
    <row r="5501" spans="1:2" x14ac:dyDescent="0.25">
      <c r="A5501" t="s">
        <v>8854</v>
      </c>
      <c r="B5501">
        <v>5501</v>
      </c>
    </row>
    <row r="5502" spans="1:2" x14ac:dyDescent="0.25">
      <c r="A5502" t="s">
        <v>8884</v>
      </c>
      <c r="B5502">
        <v>5502</v>
      </c>
    </row>
    <row r="5503" spans="1:2" x14ac:dyDescent="0.25">
      <c r="A5503" t="s">
        <v>8649</v>
      </c>
      <c r="B5503">
        <v>5503</v>
      </c>
    </row>
    <row r="5504" spans="1:2" x14ac:dyDescent="0.25">
      <c r="A5504" t="s">
        <v>8649</v>
      </c>
      <c r="B5504">
        <v>5504</v>
      </c>
    </row>
    <row r="5505" spans="1:2" x14ac:dyDescent="0.25">
      <c r="A5505" t="s">
        <v>8915</v>
      </c>
      <c r="B5505">
        <v>5505</v>
      </c>
    </row>
    <row r="5506" spans="1:2" x14ac:dyDescent="0.25">
      <c r="A5506" t="s">
        <v>8651</v>
      </c>
      <c r="B5506">
        <v>5506</v>
      </c>
    </row>
    <row r="5507" spans="1:2" x14ac:dyDescent="0.25">
      <c r="A5507" t="s">
        <v>8658</v>
      </c>
      <c r="B5507">
        <v>5507</v>
      </c>
    </row>
    <row r="5508" spans="1:2" x14ac:dyDescent="0.25">
      <c r="A5508" t="s">
        <v>8654</v>
      </c>
      <c r="B5508">
        <v>5508</v>
      </c>
    </row>
    <row r="5509" spans="1:2" x14ac:dyDescent="0.25">
      <c r="A5509" t="s">
        <v>8660</v>
      </c>
      <c r="B5509">
        <v>5509</v>
      </c>
    </row>
    <row r="5510" spans="1:2" x14ac:dyDescent="0.25">
      <c r="A5510" t="s">
        <v>8655</v>
      </c>
      <c r="B5510">
        <v>5510</v>
      </c>
    </row>
    <row r="5511" spans="1:2" x14ac:dyDescent="0.25">
      <c r="A5511" t="s">
        <v>8656</v>
      </c>
      <c r="B5511">
        <v>5511</v>
      </c>
    </row>
    <row r="5512" spans="1:2" x14ac:dyDescent="0.25">
      <c r="A5512" t="s">
        <v>8653</v>
      </c>
      <c r="B5512">
        <v>5512</v>
      </c>
    </row>
    <row r="5513" spans="1:2" x14ac:dyDescent="0.25">
      <c r="A5513" t="s">
        <v>8664</v>
      </c>
      <c r="B5513">
        <v>5513</v>
      </c>
    </row>
    <row r="5514" spans="1:2" x14ac:dyDescent="0.25">
      <c r="A5514" t="s">
        <v>8661</v>
      </c>
      <c r="B5514">
        <v>5514</v>
      </c>
    </row>
    <row r="5515" spans="1:2" x14ac:dyDescent="0.25">
      <c r="A5515" t="s">
        <v>8665</v>
      </c>
      <c r="B5515">
        <v>5515</v>
      </c>
    </row>
    <row r="5516" spans="1:2" x14ac:dyDescent="0.25">
      <c r="A5516" t="s">
        <v>8657</v>
      </c>
      <c r="B5516">
        <v>5516</v>
      </c>
    </row>
    <row r="5517" spans="1:2" x14ac:dyDescent="0.25">
      <c r="A5517" t="s">
        <v>8652</v>
      </c>
      <c r="B5517">
        <v>5517</v>
      </c>
    </row>
    <row r="5518" spans="1:2" x14ac:dyDescent="0.25">
      <c r="A5518" t="s">
        <v>8662</v>
      </c>
      <c r="B5518">
        <v>5518</v>
      </c>
    </row>
    <row r="5519" spans="1:2" x14ac:dyDescent="0.25">
      <c r="A5519" t="s">
        <v>8659</v>
      </c>
      <c r="B5519">
        <v>5519</v>
      </c>
    </row>
    <row r="5520" spans="1:2" x14ac:dyDescent="0.25">
      <c r="A5520" t="s">
        <v>8663</v>
      </c>
      <c r="B5520">
        <v>5520</v>
      </c>
    </row>
    <row r="5521" spans="1:2" x14ac:dyDescent="0.25">
      <c r="A5521" t="s">
        <v>8681</v>
      </c>
      <c r="B5521">
        <v>5521</v>
      </c>
    </row>
    <row r="5522" spans="1:2" x14ac:dyDescent="0.25">
      <c r="A5522" t="s">
        <v>8688</v>
      </c>
      <c r="B5522">
        <v>5522</v>
      </c>
    </row>
    <row r="5523" spans="1:2" x14ac:dyDescent="0.25">
      <c r="A5523" t="s">
        <v>8684</v>
      </c>
      <c r="B5523">
        <v>5523</v>
      </c>
    </row>
    <row r="5524" spans="1:2" x14ac:dyDescent="0.25">
      <c r="A5524" t="s">
        <v>8690</v>
      </c>
      <c r="B5524">
        <v>5524</v>
      </c>
    </row>
    <row r="5525" spans="1:2" x14ac:dyDescent="0.25">
      <c r="A5525" t="s">
        <v>8685</v>
      </c>
      <c r="B5525">
        <v>5525</v>
      </c>
    </row>
    <row r="5526" spans="1:2" x14ac:dyDescent="0.25">
      <c r="A5526" t="s">
        <v>8686</v>
      </c>
      <c r="B5526">
        <v>5526</v>
      </c>
    </row>
    <row r="5527" spans="1:2" x14ac:dyDescent="0.25">
      <c r="A5527" t="s">
        <v>8683</v>
      </c>
      <c r="B5527">
        <v>5527</v>
      </c>
    </row>
    <row r="5528" spans="1:2" x14ac:dyDescent="0.25">
      <c r="A5528" t="s">
        <v>8694</v>
      </c>
      <c r="B5528">
        <v>5528</v>
      </c>
    </row>
    <row r="5529" spans="1:2" x14ac:dyDescent="0.25">
      <c r="A5529" t="s">
        <v>8691</v>
      </c>
      <c r="B5529">
        <v>5529</v>
      </c>
    </row>
    <row r="5530" spans="1:2" x14ac:dyDescent="0.25">
      <c r="A5530" t="s">
        <v>8695</v>
      </c>
      <c r="B5530">
        <v>5530</v>
      </c>
    </row>
    <row r="5531" spans="1:2" x14ac:dyDescent="0.25">
      <c r="A5531" t="s">
        <v>8687</v>
      </c>
      <c r="B5531">
        <v>5531</v>
      </c>
    </row>
    <row r="5532" spans="1:2" x14ac:dyDescent="0.25">
      <c r="A5532" t="s">
        <v>8682</v>
      </c>
      <c r="B5532">
        <v>5532</v>
      </c>
    </row>
    <row r="5533" spans="1:2" x14ac:dyDescent="0.25">
      <c r="A5533" t="s">
        <v>8692</v>
      </c>
      <c r="B5533">
        <v>5533</v>
      </c>
    </row>
    <row r="5534" spans="1:2" x14ac:dyDescent="0.25">
      <c r="A5534" t="s">
        <v>8689</v>
      </c>
      <c r="B5534">
        <v>5534</v>
      </c>
    </row>
    <row r="5535" spans="1:2" x14ac:dyDescent="0.25">
      <c r="A5535" t="s">
        <v>8693</v>
      </c>
      <c r="B5535">
        <v>5535</v>
      </c>
    </row>
    <row r="5536" spans="1:2" x14ac:dyDescent="0.25">
      <c r="A5536" t="s">
        <v>8711</v>
      </c>
      <c r="B5536">
        <v>5536</v>
      </c>
    </row>
    <row r="5537" spans="1:2" x14ac:dyDescent="0.25">
      <c r="A5537" t="s">
        <v>8718</v>
      </c>
      <c r="B5537">
        <v>5537</v>
      </c>
    </row>
    <row r="5538" spans="1:2" x14ac:dyDescent="0.25">
      <c r="A5538" t="s">
        <v>8714</v>
      </c>
      <c r="B5538">
        <v>5538</v>
      </c>
    </row>
    <row r="5539" spans="1:2" x14ac:dyDescent="0.25">
      <c r="A5539" t="s">
        <v>8720</v>
      </c>
      <c r="B5539">
        <v>5539</v>
      </c>
    </row>
    <row r="5540" spans="1:2" x14ac:dyDescent="0.25">
      <c r="A5540" t="s">
        <v>8715</v>
      </c>
      <c r="B5540">
        <v>5540</v>
      </c>
    </row>
    <row r="5541" spans="1:2" x14ac:dyDescent="0.25">
      <c r="A5541" t="s">
        <v>8716</v>
      </c>
      <c r="B5541">
        <v>5541</v>
      </c>
    </row>
    <row r="5542" spans="1:2" x14ac:dyDescent="0.25">
      <c r="A5542" t="s">
        <v>8713</v>
      </c>
      <c r="B5542">
        <v>5542</v>
      </c>
    </row>
    <row r="5543" spans="1:2" x14ac:dyDescent="0.25">
      <c r="A5543" t="s">
        <v>8724</v>
      </c>
      <c r="B5543">
        <v>5543</v>
      </c>
    </row>
    <row r="5544" spans="1:2" x14ac:dyDescent="0.25">
      <c r="A5544" t="s">
        <v>8721</v>
      </c>
      <c r="B5544">
        <v>5544</v>
      </c>
    </row>
    <row r="5545" spans="1:2" x14ac:dyDescent="0.25">
      <c r="A5545" t="s">
        <v>8725</v>
      </c>
      <c r="B5545">
        <v>5545</v>
      </c>
    </row>
    <row r="5546" spans="1:2" x14ac:dyDescent="0.25">
      <c r="A5546" t="s">
        <v>8717</v>
      </c>
      <c r="B5546">
        <v>5546</v>
      </c>
    </row>
    <row r="5547" spans="1:2" x14ac:dyDescent="0.25">
      <c r="A5547" t="s">
        <v>8712</v>
      </c>
      <c r="B5547">
        <v>5547</v>
      </c>
    </row>
    <row r="5548" spans="1:2" x14ac:dyDescent="0.25">
      <c r="A5548" t="s">
        <v>8722</v>
      </c>
      <c r="B5548">
        <v>5548</v>
      </c>
    </row>
    <row r="5549" spans="1:2" x14ac:dyDescent="0.25">
      <c r="A5549" t="s">
        <v>8719</v>
      </c>
      <c r="B5549">
        <v>5549</v>
      </c>
    </row>
    <row r="5550" spans="1:2" x14ac:dyDescent="0.25">
      <c r="A5550" t="s">
        <v>8723</v>
      </c>
      <c r="B5550">
        <v>5550</v>
      </c>
    </row>
    <row r="5551" spans="1:2" x14ac:dyDescent="0.25">
      <c r="A5551" t="s">
        <v>8741</v>
      </c>
      <c r="B5551">
        <v>5551</v>
      </c>
    </row>
    <row r="5552" spans="1:2" x14ac:dyDescent="0.25">
      <c r="A5552" t="s">
        <v>8748</v>
      </c>
      <c r="B5552">
        <v>5552</v>
      </c>
    </row>
    <row r="5553" spans="1:2" x14ac:dyDescent="0.25">
      <c r="A5553" t="s">
        <v>8744</v>
      </c>
      <c r="B5553">
        <v>5553</v>
      </c>
    </row>
    <row r="5554" spans="1:2" x14ac:dyDescent="0.25">
      <c r="A5554" t="s">
        <v>8750</v>
      </c>
      <c r="B5554">
        <v>5554</v>
      </c>
    </row>
    <row r="5555" spans="1:2" x14ac:dyDescent="0.25">
      <c r="A5555" t="s">
        <v>8745</v>
      </c>
      <c r="B5555">
        <v>5555</v>
      </c>
    </row>
    <row r="5556" spans="1:2" x14ac:dyDescent="0.25">
      <c r="A5556" t="s">
        <v>8746</v>
      </c>
      <c r="B5556">
        <v>5556</v>
      </c>
    </row>
    <row r="5557" spans="1:2" x14ac:dyDescent="0.25">
      <c r="A5557" t="s">
        <v>8743</v>
      </c>
      <c r="B5557">
        <v>5557</v>
      </c>
    </row>
    <row r="5558" spans="1:2" x14ac:dyDescent="0.25">
      <c r="A5558" t="s">
        <v>8754</v>
      </c>
      <c r="B5558">
        <v>5558</v>
      </c>
    </row>
    <row r="5559" spans="1:2" x14ac:dyDescent="0.25">
      <c r="A5559" t="s">
        <v>8751</v>
      </c>
      <c r="B5559">
        <v>5559</v>
      </c>
    </row>
    <row r="5560" spans="1:2" x14ac:dyDescent="0.25">
      <c r="A5560" t="s">
        <v>8755</v>
      </c>
      <c r="B5560">
        <v>5560</v>
      </c>
    </row>
    <row r="5561" spans="1:2" x14ac:dyDescent="0.25">
      <c r="A5561" t="s">
        <v>8747</v>
      </c>
      <c r="B5561">
        <v>5561</v>
      </c>
    </row>
    <row r="5562" spans="1:2" x14ac:dyDescent="0.25">
      <c r="A5562" t="s">
        <v>8742</v>
      </c>
      <c r="B5562">
        <v>5562</v>
      </c>
    </row>
    <row r="5563" spans="1:2" x14ac:dyDescent="0.25">
      <c r="A5563" t="s">
        <v>8752</v>
      </c>
      <c r="B5563">
        <v>5563</v>
      </c>
    </row>
    <row r="5564" spans="1:2" x14ac:dyDescent="0.25">
      <c r="A5564" t="s">
        <v>8749</v>
      </c>
      <c r="B5564">
        <v>5564</v>
      </c>
    </row>
    <row r="5565" spans="1:2" x14ac:dyDescent="0.25">
      <c r="A5565" t="s">
        <v>8753</v>
      </c>
      <c r="B5565">
        <v>5565</v>
      </c>
    </row>
    <row r="5566" spans="1:2" x14ac:dyDescent="0.25">
      <c r="A5566" t="s">
        <v>8771</v>
      </c>
      <c r="B5566">
        <v>5566</v>
      </c>
    </row>
    <row r="5567" spans="1:2" x14ac:dyDescent="0.25">
      <c r="A5567" t="s">
        <v>8778</v>
      </c>
      <c r="B5567">
        <v>5567</v>
      </c>
    </row>
    <row r="5568" spans="1:2" x14ac:dyDescent="0.25">
      <c r="A5568" t="s">
        <v>8774</v>
      </c>
      <c r="B5568">
        <v>5568</v>
      </c>
    </row>
    <row r="5569" spans="1:2" x14ac:dyDescent="0.25">
      <c r="A5569" t="s">
        <v>8780</v>
      </c>
      <c r="B5569">
        <v>5569</v>
      </c>
    </row>
    <row r="5570" spans="1:2" x14ac:dyDescent="0.25">
      <c r="A5570" t="s">
        <v>8775</v>
      </c>
      <c r="B5570">
        <v>5570</v>
      </c>
    </row>
    <row r="5571" spans="1:2" x14ac:dyDescent="0.25">
      <c r="A5571" t="s">
        <v>8776</v>
      </c>
      <c r="B5571">
        <v>5571</v>
      </c>
    </row>
    <row r="5572" spans="1:2" x14ac:dyDescent="0.25">
      <c r="A5572" t="s">
        <v>8773</v>
      </c>
      <c r="B5572">
        <v>5572</v>
      </c>
    </row>
    <row r="5573" spans="1:2" x14ac:dyDescent="0.25">
      <c r="A5573" t="s">
        <v>8784</v>
      </c>
      <c r="B5573">
        <v>5573</v>
      </c>
    </row>
    <row r="5574" spans="1:2" x14ac:dyDescent="0.25">
      <c r="A5574" t="s">
        <v>8781</v>
      </c>
      <c r="B5574">
        <v>5574</v>
      </c>
    </row>
    <row r="5575" spans="1:2" x14ac:dyDescent="0.25">
      <c r="A5575" t="s">
        <v>8785</v>
      </c>
      <c r="B5575">
        <v>5575</v>
      </c>
    </row>
    <row r="5576" spans="1:2" x14ac:dyDescent="0.25">
      <c r="A5576" t="s">
        <v>8777</v>
      </c>
      <c r="B5576">
        <v>5576</v>
      </c>
    </row>
    <row r="5577" spans="1:2" x14ac:dyDescent="0.25">
      <c r="A5577" t="s">
        <v>8772</v>
      </c>
      <c r="B5577">
        <v>5577</v>
      </c>
    </row>
    <row r="5578" spans="1:2" x14ac:dyDescent="0.25">
      <c r="A5578" t="s">
        <v>8782</v>
      </c>
      <c r="B5578">
        <v>5578</v>
      </c>
    </row>
    <row r="5579" spans="1:2" x14ac:dyDescent="0.25">
      <c r="A5579" t="s">
        <v>8779</v>
      </c>
      <c r="B5579">
        <v>5579</v>
      </c>
    </row>
    <row r="5580" spans="1:2" x14ac:dyDescent="0.25">
      <c r="A5580" t="s">
        <v>8783</v>
      </c>
      <c r="B5580">
        <v>5580</v>
      </c>
    </row>
    <row r="5581" spans="1:2" x14ac:dyDescent="0.25">
      <c r="A5581" t="s">
        <v>8801</v>
      </c>
      <c r="B5581">
        <v>5581</v>
      </c>
    </row>
    <row r="5582" spans="1:2" x14ac:dyDescent="0.25">
      <c r="A5582" t="s">
        <v>8808</v>
      </c>
      <c r="B5582">
        <v>5582</v>
      </c>
    </row>
    <row r="5583" spans="1:2" x14ac:dyDescent="0.25">
      <c r="A5583" t="s">
        <v>8804</v>
      </c>
      <c r="B5583">
        <v>5583</v>
      </c>
    </row>
    <row r="5584" spans="1:2" x14ac:dyDescent="0.25">
      <c r="A5584" t="s">
        <v>8810</v>
      </c>
      <c r="B5584">
        <v>5584</v>
      </c>
    </row>
    <row r="5585" spans="1:2" x14ac:dyDescent="0.25">
      <c r="A5585" t="s">
        <v>8805</v>
      </c>
      <c r="B5585">
        <v>5585</v>
      </c>
    </row>
    <row r="5586" spans="1:2" x14ac:dyDescent="0.25">
      <c r="A5586" t="s">
        <v>8806</v>
      </c>
      <c r="B5586">
        <v>5586</v>
      </c>
    </row>
    <row r="5587" spans="1:2" x14ac:dyDescent="0.25">
      <c r="A5587" t="s">
        <v>8803</v>
      </c>
      <c r="B5587">
        <v>5587</v>
      </c>
    </row>
    <row r="5588" spans="1:2" x14ac:dyDescent="0.25">
      <c r="A5588" t="s">
        <v>8814</v>
      </c>
      <c r="B5588">
        <v>5588</v>
      </c>
    </row>
    <row r="5589" spans="1:2" x14ac:dyDescent="0.25">
      <c r="A5589" t="s">
        <v>8811</v>
      </c>
      <c r="B5589">
        <v>5589</v>
      </c>
    </row>
    <row r="5590" spans="1:2" x14ac:dyDescent="0.25">
      <c r="A5590" t="s">
        <v>8815</v>
      </c>
      <c r="B5590">
        <v>5590</v>
      </c>
    </row>
    <row r="5591" spans="1:2" x14ac:dyDescent="0.25">
      <c r="A5591" t="s">
        <v>8807</v>
      </c>
      <c r="B5591">
        <v>5591</v>
      </c>
    </row>
    <row r="5592" spans="1:2" x14ac:dyDescent="0.25">
      <c r="A5592" t="s">
        <v>8802</v>
      </c>
      <c r="B5592">
        <v>5592</v>
      </c>
    </row>
    <row r="5593" spans="1:2" x14ac:dyDescent="0.25">
      <c r="A5593" t="s">
        <v>8812</v>
      </c>
      <c r="B5593">
        <v>5593</v>
      </c>
    </row>
    <row r="5594" spans="1:2" x14ac:dyDescent="0.25">
      <c r="A5594" t="s">
        <v>8809</v>
      </c>
      <c r="B5594">
        <v>5594</v>
      </c>
    </row>
    <row r="5595" spans="1:2" x14ac:dyDescent="0.25">
      <c r="A5595" t="s">
        <v>8813</v>
      </c>
      <c r="B5595">
        <v>5595</v>
      </c>
    </row>
    <row r="5596" spans="1:2" x14ac:dyDescent="0.25">
      <c r="A5596" t="s">
        <v>8831</v>
      </c>
      <c r="B5596">
        <v>5596</v>
      </c>
    </row>
    <row r="5597" spans="1:2" x14ac:dyDescent="0.25">
      <c r="A5597" t="s">
        <v>8838</v>
      </c>
      <c r="B5597">
        <v>5597</v>
      </c>
    </row>
    <row r="5598" spans="1:2" x14ac:dyDescent="0.25">
      <c r="A5598" t="s">
        <v>8834</v>
      </c>
      <c r="B5598">
        <v>5598</v>
      </c>
    </row>
    <row r="5599" spans="1:2" x14ac:dyDescent="0.25">
      <c r="A5599" t="s">
        <v>8840</v>
      </c>
      <c r="B5599">
        <v>5599</v>
      </c>
    </row>
    <row r="5600" spans="1:2" x14ac:dyDescent="0.25">
      <c r="A5600" t="s">
        <v>8835</v>
      </c>
      <c r="B5600">
        <v>5600</v>
      </c>
    </row>
    <row r="5601" spans="1:2" x14ac:dyDescent="0.25">
      <c r="A5601" t="s">
        <v>8836</v>
      </c>
      <c r="B5601">
        <v>5601</v>
      </c>
    </row>
    <row r="5602" spans="1:2" x14ac:dyDescent="0.25">
      <c r="A5602" t="s">
        <v>8833</v>
      </c>
      <c r="B5602">
        <v>5602</v>
      </c>
    </row>
    <row r="5603" spans="1:2" x14ac:dyDescent="0.25">
      <c r="A5603" t="s">
        <v>8844</v>
      </c>
      <c r="B5603">
        <v>5603</v>
      </c>
    </row>
    <row r="5604" spans="1:2" x14ac:dyDescent="0.25">
      <c r="A5604" t="s">
        <v>8841</v>
      </c>
      <c r="B5604">
        <v>5604</v>
      </c>
    </row>
    <row r="5605" spans="1:2" x14ac:dyDescent="0.25">
      <c r="A5605" t="s">
        <v>8845</v>
      </c>
      <c r="B5605">
        <v>5605</v>
      </c>
    </row>
    <row r="5606" spans="1:2" x14ac:dyDescent="0.25">
      <c r="A5606" t="s">
        <v>8837</v>
      </c>
      <c r="B5606">
        <v>5606</v>
      </c>
    </row>
    <row r="5607" spans="1:2" x14ac:dyDescent="0.25">
      <c r="A5607" t="s">
        <v>8832</v>
      </c>
      <c r="B5607">
        <v>5607</v>
      </c>
    </row>
    <row r="5608" spans="1:2" x14ac:dyDescent="0.25">
      <c r="A5608" t="s">
        <v>8842</v>
      </c>
      <c r="B5608">
        <v>5608</v>
      </c>
    </row>
    <row r="5609" spans="1:2" x14ac:dyDescent="0.25">
      <c r="A5609" t="s">
        <v>8839</v>
      </c>
      <c r="B5609">
        <v>5609</v>
      </c>
    </row>
    <row r="5610" spans="1:2" x14ac:dyDescent="0.25">
      <c r="A5610" t="s">
        <v>8843</v>
      </c>
      <c r="B5610">
        <v>5610</v>
      </c>
    </row>
    <row r="5611" spans="1:2" x14ac:dyDescent="0.25">
      <c r="A5611" t="s">
        <v>8861</v>
      </c>
      <c r="B5611">
        <v>5611</v>
      </c>
    </row>
    <row r="5612" spans="1:2" x14ac:dyDescent="0.25">
      <c r="A5612" t="s">
        <v>8868</v>
      </c>
      <c r="B5612">
        <v>5612</v>
      </c>
    </row>
    <row r="5613" spans="1:2" x14ac:dyDescent="0.25">
      <c r="A5613" t="s">
        <v>8864</v>
      </c>
      <c r="B5613">
        <v>5613</v>
      </c>
    </row>
    <row r="5614" spans="1:2" x14ac:dyDescent="0.25">
      <c r="A5614" t="s">
        <v>8870</v>
      </c>
      <c r="B5614">
        <v>5614</v>
      </c>
    </row>
    <row r="5615" spans="1:2" x14ac:dyDescent="0.25">
      <c r="A5615" t="s">
        <v>8865</v>
      </c>
      <c r="B5615">
        <v>5615</v>
      </c>
    </row>
    <row r="5616" spans="1:2" x14ac:dyDescent="0.25">
      <c r="A5616" t="s">
        <v>8866</v>
      </c>
      <c r="B5616">
        <v>5616</v>
      </c>
    </row>
    <row r="5617" spans="1:2" x14ac:dyDescent="0.25">
      <c r="A5617" t="s">
        <v>8863</v>
      </c>
      <c r="B5617">
        <v>5617</v>
      </c>
    </row>
    <row r="5618" spans="1:2" x14ac:dyDescent="0.25">
      <c r="A5618" t="s">
        <v>8874</v>
      </c>
      <c r="B5618">
        <v>5618</v>
      </c>
    </row>
    <row r="5619" spans="1:2" x14ac:dyDescent="0.25">
      <c r="A5619" t="s">
        <v>8871</v>
      </c>
      <c r="B5619">
        <v>5619</v>
      </c>
    </row>
    <row r="5620" spans="1:2" x14ac:dyDescent="0.25">
      <c r="A5620" t="s">
        <v>8875</v>
      </c>
      <c r="B5620">
        <v>5620</v>
      </c>
    </row>
    <row r="5621" spans="1:2" x14ac:dyDescent="0.25">
      <c r="A5621" t="s">
        <v>8867</v>
      </c>
      <c r="B5621">
        <v>5621</v>
      </c>
    </row>
    <row r="5622" spans="1:2" x14ac:dyDescent="0.25">
      <c r="A5622" t="s">
        <v>8862</v>
      </c>
      <c r="B5622">
        <v>5622</v>
      </c>
    </row>
    <row r="5623" spans="1:2" x14ac:dyDescent="0.25">
      <c r="A5623" t="s">
        <v>8872</v>
      </c>
      <c r="B5623">
        <v>5623</v>
      </c>
    </row>
    <row r="5624" spans="1:2" x14ac:dyDescent="0.25">
      <c r="A5624" t="s">
        <v>8869</v>
      </c>
      <c r="B5624">
        <v>5624</v>
      </c>
    </row>
    <row r="5625" spans="1:2" x14ac:dyDescent="0.25">
      <c r="A5625" t="s">
        <v>8873</v>
      </c>
      <c r="B5625">
        <v>5625</v>
      </c>
    </row>
    <row r="5626" spans="1:2" x14ac:dyDescent="0.25">
      <c r="A5626" t="s">
        <v>3324</v>
      </c>
      <c r="B5626">
        <v>5626</v>
      </c>
    </row>
    <row r="5627" spans="1:2" x14ac:dyDescent="0.25">
      <c r="A5627" t="s">
        <v>3354</v>
      </c>
      <c r="B5627">
        <v>5627</v>
      </c>
    </row>
    <row r="5628" spans="1:2" x14ac:dyDescent="0.25">
      <c r="A5628" t="s">
        <v>3384</v>
      </c>
      <c r="B5628">
        <v>5628</v>
      </c>
    </row>
    <row r="5629" spans="1:2" x14ac:dyDescent="0.25">
      <c r="A5629" t="s">
        <v>3414</v>
      </c>
      <c r="B5629">
        <v>5629</v>
      </c>
    </row>
    <row r="5630" spans="1:2" x14ac:dyDescent="0.25">
      <c r="A5630" t="s">
        <v>3444</v>
      </c>
      <c r="B5630">
        <v>5630</v>
      </c>
    </row>
    <row r="5631" spans="1:2" x14ac:dyDescent="0.25">
      <c r="A5631" t="s">
        <v>3474</v>
      </c>
      <c r="B5631">
        <v>5631</v>
      </c>
    </row>
    <row r="5632" spans="1:2" x14ac:dyDescent="0.25">
      <c r="A5632" t="s">
        <v>3504</v>
      </c>
      <c r="B5632">
        <v>5632</v>
      </c>
    </row>
    <row r="5633" spans="1:2" x14ac:dyDescent="0.25">
      <c r="A5633" t="s">
        <v>3534</v>
      </c>
      <c r="B5633">
        <v>5633</v>
      </c>
    </row>
    <row r="5634" spans="1:2" x14ac:dyDescent="0.25">
      <c r="A5634" t="s">
        <v>3564</v>
      </c>
      <c r="B5634">
        <v>5634</v>
      </c>
    </row>
    <row r="5635" spans="1:2" x14ac:dyDescent="0.25">
      <c r="A5635" t="s">
        <v>3594</v>
      </c>
      <c r="B5635">
        <v>5635</v>
      </c>
    </row>
    <row r="5636" spans="1:2" x14ac:dyDescent="0.25">
      <c r="A5636" t="s">
        <v>3624</v>
      </c>
      <c r="B5636">
        <v>5636</v>
      </c>
    </row>
    <row r="5637" spans="1:2" x14ac:dyDescent="0.25">
      <c r="A5637" t="s">
        <v>3654</v>
      </c>
      <c r="B5637">
        <v>5637</v>
      </c>
    </row>
    <row r="5638" spans="1:2" x14ac:dyDescent="0.25">
      <c r="A5638" t="s">
        <v>3684</v>
      </c>
      <c r="B5638">
        <v>5638</v>
      </c>
    </row>
    <row r="5639" spans="1:2" x14ac:dyDescent="0.25">
      <c r="A5639" t="s">
        <v>3714</v>
      </c>
      <c r="B5639">
        <v>5639</v>
      </c>
    </row>
    <row r="5640" spans="1:2" x14ac:dyDescent="0.25">
      <c r="A5640" t="s">
        <v>3744</v>
      </c>
      <c r="B5640">
        <v>5640</v>
      </c>
    </row>
    <row r="5641" spans="1:2" x14ac:dyDescent="0.25">
      <c r="A5641" t="s">
        <v>3774</v>
      </c>
      <c r="B5641">
        <v>5641</v>
      </c>
    </row>
    <row r="5642" spans="1:2" x14ac:dyDescent="0.25">
      <c r="A5642" t="s">
        <v>3804</v>
      </c>
      <c r="B5642">
        <v>5642</v>
      </c>
    </row>
    <row r="5643" spans="1:2" x14ac:dyDescent="0.25">
      <c r="A5643" t="s">
        <v>3834</v>
      </c>
      <c r="B5643">
        <v>5643</v>
      </c>
    </row>
    <row r="5644" spans="1:2" x14ac:dyDescent="0.25">
      <c r="A5644" t="s">
        <v>3864</v>
      </c>
      <c r="B5644">
        <v>5644</v>
      </c>
    </row>
    <row r="5645" spans="1:2" x14ac:dyDescent="0.25">
      <c r="A5645" t="s">
        <v>3894</v>
      </c>
      <c r="B5645">
        <v>5645</v>
      </c>
    </row>
    <row r="5646" spans="1:2" x14ac:dyDescent="0.25">
      <c r="A5646" t="s">
        <v>3924</v>
      </c>
      <c r="B5646">
        <v>5646</v>
      </c>
    </row>
    <row r="5647" spans="1:2" x14ac:dyDescent="0.25">
      <c r="A5647" t="s">
        <v>3954</v>
      </c>
      <c r="B5647">
        <v>5647</v>
      </c>
    </row>
    <row r="5648" spans="1:2" x14ac:dyDescent="0.25">
      <c r="A5648" t="s">
        <v>3984</v>
      </c>
      <c r="B5648">
        <v>5648</v>
      </c>
    </row>
    <row r="5649" spans="1:2" x14ac:dyDescent="0.25">
      <c r="A5649" t="s">
        <v>4014</v>
      </c>
      <c r="B5649">
        <v>5649</v>
      </c>
    </row>
    <row r="5650" spans="1:2" x14ac:dyDescent="0.25">
      <c r="A5650" t="s">
        <v>4044</v>
      </c>
      <c r="B5650">
        <v>5650</v>
      </c>
    </row>
    <row r="5651" spans="1:2" x14ac:dyDescent="0.25">
      <c r="A5651" t="s">
        <v>4074</v>
      </c>
      <c r="B5651">
        <v>5651</v>
      </c>
    </row>
    <row r="5652" spans="1:2" x14ac:dyDescent="0.25">
      <c r="A5652" t="s">
        <v>4104</v>
      </c>
      <c r="B5652">
        <v>5652</v>
      </c>
    </row>
    <row r="5653" spans="1:2" x14ac:dyDescent="0.25">
      <c r="A5653" t="s">
        <v>4133</v>
      </c>
      <c r="B5653">
        <v>5653</v>
      </c>
    </row>
    <row r="5654" spans="1:2" x14ac:dyDescent="0.25">
      <c r="A5654" t="s">
        <v>4133</v>
      </c>
      <c r="B5654">
        <v>5654</v>
      </c>
    </row>
    <row r="5655" spans="1:2" x14ac:dyDescent="0.25">
      <c r="A5655" t="s">
        <v>4163</v>
      </c>
      <c r="B5655">
        <v>5655</v>
      </c>
    </row>
    <row r="5656" spans="1:2" x14ac:dyDescent="0.25">
      <c r="A5656" t="s">
        <v>4193</v>
      </c>
      <c r="B5656">
        <v>5656</v>
      </c>
    </row>
    <row r="5657" spans="1:2" x14ac:dyDescent="0.25">
      <c r="A5657" t="s">
        <v>4223</v>
      </c>
      <c r="B5657">
        <v>5657</v>
      </c>
    </row>
    <row r="5658" spans="1:2" x14ac:dyDescent="0.25">
      <c r="A5658" t="s">
        <v>4253</v>
      </c>
      <c r="B5658">
        <v>5658</v>
      </c>
    </row>
    <row r="5659" spans="1:2" x14ac:dyDescent="0.25">
      <c r="A5659" t="s">
        <v>4283</v>
      </c>
      <c r="B5659">
        <v>5659</v>
      </c>
    </row>
    <row r="5660" spans="1:2" x14ac:dyDescent="0.25">
      <c r="A5660" t="s">
        <v>4313</v>
      </c>
      <c r="B5660">
        <v>5660</v>
      </c>
    </row>
    <row r="5661" spans="1:2" x14ac:dyDescent="0.25">
      <c r="A5661" t="s">
        <v>4343</v>
      </c>
      <c r="B5661">
        <v>5661</v>
      </c>
    </row>
    <row r="5662" spans="1:2" x14ac:dyDescent="0.25">
      <c r="A5662" t="s">
        <v>4373</v>
      </c>
      <c r="B5662">
        <v>5662</v>
      </c>
    </row>
    <row r="5663" spans="1:2" x14ac:dyDescent="0.25">
      <c r="A5663" t="s">
        <v>4403</v>
      </c>
      <c r="B5663">
        <v>5663</v>
      </c>
    </row>
    <row r="5664" spans="1:2" x14ac:dyDescent="0.25">
      <c r="A5664" t="s">
        <v>4433</v>
      </c>
      <c r="B5664">
        <v>5664</v>
      </c>
    </row>
    <row r="5665" spans="1:2" x14ac:dyDescent="0.25">
      <c r="A5665" t="s">
        <v>4463</v>
      </c>
      <c r="B5665">
        <v>5665</v>
      </c>
    </row>
    <row r="5666" spans="1:2" x14ac:dyDescent="0.25">
      <c r="A5666" t="s">
        <v>4493</v>
      </c>
      <c r="B5666">
        <v>5666</v>
      </c>
    </row>
    <row r="5667" spans="1:2" x14ac:dyDescent="0.25">
      <c r="A5667" t="s">
        <v>4523</v>
      </c>
      <c r="B5667">
        <v>5667</v>
      </c>
    </row>
    <row r="5668" spans="1:2" x14ac:dyDescent="0.25">
      <c r="A5668" t="s">
        <v>4553</v>
      </c>
      <c r="B5668">
        <v>5668</v>
      </c>
    </row>
    <row r="5669" spans="1:2" x14ac:dyDescent="0.25">
      <c r="A5669" t="s">
        <v>4580</v>
      </c>
      <c r="B5669">
        <v>5669</v>
      </c>
    </row>
    <row r="5670" spans="1:2" x14ac:dyDescent="0.25">
      <c r="A5670" t="s">
        <v>4580</v>
      </c>
      <c r="B5670">
        <v>5670</v>
      </c>
    </row>
    <row r="5671" spans="1:2" x14ac:dyDescent="0.25">
      <c r="A5671" t="s">
        <v>4610</v>
      </c>
      <c r="B5671">
        <v>5671</v>
      </c>
    </row>
    <row r="5672" spans="1:2" x14ac:dyDescent="0.25">
      <c r="A5672" t="s">
        <v>4640</v>
      </c>
      <c r="B5672">
        <v>5672</v>
      </c>
    </row>
    <row r="5673" spans="1:2" x14ac:dyDescent="0.25">
      <c r="A5673" t="s">
        <v>4670</v>
      </c>
      <c r="B5673">
        <v>5673</v>
      </c>
    </row>
    <row r="5674" spans="1:2" x14ac:dyDescent="0.25">
      <c r="A5674" t="s">
        <v>4700</v>
      </c>
      <c r="B5674">
        <v>5674</v>
      </c>
    </row>
    <row r="5675" spans="1:2" x14ac:dyDescent="0.25">
      <c r="A5675" t="s">
        <v>4730</v>
      </c>
      <c r="B5675">
        <v>5675</v>
      </c>
    </row>
    <row r="5676" spans="1:2" x14ac:dyDescent="0.25">
      <c r="A5676" t="s">
        <v>4755</v>
      </c>
      <c r="B5676">
        <v>5676</v>
      </c>
    </row>
    <row r="5677" spans="1:2" x14ac:dyDescent="0.25">
      <c r="A5677" t="s">
        <v>4755</v>
      </c>
      <c r="B5677">
        <v>5677</v>
      </c>
    </row>
    <row r="5678" spans="1:2" x14ac:dyDescent="0.25">
      <c r="A5678" t="s">
        <v>4785</v>
      </c>
      <c r="B5678">
        <v>5678</v>
      </c>
    </row>
    <row r="5679" spans="1:2" x14ac:dyDescent="0.25">
      <c r="A5679" t="s">
        <v>4815</v>
      </c>
      <c r="B5679">
        <v>5679</v>
      </c>
    </row>
    <row r="5680" spans="1:2" x14ac:dyDescent="0.25">
      <c r="A5680" t="s">
        <v>4845</v>
      </c>
      <c r="B5680">
        <v>5680</v>
      </c>
    </row>
    <row r="5681" spans="1:2" x14ac:dyDescent="0.25">
      <c r="A5681" t="s">
        <v>4875</v>
      </c>
      <c r="B5681">
        <v>5681</v>
      </c>
    </row>
    <row r="5682" spans="1:2" x14ac:dyDescent="0.25">
      <c r="A5682" t="s">
        <v>4905</v>
      </c>
      <c r="B5682">
        <v>5682</v>
      </c>
    </row>
    <row r="5683" spans="1:2" x14ac:dyDescent="0.25">
      <c r="A5683" t="s">
        <v>4935</v>
      </c>
      <c r="B5683">
        <v>5683</v>
      </c>
    </row>
    <row r="5684" spans="1:2" x14ac:dyDescent="0.25">
      <c r="A5684" t="s">
        <v>4965</v>
      </c>
      <c r="B5684">
        <v>5684</v>
      </c>
    </row>
    <row r="5685" spans="1:2" x14ac:dyDescent="0.25">
      <c r="A5685" t="s">
        <v>4995</v>
      </c>
      <c r="B5685">
        <v>5685</v>
      </c>
    </row>
    <row r="5686" spans="1:2" x14ac:dyDescent="0.25">
      <c r="A5686" t="s">
        <v>5025</v>
      </c>
      <c r="B5686">
        <v>5686</v>
      </c>
    </row>
    <row r="5687" spans="1:2" x14ac:dyDescent="0.25">
      <c r="A5687" t="s">
        <v>5055</v>
      </c>
      <c r="B5687">
        <v>5687</v>
      </c>
    </row>
    <row r="5688" spans="1:2" x14ac:dyDescent="0.25">
      <c r="A5688" t="s">
        <v>5078</v>
      </c>
      <c r="B5688">
        <v>5688</v>
      </c>
    </row>
    <row r="5689" spans="1:2" x14ac:dyDescent="0.25">
      <c r="A5689" t="s">
        <v>5078</v>
      </c>
      <c r="B5689">
        <v>5689</v>
      </c>
    </row>
    <row r="5690" spans="1:2" x14ac:dyDescent="0.25">
      <c r="A5690" t="s">
        <v>5099</v>
      </c>
      <c r="B5690">
        <v>5690</v>
      </c>
    </row>
    <row r="5691" spans="1:2" x14ac:dyDescent="0.25">
      <c r="A5691" t="s">
        <v>5099</v>
      </c>
      <c r="B5691">
        <v>5691</v>
      </c>
    </row>
    <row r="5692" spans="1:2" x14ac:dyDescent="0.25">
      <c r="A5692" t="s">
        <v>5118</v>
      </c>
      <c r="B5692">
        <v>5692</v>
      </c>
    </row>
    <row r="5693" spans="1:2" x14ac:dyDescent="0.25">
      <c r="A5693" t="s">
        <v>5118</v>
      </c>
      <c r="B5693">
        <v>5693</v>
      </c>
    </row>
    <row r="5694" spans="1:2" x14ac:dyDescent="0.25">
      <c r="A5694" t="s">
        <v>5148</v>
      </c>
      <c r="B5694">
        <v>5694</v>
      </c>
    </row>
    <row r="5695" spans="1:2" x14ac:dyDescent="0.25">
      <c r="A5695" t="s">
        <v>5178</v>
      </c>
      <c r="B5695">
        <v>5695</v>
      </c>
    </row>
    <row r="5696" spans="1:2" x14ac:dyDescent="0.25">
      <c r="A5696" t="s">
        <v>5208</v>
      </c>
      <c r="B5696">
        <v>5696</v>
      </c>
    </row>
    <row r="5697" spans="1:2" x14ac:dyDescent="0.25">
      <c r="A5697" t="s">
        <v>5238</v>
      </c>
      <c r="B5697">
        <v>5697</v>
      </c>
    </row>
    <row r="5698" spans="1:2" x14ac:dyDescent="0.25">
      <c r="A5698" t="s">
        <v>5268</v>
      </c>
      <c r="B5698">
        <v>5698</v>
      </c>
    </row>
    <row r="5699" spans="1:2" x14ac:dyDescent="0.25">
      <c r="A5699" t="s">
        <v>5298</v>
      </c>
      <c r="B5699">
        <v>5699</v>
      </c>
    </row>
    <row r="5700" spans="1:2" x14ac:dyDescent="0.25">
      <c r="A5700" t="s">
        <v>5328</v>
      </c>
      <c r="B5700">
        <v>5700</v>
      </c>
    </row>
    <row r="5701" spans="1:2" x14ac:dyDescent="0.25">
      <c r="A5701" t="s">
        <v>5358</v>
      </c>
      <c r="B5701">
        <v>5701</v>
      </c>
    </row>
    <row r="5702" spans="1:2" x14ac:dyDescent="0.25">
      <c r="A5702" t="s">
        <v>5388</v>
      </c>
      <c r="B5702">
        <v>5702</v>
      </c>
    </row>
    <row r="5703" spans="1:2" x14ac:dyDescent="0.25">
      <c r="A5703" t="s">
        <v>5418</v>
      </c>
      <c r="B5703">
        <v>5703</v>
      </c>
    </row>
    <row r="5704" spans="1:2" x14ac:dyDescent="0.25">
      <c r="A5704" t="s">
        <v>5448</v>
      </c>
      <c r="B5704">
        <v>5704</v>
      </c>
    </row>
    <row r="5705" spans="1:2" x14ac:dyDescent="0.25">
      <c r="A5705" t="s">
        <v>5478</v>
      </c>
      <c r="B5705">
        <v>5705</v>
      </c>
    </row>
    <row r="5706" spans="1:2" x14ac:dyDescent="0.25">
      <c r="A5706" t="s">
        <v>5508</v>
      </c>
      <c r="B5706">
        <v>5706</v>
      </c>
    </row>
    <row r="5707" spans="1:2" x14ac:dyDescent="0.25">
      <c r="A5707" t="s">
        <v>5538</v>
      </c>
      <c r="B5707">
        <v>5707</v>
      </c>
    </row>
    <row r="5708" spans="1:2" x14ac:dyDescent="0.25">
      <c r="A5708" t="s">
        <v>5568</v>
      </c>
      <c r="B5708">
        <v>5708</v>
      </c>
    </row>
    <row r="5709" spans="1:2" x14ac:dyDescent="0.25">
      <c r="A5709" t="s">
        <v>5598</v>
      </c>
      <c r="B5709">
        <v>5709</v>
      </c>
    </row>
    <row r="5710" spans="1:2" x14ac:dyDescent="0.25">
      <c r="A5710" t="s">
        <v>5628</v>
      </c>
      <c r="B5710">
        <v>5710</v>
      </c>
    </row>
    <row r="5711" spans="1:2" x14ac:dyDescent="0.25">
      <c r="A5711" t="s">
        <v>5658</v>
      </c>
      <c r="B5711">
        <v>5711</v>
      </c>
    </row>
    <row r="5712" spans="1:2" x14ac:dyDescent="0.25">
      <c r="A5712" t="s">
        <v>5688</v>
      </c>
      <c r="B5712">
        <v>5712</v>
      </c>
    </row>
    <row r="5713" spans="1:2" x14ac:dyDescent="0.25">
      <c r="A5713" t="s">
        <v>5718</v>
      </c>
      <c r="B5713">
        <v>5713</v>
      </c>
    </row>
    <row r="5714" spans="1:2" x14ac:dyDescent="0.25">
      <c r="A5714" t="s">
        <v>5748</v>
      </c>
      <c r="B5714">
        <v>5714</v>
      </c>
    </row>
    <row r="5715" spans="1:2" x14ac:dyDescent="0.25">
      <c r="A5715" t="s">
        <v>5778</v>
      </c>
      <c r="B5715">
        <v>5715</v>
      </c>
    </row>
    <row r="5716" spans="1:2" x14ac:dyDescent="0.25">
      <c r="A5716" t="s">
        <v>5808</v>
      </c>
      <c r="B5716">
        <v>5716</v>
      </c>
    </row>
    <row r="5717" spans="1:2" x14ac:dyDescent="0.25">
      <c r="A5717" t="s">
        <v>5838</v>
      </c>
      <c r="B5717">
        <v>5717</v>
      </c>
    </row>
    <row r="5718" spans="1:2" x14ac:dyDescent="0.25">
      <c r="A5718" t="s">
        <v>5868</v>
      </c>
      <c r="B5718">
        <v>5718</v>
      </c>
    </row>
    <row r="5719" spans="1:2" x14ac:dyDescent="0.25">
      <c r="A5719" t="s">
        <v>5898</v>
      </c>
      <c r="B5719">
        <v>5719</v>
      </c>
    </row>
    <row r="5720" spans="1:2" x14ac:dyDescent="0.25">
      <c r="A5720" t="s">
        <v>5928</v>
      </c>
      <c r="B5720">
        <v>5720</v>
      </c>
    </row>
    <row r="5721" spans="1:2" x14ac:dyDescent="0.25">
      <c r="A5721" t="s">
        <v>5958</v>
      </c>
      <c r="B5721">
        <v>5721</v>
      </c>
    </row>
    <row r="5722" spans="1:2" x14ac:dyDescent="0.25">
      <c r="A5722" t="s">
        <v>5988</v>
      </c>
      <c r="B5722">
        <v>5722</v>
      </c>
    </row>
    <row r="5723" spans="1:2" x14ac:dyDescent="0.25">
      <c r="A5723" t="s">
        <v>6018</v>
      </c>
      <c r="B5723">
        <v>5723</v>
      </c>
    </row>
    <row r="5724" spans="1:2" x14ac:dyDescent="0.25">
      <c r="A5724" t="s">
        <v>6048</v>
      </c>
      <c r="B5724">
        <v>5724</v>
      </c>
    </row>
    <row r="5725" spans="1:2" x14ac:dyDescent="0.25">
      <c r="A5725" t="s">
        <v>6065</v>
      </c>
      <c r="B5725">
        <v>5725</v>
      </c>
    </row>
    <row r="5726" spans="1:2" x14ac:dyDescent="0.25">
      <c r="A5726" t="s">
        <v>6065</v>
      </c>
      <c r="B5726">
        <v>5726</v>
      </c>
    </row>
    <row r="5727" spans="1:2" x14ac:dyDescent="0.25">
      <c r="A5727" t="s">
        <v>6095</v>
      </c>
      <c r="B5727">
        <v>5727</v>
      </c>
    </row>
    <row r="5728" spans="1:2" x14ac:dyDescent="0.25">
      <c r="A5728" t="s">
        <v>6125</v>
      </c>
      <c r="B5728">
        <v>5728</v>
      </c>
    </row>
    <row r="5729" spans="1:2" x14ac:dyDescent="0.25">
      <c r="A5729" t="s">
        <v>6155</v>
      </c>
      <c r="B5729">
        <v>5729</v>
      </c>
    </row>
    <row r="5730" spans="1:2" x14ac:dyDescent="0.25">
      <c r="A5730" t="s">
        <v>6185</v>
      </c>
      <c r="B5730">
        <v>5730</v>
      </c>
    </row>
    <row r="5731" spans="1:2" x14ac:dyDescent="0.25">
      <c r="A5731" t="s">
        <v>6215</v>
      </c>
      <c r="B5731">
        <v>5731</v>
      </c>
    </row>
    <row r="5732" spans="1:2" x14ac:dyDescent="0.25">
      <c r="A5732" t="s">
        <v>6245</v>
      </c>
      <c r="B5732">
        <v>5732</v>
      </c>
    </row>
    <row r="5733" spans="1:2" x14ac:dyDescent="0.25">
      <c r="A5733" t="s">
        <v>6275</v>
      </c>
      <c r="B5733">
        <v>5733</v>
      </c>
    </row>
    <row r="5734" spans="1:2" x14ac:dyDescent="0.25">
      <c r="A5734" t="s">
        <v>6305</v>
      </c>
      <c r="B5734">
        <v>5734</v>
      </c>
    </row>
    <row r="5735" spans="1:2" x14ac:dyDescent="0.25">
      <c r="A5735" t="s">
        <v>6335</v>
      </c>
      <c r="B5735">
        <v>5735</v>
      </c>
    </row>
    <row r="5736" spans="1:2" x14ac:dyDescent="0.25">
      <c r="A5736" t="s">
        <v>6365</v>
      </c>
      <c r="B5736">
        <v>5736</v>
      </c>
    </row>
    <row r="5737" spans="1:2" x14ac:dyDescent="0.25">
      <c r="A5737" t="s">
        <v>6395</v>
      </c>
      <c r="B5737">
        <v>5737</v>
      </c>
    </row>
    <row r="5738" spans="1:2" x14ac:dyDescent="0.25">
      <c r="A5738" t="s">
        <v>6425</v>
      </c>
      <c r="B5738">
        <v>5738</v>
      </c>
    </row>
    <row r="5739" spans="1:2" x14ac:dyDescent="0.25">
      <c r="A5739" t="s">
        <v>6455</v>
      </c>
      <c r="B5739">
        <v>5739</v>
      </c>
    </row>
    <row r="5740" spans="1:2" x14ac:dyDescent="0.25">
      <c r="A5740" t="s">
        <v>6485</v>
      </c>
      <c r="B5740">
        <v>5740</v>
      </c>
    </row>
    <row r="5741" spans="1:2" x14ac:dyDescent="0.25">
      <c r="A5741" t="s">
        <v>6515</v>
      </c>
      <c r="B5741">
        <v>5741</v>
      </c>
    </row>
    <row r="5742" spans="1:2" x14ac:dyDescent="0.25">
      <c r="A5742" t="s">
        <v>6545</v>
      </c>
      <c r="B5742">
        <v>5742</v>
      </c>
    </row>
    <row r="5743" spans="1:2" x14ac:dyDescent="0.25">
      <c r="A5743" t="s">
        <v>6575</v>
      </c>
      <c r="B5743">
        <v>5743</v>
      </c>
    </row>
    <row r="5744" spans="1:2" x14ac:dyDescent="0.25">
      <c r="A5744" t="s">
        <v>6605</v>
      </c>
      <c r="B5744">
        <v>5744</v>
      </c>
    </row>
    <row r="5745" spans="1:2" x14ac:dyDescent="0.25">
      <c r="A5745" t="s">
        <v>6621</v>
      </c>
      <c r="B5745">
        <v>5745</v>
      </c>
    </row>
    <row r="5746" spans="1:2" x14ac:dyDescent="0.25">
      <c r="A5746" t="s">
        <v>6621</v>
      </c>
      <c r="B5746">
        <v>5746</v>
      </c>
    </row>
    <row r="5747" spans="1:2" x14ac:dyDescent="0.25">
      <c r="A5747" t="s">
        <v>6650</v>
      </c>
      <c r="B5747">
        <v>5747</v>
      </c>
    </row>
    <row r="5748" spans="1:2" x14ac:dyDescent="0.25">
      <c r="A5748" t="s">
        <v>6680</v>
      </c>
      <c r="B5748">
        <v>5748</v>
      </c>
    </row>
    <row r="5749" spans="1:2" x14ac:dyDescent="0.25">
      <c r="A5749" t="s">
        <v>6710</v>
      </c>
      <c r="B5749">
        <v>5749</v>
      </c>
    </row>
    <row r="5750" spans="1:2" x14ac:dyDescent="0.25">
      <c r="A5750" t="s">
        <v>6740</v>
      </c>
      <c r="B5750">
        <v>5750</v>
      </c>
    </row>
    <row r="5751" spans="1:2" x14ac:dyDescent="0.25">
      <c r="A5751" t="s">
        <v>6770</v>
      </c>
      <c r="B5751">
        <v>5751</v>
      </c>
    </row>
    <row r="5752" spans="1:2" x14ac:dyDescent="0.25">
      <c r="A5752" t="s">
        <v>6800</v>
      </c>
      <c r="B5752">
        <v>5752</v>
      </c>
    </row>
    <row r="5753" spans="1:2" x14ac:dyDescent="0.25">
      <c r="A5753" t="s">
        <v>6830</v>
      </c>
      <c r="B5753">
        <v>5753</v>
      </c>
    </row>
    <row r="5754" spans="1:2" x14ac:dyDescent="0.25">
      <c r="A5754" t="s">
        <v>6860</v>
      </c>
      <c r="B5754">
        <v>5754</v>
      </c>
    </row>
    <row r="5755" spans="1:2" x14ac:dyDescent="0.25">
      <c r="A5755" t="s">
        <v>6874</v>
      </c>
      <c r="B5755">
        <v>5755</v>
      </c>
    </row>
    <row r="5756" spans="1:2" x14ac:dyDescent="0.25">
      <c r="A5756" t="s">
        <v>6874</v>
      </c>
      <c r="B5756">
        <v>5756</v>
      </c>
    </row>
    <row r="5757" spans="1:2" x14ac:dyDescent="0.25">
      <c r="A5757" t="s">
        <v>6903</v>
      </c>
      <c r="B5757">
        <v>5757</v>
      </c>
    </row>
    <row r="5758" spans="1:2" x14ac:dyDescent="0.25">
      <c r="A5758" t="s">
        <v>6933</v>
      </c>
      <c r="B5758">
        <v>5758</v>
      </c>
    </row>
    <row r="5759" spans="1:2" x14ac:dyDescent="0.25">
      <c r="A5759" t="s">
        <v>6963</v>
      </c>
      <c r="B5759">
        <v>5759</v>
      </c>
    </row>
    <row r="5760" spans="1:2" x14ac:dyDescent="0.25">
      <c r="A5760" t="s">
        <v>6993</v>
      </c>
      <c r="B5760">
        <v>5760</v>
      </c>
    </row>
    <row r="5761" spans="1:2" x14ac:dyDescent="0.25">
      <c r="A5761" t="s">
        <v>7023</v>
      </c>
      <c r="B5761">
        <v>5761</v>
      </c>
    </row>
    <row r="5762" spans="1:2" x14ac:dyDescent="0.25">
      <c r="A5762" t="s">
        <v>7053</v>
      </c>
      <c r="B5762">
        <v>5762</v>
      </c>
    </row>
    <row r="5763" spans="1:2" x14ac:dyDescent="0.25">
      <c r="A5763" t="s">
        <v>7083</v>
      </c>
      <c r="B5763">
        <v>5763</v>
      </c>
    </row>
    <row r="5764" spans="1:2" x14ac:dyDescent="0.25">
      <c r="A5764" t="s">
        <v>7113</v>
      </c>
      <c r="B5764">
        <v>5764</v>
      </c>
    </row>
    <row r="5765" spans="1:2" x14ac:dyDescent="0.25">
      <c r="A5765" t="s">
        <v>7126</v>
      </c>
      <c r="B5765">
        <v>5765</v>
      </c>
    </row>
    <row r="5766" spans="1:2" x14ac:dyDescent="0.25">
      <c r="A5766" t="s">
        <v>7126</v>
      </c>
      <c r="B5766">
        <v>5766</v>
      </c>
    </row>
    <row r="5767" spans="1:2" x14ac:dyDescent="0.25">
      <c r="A5767" t="s">
        <v>7154</v>
      </c>
      <c r="B5767">
        <v>5767</v>
      </c>
    </row>
    <row r="5768" spans="1:2" x14ac:dyDescent="0.25">
      <c r="A5768" t="s">
        <v>7184</v>
      </c>
      <c r="B5768">
        <v>5768</v>
      </c>
    </row>
    <row r="5769" spans="1:2" x14ac:dyDescent="0.25">
      <c r="A5769" t="s">
        <v>7214</v>
      </c>
      <c r="B5769">
        <v>5769</v>
      </c>
    </row>
    <row r="5770" spans="1:2" x14ac:dyDescent="0.25">
      <c r="A5770" t="s">
        <v>7244</v>
      </c>
      <c r="B5770">
        <v>5770</v>
      </c>
    </row>
    <row r="5771" spans="1:2" x14ac:dyDescent="0.25">
      <c r="A5771" t="s">
        <v>7274</v>
      </c>
      <c r="B5771">
        <v>5771</v>
      </c>
    </row>
    <row r="5772" spans="1:2" x14ac:dyDescent="0.25">
      <c r="A5772" t="s">
        <v>7285</v>
      </c>
      <c r="B5772">
        <v>5772</v>
      </c>
    </row>
    <row r="5773" spans="1:2" x14ac:dyDescent="0.25">
      <c r="A5773" t="s">
        <v>7285</v>
      </c>
      <c r="B5773">
        <v>5773</v>
      </c>
    </row>
    <row r="5774" spans="1:2" x14ac:dyDescent="0.25">
      <c r="A5774" t="s">
        <v>7313</v>
      </c>
      <c r="B5774">
        <v>5774</v>
      </c>
    </row>
    <row r="5775" spans="1:2" x14ac:dyDescent="0.25">
      <c r="A5775" t="s">
        <v>7343</v>
      </c>
      <c r="B5775">
        <v>5775</v>
      </c>
    </row>
    <row r="5776" spans="1:2" x14ac:dyDescent="0.25">
      <c r="A5776" t="s">
        <v>7373</v>
      </c>
      <c r="B5776">
        <v>5776</v>
      </c>
    </row>
    <row r="5777" spans="1:2" x14ac:dyDescent="0.25">
      <c r="A5777" t="s">
        <v>7403</v>
      </c>
      <c r="B5777">
        <v>5777</v>
      </c>
    </row>
    <row r="5778" spans="1:2" x14ac:dyDescent="0.25">
      <c r="A5778" t="s">
        <v>7433</v>
      </c>
      <c r="B5778">
        <v>5778</v>
      </c>
    </row>
    <row r="5779" spans="1:2" x14ac:dyDescent="0.25">
      <c r="A5779" t="s">
        <v>7463</v>
      </c>
      <c r="B5779">
        <v>5779</v>
      </c>
    </row>
    <row r="5780" spans="1:2" x14ac:dyDescent="0.25">
      <c r="A5780" t="s">
        <v>7493</v>
      </c>
      <c r="B5780">
        <v>5780</v>
      </c>
    </row>
    <row r="5781" spans="1:2" x14ac:dyDescent="0.25">
      <c r="A5781" t="s">
        <v>7523</v>
      </c>
      <c r="B5781">
        <v>5781</v>
      </c>
    </row>
    <row r="5782" spans="1:2" x14ac:dyDescent="0.25">
      <c r="A5782" t="s">
        <v>7553</v>
      </c>
      <c r="B5782">
        <v>5782</v>
      </c>
    </row>
    <row r="5783" spans="1:2" x14ac:dyDescent="0.25">
      <c r="A5783" t="s">
        <v>7583</v>
      </c>
      <c r="B5783">
        <v>5783</v>
      </c>
    </row>
    <row r="5784" spans="1:2" x14ac:dyDescent="0.25">
      <c r="A5784" t="s">
        <v>7613</v>
      </c>
      <c r="B5784">
        <v>5784</v>
      </c>
    </row>
    <row r="5785" spans="1:2" x14ac:dyDescent="0.25">
      <c r="A5785" t="s">
        <v>7643</v>
      </c>
      <c r="B5785">
        <v>5785</v>
      </c>
    </row>
    <row r="5786" spans="1:2" x14ac:dyDescent="0.25">
      <c r="A5786" t="s">
        <v>7673</v>
      </c>
      <c r="B5786">
        <v>5786</v>
      </c>
    </row>
    <row r="5787" spans="1:2" x14ac:dyDescent="0.25">
      <c r="A5787" t="s">
        <v>7703</v>
      </c>
      <c r="B5787">
        <v>5787</v>
      </c>
    </row>
    <row r="5788" spans="1:2" x14ac:dyDescent="0.25">
      <c r="A5788" t="s">
        <v>7733</v>
      </c>
      <c r="B5788">
        <v>5788</v>
      </c>
    </row>
    <row r="5789" spans="1:2" x14ac:dyDescent="0.25">
      <c r="A5789" t="s">
        <v>7763</v>
      </c>
      <c r="B5789">
        <v>5789</v>
      </c>
    </row>
    <row r="5790" spans="1:2" x14ac:dyDescent="0.25">
      <c r="A5790" t="s">
        <v>7793</v>
      </c>
      <c r="B5790">
        <v>5790</v>
      </c>
    </row>
    <row r="5791" spans="1:2" x14ac:dyDescent="0.25">
      <c r="A5791" t="s">
        <v>7823</v>
      </c>
      <c r="B5791">
        <v>5791</v>
      </c>
    </row>
    <row r="5792" spans="1:2" x14ac:dyDescent="0.25">
      <c r="A5792" t="s">
        <v>7853</v>
      </c>
      <c r="B5792">
        <v>5792</v>
      </c>
    </row>
    <row r="5793" spans="1:2" x14ac:dyDescent="0.25">
      <c r="A5793" t="s">
        <v>7883</v>
      </c>
      <c r="B5793">
        <v>5793</v>
      </c>
    </row>
    <row r="5794" spans="1:2" x14ac:dyDescent="0.25">
      <c r="A5794" t="s">
        <v>7913</v>
      </c>
      <c r="B5794">
        <v>5794</v>
      </c>
    </row>
    <row r="5795" spans="1:2" x14ac:dyDescent="0.25">
      <c r="A5795" t="s">
        <v>7943</v>
      </c>
      <c r="B5795">
        <v>5795</v>
      </c>
    </row>
    <row r="5796" spans="1:2" x14ac:dyDescent="0.25">
      <c r="A5796" t="s">
        <v>7973</v>
      </c>
      <c r="B5796">
        <v>5796</v>
      </c>
    </row>
    <row r="5797" spans="1:2" x14ac:dyDescent="0.25">
      <c r="A5797" t="s">
        <v>8003</v>
      </c>
      <c r="B5797">
        <v>5797</v>
      </c>
    </row>
    <row r="5798" spans="1:2" x14ac:dyDescent="0.25">
      <c r="A5798" t="s">
        <v>8033</v>
      </c>
      <c r="B5798">
        <v>5798</v>
      </c>
    </row>
    <row r="5799" spans="1:2" x14ac:dyDescent="0.25">
      <c r="A5799" t="s">
        <v>8063</v>
      </c>
      <c r="B5799">
        <v>5799</v>
      </c>
    </row>
    <row r="5800" spans="1:2" x14ac:dyDescent="0.25">
      <c r="A5800" t="s">
        <v>8093</v>
      </c>
      <c r="B5800">
        <v>5800</v>
      </c>
    </row>
    <row r="5801" spans="1:2" x14ac:dyDescent="0.25">
      <c r="A5801" t="s">
        <v>8123</v>
      </c>
      <c r="B5801">
        <v>5801</v>
      </c>
    </row>
    <row r="5802" spans="1:2" x14ac:dyDescent="0.25">
      <c r="A5802" t="s">
        <v>8153</v>
      </c>
      <c r="B5802">
        <v>5802</v>
      </c>
    </row>
    <row r="5803" spans="1:2" x14ac:dyDescent="0.25">
      <c r="A5803" t="s">
        <v>8183</v>
      </c>
      <c r="B5803">
        <v>5803</v>
      </c>
    </row>
    <row r="5804" spans="1:2" x14ac:dyDescent="0.25">
      <c r="A5804" t="s">
        <v>8192</v>
      </c>
      <c r="B5804">
        <v>5804</v>
      </c>
    </row>
    <row r="5805" spans="1:2" x14ac:dyDescent="0.25">
      <c r="A5805" t="s">
        <v>8192</v>
      </c>
      <c r="B5805">
        <v>5805</v>
      </c>
    </row>
    <row r="5806" spans="1:2" x14ac:dyDescent="0.25">
      <c r="A5806" t="s">
        <v>8197</v>
      </c>
      <c r="B5806">
        <v>5806</v>
      </c>
    </row>
    <row r="5807" spans="1:2" x14ac:dyDescent="0.25">
      <c r="A5807" t="s">
        <v>8197</v>
      </c>
      <c r="B5807">
        <v>5807</v>
      </c>
    </row>
    <row r="5808" spans="1:2" x14ac:dyDescent="0.25">
      <c r="A5808" t="s">
        <v>8225</v>
      </c>
      <c r="B5808">
        <v>5808</v>
      </c>
    </row>
    <row r="5809" spans="1:2" x14ac:dyDescent="0.25">
      <c r="A5809" t="s">
        <v>8255</v>
      </c>
      <c r="B5809">
        <v>5809</v>
      </c>
    </row>
    <row r="5810" spans="1:2" x14ac:dyDescent="0.25">
      <c r="A5810" t="s">
        <v>8285</v>
      </c>
      <c r="B5810">
        <v>5810</v>
      </c>
    </row>
    <row r="5811" spans="1:2" x14ac:dyDescent="0.25">
      <c r="A5811" t="s">
        <v>8315</v>
      </c>
      <c r="B5811">
        <v>5811</v>
      </c>
    </row>
    <row r="5812" spans="1:2" x14ac:dyDescent="0.25">
      <c r="A5812" t="s">
        <v>8345</v>
      </c>
      <c r="B5812">
        <v>5812</v>
      </c>
    </row>
    <row r="5813" spans="1:2" x14ac:dyDescent="0.25">
      <c r="A5813" t="s">
        <v>8375</v>
      </c>
      <c r="B5813">
        <v>5813</v>
      </c>
    </row>
    <row r="5814" spans="1:2" x14ac:dyDescent="0.25">
      <c r="A5814" t="s">
        <v>8405</v>
      </c>
      <c r="B5814">
        <v>5814</v>
      </c>
    </row>
    <row r="5815" spans="1:2" x14ac:dyDescent="0.25">
      <c r="A5815" t="s">
        <v>8435</v>
      </c>
      <c r="B5815">
        <v>5815</v>
      </c>
    </row>
    <row r="5816" spans="1:2" x14ac:dyDescent="0.25">
      <c r="A5816" t="s">
        <v>8465</v>
      </c>
      <c r="B5816">
        <v>5816</v>
      </c>
    </row>
    <row r="5817" spans="1:2" x14ac:dyDescent="0.25">
      <c r="A5817" t="s">
        <v>8495</v>
      </c>
      <c r="B5817">
        <v>5817</v>
      </c>
    </row>
    <row r="5818" spans="1:2" x14ac:dyDescent="0.25">
      <c r="A5818" t="s">
        <v>8525</v>
      </c>
      <c r="B5818">
        <v>5818</v>
      </c>
    </row>
    <row r="5819" spans="1:2" x14ac:dyDescent="0.25">
      <c r="A5819" t="s">
        <v>8555</v>
      </c>
      <c r="B5819">
        <v>5819</v>
      </c>
    </row>
    <row r="5820" spans="1:2" x14ac:dyDescent="0.25">
      <c r="A5820" t="s">
        <v>8585</v>
      </c>
      <c r="B5820">
        <v>5820</v>
      </c>
    </row>
    <row r="5821" spans="1:2" x14ac:dyDescent="0.25">
      <c r="A5821" t="s">
        <v>8615</v>
      </c>
      <c r="B5821">
        <v>5821</v>
      </c>
    </row>
    <row r="5822" spans="1:2" x14ac:dyDescent="0.25">
      <c r="A5822" t="s">
        <v>8645</v>
      </c>
      <c r="B5822">
        <v>5822</v>
      </c>
    </row>
    <row r="5823" spans="1:2" x14ac:dyDescent="0.25">
      <c r="A5823" t="s">
        <v>8650</v>
      </c>
      <c r="B5823">
        <v>5823</v>
      </c>
    </row>
    <row r="5824" spans="1:2" x14ac:dyDescent="0.25">
      <c r="A5824" t="s">
        <v>8650</v>
      </c>
      <c r="B5824">
        <v>5824</v>
      </c>
    </row>
    <row r="5825" spans="1:2" x14ac:dyDescent="0.25">
      <c r="A5825" t="s">
        <v>8678</v>
      </c>
      <c r="B5825">
        <v>5825</v>
      </c>
    </row>
    <row r="5826" spans="1:2" x14ac:dyDescent="0.25">
      <c r="A5826" t="s">
        <v>8708</v>
      </c>
      <c r="B5826">
        <v>5826</v>
      </c>
    </row>
    <row r="5827" spans="1:2" x14ac:dyDescent="0.25">
      <c r="A5827" t="s">
        <v>8738</v>
      </c>
      <c r="B5827">
        <v>5827</v>
      </c>
    </row>
    <row r="5828" spans="1:2" x14ac:dyDescent="0.25">
      <c r="A5828" t="s">
        <v>8768</v>
      </c>
      <c r="B5828">
        <v>5828</v>
      </c>
    </row>
    <row r="5829" spans="1:2" x14ac:dyDescent="0.25">
      <c r="A5829" t="s">
        <v>8798</v>
      </c>
      <c r="B5829">
        <v>5829</v>
      </c>
    </row>
    <row r="5830" spans="1:2" x14ac:dyDescent="0.25">
      <c r="A5830" t="s">
        <v>8828</v>
      </c>
      <c r="B5830">
        <v>5830</v>
      </c>
    </row>
    <row r="5831" spans="1:2" x14ac:dyDescent="0.25">
      <c r="A5831" t="s">
        <v>8858</v>
      </c>
      <c r="B5831">
        <v>5831</v>
      </c>
    </row>
    <row r="5832" spans="1:2" x14ac:dyDescent="0.25">
      <c r="A5832" t="s">
        <v>8888</v>
      </c>
      <c r="B5832">
        <v>5832</v>
      </c>
    </row>
    <row r="5833" spans="1:2" x14ac:dyDescent="0.25">
      <c r="A5833" t="s">
        <v>8891</v>
      </c>
      <c r="B5833">
        <v>5833</v>
      </c>
    </row>
    <row r="5834" spans="1:2" x14ac:dyDescent="0.25">
      <c r="A5834" t="s">
        <v>8891</v>
      </c>
      <c r="B5834">
        <v>5834</v>
      </c>
    </row>
    <row r="5835" spans="1:2" x14ac:dyDescent="0.25">
      <c r="A5835" t="s">
        <v>8919</v>
      </c>
      <c r="B5835">
        <v>5835</v>
      </c>
    </row>
    <row r="5836" spans="1:2" x14ac:dyDescent="0.25">
      <c r="A5836" t="s">
        <v>8892</v>
      </c>
      <c r="B5836">
        <v>5836</v>
      </c>
    </row>
    <row r="5837" spans="1:2" x14ac:dyDescent="0.25">
      <c r="A5837" t="s">
        <v>8899</v>
      </c>
      <c r="B5837">
        <v>5837</v>
      </c>
    </row>
    <row r="5838" spans="1:2" x14ac:dyDescent="0.25">
      <c r="A5838" t="s">
        <v>8895</v>
      </c>
      <c r="B5838">
        <v>5838</v>
      </c>
    </row>
    <row r="5839" spans="1:2" x14ac:dyDescent="0.25">
      <c r="A5839" t="s">
        <v>8901</v>
      </c>
      <c r="B5839">
        <v>5839</v>
      </c>
    </row>
    <row r="5840" spans="1:2" x14ac:dyDescent="0.25">
      <c r="A5840" t="s">
        <v>8896</v>
      </c>
      <c r="B5840">
        <v>5840</v>
      </c>
    </row>
    <row r="5841" spans="1:2" x14ac:dyDescent="0.25">
      <c r="A5841" t="s">
        <v>8897</v>
      </c>
      <c r="B5841">
        <v>5841</v>
      </c>
    </row>
    <row r="5842" spans="1:2" x14ac:dyDescent="0.25">
      <c r="A5842" t="s">
        <v>8894</v>
      </c>
      <c r="B5842">
        <v>5842</v>
      </c>
    </row>
    <row r="5843" spans="1:2" x14ac:dyDescent="0.25">
      <c r="A5843" t="s">
        <v>8905</v>
      </c>
      <c r="B5843">
        <v>5843</v>
      </c>
    </row>
    <row r="5844" spans="1:2" x14ac:dyDescent="0.25">
      <c r="A5844" t="s">
        <v>8902</v>
      </c>
      <c r="B5844">
        <v>5844</v>
      </c>
    </row>
    <row r="5845" spans="1:2" x14ac:dyDescent="0.25">
      <c r="A5845" t="s">
        <v>8906</v>
      </c>
      <c r="B5845">
        <v>5845</v>
      </c>
    </row>
    <row r="5846" spans="1:2" x14ac:dyDescent="0.25">
      <c r="A5846" t="s">
        <v>8898</v>
      </c>
      <c r="B5846">
        <v>5846</v>
      </c>
    </row>
    <row r="5847" spans="1:2" x14ac:dyDescent="0.25">
      <c r="A5847" t="s">
        <v>8893</v>
      </c>
      <c r="B5847">
        <v>5847</v>
      </c>
    </row>
    <row r="5848" spans="1:2" x14ac:dyDescent="0.25">
      <c r="A5848" t="s">
        <v>8903</v>
      </c>
      <c r="B5848">
        <v>5848</v>
      </c>
    </row>
    <row r="5849" spans="1:2" x14ac:dyDescent="0.25">
      <c r="A5849" t="s">
        <v>8900</v>
      </c>
      <c r="B5849">
        <v>5849</v>
      </c>
    </row>
    <row r="5850" spans="1:2" x14ac:dyDescent="0.25">
      <c r="A5850" t="s">
        <v>8904</v>
      </c>
      <c r="B5850">
        <v>5850</v>
      </c>
    </row>
  </sheetData>
  <sortState ref="A1:A5850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data</vt:lpstr>
      <vt:lpstr>Лист2</vt:lpstr>
      <vt:lpstr>Лист3</vt:lpstr>
      <vt:lpstr>Лист4</vt:lpstr>
      <vt:lpstr>Лист5</vt:lpstr>
      <vt:lpstr>data!common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ADAR</dc:creator>
  <cp:lastModifiedBy>ADAR</cp:lastModifiedBy>
  <dcterms:created xsi:type="dcterms:W3CDTF">2017-06-10T18:03:07Z</dcterms:created>
  <dcterms:modified xsi:type="dcterms:W3CDTF">2017-06-19T16:52:23Z</dcterms:modified>
</cp:coreProperties>
</file>