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20115" windowHeight="7995"/>
  </bookViews>
  <sheets>
    <sheet name="BTC" sheetId="5" r:id="rId1"/>
    <sheet name="data" sheetId="1" r:id="rId2"/>
    <sheet name="common" sheetId="20" r:id="rId3"/>
    <sheet name="Fees" sheetId="22" r:id="rId4"/>
  </sheets>
  <functionGroups builtInGroupCount="17"/>
  <definedNames>
    <definedName name="_xlnm._FilterDatabase" localSheetId="1" hidden="1">data!$A$1:$F$2021</definedName>
    <definedName name="common_1" localSheetId="2">common!#REF!</definedName>
    <definedName name="common_2" localSheetId="2">common!$A$1:$F$278</definedName>
  </definedNames>
  <calcPr calcId="145621"/>
</workbook>
</file>

<file path=xl/calcChain.xml><?xml version="1.0" encoding="utf-8"?>
<calcChain xmlns="http://schemas.openxmlformats.org/spreadsheetml/2006/main">
  <c r="B2" i="5" l="1"/>
  <c r="C14" i="5" l="1"/>
  <c r="B3" i="5" l="1"/>
  <c r="B4" i="5" s="1"/>
  <c r="B5" i="5" s="1"/>
  <c r="B6" i="5" s="1"/>
  <c r="B7" i="5" s="1"/>
  <c r="B8" i="5" s="1"/>
  <c r="B9" i="5" s="1"/>
  <c r="B10" i="5" s="1"/>
  <c r="B11" i="5" s="1"/>
  <c r="B12" i="5" s="1"/>
  <c r="B13" i="5" s="1"/>
  <c r="B14" i="5" s="1"/>
  <c r="G63" i="1" l="1"/>
  <c r="K3" i="5" l="1"/>
  <c r="K4" i="5"/>
  <c r="K5" i="5"/>
  <c r="K6" i="5"/>
  <c r="K7" i="5"/>
  <c r="K10" i="5"/>
  <c r="K11" i="5"/>
  <c r="K12" i="5"/>
  <c r="E14" i="5" a="1"/>
  <c r="E14" i="5" s="1"/>
  <c r="F14" i="5" l="1" a="1"/>
  <c r="F14" i="5" s="1"/>
  <c r="G14" i="5" s="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387"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8" i="1"/>
  <c r="G389" i="1"/>
  <c r="G390" i="1"/>
  <c r="G391" i="1"/>
  <c r="G392" i="1"/>
  <c r="K2" i="5"/>
  <c r="C2" i="5"/>
  <c r="D14" i="5" l="1"/>
  <c r="H14" i="5" s="1"/>
  <c r="I14" i="5" s="1"/>
  <c r="F2" i="5" a="1"/>
  <c r="F2" i="5" s="1"/>
  <c r="G2" i="5" s="1"/>
  <c r="E2" i="5" a="1"/>
  <c r="E2" i="5" s="1"/>
  <c r="D2" i="5" s="1"/>
  <c r="C3" i="5"/>
  <c r="C4" i="5"/>
  <c r="C5" i="5"/>
  <c r="C6" i="5"/>
  <c r="C7" i="5"/>
  <c r="C8" i="5"/>
  <c r="C9" i="5"/>
  <c r="C10" i="5"/>
  <c r="C11" i="5"/>
  <c r="C12" i="5"/>
  <c r="C13" i="5"/>
  <c r="F7" i="5" l="1" a="1"/>
  <c r="F7" i="5" s="1"/>
  <c r="G7" i="5" s="1"/>
  <c r="E7" i="5" a="1"/>
  <c r="E7" i="5" s="1"/>
  <c r="D7" i="5" s="1"/>
  <c r="E5" i="5" a="1"/>
  <c r="E5" i="5" s="1"/>
  <c r="D5" i="5" s="1"/>
  <c r="F5" i="5" a="1"/>
  <c r="F5" i="5" s="1"/>
  <c r="G5" i="5" s="1"/>
  <c r="E8" i="5" a="1"/>
  <c r="E8" i="5" s="1"/>
  <c r="D8" i="5" s="1"/>
  <c r="E6" i="5" a="1"/>
  <c r="E6" i="5" s="1"/>
  <c r="D6" i="5" s="1"/>
  <c r="F6" i="5" a="1"/>
  <c r="F6" i="5" s="1"/>
  <c r="G6" i="5" s="1"/>
  <c r="F12" i="5" a="1"/>
  <c r="F12" i="5" s="1"/>
  <c r="G12" i="5" s="1"/>
  <c r="E12" i="5" a="1"/>
  <c r="E12" i="5" s="1"/>
  <c r="D12" i="5" s="1"/>
  <c r="E4" i="5" a="1"/>
  <c r="E4" i="5" s="1"/>
  <c r="D4" i="5" s="1"/>
  <c r="F4" i="5" a="1"/>
  <c r="F4" i="5" s="1"/>
  <c r="G4" i="5" s="1"/>
  <c r="F10" i="5" a="1"/>
  <c r="F10" i="5" s="1"/>
  <c r="G10" i="5" s="1"/>
  <c r="E10" i="5" a="1"/>
  <c r="E10" i="5" s="1"/>
  <c r="D10" i="5" s="1"/>
  <c r="F11" i="5" a="1"/>
  <c r="F11" i="5" s="1"/>
  <c r="G11" i="5" s="1"/>
  <c r="E11" i="5" a="1"/>
  <c r="E11" i="5" s="1"/>
  <c r="D11" i="5" s="1"/>
  <c r="F3" i="5" a="1"/>
  <c r="F3" i="5" s="1"/>
  <c r="G3" i="5" s="1"/>
  <c r="E3" i="5" a="1"/>
  <c r="E3" i="5" s="1"/>
  <c r="D3" i="5" s="1"/>
  <c r="H2" i="5"/>
  <c r="I2" i="5" s="1"/>
  <c r="F8" i="5" a="1"/>
  <c r="F8" i="5" s="1"/>
  <c r="G8" i="5" s="1"/>
  <c r="E9" i="5" a="1"/>
  <c r="E9" i="5" s="1"/>
  <c r="D9" i="5" s="1"/>
  <c r="F9" i="5" a="1"/>
  <c r="F9" i="5" s="1"/>
  <c r="G9" i="5" s="1"/>
  <c r="E13" i="5" a="1"/>
  <c r="E13" i="5" s="1"/>
  <c r="D13" i="5" s="1"/>
  <c r="F13" i="5" a="1"/>
  <c r="F13" i="5" s="1"/>
  <c r="G13" i="5" s="1"/>
  <c r="H12" i="5" l="1"/>
  <c r="I12" i="5" s="1"/>
  <c r="H9" i="5"/>
  <c r="I9" i="5" s="1"/>
  <c r="H4" i="5"/>
  <c r="I4" i="5" s="1"/>
  <c r="H10" i="5"/>
  <c r="I10" i="5" s="1"/>
  <c r="H3" i="5"/>
  <c r="I3" i="5" s="1"/>
  <c r="H13" i="5"/>
  <c r="I13" i="5" s="1"/>
  <c r="H5" i="5"/>
  <c r="I5" i="5" s="1"/>
  <c r="H7" i="5"/>
  <c r="I7" i="5" s="1"/>
  <c r="H8" i="5"/>
  <c r="I8" i="5" s="1"/>
  <c r="H11" i="5"/>
  <c r="I11" i="5" s="1"/>
  <c r="H6" i="5"/>
  <c r="I6" i="5" s="1"/>
</calcChain>
</file>

<file path=xl/connections.xml><?xml version="1.0" encoding="utf-8"?>
<connections xmlns="http://schemas.openxmlformats.org/spreadsheetml/2006/main">
  <connection id="1" name="common" type="6" refreshedVersion="4" background="1" saveData="1">
    <textPr prompt="0" codePage="866" sourceFile="C:\Users\ADAR\Documents\Python Projects\BTC-E\common.csv" decimal="," thousands=" " comma="1">
      <textFields count="6">
        <textField/>
        <textField/>
        <textField/>
        <textField/>
        <textField/>
        <textField/>
      </textFields>
    </textPr>
  </connection>
</connections>
</file>

<file path=xl/sharedStrings.xml><?xml version="1.0" encoding="utf-8"?>
<sst xmlns="http://schemas.openxmlformats.org/spreadsheetml/2006/main" count="2794" uniqueCount="274">
  <si>
    <t>bitfinex</t>
  </si>
  <si>
    <t>BCCBTC</t>
  </si>
  <si>
    <t>BTCUSD</t>
  </si>
  <si>
    <t>ETCBTC</t>
  </si>
  <si>
    <t>ETHBTC</t>
  </si>
  <si>
    <t>ETHUSD</t>
  </si>
  <si>
    <t>LTCBTC</t>
  </si>
  <si>
    <t>LTCUSD</t>
  </si>
  <si>
    <t>XMRBTC</t>
  </si>
  <si>
    <t>XMRUSD</t>
  </si>
  <si>
    <t>ZECBTC</t>
  </si>
  <si>
    <t>bittrex</t>
  </si>
  <si>
    <t>BTCDASH</t>
  </si>
  <si>
    <t>BTCDOGE</t>
  </si>
  <si>
    <t>BTCETC</t>
  </si>
  <si>
    <t>BTCETH</t>
  </si>
  <si>
    <t>BTCLTC</t>
  </si>
  <si>
    <t>BTCNXT</t>
  </si>
  <si>
    <t>BTCREP</t>
  </si>
  <si>
    <t>BTCXMR</t>
  </si>
  <si>
    <t>BTCZEC</t>
  </si>
  <si>
    <t>USDTBTC</t>
  </si>
  <si>
    <t>btc-e</t>
  </si>
  <si>
    <t>BTCRUR</t>
  </si>
  <si>
    <t>NMCBTC</t>
  </si>
  <si>
    <t>NVCBTC</t>
  </si>
  <si>
    <t>PPCBTC</t>
  </si>
  <si>
    <t>ccex</t>
  </si>
  <si>
    <t>ARCBTC</t>
  </si>
  <si>
    <t>ARCUSD</t>
  </si>
  <si>
    <t>BITBTC</t>
  </si>
  <si>
    <t>BURSTBTC</t>
  </si>
  <si>
    <t>CCRBBTC</t>
  </si>
  <si>
    <t>DASHBTC</t>
  </si>
  <si>
    <t>DASHUSD</t>
  </si>
  <si>
    <t>DOGEBTC</t>
  </si>
  <si>
    <t>DOGEUSD</t>
  </si>
  <si>
    <t>ELBTC</t>
  </si>
  <si>
    <t>ELUSD</t>
  </si>
  <si>
    <t>GBBTC</t>
  </si>
  <si>
    <t>ITIBTC</t>
  </si>
  <si>
    <t>LEOBTC</t>
  </si>
  <si>
    <t>LEOUSD</t>
  </si>
  <si>
    <t>MOINBTC</t>
  </si>
  <si>
    <t>MSCNBTC</t>
  </si>
  <si>
    <t>MSCNUSD</t>
  </si>
  <si>
    <t>NXTBTC</t>
  </si>
  <si>
    <t>ODBTC</t>
  </si>
  <si>
    <t>OTXBTC</t>
  </si>
  <si>
    <t>OTXUSD</t>
  </si>
  <si>
    <t>POSWBTC</t>
  </si>
  <si>
    <t>POSWLTC</t>
  </si>
  <si>
    <t>POSWUSD</t>
  </si>
  <si>
    <t>PRESBTC</t>
  </si>
  <si>
    <t>RBIESBTC</t>
  </si>
  <si>
    <t>SIBBTC</t>
  </si>
  <si>
    <t>SOARBTC</t>
  </si>
  <si>
    <t>TRUMPBTC</t>
  </si>
  <si>
    <t>UNCBTC</t>
  </si>
  <si>
    <t>UNYBTC</t>
  </si>
  <si>
    <t>UNYLTC</t>
  </si>
  <si>
    <t>UNYUSD</t>
  </si>
  <si>
    <t>VRSBTC</t>
  </si>
  <si>
    <t>VRSUSD</t>
  </si>
  <si>
    <t>XAURBTC</t>
  </si>
  <si>
    <t>XSPECBTC</t>
  </si>
  <si>
    <t>XTOBTC</t>
  </si>
  <si>
    <t>YOCBTC</t>
  </si>
  <si>
    <t>YOCUSD</t>
  </si>
  <si>
    <t>cexio</t>
  </si>
  <si>
    <t>BTCRUB</t>
  </si>
  <si>
    <t>GHSBTC</t>
  </si>
  <si>
    <t>exmo</t>
  </si>
  <si>
    <t>BTCEUR</t>
  </si>
  <si>
    <t>hitbtc</t>
  </si>
  <si>
    <t>EMCBTC</t>
  </si>
  <si>
    <t>GUPBTC</t>
  </si>
  <si>
    <t>ICNBTC</t>
  </si>
  <si>
    <t>LSKBTC</t>
  </si>
  <si>
    <t>MAIDBTC</t>
  </si>
  <si>
    <t>REPBTC</t>
  </si>
  <si>
    <t>STEEMBTC</t>
  </si>
  <si>
    <t>TAASBTC</t>
  </si>
  <si>
    <t>TIMEBTC</t>
  </si>
  <si>
    <t>WAVESBTC</t>
  </si>
  <si>
    <t>WINGSBTC</t>
  </si>
  <si>
    <t>kraken</t>
  </si>
  <si>
    <t>livecoin</t>
  </si>
  <si>
    <t>ABNBTC</t>
  </si>
  <si>
    <t>ACNBTC</t>
  </si>
  <si>
    <t>ADZBTC</t>
  </si>
  <si>
    <t>ADZUSD</t>
  </si>
  <si>
    <t>ARCETH</t>
  </si>
  <si>
    <t>ARCRUR</t>
  </si>
  <si>
    <t>ATXBTC</t>
  </si>
  <si>
    <t>BLKBTC</t>
  </si>
  <si>
    <t>BLUBTC</t>
  </si>
  <si>
    <t>BLUUSD</t>
  </si>
  <si>
    <t>BPCBTC</t>
  </si>
  <si>
    <t>BSDBTC</t>
  </si>
  <si>
    <t>BTABTC</t>
  </si>
  <si>
    <t>BTSBTC</t>
  </si>
  <si>
    <t>CCRBETH</t>
  </si>
  <si>
    <t>CLOAKBTC</t>
  </si>
  <si>
    <t>CLOAKEUR</t>
  </si>
  <si>
    <t>CLOAKUSD</t>
  </si>
  <si>
    <t>CRBITBTC</t>
  </si>
  <si>
    <t>CRBITETH</t>
  </si>
  <si>
    <t>CRBITLEO</t>
  </si>
  <si>
    <t>CREVABTC</t>
  </si>
  <si>
    <t>CUREBTC</t>
  </si>
  <si>
    <t>DANCBTC</t>
  </si>
  <si>
    <t>DANCUSD</t>
  </si>
  <si>
    <t>DANCZBC</t>
  </si>
  <si>
    <t>DBIXBTC</t>
  </si>
  <si>
    <t>DGBBTC</t>
  </si>
  <si>
    <t>DIBCBTC</t>
  </si>
  <si>
    <t>DIBCETH</t>
  </si>
  <si>
    <t>DIBCUSD</t>
  </si>
  <si>
    <t>DIMEBTC</t>
  </si>
  <si>
    <t>DIMEEUR</t>
  </si>
  <si>
    <t>DIMERUR</t>
  </si>
  <si>
    <t>DIMEUSD</t>
  </si>
  <si>
    <t>DMCBTC</t>
  </si>
  <si>
    <t>DMCUSD</t>
  </si>
  <si>
    <t>DOLLARBTC</t>
  </si>
  <si>
    <t>EDRBTC</t>
  </si>
  <si>
    <t>EDRRUR</t>
  </si>
  <si>
    <t>EDRUSD</t>
  </si>
  <si>
    <t>ELRUR</t>
  </si>
  <si>
    <t>EMCDASH</t>
  </si>
  <si>
    <t>EMCETH</t>
  </si>
  <si>
    <t>EMCRUR</t>
  </si>
  <si>
    <t>EMCUSD</t>
  </si>
  <si>
    <t>EMCXMR</t>
  </si>
  <si>
    <t>ENTBTC</t>
  </si>
  <si>
    <t>ETHRUR</t>
  </si>
  <si>
    <t>EURUSD</t>
  </si>
  <si>
    <t>FNCBTC</t>
  </si>
  <si>
    <t>FNCETH</t>
  </si>
  <si>
    <t>FNCUSD</t>
  </si>
  <si>
    <t>FORTYTWOBTC</t>
  </si>
  <si>
    <t>FORTYTWOETH</t>
  </si>
  <si>
    <t>FORTYTWOUSD</t>
  </si>
  <si>
    <t>FRSTBTC</t>
  </si>
  <si>
    <t>FSTBTC</t>
  </si>
  <si>
    <t>FSTUSD</t>
  </si>
  <si>
    <t>FUNCBTC</t>
  </si>
  <si>
    <t>FUNCETH</t>
  </si>
  <si>
    <t>FUNCUSD</t>
  </si>
  <si>
    <t>GAMEBTC</t>
  </si>
  <si>
    <t>GOLOSBTC</t>
  </si>
  <si>
    <t>GUPETH</t>
  </si>
  <si>
    <t>GYCBTC</t>
  </si>
  <si>
    <t>HNCBTC</t>
  </si>
  <si>
    <t>INCNTBTC</t>
  </si>
  <si>
    <t>INSNBTC</t>
  </si>
  <si>
    <t>INSNETH</t>
  </si>
  <si>
    <t>INSNUSD</t>
  </si>
  <si>
    <t>ITIETH</t>
  </si>
  <si>
    <t>ITIEUR</t>
  </si>
  <si>
    <t>ITIRUR</t>
  </si>
  <si>
    <t>KRBBTC</t>
  </si>
  <si>
    <t>KRBRUR</t>
  </si>
  <si>
    <t>KRBUSD</t>
  </si>
  <si>
    <t>LDCBTC</t>
  </si>
  <si>
    <t>LEOETH</t>
  </si>
  <si>
    <t>LEORUR</t>
  </si>
  <si>
    <t>LSKUSD</t>
  </si>
  <si>
    <t>LUNABTC</t>
  </si>
  <si>
    <t>MNEBTC</t>
  </si>
  <si>
    <t>MNEETH</t>
  </si>
  <si>
    <t>MOJOBTC</t>
  </si>
  <si>
    <t>MONABTC</t>
  </si>
  <si>
    <t>MSCNETH</t>
  </si>
  <si>
    <t>MSCNEUR</t>
  </si>
  <si>
    <t>MSCNRUR</t>
  </si>
  <si>
    <t>OBITSBTC</t>
  </si>
  <si>
    <t>OBITSBTS</t>
  </si>
  <si>
    <t>OBITSETH</t>
  </si>
  <si>
    <t>OBITSEUR</t>
  </si>
  <si>
    <t>OBITSUSD</t>
  </si>
  <si>
    <t>OTXETH</t>
  </si>
  <si>
    <t>PIVXBTC</t>
  </si>
  <si>
    <t>PIVXDASH</t>
  </si>
  <si>
    <t>PIVXETH</t>
  </si>
  <si>
    <t>PIVXEUR</t>
  </si>
  <si>
    <t>PIVXRUR</t>
  </si>
  <si>
    <t>PIVXUSD</t>
  </si>
  <si>
    <t>PIVXXMR</t>
  </si>
  <si>
    <t>POSTBTC</t>
  </si>
  <si>
    <t>POSTETH</t>
  </si>
  <si>
    <t>POSWCRBIT</t>
  </si>
  <si>
    <t>POSWDASH</t>
  </si>
  <si>
    <t>POSWETH</t>
  </si>
  <si>
    <t>POSWEUR</t>
  </si>
  <si>
    <t>POSWICN</t>
  </si>
  <si>
    <t>POSWRUR</t>
  </si>
  <si>
    <t>POSWXMR</t>
  </si>
  <si>
    <t>PUTBTC</t>
  </si>
  <si>
    <t>PUTETH</t>
  </si>
  <si>
    <t>PUTUSD</t>
  </si>
  <si>
    <t>QAUBTC</t>
  </si>
  <si>
    <t>QAUETH</t>
  </si>
  <si>
    <t>QAUUSD</t>
  </si>
  <si>
    <t>REEBTC</t>
  </si>
  <si>
    <t>RLTBTC</t>
  </si>
  <si>
    <t>RLTETH</t>
  </si>
  <si>
    <t>RLTRUR</t>
  </si>
  <si>
    <t>RLTUSD</t>
  </si>
  <si>
    <t>RURUSD</t>
  </si>
  <si>
    <t>SHIFTBTC</t>
  </si>
  <si>
    <t>SIBRUR</t>
  </si>
  <si>
    <t>SLRBTC</t>
  </si>
  <si>
    <t>STRATBTC</t>
  </si>
  <si>
    <t>STRATETH</t>
  </si>
  <si>
    <t>STRATUSD</t>
  </si>
  <si>
    <t>SXCBTC</t>
  </si>
  <si>
    <t>SYSBTC</t>
  </si>
  <si>
    <t>TAASUSD</t>
  </si>
  <si>
    <t>THSBTC</t>
  </si>
  <si>
    <t>THSETH</t>
  </si>
  <si>
    <t>THSUSD</t>
  </si>
  <si>
    <t>TRUMPETH</t>
  </si>
  <si>
    <t>TXBTC</t>
  </si>
  <si>
    <t>UNRCBTC</t>
  </si>
  <si>
    <t>UNRCUSD</t>
  </si>
  <si>
    <t>UNYETH</t>
  </si>
  <si>
    <t>USDRUR</t>
  </si>
  <si>
    <t>VLTCBTC</t>
  </si>
  <si>
    <t>VOXBTC</t>
  </si>
  <si>
    <t>VRCBTC</t>
  </si>
  <si>
    <t>VRMBTC</t>
  </si>
  <si>
    <t>VRMVRC</t>
  </si>
  <si>
    <t>VSLBTC</t>
  </si>
  <si>
    <t>VSMBTC</t>
  </si>
  <si>
    <t>VSMETH</t>
  </si>
  <si>
    <t>VSMEUR</t>
  </si>
  <si>
    <t>VSMUSD</t>
  </si>
  <si>
    <t>WINGSETH</t>
  </si>
  <si>
    <t>XMSBTC</t>
  </si>
  <si>
    <t>XRCBTC</t>
  </si>
  <si>
    <t>XRCUSD</t>
  </si>
  <si>
    <t>YOCRUR</t>
  </si>
  <si>
    <t>ZBCBTC</t>
  </si>
  <si>
    <t>ZBCETH</t>
  </si>
  <si>
    <t>ZBCEUR</t>
  </si>
  <si>
    <t>ZBCRUR</t>
  </si>
  <si>
    <t>ZBCUSD</t>
  </si>
  <si>
    <t>ZBCXMR</t>
  </si>
  <si>
    <t>poloniex</t>
  </si>
  <si>
    <t>yobit</t>
  </si>
  <si>
    <t>BTC</t>
  </si>
  <si>
    <t>DOGE</t>
  </si>
  <si>
    <t>LTC</t>
  </si>
  <si>
    <t>ETH</t>
  </si>
  <si>
    <t>DASH</t>
  </si>
  <si>
    <t>ETC</t>
  </si>
  <si>
    <t>NXT</t>
  </si>
  <si>
    <t>REP</t>
  </si>
  <si>
    <t>RUB</t>
  </si>
  <si>
    <t>XMR</t>
  </si>
  <si>
    <t>ZEC</t>
  </si>
  <si>
    <t>NVC</t>
  </si>
  <si>
    <t>POSW</t>
  </si>
  <si>
    <t>USDT</t>
  </si>
  <si>
    <t>Биржа</t>
  </si>
  <si>
    <t>Покупка</t>
  </si>
  <si>
    <t>Покупка_О</t>
  </si>
  <si>
    <t>LocalBitcoins</t>
  </si>
  <si>
    <t>bitstamp</t>
  </si>
  <si>
    <t>LiveCoin</t>
  </si>
  <si>
    <t>Bitfinex</t>
  </si>
  <si>
    <t>fees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</si>
</sst>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0"/>
    <numFmt numFmtId="165" formatCode="0.00000000"/>
    <numFmt numFmtId="166" formatCode="#,##0.00000000"/>
    <numFmt numFmtId="167" formatCode="dd/mm/yy\ h:mm;@"/>
  </numFmts>
  <fonts count="20"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u/>
      <sz val="11"/>
      <color theme="10"/>
      <name val="Calibri"/>
      <family val="2"/>
      <charset val="204"/>
      <scheme val="minor"/>
    </font>
    <font>
      <sz val="11"/>
      <color rgb="FF000000"/>
      <name val="Calibri"/>
      <family val="2"/>
      <charset val="204"/>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18" fillId="0" borderId="0" applyNumberFormat="0" applyFill="0" applyBorder="0" applyAlignment="0" applyProtection="0"/>
  </cellStyleXfs>
  <cellXfs count="13">
    <xf numFmtId="0" fontId="0" fillId="0" borderId="0" xfId="0"/>
    <xf numFmtId="11" fontId="0" fillId="0" borderId="0" xfId="0" applyNumberFormat="1"/>
    <xf numFmtId="0" fontId="0" fillId="0" borderId="0" xfId="0"/>
    <xf numFmtId="164" fontId="0" fillId="0" borderId="0" xfId="0" applyNumberFormat="1"/>
    <xf numFmtId="165" fontId="0" fillId="0" borderId="0" xfId="0" applyNumberFormat="1"/>
    <xf numFmtId="166" fontId="0" fillId="0" borderId="0" xfId="0" applyNumberFormat="1"/>
    <xf numFmtId="10" fontId="0" fillId="0" borderId="0" xfId="42" applyNumberFormat="1" applyFont="1"/>
    <xf numFmtId="49" fontId="0" fillId="0" borderId="0" xfId="0" applyNumberFormat="1"/>
    <xf numFmtId="3" fontId="0" fillId="0" borderId="0" xfId="0" applyNumberFormat="1"/>
    <xf numFmtId="165" fontId="0" fillId="0" borderId="0" xfId="0" applyNumberFormat="1" applyFill="1"/>
    <xf numFmtId="0" fontId="18" fillId="0" borderId="0" xfId="43"/>
    <xf numFmtId="10" fontId="0" fillId="0" borderId="0" xfId="0" applyNumberFormat="1"/>
    <xf numFmtId="167" fontId="0" fillId="0" borderId="0" xfId="0" applyNumberFormat="1"/>
  </cellXfs>
  <cellStyles count="4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3"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Процентный" xfId="42" builtinId="5"/>
    <cellStyle name="Связанная ячейка" xfId="12" builtinId="24" customBuiltin="1"/>
    <cellStyle name="Текст предупреждения" xfId="14" builtinId="11" customBuiltin="1"/>
    <cellStyle name="Хороший" xfId="6" builtinId="26" customBuiltin="1"/>
  </cellStyles>
  <dxfs count="58">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1</xdr:row>
          <xdr:rowOff>47625</xdr:rowOff>
        </xdr:from>
        <xdr:to>
          <xdr:col>16</xdr:col>
          <xdr:colOff>276225</xdr:colOff>
          <xdr:row>3</xdr:row>
          <xdr:rowOff>114300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Получить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5</xdr:row>
          <xdr:rowOff>47625</xdr:rowOff>
        </xdr:from>
        <xdr:to>
          <xdr:col>16</xdr:col>
          <xdr:colOff>276225</xdr:colOff>
          <xdr:row>7</xdr:row>
          <xdr:rowOff>114300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История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38100</xdr:colOff>
          <xdr:row>1</xdr:row>
          <xdr:rowOff>47625</xdr:rowOff>
        </xdr:from>
        <xdr:to>
          <xdr:col>18</xdr:col>
          <xdr:colOff>495300</xdr:colOff>
          <xdr:row>3</xdr:row>
          <xdr:rowOff>114300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Stop</a:t>
              </a:r>
            </a:p>
          </xdr:txBody>
        </xdr:sp>
        <xdr:clientData fPrintsWithSheet="0"/>
      </xdr:twoCellAnchor>
    </mc:Choice>
    <mc:Fallback/>
  </mc:AlternateContent>
</xdr:wsDr>
</file>

<file path=xl/queryTables/queryTable1.xml><?xml version="1.0" encoding="utf-8"?>
<queryTable xmlns="http://schemas.openxmlformats.org/spreadsheetml/2006/main" name="common_2" growShrinkType="overwriteClear" connectionId="1" autoFormatId="16" applyNumberFormats="0" applyBorderFormats="0" applyFontFormats="1" applyPatternFormats="1" applyAlignmentFormats="0" applyWidthHeightFormats="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8" Type="http://schemas.openxmlformats.org/officeDocument/2006/relationships/hyperlink" Target="https://hitbtc.com/" TargetMode="External"/><Relationship Id="rId13" Type="http://schemas.openxmlformats.org/officeDocument/2006/relationships/printerSettings" Target="../printerSettings/printerSettings2.bin"/><Relationship Id="rId3" Type="http://schemas.openxmlformats.org/officeDocument/2006/relationships/hyperlink" Target="https://poloniex.com/" TargetMode="External"/><Relationship Id="rId7" Type="http://schemas.openxmlformats.org/officeDocument/2006/relationships/hyperlink" Target="https://www.kraken.com/en-us" TargetMode="External"/><Relationship Id="rId12" Type="http://schemas.openxmlformats.org/officeDocument/2006/relationships/hyperlink" Target="https://c-cex.com/" TargetMode="External"/><Relationship Id="rId2" Type="http://schemas.openxmlformats.org/officeDocument/2006/relationships/hyperlink" Target="https://www.bitfinex.com/" TargetMode="External"/><Relationship Id="rId1" Type="http://schemas.openxmlformats.org/officeDocument/2006/relationships/hyperlink" Target="https://btc-e.nz/" TargetMode="External"/><Relationship Id="rId6" Type="http://schemas.openxmlformats.org/officeDocument/2006/relationships/hyperlink" Target="https://bittrex.com/Home/Markets" TargetMode="External"/><Relationship Id="rId11" Type="http://schemas.openxmlformats.org/officeDocument/2006/relationships/hyperlink" Target="https://exmo.me/ru/" TargetMode="External"/><Relationship Id="rId5" Type="http://schemas.openxmlformats.org/officeDocument/2006/relationships/hyperlink" Target="https://localbitcoins.net/" TargetMode="External"/><Relationship Id="rId10" Type="http://schemas.openxmlformats.org/officeDocument/2006/relationships/hyperlink" Target="https://cex.io/" TargetMode="External"/><Relationship Id="rId4" Type="http://schemas.openxmlformats.org/officeDocument/2006/relationships/hyperlink" Target="https://www.livecoin.net/ru" TargetMode="External"/><Relationship Id="rId9" Type="http://schemas.openxmlformats.org/officeDocument/2006/relationships/hyperlink" Target="https://yobit.net/ru"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dimension ref="A1:L864"/>
  <sheetViews>
    <sheetView tabSelected="1" zoomScale="80" zoomScaleNormal="80" workbookViewId="0">
      <selection activeCell="S21" sqref="S21"/>
    </sheetView>
  </sheetViews>
  <sheetFormatPr defaultRowHeight="15" x14ac:dyDescent="0.25"/>
  <cols>
    <col min="1" max="1" width="7.85546875" customWidth="1"/>
    <col min="2" max="2" width="14.28515625" style="2" bestFit="1" customWidth="1"/>
    <col min="3" max="3" width="11.28515625" bestFit="1" customWidth="1"/>
    <col min="4" max="4" width="10.5703125" style="2" bestFit="1" customWidth="1"/>
    <col min="5" max="5" width="17" style="2" bestFit="1" customWidth="1"/>
    <col min="6" max="6" width="17" bestFit="1" customWidth="1"/>
    <col min="7" max="7" width="10.5703125" bestFit="1" customWidth="1"/>
    <col min="8" max="8" width="15.28515625" customWidth="1"/>
    <col min="9" max="9" width="15.28515625" bestFit="1" customWidth="1"/>
    <col min="11" max="11" width="11.28515625" customWidth="1"/>
    <col min="12" max="12" width="15.28515625" bestFit="1" customWidth="1"/>
  </cols>
  <sheetData>
    <row r="1" spans="1:12" x14ac:dyDescent="0.25">
      <c r="A1" t="s">
        <v>252</v>
      </c>
      <c r="C1" s="2"/>
      <c r="D1" s="2" t="s">
        <v>266</v>
      </c>
      <c r="E1" s="2" t="s">
        <v>268</v>
      </c>
      <c r="F1" s="2" t="s">
        <v>267</v>
      </c>
      <c r="G1" s="2" t="s">
        <v>266</v>
      </c>
    </row>
    <row r="2" spans="1:12" x14ac:dyDescent="0.25">
      <c r="A2" t="s">
        <v>254</v>
      </c>
      <c r="B2" s="12">
        <f ca="1">NOW()</f>
        <v>42906.983093287039</v>
      </c>
      <c r="C2" t="str">
        <f>BTC!A2&amp;BTC!$A$1</f>
        <v>LTCBTC</v>
      </c>
      <c r="D2" s="6" t="str">
        <f>VLOOKUP(E2,data!$E$2:$G$1000,3,FALSE)</f>
        <v>kraken</v>
      </c>
      <c r="E2" s="9">
        <f t="array" ref="E2">MIN(MIN(IF(data!B2:B1010=BTC!C2,data!E2:E1010)),MIN(IF(data!B2:B1010=BTC!K2,data!E2:E1010)))</f>
        <v>1.5966999999999999E-2</v>
      </c>
      <c r="F2" s="9">
        <f t="array" ref="F2">MAX(MAX(IF(data!B2:B1010=BTC!C2,data!F2:F1010)),MAX(IF(data!B2:B1010=BTC!K2,data!F2:F1010)))</f>
        <v>1.6030010000000001E-2</v>
      </c>
      <c r="G2" s="2" t="str">
        <f>VLOOKUP(F2,data!$F$2:$G$1000,2,FALSE)</f>
        <v>bittrex</v>
      </c>
      <c r="H2" s="5">
        <f>-(E2*VLOOKUP(D2,Fees!$A$2:$B$13,2,FALSE)+E2)+(F2-F2*VLOOKUP(G2,Fees!$A$2:$B$13,2,FALSE))</f>
        <v>-1.8579224999995536E-5</v>
      </c>
      <c r="I2" s="6">
        <f t="shared" ref="I2:I13" si="0">H2/(E2)</f>
        <v>-1.16360149057403E-3</v>
      </c>
      <c r="K2" s="2" t="str">
        <f>BTC!$A$1&amp;A2</f>
        <v>BTCLTC</v>
      </c>
      <c r="L2" s="5"/>
    </row>
    <row r="3" spans="1:12" x14ac:dyDescent="0.25">
      <c r="A3" t="s">
        <v>253</v>
      </c>
      <c r="B3" s="12">
        <f ca="1">B2</f>
        <v>42906.983093287039</v>
      </c>
      <c r="C3" s="2" t="str">
        <f>BTC!A3&amp;BTC!$A$1</f>
        <v>DOGEBTC</v>
      </c>
      <c r="D3" s="6" t="str">
        <f>VLOOKUP(E3,data!$E$2:$G$1000,3,FALSE)</f>
        <v>hitbtc</v>
      </c>
      <c r="E3" s="9">
        <f t="array" ref="E3">MIN(MIN(IF(data!B3:B1011=BTC!C3,data!E3:E1011)),MIN(IF(data!B3:B1011=BTC!K3,data!E3:E1011)))</f>
        <v>1.1489999999999999E-6</v>
      </c>
      <c r="F3" s="9">
        <f t="array" ref="F3">MAX(MAX(IF(data!B3:B1011=BTC!C3,data!F3:F1011)),MAX(IF(data!B3:B1011=BTC!K3,data!F3:F1011)))</f>
        <v>1.1599999999999999E-6</v>
      </c>
      <c r="G3" s="2" t="str">
        <f>VLOOKUP(F3,data!$F$2:$G$1000,2,FALSE)</f>
        <v>yobit</v>
      </c>
      <c r="H3" s="5">
        <f>-(E3*VLOOKUP(D3,Fees!$A$2:$B$13,2,FALSE)+E3)+(F3-F3*VLOOKUP(G3,Fees!$A$2:$B$13,2,FALSE))</f>
        <v>7.5309999999999369E-9</v>
      </c>
      <c r="I3" s="6">
        <f t="shared" si="0"/>
        <v>6.5543951261966384E-3</v>
      </c>
      <c r="K3" s="2" t="str">
        <f>BTC!$A$1&amp;A3</f>
        <v>BTCDOGE</v>
      </c>
      <c r="L3" s="5"/>
    </row>
    <row r="4" spans="1:12" x14ac:dyDescent="0.25">
      <c r="A4" t="s">
        <v>255</v>
      </c>
      <c r="B4" s="12">
        <f t="shared" ref="B4:B14" ca="1" si="1">B3</f>
        <v>42906.983093287039</v>
      </c>
      <c r="C4" s="2" t="str">
        <f>BTC!A4&amp;BTC!$A$1</f>
        <v>ETHBTC</v>
      </c>
      <c r="D4" s="6" t="str">
        <f>VLOOKUP(E4,data!$E$2:$G$1000,3,FALSE)</f>
        <v>kraken</v>
      </c>
      <c r="E4" s="9">
        <f t="array" ref="E4">MIN(MIN(IF(data!B4:B1012=BTC!C4,data!E4:E1012)),MIN(IF(data!B4:B1012=BTC!K4,data!E4:E1012)))</f>
        <v>0.12338499999999999</v>
      </c>
      <c r="F4" s="9">
        <f t="array" ref="F4">MAX(MAX(IF(data!B4:B1012=BTC!C4,data!F4:F1012)),MAX(IF(data!B4:B1012=BTC!K4,data!F4:F1012)))</f>
        <v>0.13138428883</v>
      </c>
      <c r="G4" s="2" t="str">
        <f>VLOOKUP(F4,data!$F$2:$G$1000,2,FALSE)</f>
        <v>yobit</v>
      </c>
      <c r="H4" s="5">
        <f>-(E4*VLOOKUP(D4,Fees!$A$2:$B$13,2,FALSE)+E4)+(F4-F4*VLOOKUP(G4,Fees!$A$2:$B$13,2,FALSE))</f>
        <v>7.4157192523400112E-3</v>
      </c>
      <c r="I4" s="6">
        <f t="shared" si="0"/>
        <v>6.0102275417109143E-2</v>
      </c>
      <c r="K4" s="2" t="str">
        <f>BTC!$A$1&amp;A4</f>
        <v>BTCETH</v>
      </c>
      <c r="L4" s="5"/>
    </row>
    <row r="5" spans="1:12" x14ac:dyDescent="0.25">
      <c r="A5" t="s">
        <v>256</v>
      </c>
      <c r="B5" s="12">
        <f t="shared" ca="1" si="1"/>
        <v>42906.983093287039</v>
      </c>
      <c r="C5" s="2" t="str">
        <f>BTC!A5&amp;BTC!$A$1</f>
        <v>DASHBTC</v>
      </c>
      <c r="D5" s="6" t="str">
        <f>VLOOKUP(E5,data!$E$2:$G$1000,3,FALSE)</f>
        <v>poloniex</v>
      </c>
      <c r="E5" s="9">
        <f t="array" ref="E5">MIN(MIN(IF(data!B5:B1013=BTC!C5,data!E5:E1013)),MIN(IF(data!B5:B1013=BTC!K5,data!E5:E1013)))</f>
        <v>6.8099919999999994E-2</v>
      </c>
      <c r="F5" s="9">
        <f t="array" ref="F5">MAX(MAX(IF(data!B5:B1013=BTC!C5,data!F5:F1013)),MAX(IF(data!B5:B1013=BTC!K5,data!F5:F1013)))</f>
        <v>6.8010000000000001E-2</v>
      </c>
      <c r="G5" s="2" t="str">
        <f>VLOOKUP(F5,data!$F$2:$G$1000,2,FALSE)</f>
        <v>kraken</v>
      </c>
      <c r="H5" s="5">
        <f>-(E5*VLOOKUP(D5,Fees!$A$2:$B$13,2,FALSE)+E5)+(F5-F5*VLOOKUP(G5,Fees!$A$2:$B$13,2,FALSE))</f>
        <v>-4.3699579999999238E-4</v>
      </c>
      <c r="I5" s="6">
        <f t="shared" si="0"/>
        <v>-6.416979638155117E-3</v>
      </c>
      <c r="K5" s="2" t="str">
        <f>BTC!$A$1&amp;A5</f>
        <v>BTCDASH</v>
      </c>
      <c r="L5" s="5"/>
    </row>
    <row r="6" spans="1:12" x14ac:dyDescent="0.25">
      <c r="A6" t="s">
        <v>261</v>
      </c>
      <c r="B6" s="12">
        <f t="shared" ca="1" si="1"/>
        <v>42906.983093287039</v>
      </c>
      <c r="C6" s="2" t="str">
        <f>BTC!A6&amp;BTC!$A$1</f>
        <v>XMRBTC</v>
      </c>
      <c r="D6" s="6" t="str">
        <f>VLOOKUP(E6,data!$E$2:$G$1000,3,FALSE)</f>
        <v>poloniex</v>
      </c>
      <c r="E6" s="9">
        <f t="array" ref="E6">MIN(MIN(IF(data!B6:B1014=BTC!C6,data!E6:E1014)),MIN(IF(data!B6:B1014=BTC!K6,data!E6:E1014)))</f>
        <v>1.8849979999999999E-2</v>
      </c>
      <c r="F6" s="9">
        <f t="array" ref="F6">MAX(MAX(IF(data!B6:B1014=BTC!C6,data!F6:F1014)),MAX(IF(data!B6:B1014=BTC!K6,data!F6:F1014)))</f>
        <v>1.892491E-2</v>
      </c>
      <c r="G6" s="2" t="str">
        <f>VLOOKUP(F6,data!$F$2:$G$1000,2,FALSE)</f>
        <v>livecoin</v>
      </c>
      <c r="H6" s="5">
        <f>-(E6*VLOOKUP(D6,Fees!$A$2:$B$13,2,FALSE)+E6)+(F6-F6*VLOOKUP(G6,Fees!$A$2:$B$13,2,FALSE))</f>
        <v>-1.0044770000001979E-5</v>
      </c>
      <c r="I6" s="6">
        <f t="shared" si="0"/>
        <v>-5.3287961048245039E-4</v>
      </c>
      <c r="K6" s="2" t="str">
        <f>BTC!$A$1&amp;A6</f>
        <v>BTCXMR</v>
      </c>
      <c r="L6" s="5"/>
    </row>
    <row r="7" spans="1:12" x14ac:dyDescent="0.25">
      <c r="A7" t="s">
        <v>257</v>
      </c>
      <c r="B7" s="12">
        <f t="shared" ca="1" si="1"/>
        <v>42906.983093287039</v>
      </c>
      <c r="C7" s="2" t="str">
        <f>BTC!A7&amp;BTC!$A$1</f>
        <v>ETCBTC</v>
      </c>
      <c r="D7" s="6" t="str">
        <f>VLOOKUP(E7,data!$E$2:$G$1000,3,FALSE)</f>
        <v>kraken</v>
      </c>
      <c r="E7" s="9">
        <f t="array" ref="E7">MIN(MIN(IF(data!B7:B1015=BTC!C7,data!E7:E1015)),MIN(IF(data!B7:B1015=BTC!K7,data!E7:E1015)))</f>
        <v>7.4100099999999999E-3</v>
      </c>
      <c r="F7" s="9">
        <f t="array" ref="F7">MAX(MAX(IF(data!B7:B1015=BTC!C7,data!F7:F1015)),MAX(IF(data!B7:B1015=BTC!K7,data!F7:F1015)))</f>
        <v>7.4269899999999996E-3</v>
      </c>
      <c r="G7" s="2" t="str">
        <f>VLOOKUP(F7,data!$F$2:$G$1000,2,FALSE)</f>
        <v>poloniex</v>
      </c>
      <c r="H7" s="5">
        <f>-(E7*VLOOKUP(D7,Fees!$A$2:$B$13,2,FALSE)+E7)+(F7-F7*VLOOKUP(G7,Fees!$A$2:$B$13,2,FALSE))</f>
        <v>-2.0853501000000531E-5</v>
      </c>
      <c r="I7" s="6">
        <f t="shared" si="0"/>
        <v>-2.8142338539354915E-3</v>
      </c>
      <c r="K7" s="2" t="str">
        <f>BTC!$A$1&amp;A7</f>
        <v>BTCETC</v>
      </c>
      <c r="L7" s="5"/>
    </row>
    <row r="8" spans="1:12" x14ac:dyDescent="0.25">
      <c r="A8" t="s">
        <v>265</v>
      </c>
      <c r="B8" s="12">
        <f t="shared" ca="1" si="1"/>
        <v>42906.983093287039</v>
      </c>
      <c r="C8" s="2" t="str">
        <f>BTC!A8&amp;BTC!$A$1</f>
        <v>USDTBTC</v>
      </c>
      <c r="D8" s="6" t="str">
        <f>VLOOKUP(E8,data!$E$2:$G$1000,3,FALSE)</f>
        <v>bittrex</v>
      </c>
      <c r="E8" s="9">
        <f t="array" ref="E8">MIN(IF(data!B8:B1016=BTC!C8,data!E8:E1016))</f>
        <v>2757.71727762</v>
      </c>
      <c r="F8" s="9">
        <f t="array" ref="F8">MAX(IF(data!B8:B1016=BTC!C8,data!F8:F1016))</f>
        <v>2752.2730000000001</v>
      </c>
      <c r="G8" s="2" t="str">
        <f>VLOOKUP(F8,data!$F$2:$G$1000,2,FALSE)</f>
        <v>bittrex</v>
      </c>
      <c r="H8" s="5">
        <f>-(E8*VLOOKUP(D8,Fees!$A$2:$B$13,2,FALSE)+E8)+(F8-F8*VLOOKUP(G8,Fees!$A$2:$B$13,2,FALSE))</f>
        <v>-19.219253314050093</v>
      </c>
      <c r="I8" s="6">
        <f t="shared" si="0"/>
        <v>-6.9692616679824897E-3</v>
      </c>
      <c r="K8" s="2"/>
      <c r="L8" s="5"/>
    </row>
    <row r="9" spans="1:12" x14ac:dyDescent="0.25">
      <c r="A9" t="s">
        <v>264</v>
      </c>
      <c r="B9" s="12">
        <f t="shared" ca="1" si="1"/>
        <v>42906.983093287039</v>
      </c>
      <c r="C9" s="2" t="str">
        <f>BTC!A9&amp;BTC!$A$1</f>
        <v>POSWBTC</v>
      </c>
      <c r="D9" s="6" t="str">
        <f>VLOOKUP(E9,data!$E$2:$G$1000,3,FALSE)</f>
        <v>yobit</v>
      </c>
      <c r="E9" s="9">
        <f t="array" ref="E9">MIN(IF(data!B9:B1017=BTC!C9,data!E9:E1017))</f>
        <v>2.1759999999999998E-5</v>
      </c>
      <c r="F9" s="9">
        <f t="array" ref="F9">MAX(IF(data!B9:B1017=BTC!C9,data!F9:F1017))</f>
        <v>2.1250000000000002E-5</v>
      </c>
      <c r="G9" s="2" t="str">
        <f>VLOOKUP(F9,data!$F$2:$G$1000,2,FALSE)</f>
        <v>livecoin</v>
      </c>
      <c r="H9" s="5">
        <f>-(E9*VLOOKUP(D9,Fees!$A$2:$B$13,2,FALSE)+E9)+(F9-F9*VLOOKUP(G9,Fees!$A$2:$B$13,2,FALSE))</f>
        <v>-5.9601999999999366E-7</v>
      </c>
      <c r="I9" s="6">
        <f t="shared" si="0"/>
        <v>-2.739062499999971E-2</v>
      </c>
      <c r="K9" s="2"/>
      <c r="L9" s="5"/>
    </row>
    <row r="10" spans="1:12" x14ac:dyDescent="0.25">
      <c r="A10" t="s">
        <v>262</v>
      </c>
      <c r="B10" s="12">
        <f t="shared" ca="1" si="1"/>
        <v>42906.983093287039</v>
      </c>
      <c r="C10" s="2" t="str">
        <f>BTC!A10&amp;BTC!$A$1</f>
        <v>ZECBTC</v>
      </c>
      <c r="D10" s="6" t="str">
        <f>VLOOKUP(E10,data!$E$2:$G$1000,3,FALSE)</f>
        <v>hitbtc</v>
      </c>
      <c r="E10" s="9">
        <f t="array" ref="E10">MIN(MIN(IF(data!B10:B1018=BTC!C10,data!E10:E1018)),MIN(IF(data!B10:B1018=BTC!K10,data!E10:E1018)))</f>
        <v>0.14780099999999999</v>
      </c>
      <c r="F10" s="9">
        <f t="array" ref="F10">MAX(MAX(IF(data!B10:B1018=BTC!C10,data!F10:F1018)),MAX(IF(data!B10:B1018=BTC!K10,data!F10:F1018)))</f>
        <v>0.147774628573</v>
      </c>
      <c r="G10" s="2" t="str">
        <f>VLOOKUP(F10,data!$F$2:$G$1000,2,FALSE)</f>
        <v>bittrex</v>
      </c>
      <c r="H10" s="5">
        <f>-(E10*VLOOKUP(D10,Fees!$A$2:$B$13,2,FALSE)+E10)+(F10-F10*VLOOKUP(G10,Fees!$A$2:$B$13,2,FALSE))</f>
        <v>-5.4360899843250432E-4</v>
      </c>
      <c r="I10" s="6">
        <f t="shared" si="0"/>
        <v>-3.6779791640956716E-3</v>
      </c>
      <c r="K10" s="2" t="str">
        <f>BTC!$A$1&amp;A10</f>
        <v>BTCZEC</v>
      </c>
      <c r="L10" s="5"/>
    </row>
    <row r="11" spans="1:12" x14ac:dyDescent="0.25">
      <c r="A11" t="s">
        <v>258</v>
      </c>
      <c r="B11" s="12">
        <f t="shared" ca="1" si="1"/>
        <v>42906.983093287039</v>
      </c>
      <c r="C11" s="2" t="str">
        <f>BTC!A11&amp;BTC!$A$1</f>
        <v>NXTBTC</v>
      </c>
      <c r="D11" s="6" t="str">
        <f>VLOOKUP(E11,data!$E$2:$G$1000,3,FALSE)</f>
        <v>hitbtc</v>
      </c>
      <c r="E11" s="9">
        <f t="array" ref="E11">MIN(MIN(IF(data!B11:B1019=BTC!C11,data!E11:E1019)),MIN(IF(data!B11:B1019=BTC!K11,data!E11:E1019)))</f>
        <v>6.2760000000000002E-5</v>
      </c>
      <c r="F11" s="9">
        <f t="array" ref="F11">MAX(MAX(IF(data!B11:B1019=BTC!C11,data!F11:F1019)),MAX(IF(data!B11:B1019=BTC!K11,data!F11:F1019)))</f>
        <v>6.2749999999999994E-5</v>
      </c>
      <c r="G11" s="2" t="str">
        <f>VLOOKUP(F11,data!$F$2:$G$1000,2,FALSE)</f>
        <v>hitbtc</v>
      </c>
      <c r="H11" s="5">
        <f>-(E11*VLOOKUP(D11,Fees!$A$2:$B$13,2,FALSE)+E11)+(F11-F11*VLOOKUP(G11,Fees!$A$2:$B$13,2,FALSE))</f>
        <v>-1.3551000000000643E-7</v>
      </c>
      <c r="I11" s="6">
        <f t="shared" si="0"/>
        <v>-2.159177820267789E-3</v>
      </c>
      <c r="K11" s="2" t="str">
        <f>BTC!$A$1&amp;A11</f>
        <v>BTCNXT</v>
      </c>
      <c r="L11" s="5"/>
    </row>
    <row r="12" spans="1:12" x14ac:dyDescent="0.25">
      <c r="A12" t="s">
        <v>259</v>
      </c>
      <c r="B12" s="12">
        <f t="shared" ca="1" si="1"/>
        <v>42906.983093287039</v>
      </c>
      <c r="C12" s="2" t="str">
        <f>BTC!A12&amp;BTC!$A$1</f>
        <v>REPBTC</v>
      </c>
      <c r="D12" s="6" t="str">
        <f>VLOOKUP(E12,data!$E$2:$G$1000,3,FALSE)</f>
        <v>kraken</v>
      </c>
      <c r="E12" s="9">
        <f t="array" ref="E12">MIN(IF(data!B12:B1020=BTC!C12,data!E12:E1020))</f>
        <v>1.11E-2</v>
      </c>
      <c r="F12" s="9">
        <f t="array" ref="F12">MAX(MAX(IF(data!B12:B1020=BTC!C12,data!F12:F1020)),MAX(IF(data!B12:B1020=BTC!K12,data!F12:F1020)))</f>
        <v>1.150904E-2</v>
      </c>
      <c r="G12" s="2" t="str">
        <f>VLOOKUP(F12,data!$F$2:$G$1000,2,FALSE)</f>
        <v>bittrex</v>
      </c>
      <c r="H12" s="5">
        <f>-(E12*VLOOKUP(D12,Fees!$A$2:$B$13,2,FALSE)+E12)+(F12-F12*VLOOKUP(G12,Fees!$A$2:$B$13,2,FALSE))</f>
        <v>3.514073999999999E-4</v>
      </c>
      <c r="I12" s="6">
        <f t="shared" si="0"/>
        <v>3.1658324324324312E-2</v>
      </c>
      <c r="K12" s="2" t="str">
        <f>BTC!$A$1&amp;A12</f>
        <v>BTCREP</v>
      </c>
      <c r="L12" s="5"/>
    </row>
    <row r="13" spans="1:12" x14ac:dyDescent="0.25">
      <c r="A13" t="s">
        <v>263</v>
      </c>
      <c r="B13" s="12">
        <f t="shared" ca="1" si="1"/>
        <v>42906.983093287039</v>
      </c>
      <c r="C13" s="2" t="str">
        <f>BTC!A13&amp;BTC!$A$1</f>
        <v>NVCBTC</v>
      </c>
      <c r="D13" s="6" t="str">
        <f>VLOOKUP(E13,data!$E$2:$G$1000,3,FALSE)</f>
        <v>livecoin</v>
      </c>
      <c r="E13" s="4">
        <f t="array" ref="E13">MIN(IF(data!B22:B1030=BTC!C13,data!E22:E1030))</f>
        <v>1.9599999999999999E-3</v>
      </c>
      <c r="F13" s="4">
        <f t="array" ref="F13">MAX(IF(data!B22:B1030=BTC!C13,data!F22:F1030))</f>
        <v>1.8400000000000001E-3</v>
      </c>
      <c r="G13" s="2" t="str">
        <f>VLOOKUP(F13,data!$F$2:$G$1000,2,FALSE)</f>
        <v>livecoin</v>
      </c>
      <c r="H13" s="5">
        <f>-(E13*VLOOKUP(D13,Fees!$A$2:$B$13,2,FALSE)+E13)+(F13-F13*VLOOKUP(G13,Fees!$A$2:$B$13,2,FALSE))</f>
        <v>-1.2760000000000007E-4</v>
      </c>
      <c r="I13" s="6">
        <f t="shared" si="0"/>
        <v>-6.5102040816326562E-2</v>
      </c>
      <c r="K13" s="2"/>
      <c r="L13" s="5"/>
    </row>
    <row r="14" spans="1:12" x14ac:dyDescent="0.25">
      <c r="A14" t="s">
        <v>260</v>
      </c>
      <c r="B14" s="12">
        <f t="shared" ca="1" si="1"/>
        <v>42906.983093287039</v>
      </c>
      <c r="C14" s="2" t="str">
        <f>BTC!$A$1&amp;A14</f>
        <v>BTCRUB</v>
      </c>
      <c r="D14" s="6" t="str">
        <f>VLOOKUP(E14,data!$E$2:$G$1000,3,FALSE)</f>
        <v>cexio</v>
      </c>
      <c r="E14" s="4">
        <f t="array" ref="E14">MIN(IF(data!B45:B1053=BTC!C14,data!E45:E1053))</f>
        <v>171309.348192</v>
      </c>
      <c r="F14" s="4">
        <f t="array" ref="F14">MAX(IF(data!B45:B1053=BTC!C14,data!F45:F1053))</f>
        <v>169057.4008</v>
      </c>
      <c r="G14" s="2" t="str">
        <f>VLOOKUP(F14,data!$F$2:$G$1000,2,FALSE)</f>
        <v>cexio</v>
      </c>
      <c r="H14" s="5">
        <f>-(E14*VLOOKUP(D14,Fees!$A$2:$B$13,2,FALSE)+E14)+(F14-F14*VLOOKUP(G14,Fees!$A$2:$B$13,2,FALSE))</f>
        <v>-2932.6808899839816</v>
      </c>
      <c r="I14" s="6">
        <f>H14/(E14)</f>
        <v>-1.7119211070122646E-2</v>
      </c>
      <c r="K14" s="2"/>
    </row>
    <row r="15" spans="1:12" s="2" customFormat="1" x14ac:dyDescent="0.25">
      <c r="B15" s="12"/>
      <c r="D15" s="6"/>
      <c r="E15" s="4"/>
      <c r="F15" s="4"/>
      <c r="H15" s="5"/>
      <c r="I15" s="6"/>
    </row>
    <row r="16" spans="1:12" s="2" customFormat="1" x14ac:dyDescent="0.25">
      <c r="B16" s="12"/>
      <c r="D16" s="6"/>
      <c r="E16" s="4"/>
      <c r="F16" s="4"/>
      <c r="H16" s="5"/>
      <c r="I16" s="6"/>
    </row>
    <row r="17" spans="2:9" s="2" customFormat="1" x14ac:dyDescent="0.25">
      <c r="B17" s="12"/>
      <c r="D17" s="6"/>
      <c r="E17" s="4"/>
      <c r="F17" s="4"/>
      <c r="H17" s="5"/>
      <c r="I17" s="6"/>
    </row>
    <row r="18" spans="2:9" s="2" customFormat="1" x14ac:dyDescent="0.25">
      <c r="B18" s="12"/>
      <c r="D18" s="6"/>
      <c r="E18" s="4"/>
      <c r="F18" s="4"/>
      <c r="H18" s="5"/>
      <c r="I18" s="6"/>
    </row>
    <row r="19" spans="2:9" s="2" customFormat="1" x14ac:dyDescent="0.25">
      <c r="B19" s="12"/>
      <c r="D19" s="6"/>
      <c r="E19" s="4"/>
      <c r="F19" s="4"/>
      <c r="H19" s="5"/>
      <c r="I19" s="6"/>
    </row>
    <row r="20" spans="2:9" s="2" customFormat="1" x14ac:dyDescent="0.25">
      <c r="B20" s="12"/>
      <c r="D20" s="6"/>
      <c r="E20" s="4"/>
      <c r="F20" s="4"/>
      <c r="H20" s="5"/>
      <c r="I20" s="6"/>
    </row>
    <row r="21" spans="2:9" s="2" customFormat="1" x14ac:dyDescent="0.25">
      <c r="B21" s="12"/>
      <c r="D21" s="6"/>
      <c r="E21" s="4"/>
      <c r="F21" s="4"/>
      <c r="H21" s="5"/>
      <c r="I21" s="6"/>
    </row>
    <row r="22" spans="2:9" s="2" customFormat="1" x14ac:dyDescent="0.25">
      <c r="B22" s="12"/>
      <c r="D22" s="6"/>
      <c r="E22" s="4"/>
      <c r="F22" s="4"/>
      <c r="H22" s="5"/>
      <c r="I22" s="6"/>
    </row>
    <row r="23" spans="2:9" s="2" customFormat="1" x14ac:dyDescent="0.25">
      <c r="B23" s="12"/>
      <c r="D23" s="6"/>
      <c r="E23" s="4"/>
      <c r="F23" s="4"/>
      <c r="H23" s="5"/>
      <c r="I23" s="6"/>
    </row>
    <row r="24" spans="2:9" s="2" customFormat="1" x14ac:dyDescent="0.25">
      <c r="B24" s="12"/>
      <c r="D24" s="6"/>
      <c r="E24" s="4"/>
      <c r="F24" s="4"/>
      <c r="H24" s="5"/>
      <c r="I24" s="6"/>
    </row>
    <row r="25" spans="2:9" s="2" customFormat="1" x14ac:dyDescent="0.25">
      <c r="B25" s="12"/>
      <c r="D25" s="6"/>
      <c r="E25" s="4"/>
      <c r="F25" s="4"/>
      <c r="H25" s="5"/>
      <c r="I25" s="6"/>
    </row>
    <row r="26" spans="2:9" s="2" customFormat="1" x14ac:dyDescent="0.25">
      <c r="B26" s="12"/>
      <c r="D26" s="6"/>
      <c r="E26" s="4"/>
      <c r="F26" s="4"/>
      <c r="H26" s="5"/>
      <c r="I26" s="6"/>
    </row>
    <row r="27" spans="2:9" s="2" customFormat="1" x14ac:dyDescent="0.25">
      <c r="B27" s="12"/>
      <c r="D27" s="6"/>
      <c r="E27" s="4"/>
      <c r="F27" s="4"/>
      <c r="H27" s="5"/>
      <c r="I27" s="6"/>
    </row>
    <row r="28" spans="2:9" s="2" customFormat="1" x14ac:dyDescent="0.25">
      <c r="B28" s="12"/>
      <c r="D28" s="6"/>
      <c r="E28" s="4"/>
      <c r="F28" s="4"/>
      <c r="H28" s="5"/>
      <c r="I28" s="6"/>
    </row>
    <row r="29" spans="2:9" s="2" customFormat="1" x14ac:dyDescent="0.25">
      <c r="B29" s="12"/>
      <c r="D29" s="6"/>
      <c r="E29" s="4"/>
      <c r="F29" s="4"/>
      <c r="H29" s="5"/>
      <c r="I29" s="6"/>
    </row>
    <row r="30" spans="2:9" s="2" customFormat="1" x14ac:dyDescent="0.25">
      <c r="B30" s="12"/>
      <c r="D30" s="6"/>
      <c r="E30" s="4"/>
      <c r="F30" s="4"/>
      <c r="H30" s="5"/>
      <c r="I30" s="6"/>
    </row>
    <row r="31" spans="2:9" s="2" customFormat="1" x14ac:dyDescent="0.25">
      <c r="B31" s="12"/>
      <c r="D31" s="6"/>
      <c r="E31" s="4"/>
      <c r="F31" s="4"/>
      <c r="H31" s="5"/>
      <c r="I31" s="6"/>
    </row>
    <row r="32" spans="2:9" s="2" customFormat="1" x14ac:dyDescent="0.25">
      <c r="B32" s="12">
        <v>42906.983089004629</v>
      </c>
      <c r="C32" s="2" t="s">
        <v>6</v>
      </c>
      <c r="D32" s="6" t="s">
        <v>86</v>
      </c>
      <c r="E32" s="9">
        <v>1.5966999999999999E-2</v>
      </c>
      <c r="F32" s="9">
        <v>1.6030010000000001E-2</v>
      </c>
      <c r="G32" s="2" t="s">
        <v>11</v>
      </c>
      <c r="H32" s="5">
        <v>-1.8579224999995536E-5</v>
      </c>
      <c r="I32" s="6">
        <v>-1.16360149057403E-3</v>
      </c>
    </row>
    <row r="33" spans="2:9" s="2" customFormat="1" x14ac:dyDescent="0.25">
      <c r="B33" s="12">
        <v>42906.983089004629</v>
      </c>
      <c r="C33" s="2" t="s">
        <v>35</v>
      </c>
      <c r="D33" s="6" t="s">
        <v>74</v>
      </c>
      <c r="E33" s="9">
        <v>1.1489999999999999E-6</v>
      </c>
      <c r="F33" s="9">
        <v>1.1599999999999999E-6</v>
      </c>
      <c r="G33" s="2" t="s">
        <v>251</v>
      </c>
      <c r="H33" s="5">
        <v>7.5309999999999369E-9</v>
      </c>
      <c r="I33" s="6">
        <v>6.5543951261966384E-3</v>
      </c>
    </row>
    <row r="34" spans="2:9" s="2" customFormat="1" x14ac:dyDescent="0.25">
      <c r="B34" s="12">
        <v>42906.983089004629</v>
      </c>
      <c r="C34" s="2" t="s">
        <v>4</v>
      </c>
      <c r="D34" s="6" t="s">
        <v>86</v>
      </c>
      <c r="E34" s="9">
        <v>0.12338499999999999</v>
      </c>
      <c r="F34" s="9">
        <v>0.13138428883</v>
      </c>
      <c r="G34" s="2" t="s">
        <v>251</v>
      </c>
      <c r="H34" s="5">
        <v>7.4157192523400112E-3</v>
      </c>
      <c r="I34" s="6">
        <v>6.0102275417109143E-2</v>
      </c>
    </row>
    <row r="35" spans="2:9" s="2" customFormat="1" x14ac:dyDescent="0.25">
      <c r="B35" s="12">
        <v>42906.983089004629</v>
      </c>
      <c r="C35" s="2" t="s">
        <v>33</v>
      </c>
      <c r="D35" s="6" t="s">
        <v>250</v>
      </c>
      <c r="E35" s="9">
        <v>6.8099919999999994E-2</v>
      </c>
      <c r="F35" s="9">
        <v>6.8010000000000001E-2</v>
      </c>
      <c r="G35" s="2" t="s">
        <v>86</v>
      </c>
      <c r="H35" s="5">
        <v>-4.3699579999999238E-4</v>
      </c>
      <c r="I35" s="6">
        <v>-6.416979638155117E-3</v>
      </c>
    </row>
    <row r="36" spans="2:9" s="2" customFormat="1" x14ac:dyDescent="0.25">
      <c r="B36" s="12">
        <v>42906.983089004629</v>
      </c>
      <c r="C36" s="2" t="s">
        <v>8</v>
      </c>
      <c r="D36" s="6" t="s">
        <v>250</v>
      </c>
      <c r="E36" s="9">
        <v>1.8849979999999999E-2</v>
      </c>
      <c r="F36" s="9">
        <v>1.892491E-2</v>
      </c>
      <c r="G36" s="2" t="s">
        <v>87</v>
      </c>
      <c r="H36" s="5">
        <v>-1.0044770000001979E-5</v>
      </c>
      <c r="I36" s="6">
        <v>-5.3287961048245039E-4</v>
      </c>
    </row>
    <row r="37" spans="2:9" s="2" customFormat="1" x14ac:dyDescent="0.25">
      <c r="B37" s="12">
        <v>42906.983089004629</v>
      </c>
      <c r="C37" s="2" t="s">
        <v>3</v>
      </c>
      <c r="D37" s="6" t="s">
        <v>86</v>
      </c>
      <c r="E37" s="9">
        <v>7.4100099999999999E-3</v>
      </c>
      <c r="F37" s="9">
        <v>7.4269899999999996E-3</v>
      </c>
      <c r="G37" s="2" t="s">
        <v>250</v>
      </c>
      <c r="H37" s="5">
        <v>-2.0853501000000531E-5</v>
      </c>
      <c r="I37" s="6">
        <v>-2.8142338539354915E-3</v>
      </c>
    </row>
    <row r="38" spans="2:9" s="2" customFormat="1" x14ac:dyDescent="0.25">
      <c r="B38" s="12">
        <v>42906.983089004629</v>
      </c>
      <c r="C38" s="2" t="s">
        <v>21</v>
      </c>
      <c r="D38" s="6" t="s">
        <v>11</v>
      </c>
      <c r="E38" s="9">
        <v>2757.71727762</v>
      </c>
      <c r="F38" s="9">
        <v>2752.2730000000001</v>
      </c>
      <c r="G38" s="2" t="s">
        <v>11</v>
      </c>
      <c r="H38" s="5">
        <v>-19.219253314050093</v>
      </c>
      <c r="I38" s="6">
        <v>-6.9692616679824897E-3</v>
      </c>
    </row>
    <row r="39" spans="2:9" s="2" customFormat="1" x14ac:dyDescent="0.25">
      <c r="B39" s="12">
        <v>42906.983089004629</v>
      </c>
      <c r="C39" s="2" t="s">
        <v>50</v>
      </c>
      <c r="D39" s="6" t="s">
        <v>251</v>
      </c>
      <c r="E39" s="9">
        <v>2.1759999999999998E-5</v>
      </c>
      <c r="F39" s="9">
        <v>2.1250000000000002E-5</v>
      </c>
      <c r="G39" s="2" t="s">
        <v>87</v>
      </c>
      <c r="H39" s="5">
        <v>-5.9601999999999366E-7</v>
      </c>
      <c r="I39" s="6">
        <v>-2.739062499999971E-2</v>
      </c>
    </row>
    <row r="40" spans="2:9" s="2" customFormat="1" x14ac:dyDescent="0.25">
      <c r="B40" s="12">
        <v>42906.983089004629</v>
      </c>
      <c r="C40" s="2" t="s">
        <v>10</v>
      </c>
      <c r="D40" s="6" t="s">
        <v>74</v>
      </c>
      <c r="E40" s="9">
        <v>0.14780099999999999</v>
      </c>
      <c r="F40" s="9">
        <v>0.147774628573</v>
      </c>
      <c r="G40" s="2" t="s">
        <v>11</v>
      </c>
      <c r="H40" s="5">
        <v>-5.4360899843250432E-4</v>
      </c>
      <c r="I40" s="6">
        <v>-3.6779791640956716E-3</v>
      </c>
    </row>
    <row r="41" spans="2:9" s="2" customFormat="1" x14ac:dyDescent="0.25">
      <c r="B41" s="12">
        <v>42906.983089004629</v>
      </c>
      <c r="C41" s="2" t="s">
        <v>46</v>
      </c>
      <c r="D41" s="6" t="s">
        <v>74</v>
      </c>
      <c r="E41" s="9">
        <v>6.2760000000000002E-5</v>
      </c>
      <c r="F41" s="9">
        <v>6.2749999999999994E-5</v>
      </c>
      <c r="G41" s="2" t="s">
        <v>74</v>
      </c>
      <c r="H41" s="5">
        <v>-1.3551000000000643E-7</v>
      </c>
      <c r="I41" s="6">
        <v>-2.159177820267789E-3</v>
      </c>
    </row>
    <row r="42" spans="2:9" s="2" customFormat="1" x14ac:dyDescent="0.25">
      <c r="B42" s="12">
        <v>42906.983089004629</v>
      </c>
      <c r="C42" s="2" t="s">
        <v>80</v>
      </c>
      <c r="D42" s="6" t="s">
        <v>86</v>
      </c>
      <c r="E42" s="9">
        <v>1.11E-2</v>
      </c>
      <c r="F42" s="9">
        <v>1.150904E-2</v>
      </c>
      <c r="G42" s="2" t="s">
        <v>11</v>
      </c>
      <c r="H42" s="5">
        <v>3.514073999999999E-4</v>
      </c>
      <c r="I42" s="6">
        <v>3.1658324324324312E-2</v>
      </c>
    </row>
    <row r="43" spans="2:9" s="2" customFormat="1" x14ac:dyDescent="0.25">
      <c r="B43" s="12">
        <v>42906.983089004629</v>
      </c>
      <c r="C43" s="2" t="s">
        <v>25</v>
      </c>
      <c r="D43" s="6" t="s">
        <v>87</v>
      </c>
      <c r="E43" s="4">
        <v>1.9599999999999999E-3</v>
      </c>
      <c r="F43" s="4">
        <v>1.8400000000000001E-3</v>
      </c>
      <c r="G43" s="2" t="s">
        <v>87</v>
      </c>
      <c r="H43" s="5">
        <v>-1.2760000000000007E-4</v>
      </c>
      <c r="I43" s="6">
        <v>-6.5102040816326562E-2</v>
      </c>
    </row>
    <row r="44" spans="2:9" s="2" customFormat="1" x14ac:dyDescent="0.25">
      <c r="B44" s="12">
        <v>42906.983089004629</v>
      </c>
      <c r="C44" s="2" t="s">
        <v>70</v>
      </c>
      <c r="D44" s="6" t="s">
        <v>69</v>
      </c>
      <c r="E44" s="4">
        <v>171309.348192</v>
      </c>
      <c r="F44" s="4">
        <v>169057.4008</v>
      </c>
      <c r="G44" s="2" t="s">
        <v>69</v>
      </c>
      <c r="H44" s="5">
        <v>-2932.6808899839816</v>
      </c>
      <c r="I44" s="6">
        <v>-1.7119211070122646E-2</v>
      </c>
    </row>
    <row r="45" spans="2:9" s="2" customFormat="1" x14ac:dyDescent="0.25">
      <c r="B45" s="12"/>
      <c r="D45" s="6"/>
      <c r="E45" s="4"/>
      <c r="F45" s="4"/>
      <c r="H45" s="5"/>
      <c r="I45" s="6"/>
    </row>
    <row r="46" spans="2:9" s="2" customFormat="1" x14ac:dyDescent="0.25">
      <c r="B46" s="12"/>
      <c r="D46" s="6"/>
      <c r="E46" s="4"/>
      <c r="F46" s="4"/>
      <c r="H46" s="5"/>
      <c r="I46" s="6"/>
    </row>
    <row r="47" spans="2:9" s="2" customFormat="1" x14ac:dyDescent="0.25">
      <c r="B47" s="12">
        <v>42906.982095833337</v>
      </c>
      <c r="C47" s="2" t="s">
        <v>6</v>
      </c>
      <c r="D47" s="6" t="e">
        <v>#N/A</v>
      </c>
      <c r="E47" s="9">
        <v>0</v>
      </c>
      <c r="F47" s="9">
        <v>1.6202000000000001E-2</v>
      </c>
      <c r="G47" s="2" t="s">
        <v>0</v>
      </c>
      <c r="H47" s="5" t="e">
        <v>#N/A</v>
      </c>
      <c r="I47" s="6" t="e">
        <v>#N/A</v>
      </c>
    </row>
    <row r="48" spans="2:9" s="2" customFormat="1" x14ac:dyDescent="0.25">
      <c r="B48" s="12">
        <v>42906.982095833337</v>
      </c>
      <c r="C48" s="2" t="s">
        <v>35</v>
      </c>
      <c r="D48" s="6" t="e">
        <v>#N/A</v>
      </c>
      <c r="E48" s="9">
        <v>0</v>
      </c>
      <c r="F48" s="9">
        <v>0</v>
      </c>
      <c r="G48" s="2" t="e">
        <v>#N/A</v>
      </c>
      <c r="H48" s="5" t="e">
        <v>#N/A</v>
      </c>
      <c r="I48" s="6" t="e">
        <v>#N/A</v>
      </c>
    </row>
    <row r="49" spans="2:9" s="2" customFormat="1" x14ac:dyDescent="0.25">
      <c r="B49" s="12">
        <v>42906.982095833337</v>
      </c>
      <c r="C49" s="2" t="s">
        <v>4</v>
      </c>
      <c r="D49" s="6" t="e">
        <v>#N/A</v>
      </c>
      <c r="E49" s="9">
        <v>0</v>
      </c>
      <c r="F49" s="9">
        <v>0.12353</v>
      </c>
      <c r="G49" s="2" t="s">
        <v>0</v>
      </c>
      <c r="H49" s="5" t="e">
        <v>#N/A</v>
      </c>
      <c r="I49" s="6" t="e">
        <v>#N/A</v>
      </c>
    </row>
    <row r="50" spans="2:9" s="2" customFormat="1" x14ac:dyDescent="0.25">
      <c r="B50" s="12">
        <v>42906.982095833337</v>
      </c>
      <c r="C50" s="2" t="s">
        <v>33</v>
      </c>
      <c r="D50" s="6" t="e">
        <v>#N/A</v>
      </c>
      <c r="E50" s="9">
        <v>0</v>
      </c>
      <c r="F50" s="9">
        <v>0</v>
      </c>
      <c r="G50" s="2" t="e">
        <v>#N/A</v>
      </c>
      <c r="H50" s="5" t="e">
        <v>#N/A</v>
      </c>
      <c r="I50" s="6" t="e">
        <v>#N/A</v>
      </c>
    </row>
    <row r="51" spans="2:9" s="2" customFormat="1" x14ac:dyDescent="0.25">
      <c r="B51" s="12">
        <v>42906.982095833337</v>
      </c>
      <c r="C51" s="2" t="s">
        <v>8</v>
      </c>
      <c r="D51" s="6" t="e">
        <v>#N/A</v>
      </c>
      <c r="E51" s="9">
        <v>0</v>
      </c>
      <c r="F51" s="9">
        <v>0</v>
      </c>
      <c r="G51" s="2" t="e">
        <v>#N/A</v>
      </c>
      <c r="H51" s="5" t="e">
        <v>#N/A</v>
      </c>
      <c r="I51" s="6" t="e">
        <v>#N/A</v>
      </c>
    </row>
    <row r="52" spans="2:9" s="2" customFormat="1" x14ac:dyDescent="0.25">
      <c r="B52" s="12">
        <v>42906.982095833337</v>
      </c>
      <c r="C52" s="2" t="s">
        <v>3</v>
      </c>
      <c r="D52" s="6" t="e">
        <v>#N/A</v>
      </c>
      <c r="E52" s="9">
        <v>0</v>
      </c>
      <c r="F52" s="9">
        <v>7.3931999999999999E-3</v>
      </c>
      <c r="G52" s="2" t="s">
        <v>0</v>
      </c>
      <c r="H52" s="5" t="e">
        <v>#N/A</v>
      </c>
      <c r="I52" s="6" t="e">
        <v>#N/A</v>
      </c>
    </row>
    <row r="53" spans="2:9" s="2" customFormat="1" x14ac:dyDescent="0.25">
      <c r="B53" s="12">
        <v>42906.982095833337</v>
      </c>
      <c r="C53" s="2" t="s">
        <v>21</v>
      </c>
      <c r="D53" s="6" t="e">
        <v>#N/A</v>
      </c>
      <c r="E53" s="9">
        <v>0</v>
      </c>
      <c r="F53" s="9">
        <v>0</v>
      </c>
      <c r="G53" s="2" t="e">
        <v>#N/A</v>
      </c>
      <c r="H53" s="5" t="e">
        <v>#N/A</v>
      </c>
      <c r="I53" s="6" t="e">
        <v>#N/A</v>
      </c>
    </row>
    <row r="54" spans="2:9" s="2" customFormat="1" x14ac:dyDescent="0.25">
      <c r="B54" s="12">
        <v>42906.982095833337</v>
      </c>
      <c r="C54" s="2" t="s">
        <v>50</v>
      </c>
      <c r="D54" s="6" t="e">
        <v>#N/A</v>
      </c>
      <c r="E54" s="9">
        <v>0</v>
      </c>
      <c r="F54" s="9">
        <v>0</v>
      </c>
      <c r="G54" s="2" t="e">
        <v>#N/A</v>
      </c>
      <c r="H54" s="5" t="e">
        <v>#N/A</v>
      </c>
      <c r="I54" s="6" t="e">
        <v>#N/A</v>
      </c>
    </row>
    <row r="55" spans="2:9" s="2" customFormat="1" x14ac:dyDescent="0.25">
      <c r="B55" s="12">
        <v>42906.982095833337</v>
      </c>
      <c r="C55" s="2" t="s">
        <v>10</v>
      </c>
      <c r="D55" s="6" t="e">
        <v>#N/A</v>
      </c>
      <c r="E55" s="9">
        <v>0</v>
      </c>
      <c r="F55" s="9">
        <v>0</v>
      </c>
      <c r="G55" s="2" t="e">
        <v>#N/A</v>
      </c>
      <c r="H55" s="5" t="e">
        <v>#N/A</v>
      </c>
      <c r="I55" s="6" t="e">
        <v>#N/A</v>
      </c>
    </row>
    <row r="56" spans="2:9" s="2" customFormat="1" x14ac:dyDescent="0.25">
      <c r="B56" s="12">
        <v>42906.982095833337</v>
      </c>
      <c r="C56" s="2" t="s">
        <v>46</v>
      </c>
      <c r="D56" s="6" t="e">
        <v>#N/A</v>
      </c>
      <c r="E56" s="9">
        <v>0</v>
      </c>
      <c r="F56" s="9">
        <v>0</v>
      </c>
      <c r="G56" s="2" t="e">
        <v>#N/A</v>
      </c>
      <c r="H56" s="5" t="e">
        <v>#N/A</v>
      </c>
      <c r="I56" s="6" t="e">
        <v>#N/A</v>
      </c>
    </row>
    <row r="57" spans="2:9" s="2" customFormat="1" x14ac:dyDescent="0.25">
      <c r="B57" s="12">
        <v>42906.982095833337</v>
      </c>
      <c r="C57" s="2" t="s">
        <v>80</v>
      </c>
      <c r="D57" s="6" t="e">
        <v>#N/A</v>
      </c>
      <c r="E57" s="9">
        <v>0</v>
      </c>
      <c r="F57" s="9">
        <v>0</v>
      </c>
      <c r="G57" s="2" t="e">
        <v>#N/A</v>
      </c>
      <c r="H57" s="5" t="e">
        <v>#N/A</v>
      </c>
      <c r="I57" s="6" t="e">
        <v>#N/A</v>
      </c>
    </row>
    <row r="58" spans="2:9" s="2" customFormat="1" x14ac:dyDescent="0.25">
      <c r="B58" s="12">
        <v>42906.982095833337</v>
      </c>
      <c r="C58" s="2" t="s">
        <v>25</v>
      </c>
      <c r="D58" s="6" t="e">
        <v>#N/A</v>
      </c>
      <c r="E58" s="4">
        <v>0</v>
      </c>
      <c r="F58" s="4">
        <v>0</v>
      </c>
      <c r="G58" s="2" t="e">
        <v>#N/A</v>
      </c>
      <c r="H58" s="5" t="e">
        <v>#N/A</v>
      </c>
      <c r="I58" s="6" t="e">
        <v>#N/A</v>
      </c>
    </row>
    <row r="59" spans="2:9" s="2" customFormat="1" x14ac:dyDescent="0.25">
      <c r="B59" s="12">
        <v>42906.982095833337</v>
      </c>
      <c r="C59" s="2" t="s">
        <v>70</v>
      </c>
      <c r="D59" s="6" t="e">
        <v>#N/A</v>
      </c>
      <c r="E59" s="4">
        <v>0</v>
      </c>
      <c r="F59" s="4">
        <v>0</v>
      </c>
      <c r="G59" s="2" t="e">
        <v>#N/A</v>
      </c>
      <c r="H59" s="5" t="e">
        <v>#N/A</v>
      </c>
      <c r="I59" s="6" t="e">
        <v>#N/A</v>
      </c>
    </row>
    <row r="60" spans="2:9" s="2" customFormat="1" x14ac:dyDescent="0.25">
      <c r="B60" s="12"/>
      <c r="D60" s="6"/>
      <c r="E60" s="4"/>
      <c r="F60" s="4"/>
      <c r="H60" s="5"/>
      <c r="I60" s="6"/>
    </row>
    <row r="61" spans="2:9" s="2" customFormat="1" x14ac:dyDescent="0.25">
      <c r="B61" s="12"/>
      <c r="D61" s="6"/>
      <c r="E61" s="4"/>
      <c r="F61" s="4"/>
      <c r="H61" s="5"/>
      <c r="I61" s="6"/>
    </row>
    <row r="62" spans="2:9" s="2" customFormat="1" x14ac:dyDescent="0.25">
      <c r="B62" s="12">
        <v>42906.978626851851</v>
      </c>
      <c r="C62" s="2" t="s">
        <v>6</v>
      </c>
      <c r="D62" s="6" t="s">
        <v>250</v>
      </c>
      <c r="E62" s="9">
        <v>1.583101E-2</v>
      </c>
      <c r="F62" s="9">
        <v>1.6101000000000001E-2</v>
      </c>
      <c r="G62" s="2" t="s">
        <v>0</v>
      </c>
      <c r="H62" s="5">
        <v>1.9821047500000188E-4</v>
      </c>
      <c r="I62" s="6">
        <v>1.2520393518796457E-2</v>
      </c>
    </row>
    <row r="63" spans="2:9" s="2" customFormat="1" x14ac:dyDescent="0.25">
      <c r="B63" s="12">
        <v>42906.978626851851</v>
      </c>
      <c r="C63" s="2" t="s">
        <v>35</v>
      </c>
      <c r="D63" s="6" t="s">
        <v>74</v>
      </c>
      <c r="E63" s="9">
        <v>1.1489999999999999E-6</v>
      </c>
      <c r="F63" s="9">
        <v>1.1599999999999999E-6</v>
      </c>
      <c r="G63" s="2" t="s">
        <v>251</v>
      </c>
      <c r="H63" s="5">
        <v>7.5309999999999369E-9</v>
      </c>
      <c r="I63" s="6">
        <v>6.5543951261966384E-3</v>
      </c>
    </row>
    <row r="64" spans="2:9" s="2" customFormat="1" x14ac:dyDescent="0.25">
      <c r="B64" s="12">
        <v>42906.978626851851</v>
      </c>
      <c r="C64" s="2" t="s">
        <v>4</v>
      </c>
      <c r="D64" s="6" t="s">
        <v>0</v>
      </c>
      <c r="E64" s="9">
        <v>0.12364714</v>
      </c>
      <c r="F64" s="9">
        <v>0.13025000653900001</v>
      </c>
      <c r="G64" s="2" t="s">
        <v>251</v>
      </c>
      <c r="H64" s="5">
        <v>6.095072245921998E-3</v>
      </c>
      <c r="I64" s="6">
        <v>4.9294081900495217E-2</v>
      </c>
    </row>
    <row r="65" spans="2:9" s="2" customFormat="1" x14ac:dyDescent="0.25">
      <c r="B65" s="12">
        <v>42906.978626851851</v>
      </c>
      <c r="C65" s="2" t="s">
        <v>33</v>
      </c>
      <c r="D65" s="6" t="s">
        <v>86</v>
      </c>
      <c r="E65" s="9">
        <v>6.8010000000000001E-2</v>
      </c>
      <c r="F65" s="9">
        <v>6.8166000000000004E-2</v>
      </c>
      <c r="G65" s="2" t="s">
        <v>74</v>
      </c>
      <c r="H65" s="5">
        <v>-8.8991999999996074E-5</v>
      </c>
      <c r="I65" s="6">
        <v>-1.3085134539037799E-3</v>
      </c>
    </row>
    <row r="66" spans="2:9" s="2" customFormat="1" x14ac:dyDescent="0.25">
      <c r="B66" s="12">
        <v>42906.978626851851</v>
      </c>
      <c r="C66" s="2" t="s">
        <v>8</v>
      </c>
      <c r="D66" s="6" t="s">
        <v>86</v>
      </c>
      <c r="E66" s="9">
        <v>1.8925999999999998E-2</v>
      </c>
      <c r="F66" s="9">
        <v>1.9E-2</v>
      </c>
      <c r="G66" s="2" t="s">
        <v>74</v>
      </c>
      <c r="H66" s="5">
        <v>5.7923999999993925E-6</v>
      </c>
      <c r="I66" s="6">
        <v>3.0605516221068332E-4</v>
      </c>
    </row>
    <row r="67" spans="2:9" s="2" customFormat="1" x14ac:dyDescent="0.25">
      <c r="B67" s="12">
        <v>42906.978626851851</v>
      </c>
      <c r="C67" s="2" t="s">
        <v>3</v>
      </c>
      <c r="D67" s="6" t="s">
        <v>86</v>
      </c>
      <c r="E67" s="9">
        <v>7.4000100000000003E-3</v>
      </c>
      <c r="F67" s="9">
        <v>7.4163696225500002E-3</v>
      </c>
      <c r="G67" s="2" t="s">
        <v>251</v>
      </c>
      <c r="H67" s="5">
        <v>-1.7713142695100458E-5</v>
      </c>
      <c r="I67" s="6">
        <v>-2.3936646970883087E-3</v>
      </c>
    </row>
    <row r="68" spans="2:9" s="2" customFormat="1" x14ac:dyDescent="0.25">
      <c r="B68" s="12">
        <v>42906.978626851851</v>
      </c>
      <c r="C68" s="2" t="s">
        <v>21</v>
      </c>
      <c r="D68" s="6" t="s">
        <v>250</v>
      </c>
      <c r="E68" s="9">
        <v>2746.4310620900001</v>
      </c>
      <c r="F68" s="9">
        <v>2740.1160318699999</v>
      </c>
      <c r="G68" s="2" t="s">
        <v>250</v>
      </c>
      <c r="H68" s="5">
        <v>-20.031397954900058</v>
      </c>
      <c r="I68" s="6">
        <v>-7.2936103262888421E-3</v>
      </c>
    </row>
    <row r="69" spans="2:9" s="2" customFormat="1" x14ac:dyDescent="0.25">
      <c r="B69" s="12">
        <v>42906.978626851851</v>
      </c>
      <c r="C69" s="2" t="s">
        <v>50</v>
      </c>
      <c r="D69" s="6" t="s">
        <v>251</v>
      </c>
      <c r="E69" s="9">
        <v>2.181E-5</v>
      </c>
      <c r="F69" s="9">
        <v>2.1250000000000002E-5</v>
      </c>
      <c r="G69" s="2" t="s">
        <v>87</v>
      </c>
      <c r="H69" s="5">
        <v>-6.4611999999999509E-7</v>
      </c>
      <c r="I69" s="6">
        <v>-2.9624942686840676E-2</v>
      </c>
    </row>
    <row r="70" spans="2:9" s="2" customFormat="1" x14ac:dyDescent="0.25">
      <c r="B70" s="12">
        <v>42906.978626851851</v>
      </c>
      <c r="C70" s="2" t="s">
        <v>10</v>
      </c>
      <c r="D70" s="6" t="s">
        <v>74</v>
      </c>
      <c r="E70" s="9">
        <v>0.14762500000000001</v>
      </c>
      <c r="F70" s="9">
        <v>0.14807639</v>
      </c>
      <c r="G70" s="2" t="s">
        <v>11</v>
      </c>
      <c r="H70" s="5">
        <v>-6.6425975000006243E-5</v>
      </c>
      <c r="I70" s="6">
        <v>-4.4996426756989833E-4</v>
      </c>
    </row>
    <row r="71" spans="2:9" s="2" customFormat="1" x14ac:dyDescent="0.25">
      <c r="B71" s="12">
        <v>42906.978626851851</v>
      </c>
      <c r="C71" s="2" t="s">
        <v>46</v>
      </c>
      <c r="D71" s="6" t="s">
        <v>250</v>
      </c>
      <c r="E71" s="9">
        <v>6.2890000000000003E-5</v>
      </c>
      <c r="F71" s="9">
        <v>6.3109999999999997E-5</v>
      </c>
      <c r="G71" s="2" t="s">
        <v>11</v>
      </c>
      <c r="H71" s="5">
        <v>-9.500000000000502E-8</v>
      </c>
      <c r="I71" s="6">
        <v>-1.510574018126968E-3</v>
      </c>
    </row>
    <row r="72" spans="2:9" s="2" customFormat="1" x14ac:dyDescent="0.25">
      <c r="B72" s="12">
        <v>42906.978626851851</v>
      </c>
      <c r="C72" s="2" t="s">
        <v>80</v>
      </c>
      <c r="D72" s="6" t="s">
        <v>86</v>
      </c>
      <c r="E72" s="9">
        <v>1.1152E-2</v>
      </c>
      <c r="F72" s="9">
        <v>1.164423E-2</v>
      </c>
      <c r="G72" s="2" t="s">
        <v>250</v>
      </c>
      <c r="H72" s="5">
        <v>4.3412422500000054E-4</v>
      </c>
      <c r="I72" s="6">
        <v>3.8927925484218126E-2</v>
      </c>
    </row>
    <row r="73" spans="2:9" s="2" customFormat="1" x14ac:dyDescent="0.25">
      <c r="B73" s="12">
        <v>42906.978626851851</v>
      </c>
      <c r="C73" s="2" t="s">
        <v>25</v>
      </c>
      <c r="D73" s="6" t="s">
        <v>87</v>
      </c>
      <c r="E73" s="4">
        <v>1.9599999999999999E-3</v>
      </c>
      <c r="F73" s="4">
        <v>1.8400000000000001E-3</v>
      </c>
      <c r="G73" s="2" t="s">
        <v>87</v>
      </c>
      <c r="H73" s="5">
        <v>-1.2760000000000007E-4</v>
      </c>
      <c r="I73" s="6">
        <v>-6.5102040816326562E-2</v>
      </c>
    </row>
    <row r="74" spans="2:9" s="2" customFormat="1" x14ac:dyDescent="0.25">
      <c r="B74" s="12">
        <v>42906.978626851851</v>
      </c>
      <c r="C74" s="2" t="s">
        <v>70</v>
      </c>
      <c r="D74" s="6" t="s">
        <v>72</v>
      </c>
      <c r="E74" s="4">
        <v>164991.19519200001</v>
      </c>
      <c r="F74" s="4">
        <v>168836.60079999999</v>
      </c>
      <c r="G74" s="2" t="s">
        <v>69</v>
      </c>
      <c r="H74" s="5">
        <v>3177.7500160159834</v>
      </c>
      <c r="I74" s="6">
        <v>1.9260118773720261E-2</v>
      </c>
    </row>
    <row r="75" spans="2:9" s="2" customFormat="1" x14ac:dyDescent="0.25">
      <c r="B75" s="12"/>
      <c r="D75" s="6"/>
      <c r="E75" s="4"/>
      <c r="F75" s="4"/>
      <c r="H75" s="5"/>
      <c r="I75" s="6"/>
    </row>
    <row r="76" spans="2:9" s="2" customFormat="1" x14ac:dyDescent="0.25">
      <c r="B76" s="12"/>
      <c r="D76" s="6"/>
      <c r="E76" s="4"/>
      <c r="F76" s="4"/>
      <c r="H76" s="5"/>
      <c r="I76" s="6"/>
    </row>
    <row r="77" spans="2:9" s="2" customFormat="1" x14ac:dyDescent="0.25">
      <c r="B77" s="12">
        <v>42906.975408101855</v>
      </c>
      <c r="C77" s="2" t="s">
        <v>6</v>
      </c>
      <c r="D77" s="6" t="s">
        <v>74</v>
      </c>
      <c r="E77" s="9">
        <v>1.618E-2</v>
      </c>
      <c r="F77" s="9">
        <v>1.6269596000000001E-2</v>
      </c>
      <c r="G77" s="2" t="s">
        <v>87</v>
      </c>
      <c r="H77" s="5">
        <v>4.087680799999896E-5</v>
      </c>
      <c r="I77" s="6">
        <v>2.5263787391841138E-3</v>
      </c>
    </row>
    <row r="78" spans="2:9" s="2" customFormat="1" x14ac:dyDescent="0.25">
      <c r="B78" s="12">
        <v>42906.975408101855</v>
      </c>
      <c r="C78" s="2" t="s">
        <v>35</v>
      </c>
      <c r="D78" s="6" t="s">
        <v>74</v>
      </c>
      <c r="E78" s="9">
        <v>1.1489999999999999E-6</v>
      </c>
      <c r="F78" s="9">
        <v>1.1599999999999999E-6</v>
      </c>
      <c r="G78" s="2" t="s">
        <v>251</v>
      </c>
      <c r="H78" s="5">
        <v>7.5309999999999369E-9</v>
      </c>
      <c r="I78" s="6">
        <v>6.5543951261966384E-3</v>
      </c>
    </row>
    <row r="79" spans="2:9" s="2" customFormat="1" x14ac:dyDescent="0.25">
      <c r="B79" s="12">
        <v>42906.975408101855</v>
      </c>
      <c r="C79" s="2" t="s">
        <v>4</v>
      </c>
      <c r="D79" s="6" t="s">
        <v>87</v>
      </c>
      <c r="E79" s="9">
        <v>0.12307777</v>
      </c>
      <c r="F79" s="9">
        <v>0.13100000000000001</v>
      </c>
      <c r="G79" s="2" t="s">
        <v>11</v>
      </c>
      <c r="H79" s="5">
        <v>7.348574459999993E-3</v>
      </c>
      <c r="I79" s="6">
        <v>5.9706756630380879E-2</v>
      </c>
    </row>
    <row r="80" spans="2:9" s="2" customFormat="1" x14ac:dyDescent="0.25">
      <c r="B80" s="12">
        <v>42906.975408101855</v>
      </c>
      <c r="C80" s="2" t="s">
        <v>33</v>
      </c>
      <c r="D80" s="6" t="s">
        <v>74</v>
      </c>
      <c r="E80" s="9">
        <v>6.7968000000000001E-2</v>
      </c>
      <c r="F80" s="9">
        <v>6.83E-2</v>
      </c>
      <c r="G80" s="2" t="s">
        <v>72</v>
      </c>
      <c r="H80" s="5">
        <v>1.2743199999999677E-4</v>
      </c>
      <c r="I80" s="6">
        <v>1.8748822975517415E-3</v>
      </c>
    </row>
    <row r="81" spans="2:9" s="2" customFormat="1" x14ac:dyDescent="0.25">
      <c r="B81" s="12">
        <v>42906.975408101855</v>
      </c>
      <c r="C81" s="2" t="s">
        <v>8</v>
      </c>
      <c r="D81" s="6" t="s">
        <v>86</v>
      </c>
      <c r="E81" s="9">
        <v>1.8929999999999999E-2</v>
      </c>
      <c r="F81" s="9">
        <v>1.9E-2</v>
      </c>
      <c r="G81" s="2" t="s">
        <v>74</v>
      </c>
      <c r="H81" s="5">
        <v>1.7819999999987846E-6</v>
      </c>
      <c r="I81" s="6">
        <v>9.4136291600569708E-5</v>
      </c>
    </row>
    <row r="82" spans="2:9" s="2" customFormat="1" x14ac:dyDescent="0.25">
      <c r="B82" s="12">
        <v>42906.975408101855</v>
      </c>
      <c r="C82" s="2" t="s">
        <v>3</v>
      </c>
      <c r="D82" s="6" t="s">
        <v>0</v>
      </c>
      <c r="E82" s="9">
        <v>7.4028999999999996E-3</v>
      </c>
      <c r="F82" s="9">
        <v>7.4150300000000004E-3</v>
      </c>
      <c r="G82" s="2" t="s">
        <v>251</v>
      </c>
      <c r="H82" s="5">
        <v>-1.750585999999929E-5</v>
      </c>
      <c r="I82" s="6">
        <v>-2.3647300382281661E-3</v>
      </c>
    </row>
    <row r="83" spans="2:9" s="2" customFormat="1" x14ac:dyDescent="0.25">
      <c r="B83" s="12">
        <v>42906.975408101855</v>
      </c>
      <c r="C83" s="2" t="s">
        <v>21</v>
      </c>
      <c r="D83" s="6" t="s">
        <v>250</v>
      </c>
      <c r="E83" s="9">
        <v>2750</v>
      </c>
      <c r="F83" s="9">
        <v>2748.1806480800001</v>
      </c>
      <c r="G83" s="2" t="s">
        <v>250</v>
      </c>
      <c r="H83" s="5">
        <v>-15.564803540200046</v>
      </c>
      <c r="I83" s="6">
        <v>-5.6599285600727441E-3</v>
      </c>
    </row>
    <row r="84" spans="2:9" s="2" customFormat="1" x14ac:dyDescent="0.25">
      <c r="B84" s="12">
        <v>42906.975408101855</v>
      </c>
      <c r="C84" s="2" t="s">
        <v>50</v>
      </c>
      <c r="D84" s="6" t="s">
        <v>87</v>
      </c>
      <c r="E84" s="9">
        <v>2.1860000000000001E-5</v>
      </c>
      <c r="F84" s="9">
        <v>2.1250000000000002E-5</v>
      </c>
      <c r="G84" s="2" t="s">
        <v>87</v>
      </c>
      <c r="H84" s="5">
        <v>-6.9621999999999653E-7</v>
      </c>
      <c r="I84" s="6">
        <v>-3.1849039341262417E-2</v>
      </c>
    </row>
    <row r="85" spans="2:9" s="2" customFormat="1" x14ac:dyDescent="0.25">
      <c r="B85" s="12">
        <v>42906.975408101855</v>
      </c>
      <c r="C85" s="2" t="s">
        <v>10</v>
      </c>
      <c r="D85" s="6" t="s">
        <v>11</v>
      </c>
      <c r="E85" s="9">
        <v>0.14775743999999999</v>
      </c>
      <c r="F85" s="9">
        <v>0.148024375762</v>
      </c>
      <c r="G85" s="2" t="s">
        <v>0</v>
      </c>
      <c r="H85" s="5">
        <v>-3.9850658952397811E-4</v>
      </c>
      <c r="I85" s="6">
        <v>-2.6970323086538189E-3</v>
      </c>
    </row>
    <row r="86" spans="2:9" s="2" customFormat="1" x14ac:dyDescent="0.25">
      <c r="B86" s="12">
        <v>42906.975408101855</v>
      </c>
      <c r="C86" s="2" t="s">
        <v>46</v>
      </c>
      <c r="D86" s="6" t="s">
        <v>250</v>
      </c>
      <c r="E86" s="9">
        <v>6.2970000000000002E-5</v>
      </c>
      <c r="F86" s="9">
        <v>6.3109999999999997E-5</v>
      </c>
      <c r="G86" s="2" t="s">
        <v>11</v>
      </c>
      <c r="H86" s="5">
        <v>-1.7520000000000469E-7</v>
      </c>
      <c r="I86" s="6">
        <v>-2.7822772748928807E-3</v>
      </c>
    </row>
    <row r="87" spans="2:9" s="2" customFormat="1" x14ac:dyDescent="0.25">
      <c r="B87" s="12">
        <v>42906.975408101855</v>
      </c>
      <c r="C87" s="2" t="s">
        <v>80</v>
      </c>
      <c r="D87" s="6" t="s">
        <v>86</v>
      </c>
      <c r="E87" s="9">
        <v>1.1328E-2</v>
      </c>
      <c r="F87" s="9">
        <v>1.1611170000000001E-2</v>
      </c>
      <c r="G87" s="2" t="s">
        <v>250</v>
      </c>
      <c r="H87" s="5">
        <v>2.2468927500000208E-4</v>
      </c>
      <c r="I87" s="6">
        <v>1.9834858315678151E-2</v>
      </c>
    </row>
    <row r="88" spans="2:9" s="2" customFormat="1" x14ac:dyDescent="0.25">
      <c r="B88" s="12">
        <v>42906.975408101855</v>
      </c>
      <c r="C88" s="2" t="s">
        <v>25</v>
      </c>
      <c r="D88" s="6" t="s">
        <v>87</v>
      </c>
      <c r="E88" s="4">
        <v>1.9599999999999999E-3</v>
      </c>
      <c r="F88" s="4">
        <v>1.8400000000000001E-3</v>
      </c>
      <c r="G88" s="2" t="s">
        <v>22</v>
      </c>
      <c r="H88" s="5">
        <v>-1.2760000000000007E-4</v>
      </c>
      <c r="I88" s="6">
        <v>-6.5102040816326562E-2</v>
      </c>
    </row>
    <row r="89" spans="2:9" s="2" customFormat="1" x14ac:dyDescent="0.25">
      <c r="B89" s="12">
        <v>42906.975408101855</v>
      </c>
      <c r="C89" s="2" t="s">
        <v>70</v>
      </c>
      <c r="D89" s="6" t="s">
        <v>72</v>
      </c>
      <c r="E89" s="4">
        <v>164796.602816</v>
      </c>
      <c r="F89" s="4">
        <v>168836.60079999999</v>
      </c>
      <c r="G89" s="2" t="s">
        <v>69</v>
      </c>
      <c r="H89" s="5">
        <v>3372.7315767679829</v>
      </c>
      <c r="I89" s="6">
        <v>2.0466026114225981E-2</v>
      </c>
    </row>
    <row r="90" spans="2:9" s="2" customFormat="1" x14ac:dyDescent="0.25">
      <c r="B90" s="12"/>
      <c r="D90" s="6"/>
      <c r="E90" s="4"/>
      <c r="F90" s="4"/>
      <c r="H90" s="5"/>
      <c r="I90" s="6"/>
    </row>
    <row r="91" spans="2:9" s="2" customFormat="1" x14ac:dyDescent="0.25">
      <c r="B91" s="12"/>
      <c r="D91" s="6"/>
      <c r="E91" s="4"/>
      <c r="F91" s="4"/>
      <c r="H91" s="5"/>
      <c r="I91" s="6"/>
    </row>
    <row r="92" spans="2:9" s="2" customFormat="1" x14ac:dyDescent="0.25">
      <c r="B92" s="12">
        <v>42906.953878703702</v>
      </c>
      <c r="C92" s="2" t="s">
        <v>6</v>
      </c>
      <c r="D92" s="6" t="s">
        <v>86</v>
      </c>
      <c r="E92" s="9">
        <v>1.6327999999999999E-2</v>
      </c>
      <c r="F92" s="9">
        <v>1.6508829999999999E-2</v>
      </c>
      <c r="G92" s="2" t="s">
        <v>251</v>
      </c>
      <c r="H92" s="5">
        <v>1.0535954000000236E-4</v>
      </c>
      <c r="I92" s="6">
        <v>6.4526910828026926E-3</v>
      </c>
    </row>
    <row r="93" spans="2:9" s="2" customFormat="1" x14ac:dyDescent="0.25">
      <c r="B93" s="12">
        <v>42906.953878703702</v>
      </c>
      <c r="C93" s="2" t="s">
        <v>35</v>
      </c>
      <c r="D93" s="6" t="s">
        <v>11</v>
      </c>
      <c r="E93" s="9">
        <v>1.15E-6</v>
      </c>
      <c r="F93" s="9">
        <v>1.1599999999999999E-6</v>
      </c>
      <c r="G93" s="2" t="s">
        <v>251</v>
      </c>
      <c r="H93" s="5">
        <v>4.8049999999998634E-9</v>
      </c>
      <c r="I93" s="6">
        <v>4.1782608695650984E-3</v>
      </c>
    </row>
    <row r="94" spans="2:9" s="2" customFormat="1" x14ac:dyDescent="0.25">
      <c r="B94" s="12">
        <v>42906.953878703702</v>
      </c>
      <c r="C94" s="2" t="s">
        <v>4</v>
      </c>
      <c r="D94" s="6" t="s">
        <v>86</v>
      </c>
      <c r="E94" s="9">
        <v>0.12451</v>
      </c>
      <c r="F94" s="9">
        <v>0.1319820048</v>
      </c>
      <c r="G94" s="2" t="s">
        <v>251</v>
      </c>
      <c r="H94" s="5">
        <v>6.8843147904000118E-3</v>
      </c>
      <c r="I94" s="6">
        <v>5.5291260062645668E-2</v>
      </c>
    </row>
    <row r="95" spans="2:9" s="2" customFormat="1" x14ac:dyDescent="0.25">
      <c r="B95" s="12">
        <v>42906.953878703702</v>
      </c>
      <c r="C95" s="2" t="s">
        <v>33</v>
      </c>
      <c r="D95" s="6" t="s">
        <v>250</v>
      </c>
      <c r="E95" s="9">
        <v>6.8248127623499993E-2</v>
      </c>
      <c r="F95" s="9">
        <v>6.8284999999999998E-2</v>
      </c>
      <c r="G95" s="2" t="s">
        <v>86</v>
      </c>
      <c r="H95" s="5">
        <v>-3.1128894255874617E-4</v>
      </c>
      <c r="I95" s="6">
        <v>-4.5611352779670912E-3</v>
      </c>
    </row>
    <row r="96" spans="2:9" s="2" customFormat="1" x14ac:dyDescent="0.25">
      <c r="B96" s="12">
        <v>42906.953878703702</v>
      </c>
      <c r="C96" s="2" t="s">
        <v>8</v>
      </c>
      <c r="D96" s="6" t="s">
        <v>86</v>
      </c>
      <c r="E96" s="9">
        <v>1.9130000000000001E-2</v>
      </c>
      <c r="F96" s="9">
        <v>1.9165120000000001E-2</v>
      </c>
      <c r="G96" s="2" t="s">
        <v>250</v>
      </c>
      <c r="H96" s="5">
        <v>-6.2530800000001885E-5</v>
      </c>
      <c r="I96" s="6">
        <v>-3.2687297438579134E-3</v>
      </c>
    </row>
    <row r="97" spans="2:9" s="2" customFormat="1" x14ac:dyDescent="0.25">
      <c r="B97" s="12">
        <v>42906.953878703702</v>
      </c>
      <c r="C97" s="2" t="s">
        <v>3</v>
      </c>
      <c r="D97" s="6" t="s">
        <v>0</v>
      </c>
      <c r="E97" s="9">
        <v>7.5259999999999997E-3</v>
      </c>
      <c r="F97" s="9">
        <v>7.6149966549699999E-3</v>
      </c>
      <c r="G97" s="2" t="s">
        <v>251</v>
      </c>
      <c r="H97" s="5">
        <v>5.8714661660060584E-5</v>
      </c>
      <c r="I97" s="6">
        <v>7.8015760908929825E-3</v>
      </c>
    </row>
    <row r="98" spans="2:9" s="2" customFormat="1" x14ac:dyDescent="0.25">
      <c r="B98" s="12">
        <v>42906.953878703702</v>
      </c>
      <c r="C98" s="2" t="s">
        <v>21</v>
      </c>
      <c r="D98" s="6" t="s">
        <v>250</v>
      </c>
      <c r="E98" s="9">
        <v>2745.9408077399999</v>
      </c>
      <c r="F98" s="9">
        <v>2745</v>
      </c>
      <c r="G98" s="2" t="s">
        <v>250</v>
      </c>
      <c r="H98" s="5">
        <v>-14.668159759350146</v>
      </c>
      <c r="I98" s="6">
        <v>-5.3417610889517049E-3</v>
      </c>
    </row>
    <row r="99" spans="2:9" s="2" customFormat="1" x14ac:dyDescent="0.25">
      <c r="B99" s="12">
        <v>42906.953878703702</v>
      </c>
      <c r="C99" s="2" t="s">
        <v>50</v>
      </c>
      <c r="D99" s="6" t="s">
        <v>87</v>
      </c>
      <c r="E99" s="9">
        <v>2.1880000000000001E-5</v>
      </c>
      <c r="F99" s="9">
        <v>2.162E-5</v>
      </c>
      <c r="G99" s="2" t="s">
        <v>251</v>
      </c>
      <c r="H99" s="5">
        <v>-3.4699999999999854E-7</v>
      </c>
      <c r="I99" s="6">
        <v>-1.5859232175502676E-2</v>
      </c>
    </row>
    <row r="100" spans="2:9" s="2" customFormat="1" x14ac:dyDescent="0.25">
      <c r="B100" s="12">
        <v>42906.953878703702</v>
      </c>
      <c r="C100" s="2" t="s">
        <v>10</v>
      </c>
      <c r="D100" s="6" t="s">
        <v>74</v>
      </c>
      <c r="E100" s="9">
        <v>0.1490002</v>
      </c>
      <c r="F100" s="9">
        <v>0.14902012653899999</v>
      </c>
      <c r="G100" s="2" t="s">
        <v>250</v>
      </c>
      <c r="H100" s="5">
        <v>-5.0162397734751507E-4</v>
      </c>
      <c r="I100" s="6">
        <v>-3.3665993558902275E-3</v>
      </c>
    </row>
    <row r="101" spans="2:9" s="2" customFormat="1" x14ac:dyDescent="0.25">
      <c r="B101" s="12">
        <v>42906.953878703702</v>
      </c>
      <c r="C101" s="2" t="s">
        <v>46</v>
      </c>
      <c r="D101" s="6" t="s">
        <v>250</v>
      </c>
      <c r="E101" s="9">
        <v>6.3E-5</v>
      </c>
      <c r="F101" s="9">
        <v>6.2899999999999997E-5</v>
      </c>
      <c r="G101" s="2" t="s">
        <v>74</v>
      </c>
      <c r="H101" s="5">
        <v>-3.2039999999999781E-7</v>
      </c>
      <c r="I101" s="6">
        <v>-5.0857142857142507E-3</v>
      </c>
    </row>
    <row r="102" spans="2:9" s="2" customFormat="1" x14ac:dyDescent="0.25">
      <c r="B102" s="12">
        <v>42906.953878703702</v>
      </c>
      <c r="C102" s="2" t="s">
        <v>80</v>
      </c>
      <c r="D102" s="6" t="s">
        <v>86</v>
      </c>
      <c r="E102" s="9">
        <v>1.1368E-2</v>
      </c>
      <c r="F102" s="9">
        <v>1.150735E-2</v>
      </c>
      <c r="G102" s="2" t="s">
        <v>250</v>
      </c>
      <c r="H102" s="5">
        <v>8.1024824999999592E-5</v>
      </c>
      <c r="I102" s="6">
        <v>7.1274476600984866E-3</v>
      </c>
    </row>
    <row r="103" spans="2:9" s="2" customFormat="1" x14ac:dyDescent="0.25">
      <c r="B103" s="12">
        <v>42906.953878703702</v>
      </c>
      <c r="C103" s="2" t="s">
        <v>25</v>
      </c>
      <c r="D103" s="6" t="s">
        <v>87</v>
      </c>
      <c r="E103" s="4">
        <v>1.9599999999999999E-3</v>
      </c>
      <c r="F103" s="4">
        <v>1.8400000000000001E-3</v>
      </c>
      <c r="G103" s="2" t="s">
        <v>87</v>
      </c>
      <c r="H103" s="5">
        <v>-1.2760000000000007E-4</v>
      </c>
      <c r="I103" s="6">
        <v>-6.5102040816326562E-2</v>
      </c>
    </row>
    <row r="104" spans="2:9" s="2" customFormat="1" x14ac:dyDescent="0.25">
      <c r="B104" s="12">
        <v>42906.953878703702</v>
      </c>
      <c r="C104" s="2" t="s">
        <v>70</v>
      </c>
      <c r="D104" s="6" t="s">
        <v>72</v>
      </c>
      <c r="E104" s="4">
        <v>163997.375707</v>
      </c>
      <c r="F104" s="4">
        <v>169908.20079999999</v>
      </c>
      <c r="G104" s="2" t="s">
        <v>69</v>
      </c>
      <c r="H104" s="5">
        <v>5243.0139399860054</v>
      </c>
      <c r="I104" s="6">
        <v>3.1970108773894328E-2</v>
      </c>
    </row>
    <row r="105" spans="2:9" s="2" customFormat="1" x14ac:dyDescent="0.25">
      <c r="B105" s="12"/>
      <c r="D105" s="6"/>
      <c r="E105" s="4"/>
      <c r="F105" s="4"/>
      <c r="H105" s="5"/>
      <c r="I105" s="6"/>
    </row>
    <row r="106" spans="2:9" s="2" customFormat="1" x14ac:dyDescent="0.25">
      <c r="B106" s="12"/>
      <c r="D106" s="6"/>
      <c r="E106" s="4"/>
      <c r="F106" s="4"/>
      <c r="H106" s="5"/>
      <c r="I106" s="6"/>
    </row>
    <row r="107" spans="2:9" s="2" customFormat="1" x14ac:dyDescent="0.25">
      <c r="B107" s="12">
        <v>42906.932971412039</v>
      </c>
      <c r="C107" s="2" t="s">
        <v>6</v>
      </c>
      <c r="D107" s="6" t="s">
        <v>86</v>
      </c>
      <c r="E107" s="9">
        <v>1.5866999999999999E-2</v>
      </c>
      <c r="F107" s="9">
        <v>1.6200010000000001E-2</v>
      </c>
      <c r="G107" s="2" t="s">
        <v>251</v>
      </c>
      <c r="H107" s="5">
        <v>2.593557800000014E-4</v>
      </c>
      <c r="I107" s="6">
        <v>1.6345609125858789E-2</v>
      </c>
    </row>
    <row r="108" spans="2:9" s="2" customFormat="1" x14ac:dyDescent="0.25">
      <c r="B108" s="12">
        <v>42906.932971412039</v>
      </c>
      <c r="C108" s="2" t="s">
        <v>35</v>
      </c>
      <c r="D108" s="6" t="s">
        <v>250</v>
      </c>
      <c r="E108" s="9">
        <v>1.15E-6</v>
      </c>
      <c r="F108" s="9">
        <v>1.1599999999999999E-6</v>
      </c>
      <c r="G108" s="2" t="s">
        <v>251</v>
      </c>
      <c r="H108" s="5">
        <v>4.8049999999998634E-9</v>
      </c>
      <c r="I108" s="6">
        <v>4.1782608695650984E-3</v>
      </c>
    </row>
    <row r="109" spans="2:9" s="2" customFormat="1" x14ac:dyDescent="0.25">
      <c r="B109" s="12">
        <v>42906.932971412039</v>
      </c>
      <c r="C109" s="2" t="s">
        <v>4</v>
      </c>
      <c r="D109" s="6" t="s">
        <v>0</v>
      </c>
      <c r="E109" s="9">
        <v>0.12827</v>
      </c>
      <c r="F109" s="9">
        <v>0.13299562000000001</v>
      </c>
      <c r="G109" s="2" t="s">
        <v>251</v>
      </c>
      <c r="H109" s="5">
        <v>4.2030887600000011E-3</v>
      </c>
      <c r="I109" s="6">
        <v>3.2767511966944739E-2</v>
      </c>
    </row>
    <row r="110" spans="2:9" s="2" customFormat="1" x14ac:dyDescent="0.25">
      <c r="B110" s="12">
        <v>42906.932971412039</v>
      </c>
      <c r="C110" s="2" t="s">
        <v>33</v>
      </c>
      <c r="D110" s="6" t="s">
        <v>250</v>
      </c>
      <c r="E110" s="9">
        <v>6.8320901062899994E-2</v>
      </c>
      <c r="F110" s="9">
        <v>6.8127805557299997E-2</v>
      </c>
      <c r="G110" s="2" t="s">
        <v>72</v>
      </c>
      <c r="H110" s="5">
        <v>-5.0015336937185573E-4</v>
      </c>
      <c r="I110" s="6">
        <v>-7.3206494877956444E-3</v>
      </c>
    </row>
    <row r="111" spans="2:9" s="2" customFormat="1" x14ac:dyDescent="0.25">
      <c r="B111" s="12">
        <v>42906.932971412039</v>
      </c>
      <c r="C111" s="2" t="s">
        <v>8</v>
      </c>
      <c r="D111" s="6" t="s">
        <v>74</v>
      </c>
      <c r="E111" s="9">
        <v>1.9161000000000001E-2</v>
      </c>
      <c r="F111" s="9">
        <v>1.916E-2</v>
      </c>
      <c r="G111" s="2" t="s">
        <v>74</v>
      </c>
      <c r="H111" s="5">
        <v>-3.9321000000001882E-5</v>
      </c>
      <c r="I111" s="6">
        <v>-2.0521371535933346E-3</v>
      </c>
    </row>
    <row r="112" spans="2:9" s="2" customFormat="1" x14ac:dyDescent="0.25">
      <c r="B112" s="12">
        <v>42906.932971412039</v>
      </c>
      <c r="C112" s="2" t="s">
        <v>3</v>
      </c>
      <c r="D112" s="6" t="s">
        <v>0</v>
      </c>
      <c r="E112" s="9">
        <v>7.4368999999999998E-3</v>
      </c>
      <c r="F112" s="9">
        <v>7.4611E-3</v>
      </c>
      <c r="G112" s="2" t="s">
        <v>11</v>
      </c>
      <c r="H112" s="5">
        <v>-9.3265499999991425E-6</v>
      </c>
      <c r="I112" s="6">
        <v>-1.2540910863396231E-3</v>
      </c>
    </row>
    <row r="113" spans="2:9" s="2" customFormat="1" x14ac:dyDescent="0.25">
      <c r="B113" s="12">
        <v>42906.932971412039</v>
      </c>
      <c r="C113" s="2" t="s">
        <v>21</v>
      </c>
      <c r="D113" s="6" t="s">
        <v>11</v>
      </c>
      <c r="E113" s="9">
        <v>2744.0345642100001</v>
      </c>
      <c r="F113" s="9">
        <v>2748.25828305</v>
      </c>
      <c r="G113" s="2" t="s">
        <v>250</v>
      </c>
      <c r="H113" s="5">
        <v>-9.5070132781502252</v>
      </c>
      <c r="I113" s="6">
        <v>-3.4646113435117271E-3</v>
      </c>
    </row>
    <row r="114" spans="2:9" s="2" customFormat="1" x14ac:dyDescent="0.25">
      <c r="B114" s="12">
        <v>42906.932971412039</v>
      </c>
      <c r="C114" s="2" t="s">
        <v>50</v>
      </c>
      <c r="D114" s="6" t="s">
        <v>251</v>
      </c>
      <c r="E114" s="9">
        <v>2.1590000000000002E-5</v>
      </c>
      <c r="F114" s="9">
        <v>2.1500000000000001E-5</v>
      </c>
      <c r="G114" s="2" t="s">
        <v>251</v>
      </c>
      <c r="H114" s="5">
        <v>-1.7617999999999871E-7</v>
      </c>
      <c r="I114" s="6">
        <v>-8.1602593793422273E-3</v>
      </c>
    </row>
    <row r="115" spans="2:9" s="2" customFormat="1" x14ac:dyDescent="0.25">
      <c r="B115" s="12">
        <v>42906.932971412039</v>
      </c>
      <c r="C115" s="2" t="s">
        <v>10</v>
      </c>
      <c r="D115" s="6" t="s">
        <v>86</v>
      </c>
      <c r="E115" s="9">
        <v>0.14835999999999999</v>
      </c>
      <c r="F115" s="9">
        <v>0.14938346</v>
      </c>
      <c r="G115" s="2" t="s">
        <v>74</v>
      </c>
      <c r="H115" s="5">
        <v>4.8834053999999294E-4</v>
      </c>
      <c r="I115" s="6">
        <v>3.2915916689134064E-3</v>
      </c>
    </row>
    <row r="116" spans="2:9" s="2" customFormat="1" x14ac:dyDescent="0.25">
      <c r="B116" s="12">
        <v>42906.932971412039</v>
      </c>
      <c r="C116" s="2" t="s">
        <v>46</v>
      </c>
      <c r="D116" s="6" t="s">
        <v>74</v>
      </c>
      <c r="E116" s="9">
        <v>6.3429999999999994E-5</v>
      </c>
      <c r="F116" s="9">
        <v>6.3059999999999996E-5</v>
      </c>
      <c r="G116" s="2" t="s">
        <v>11</v>
      </c>
      <c r="H116" s="5">
        <v>-5.9108000000000045E-7</v>
      </c>
      <c r="I116" s="6">
        <v>-9.318618950023656E-3</v>
      </c>
    </row>
    <row r="117" spans="2:9" s="2" customFormat="1" x14ac:dyDescent="0.25">
      <c r="B117" s="12">
        <v>42906.932971412039</v>
      </c>
      <c r="C117" s="2" t="s">
        <v>80</v>
      </c>
      <c r="D117" s="6" t="s">
        <v>86</v>
      </c>
      <c r="E117" s="9">
        <v>1.1377E-2</v>
      </c>
      <c r="F117" s="9">
        <v>1.145028E-2</v>
      </c>
      <c r="G117" s="2" t="s">
        <v>250</v>
      </c>
      <c r="H117" s="5">
        <v>1.5074099999999938E-5</v>
      </c>
      <c r="I117" s="6">
        <v>1.3249626439307319E-3</v>
      </c>
    </row>
    <row r="118" spans="2:9" s="2" customFormat="1" x14ac:dyDescent="0.25">
      <c r="B118" s="12">
        <v>42906.932971412039</v>
      </c>
      <c r="C118" s="2" t="s">
        <v>25</v>
      </c>
      <c r="D118" s="6" t="s">
        <v>87</v>
      </c>
      <c r="E118" s="4">
        <v>1.9599999999999999E-3</v>
      </c>
      <c r="F118" s="4">
        <v>1.8400000000000001E-3</v>
      </c>
      <c r="G118" s="2" t="s">
        <v>87</v>
      </c>
      <c r="H118" s="5">
        <v>-1.2760000000000007E-4</v>
      </c>
      <c r="I118" s="6">
        <v>-6.5102040816326562E-2</v>
      </c>
    </row>
    <row r="119" spans="2:9" s="2" customFormat="1" x14ac:dyDescent="0.25">
      <c r="B119" s="12">
        <v>42906.932971412039</v>
      </c>
      <c r="C119" s="2" t="s">
        <v>70</v>
      </c>
      <c r="D119" s="6" t="s">
        <v>72</v>
      </c>
      <c r="E119" s="4">
        <v>164198.41091199999</v>
      </c>
      <c r="F119" s="4">
        <v>169720.20079999999</v>
      </c>
      <c r="G119" s="2" t="s">
        <v>69</v>
      </c>
      <c r="H119" s="5">
        <v>4853.9526645760052</v>
      </c>
      <c r="I119" s="6">
        <v>2.9561508163300179E-2</v>
      </c>
    </row>
    <row r="120" spans="2:9" s="2" customFormat="1" x14ac:dyDescent="0.25">
      <c r="B120" s="12"/>
      <c r="D120" s="6"/>
      <c r="E120" s="4"/>
      <c r="F120" s="4"/>
      <c r="H120" s="5"/>
      <c r="I120" s="6"/>
    </row>
    <row r="121" spans="2:9" s="2" customFormat="1" x14ac:dyDescent="0.25">
      <c r="B121" s="12"/>
      <c r="D121" s="6"/>
      <c r="E121" s="4"/>
      <c r="F121" s="4"/>
      <c r="H121" s="5"/>
      <c r="I121" s="6"/>
    </row>
    <row r="122" spans="2:9" s="2" customFormat="1" x14ac:dyDescent="0.25">
      <c r="B122" s="12">
        <v>42906.925494444447</v>
      </c>
      <c r="C122" s="2" t="s">
        <v>6</v>
      </c>
      <c r="D122" s="6" t="s">
        <v>86</v>
      </c>
      <c r="E122" s="9">
        <v>1.5584000000000001E-2</v>
      </c>
      <c r="F122" s="9">
        <v>1.6200010000000001E-2</v>
      </c>
      <c r="G122" s="2" t="s">
        <v>251</v>
      </c>
      <c r="H122" s="5">
        <v>5.4309158000000017E-4</v>
      </c>
      <c r="I122" s="6">
        <v>3.4849305698151957E-2</v>
      </c>
    </row>
    <row r="123" spans="2:9" s="2" customFormat="1" x14ac:dyDescent="0.25">
      <c r="B123" s="12">
        <v>42906.925494444447</v>
      </c>
      <c r="C123" s="2" t="s">
        <v>35</v>
      </c>
      <c r="D123" s="6" t="s">
        <v>11</v>
      </c>
      <c r="E123" s="9">
        <v>1.15E-6</v>
      </c>
      <c r="F123" s="9">
        <v>1.1599999999999999E-6</v>
      </c>
      <c r="G123" s="2" t="s">
        <v>251</v>
      </c>
      <c r="H123" s="5">
        <v>4.8049999999998634E-9</v>
      </c>
      <c r="I123" s="6">
        <v>4.1782608695650984E-3</v>
      </c>
    </row>
    <row r="124" spans="2:9" s="2" customFormat="1" x14ac:dyDescent="0.25">
      <c r="B124" s="12">
        <v>42906.925494444447</v>
      </c>
      <c r="C124" s="2" t="s">
        <v>4</v>
      </c>
      <c r="D124" s="6" t="s">
        <v>86</v>
      </c>
      <c r="E124" s="9">
        <v>0.125999</v>
      </c>
      <c r="F124" s="9">
        <v>0.13220000000000001</v>
      </c>
      <c r="G124" s="2" t="s">
        <v>11</v>
      </c>
      <c r="H124" s="5">
        <v>5.5429026000000103E-3</v>
      </c>
      <c r="I124" s="6">
        <v>4.399163961618751E-2</v>
      </c>
    </row>
    <row r="125" spans="2:9" s="2" customFormat="1" x14ac:dyDescent="0.25">
      <c r="B125" s="12">
        <v>42906.925494444447</v>
      </c>
      <c r="C125" s="2" t="s">
        <v>33</v>
      </c>
      <c r="D125" s="6" t="s">
        <v>250</v>
      </c>
      <c r="E125" s="9">
        <v>6.8076499999999998E-2</v>
      </c>
      <c r="F125" s="9">
        <v>6.832001E-2</v>
      </c>
      <c r="G125" s="2" t="s">
        <v>72</v>
      </c>
      <c r="H125" s="5">
        <v>-6.3321269999999652E-5</v>
      </c>
      <c r="I125" s="6">
        <v>-9.3014872973786334E-4</v>
      </c>
    </row>
    <row r="126" spans="2:9" s="2" customFormat="1" x14ac:dyDescent="0.25">
      <c r="B126" s="12">
        <v>42906.925494444447</v>
      </c>
      <c r="C126" s="2" t="s">
        <v>8</v>
      </c>
      <c r="D126" s="6" t="s">
        <v>250</v>
      </c>
      <c r="E126" s="9">
        <v>1.916E-2</v>
      </c>
      <c r="F126" s="9">
        <v>1.9158999999999999E-2</v>
      </c>
      <c r="G126" s="2" t="s">
        <v>74</v>
      </c>
      <c r="H126" s="5">
        <v>-6.8059000000002257E-5</v>
      </c>
      <c r="I126" s="6">
        <v>-3.5521398747391576E-3</v>
      </c>
    </row>
    <row r="127" spans="2:9" s="2" customFormat="1" x14ac:dyDescent="0.25">
      <c r="B127" s="12">
        <v>42906.925494444447</v>
      </c>
      <c r="C127" s="2" t="s">
        <v>3</v>
      </c>
      <c r="D127" s="6" t="s">
        <v>250</v>
      </c>
      <c r="E127" s="9">
        <v>7.3699999999999998E-3</v>
      </c>
      <c r="F127" s="9">
        <v>7.4150300000000004E-3</v>
      </c>
      <c r="G127" s="2" t="s">
        <v>251</v>
      </c>
      <c r="H127" s="5">
        <v>1.1774940000000567E-5</v>
      </c>
      <c r="I127" s="6">
        <v>1.5976852103121528E-3</v>
      </c>
    </row>
    <row r="128" spans="2:9" s="2" customFormat="1" x14ac:dyDescent="0.25">
      <c r="B128" s="12">
        <v>42906.925494444447</v>
      </c>
      <c r="C128" s="2" t="s">
        <v>21</v>
      </c>
      <c r="D128" s="6" t="s">
        <v>11</v>
      </c>
      <c r="E128" s="9">
        <v>2762.12</v>
      </c>
      <c r="F128" s="9">
        <v>2751.0932659099999</v>
      </c>
      <c r="G128" s="2" t="s">
        <v>250</v>
      </c>
      <c r="H128" s="5">
        <v>-24.80976725477467</v>
      </c>
      <c r="I128" s="6">
        <v>-8.9821467766696122E-3</v>
      </c>
    </row>
    <row r="129" spans="2:9" s="2" customFormat="1" x14ac:dyDescent="0.25">
      <c r="B129" s="12">
        <v>42906.925494444447</v>
      </c>
      <c r="C129" s="2" t="s">
        <v>50</v>
      </c>
      <c r="D129" s="6" t="s">
        <v>251</v>
      </c>
      <c r="E129" s="9">
        <v>2.1630000000000001E-5</v>
      </c>
      <c r="F129" s="9">
        <v>2.1500000000000001E-5</v>
      </c>
      <c r="G129" s="2" t="s">
        <v>251</v>
      </c>
      <c r="H129" s="5">
        <v>-2.1626000000000053E-7</v>
      </c>
      <c r="I129" s="6">
        <v>-9.998150716597343E-3</v>
      </c>
    </row>
    <row r="130" spans="2:9" s="2" customFormat="1" x14ac:dyDescent="0.25">
      <c r="B130" s="12">
        <v>42906.925494444447</v>
      </c>
      <c r="C130" s="2" t="s">
        <v>10</v>
      </c>
      <c r="D130" s="6" t="s">
        <v>250</v>
      </c>
      <c r="E130" s="9">
        <v>0.14750000999999999</v>
      </c>
      <c r="F130" s="9">
        <v>0.14796500000000001</v>
      </c>
      <c r="G130" s="2" t="s">
        <v>74</v>
      </c>
      <c r="H130" s="5">
        <v>-5.1725024999976776E-5</v>
      </c>
      <c r="I130" s="6">
        <v>-3.5067811181827566E-4</v>
      </c>
    </row>
    <row r="131" spans="2:9" s="2" customFormat="1" x14ac:dyDescent="0.25">
      <c r="B131" s="12">
        <v>42906.925494444447</v>
      </c>
      <c r="C131" s="2" t="s">
        <v>46</v>
      </c>
      <c r="D131" s="6" t="s">
        <v>250</v>
      </c>
      <c r="E131" s="9">
        <v>6.2470000000000003E-5</v>
      </c>
      <c r="F131" s="9">
        <v>6.2500000000000001E-5</v>
      </c>
      <c r="G131" s="2" t="s">
        <v>87</v>
      </c>
      <c r="H131" s="5">
        <v>-2.5117500000000018E-7</v>
      </c>
      <c r="I131" s="6">
        <v>-4.0207299503761829E-3</v>
      </c>
    </row>
    <row r="132" spans="2:9" s="2" customFormat="1" x14ac:dyDescent="0.25">
      <c r="B132" s="12">
        <v>42906.925494444447</v>
      </c>
      <c r="C132" s="2" t="s">
        <v>80</v>
      </c>
      <c r="D132" s="6" t="s">
        <v>86</v>
      </c>
      <c r="E132" s="9">
        <v>1.142E-2</v>
      </c>
      <c r="F132" s="9">
        <v>1.145028E-2</v>
      </c>
      <c r="G132" s="2" t="s">
        <v>250</v>
      </c>
      <c r="H132" s="5">
        <v>-2.8037699999998791E-5</v>
      </c>
      <c r="I132" s="6">
        <v>-2.4551401050787033E-3</v>
      </c>
    </row>
    <row r="133" spans="2:9" s="2" customFormat="1" x14ac:dyDescent="0.25">
      <c r="B133" s="12">
        <v>42906.925494444447</v>
      </c>
      <c r="C133" s="2" t="s">
        <v>25</v>
      </c>
      <c r="D133" s="6" t="s">
        <v>87</v>
      </c>
      <c r="E133" s="4">
        <v>1.9599999999999999E-3</v>
      </c>
      <c r="F133" s="4">
        <v>1.8400000000000001E-3</v>
      </c>
      <c r="G133" s="2" t="s">
        <v>87</v>
      </c>
      <c r="H133" s="5">
        <v>-1.2760000000000007E-4</v>
      </c>
      <c r="I133" s="6">
        <v>-6.5102040816326562E-2</v>
      </c>
    </row>
    <row r="134" spans="2:9" s="2" customFormat="1" x14ac:dyDescent="0.25">
      <c r="B134" s="12">
        <v>42906.925494444447</v>
      </c>
      <c r="C134" s="2" t="s">
        <v>70</v>
      </c>
      <c r="D134" s="6" t="s">
        <v>72</v>
      </c>
      <c r="E134" s="4">
        <v>164401.480457</v>
      </c>
      <c r="F134" s="4">
        <v>169038.2568</v>
      </c>
      <c r="G134" s="2" t="s">
        <v>69</v>
      </c>
      <c r="H134" s="5">
        <v>3969.8968684859865</v>
      </c>
      <c r="I134" s="6">
        <v>2.4147573716797106E-2</v>
      </c>
    </row>
    <row r="135" spans="2:9" s="2" customFormat="1" x14ac:dyDescent="0.25">
      <c r="B135" s="12"/>
      <c r="D135" s="6"/>
      <c r="E135" s="4"/>
      <c r="F135" s="4"/>
      <c r="H135" s="5"/>
      <c r="I135" s="6"/>
    </row>
    <row r="136" spans="2:9" s="2" customFormat="1" x14ac:dyDescent="0.25">
      <c r="B136" s="12"/>
      <c r="D136" s="6"/>
      <c r="E136" s="4"/>
      <c r="F136" s="4"/>
      <c r="H136" s="5"/>
      <c r="I136" s="6"/>
    </row>
    <row r="137" spans="2:9" s="2" customFormat="1" x14ac:dyDescent="0.25">
      <c r="B137" s="12">
        <v>42906.923853125001</v>
      </c>
      <c r="C137" s="2" t="s">
        <v>6</v>
      </c>
      <c r="D137" s="6" t="s">
        <v>86</v>
      </c>
      <c r="E137" s="9">
        <v>1.5583E-2</v>
      </c>
      <c r="F137" s="9">
        <v>1.6200010000000001E-2</v>
      </c>
      <c r="G137" s="2" t="s">
        <v>251</v>
      </c>
      <c r="H137" s="5">
        <v>5.4409418000000119E-4</v>
      </c>
      <c r="I137" s="6">
        <v>3.4915881409228085E-2</v>
      </c>
    </row>
    <row r="138" spans="2:9" s="2" customFormat="1" x14ac:dyDescent="0.25">
      <c r="B138" s="12">
        <v>42906.923853125001</v>
      </c>
      <c r="C138" s="2" t="s">
        <v>35</v>
      </c>
      <c r="D138" s="6" t="s">
        <v>11</v>
      </c>
      <c r="E138" s="9">
        <v>1.15E-6</v>
      </c>
      <c r="F138" s="9">
        <v>1.1599999999999999E-6</v>
      </c>
      <c r="G138" s="2" t="s">
        <v>251</v>
      </c>
      <c r="H138" s="5">
        <v>4.8049999999998634E-9</v>
      </c>
      <c r="I138" s="6">
        <v>4.1782608695650984E-3</v>
      </c>
    </row>
    <row r="139" spans="2:9" s="2" customFormat="1" x14ac:dyDescent="0.25">
      <c r="B139" s="12">
        <v>42906.923853125001</v>
      </c>
      <c r="C139" s="2" t="s">
        <v>4</v>
      </c>
      <c r="D139" s="6" t="s">
        <v>86</v>
      </c>
      <c r="E139" s="9">
        <v>0.12581000000000001</v>
      </c>
      <c r="F139" s="9">
        <v>0.13200000000000001</v>
      </c>
      <c r="G139" s="2" t="s">
        <v>11</v>
      </c>
      <c r="H139" s="5">
        <v>5.5328940000000104E-3</v>
      </c>
      <c r="I139" s="6">
        <v>4.3978173436133937E-2</v>
      </c>
    </row>
    <row r="140" spans="2:9" s="2" customFormat="1" x14ac:dyDescent="0.25">
      <c r="B140" s="12">
        <v>42906.923853125001</v>
      </c>
      <c r="C140" s="2" t="s">
        <v>33</v>
      </c>
      <c r="D140" s="6" t="s">
        <v>250</v>
      </c>
      <c r="E140" s="9">
        <v>6.8328399999999997E-2</v>
      </c>
      <c r="F140" s="9">
        <v>6.8439112163200005E-2</v>
      </c>
      <c r="G140" s="2" t="s">
        <v>72</v>
      </c>
      <c r="H140" s="5">
        <v>-1.9698706112639131E-4</v>
      </c>
      <c r="I140" s="6">
        <v>-2.8829456145086276E-3</v>
      </c>
    </row>
    <row r="141" spans="2:9" s="2" customFormat="1" x14ac:dyDescent="0.25">
      <c r="B141" s="12">
        <v>42906.923853125001</v>
      </c>
      <c r="C141" s="2" t="s">
        <v>8</v>
      </c>
      <c r="D141" s="6" t="s">
        <v>86</v>
      </c>
      <c r="E141" s="9">
        <v>1.9148999999999999E-2</v>
      </c>
      <c r="F141" s="9">
        <v>1.9155999999999999E-2</v>
      </c>
      <c r="G141" s="2" t="s">
        <v>74</v>
      </c>
      <c r="H141" s="5">
        <v>-6.1943400000000204E-5</v>
      </c>
      <c r="I141" s="6">
        <v>-3.2348112172959531E-3</v>
      </c>
    </row>
    <row r="142" spans="2:9" s="2" customFormat="1" x14ac:dyDescent="0.25">
      <c r="B142" s="12">
        <v>42906.923853125001</v>
      </c>
      <c r="C142" s="2" t="s">
        <v>3</v>
      </c>
      <c r="D142" s="6" t="s">
        <v>250</v>
      </c>
      <c r="E142" s="9">
        <v>7.3931300000000004E-3</v>
      </c>
      <c r="F142" s="9">
        <v>7.4150300000000004E-3</v>
      </c>
      <c r="G142" s="2" t="s">
        <v>251</v>
      </c>
      <c r="H142" s="5">
        <v>-1.1412885000000074E-5</v>
      </c>
      <c r="I142" s="6">
        <v>-1.5437149083000127E-3</v>
      </c>
    </row>
    <row r="143" spans="2:9" s="2" customFormat="1" x14ac:dyDescent="0.25">
      <c r="B143" s="12">
        <v>42906.923853125001</v>
      </c>
      <c r="C143" s="2" t="s">
        <v>21</v>
      </c>
      <c r="D143" s="6" t="s">
        <v>250</v>
      </c>
      <c r="E143" s="9">
        <v>2776</v>
      </c>
      <c r="F143" s="9">
        <v>2763.6470115799998</v>
      </c>
      <c r="G143" s="2" t="s">
        <v>250</v>
      </c>
      <c r="H143" s="5">
        <v>-26.202105948950248</v>
      </c>
      <c r="I143" s="6">
        <v>-9.4387989729647868E-3</v>
      </c>
    </row>
    <row r="144" spans="2:9" s="2" customFormat="1" x14ac:dyDescent="0.25">
      <c r="B144" s="12">
        <v>42906.923853125001</v>
      </c>
      <c r="C144" s="2" t="s">
        <v>50</v>
      </c>
      <c r="D144" s="6" t="s">
        <v>251</v>
      </c>
      <c r="E144" s="9">
        <v>2.1630000000000001E-5</v>
      </c>
      <c r="F144" s="9">
        <v>2.1489999999999999E-5</v>
      </c>
      <c r="G144" s="2" t="s">
        <v>251</v>
      </c>
      <c r="H144" s="5">
        <v>-2.2624000000000412E-7</v>
      </c>
      <c r="I144" s="6">
        <v>-1.0459546925566533E-2</v>
      </c>
    </row>
    <row r="145" spans="2:9" s="2" customFormat="1" x14ac:dyDescent="0.25">
      <c r="B145" s="12">
        <v>42906.923853125001</v>
      </c>
      <c r="C145" s="2" t="s">
        <v>10</v>
      </c>
      <c r="D145" s="6" t="s">
        <v>74</v>
      </c>
      <c r="E145" s="9">
        <v>0.14680099999999999</v>
      </c>
      <c r="F145" s="9">
        <v>0.14718200000000001</v>
      </c>
      <c r="G145" s="2" t="s">
        <v>86</v>
      </c>
      <c r="H145" s="5">
        <v>-1.4847419999997058E-4</v>
      </c>
      <c r="I145" s="6">
        <v>-1.0113977425219897E-3</v>
      </c>
    </row>
    <row r="146" spans="2:9" s="2" customFormat="1" x14ac:dyDescent="0.25">
      <c r="B146" s="12">
        <v>42906.923853125001</v>
      </c>
      <c r="C146" s="2" t="s">
        <v>46</v>
      </c>
      <c r="D146" s="6" t="s">
        <v>74</v>
      </c>
      <c r="E146" s="9">
        <v>6.3429999999999994E-5</v>
      </c>
      <c r="F146" s="9">
        <v>6.3449999999999997E-5</v>
      </c>
      <c r="G146" s="2" t="s">
        <v>250</v>
      </c>
      <c r="H146" s="5">
        <v>-2.0205500000000632E-7</v>
      </c>
      <c r="I146" s="6">
        <v>-3.1854800567555782E-3</v>
      </c>
    </row>
    <row r="147" spans="2:9" s="2" customFormat="1" x14ac:dyDescent="0.25">
      <c r="B147" s="12">
        <v>42906.923853125001</v>
      </c>
      <c r="C147" s="2" t="s">
        <v>80</v>
      </c>
      <c r="D147" s="6" t="s">
        <v>86</v>
      </c>
      <c r="E147" s="9">
        <v>1.1423000000000001E-2</v>
      </c>
      <c r="F147" s="9">
        <v>1.1451029999999999E-2</v>
      </c>
      <c r="G147" s="2" t="s">
        <v>250</v>
      </c>
      <c r="H147" s="5">
        <v>-3.0297375000001847E-5</v>
      </c>
      <c r="I147" s="6">
        <v>-2.6523133152413416E-3</v>
      </c>
    </row>
    <row r="148" spans="2:9" s="2" customFormat="1" x14ac:dyDescent="0.25">
      <c r="B148" s="12">
        <v>42906.923853125001</v>
      </c>
      <c r="C148" s="2" t="s">
        <v>25</v>
      </c>
      <c r="D148" s="6" t="s">
        <v>87</v>
      </c>
      <c r="E148" s="4">
        <v>1.9599999999999999E-3</v>
      </c>
      <c r="F148" s="4">
        <v>1.8400000000000001E-3</v>
      </c>
      <c r="G148" s="2" t="s">
        <v>87</v>
      </c>
      <c r="H148" s="5">
        <v>-1.2760000000000007E-4</v>
      </c>
      <c r="I148" s="6">
        <v>-6.5102040816326562E-2</v>
      </c>
    </row>
    <row r="149" spans="2:9" s="2" customFormat="1" x14ac:dyDescent="0.25">
      <c r="B149" s="12">
        <v>42906.923853125001</v>
      </c>
      <c r="C149" s="2" t="s">
        <v>70</v>
      </c>
      <c r="D149" s="6" t="s">
        <v>72</v>
      </c>
      <c r="E149" s="4">
        <v>164001</v>
      </c>
      <c r="F149" s="4">
        <v>169038.2568</v>
      </c>
      <c r="G149" s="2" t="s">
        <v>69</v>
      </c>
      <c r="H149" s="5">
        <v>4371.1782863999833</v>
      </c>
      <c r="I149" s="6">
        <v>2.6653363616075409E-2</v>
      </c>
    </row>
    <row r="150" spans="2:9" s="2" customFormat="1" x14ac:dyDescent="0.25">
      <c r="B150" s="12"/>
      <c r="D150" s="6"/>
      <c r="E150" s="4"/>
      <c r="F150" s="4"/>
      <c r="H150" s="5"/>
      <c r="I150" s="6"/>
    </row>
    <row r="151" spans="2:9" s="2" customFormat="1" x14ac:dyDescent="0.25">
      <c r="B151" s="12"/>
      <c r="D151" s="6"/>
      <c r="E151" s="4"/>
      <c r="F151" s="4"/>
      <c r="H151" s="5"/>
      <c r="I151" s="6"/>
    </row>
    <row r="152" spans="2:9" s="2" customFormat="1" x14ac:dyDescent="0.25">
      <c r="B152" s="12">
        <v>42906.92170590278</v>
      </c>
      <c r="C152" s="2" t="s">
        <v>6</v>
      </c>
      <c r="D152" s="6" t="s">
        <v>250</v>
      </c>
      <c r="E152" s="9">
        <v>1.5810009999999999E-2</v>
      </c>
      <c r="F152" s="9">
        <v>1.6200010000000001E-2</v>
      </c>
      <c r="G152" s="2" t="s">
        <v>251</v>
      </c>
      <c r="H152" s="5">
        <v>3.1807495500000074E-4</v>
      </c>
      <c r="I152" s="6">
        <v>2.0118580253902479E-2</v>
      </c>
    </row>
    <row r="153" spans="2:9" s="2" customFormat="1" x14ac:dyDescent="0.25">
      <c r="B153" s="12">
        <v>42906.92170590278</v>
      </c>
      <c r="C153" s="2" t="s">
        <v>35</v>
      </c>
      <c r="D153" s="6" t="s">
        <v>11</v>
      </c>
      <c r="E153" s="9">
        <v>1.15E-6</v>
      </c>
      <c r="F153" s="9">
        <v>1.1599999999999999E-6</v>
      </c>
      <c r="G153" s="2" t="s">
        <v>251</v>
      </c>
      <c r="H153" s="5">
        <v>4.8049999999998634E-9</v>
      </c>
      <c r="I153" s="6">
        <v>4.1782608695650984E-3</v>
      </c>
    </row>
    <row r="154" spans="2:9" s="2" customFormat="1" x14ac:dyDescent="0.25">
      <c r="B154" s="12">
        <v>42906.92170590278</v>
      </c>
      <c r="C154" s="2" t="s">
        <v>4</v>
      </c>
      <c r="D154" s="6" t="s">
        <v>0</v>
      </c>
      <c r="E154" s="9">
        <v>0.12695999999999999</v>
      </c>
      <c r="F154" s="9">
        <v>0.13101341</v>
      </c>
      <c r="G154" s="2" t="s">
        <v>11</v>
      </c>
      <c r="H154" s="5">
        <v>3.4719564750000098E-3</v>
      </c>
      <c r="I154" s="6">
        <v>2.7346853142722196E-2</v>
      </c>
    </row>
    <row r="155" spans="2:9" s="2" customFormat="1" x14ac:dyDescent="0.25">
      <c r="B155" s="12">
        <v>42906.92170590278</v>
      </c>
      <c r="C155" s="2" t="s">
        <v>33</v>
      </c>
      <c r="D155" s="6" t="s">
        <v>74</v>
      </c>
      <c r="E155" s="9">
        <v>6.8380999999999997E-2</v>
      </c>
      <c r="F155" s="9">
        <v>6.8319184818999998E-2</v>
      </c>
      <c r="G155" s="2" t="s">
        <v>72</v>
      </c>
      <c r="H155" s="5">
        <v>-2.6683455063800099E-4</v>
      </c>
      <c r="I155" s="6">
        <v>-3.9021738587911993E-3</v>
      </c>
    </row>
    <row r="156" spans="2:9" s="2" customFormat="1" x14ac:dyDescent="0.25">
      <c r="B156" s="12">
        <v>42906.92170590278</v>
      </c>
      <c r="C156" s="2" t="s">
        <v>8</v>
      </c>
      <c r="D156" s="6" t="s">
        <v>250</v>
      </c>
      <c r="E156" s="9">
        <v>1.9112090000000002E-2</v>
      </c>
      <c r="F156" s="9">
        <v>1.915E-2</v>
      </c>
      <c r="G156" s="2" t="s">
        <v>87</v>
      </c>
      <c r="H156" s="5">
        <v>-4.8170225000001426E-5</v>
      </c>
      <c r="I156" s="6">
        <v>-2.5204059315334652E-3</v>
      </c>
    </row>
    <row r="157" spans="2:9" s="2" customFormat="1" x14ac:dyDescent="0.25">
      <c r="B157" s="12">
        <v>42906.92170590278</v>
      </c>
      <c r="C157" s="2" t="s">
        <v>3</v>
      </c>
      <c r="D157" s="6" t="s">
        <v>86</v>
      </c>
      <c r="E157" s="9">
        <v>7.4126900000000004E-3</v>
      </c>
      <c r="F157" s="9">
        <v>7.4387000000000003E-3</v>
      </c>
      <c r="G157" s="2" t="s">
        <v>11</v>
      </c>
      <c r="H157" s="5">
        <v>-1.1859743999999978E-5</v>
      </c>
      <c r="I157" s="6">
        <v>-1.5999244538757154E-3</v>
      </c>
    </row>
    <row r="158" spans="2:9" s="2" customFormat="1" x14ac:dyDescent="0.25">
      <c r="B158" s="12">
        <v>42906.92170590278</v>
      </c>
      <c r="C158" s="2" t="s">
        <v>21</v>
      </c>
      <c r="D158" s="6" t="s">
        <v>250</v>
      </c>
      <c r="E158" s="9">
        <v>2778.9680127900001</v>
      </c>
      <c r="F158" s="9">
        <v>2778.8090285600001</v>
      </c>
      <c r="G158" s="2" t="s">
        <v>250</v>
      </c>
      <c r="H158" s="5">
        <v>-14.053426833374942</v>
      </c>
      <c r="I158" s="6">
        <v>-5.0570667847542891E-3</v>
      </c>
    </row>
    <row r="159" spans="2:9" s="2" customFormat="1" x14ac:dyDescent="0.25">
      <c r="B159" s="12">
        <v>42906.92170590278</v>
      </c>
      <c r="C159" s="2" t="s">
        <v>50</v>
      </c>
      <c r="D159" s="6" t="s">
        <v>251</v>
      </c>
      <c r="E159" s="9">
        <v>2.1659999999999999E-5</v>
      </c>
      <c r="F159" s="9">
        <v>2.1489999999999999E-5</v>
      </c>
      <c r="G159" s="2" t="s">
        <v>251</v>
      </c>
      <c r="H159" s="5">
        <v>-2.5630000000000295E-7</v>
      </c>
      <c r="I159" s="6">
        <v>-1.1832871652816388E-2</v>
      </c>
    </row>
    <row r="160" spans="2:9" s="2" customFormat="1" x14ac:dyDescent="0.25">
      <c r="B160" s="12">
        <v>42906.92170590278</v>
      </c>
      <c r="C160" s="2" t="s">
        <v>10</v>
      </c>
      <c r="D160" s="6" t="s">
        <v>74</v>
      </c>
      <c r="E160" s="9">
        <v>0.14796100000000001</v>
      </c>
      <c r="F160" s="9">
        <v>0.14799999999999999</v>
      </c>
      <c r="G160" s="2" t="s">
        <v>0</v>
      </c>
      <c r="H160" s="5">
        <v>-4.0496100000000923E-4</v>
      </c>
      <c r="I160" s="6">
        <v>-2.7369441947540851E-3</v>
      </c>
    </row>
    <row r="161" spans="2:9" s="2" customFormat="1" x14ac:dyDescent="0.25">
      <c r="B161" s="12">
        <v>42906.92170590278</v>
      </c>
      <c r="C161" s="2" t="s">
        <v>46</v>
      </c>
      <c r="D161" s="6" t="s">
        <v>250</v>
      </c>
      <c r="E161" s="9">
        <v>6.3230000000000003E-5</v>
      </c>
      <c r="F161" s="9">
        <v>6.3059999999999996E-5</v>
      </c>
      <c r="G161" s="2" t="s">
        <v>11</v>
      </c>
      <c r="H161" s="5">
        <v>-4.8572500000000965E-7</v>
      </c>
      <c r="I161" s="6">
        <v>-7.6818756919185454E-3</v>
      </c>
    </row>
    <row r="162" spans="2:9" s="2" customFormat="1" x14ac:dyDescent="0.25">
      <c r="B162" s="12">
        <v>42906.92170590278</v>
      </c>
      <c r="C162" s="2" t="s">
        <v>80</v>
      </c>
      <c r="D162" s="6" t="s">
        <v>86</v>
      </c>
      <c r="E162" s="9">
        <v>1.1431999999999999E-2</v>
      </c>
      <c r="F162" s="9">
        <v>1.14425E-2</v>
      </c>
      <c r="G162" s="2" t="s">
        <v>250</v>
      </c>
      <c r="H162" s="5">
        <v>-4.7829450000000037E-5</v>
      </c>
      <c r="I162" s="6">
        <v>-4.1838217284814591E-3</v>
      </c>
    </row>
    <row r="163" spans="2:9" s="2" customFormat="1" x14ac:dyDescent="0.25">
      <c r="B163" s="12">
        <v>42906.92170590278</v>
      </c>
      <c r="C163" s="2" t="s">
        <v>25</v>
      </c>
      <c r="D163" s="6" t="s">
        <v>87</v>
      </c>
      <c r="E163" s="4">
        <v>1.9599999999999999E-3</v>
      </c>
      <c r="F163" s="4">
        <v>1.8400000000000001E-3</v>
      </c>
      <c r="G163" s="2" t="s">
        <v>87</v>
      </c>
      <c r="H163" s="5">
        <v>-1.2760000000000007E-4</v>
      </c>
      <c r="I163" s="6">
        <v>-6.5102040816326562E-2</v>
      </c>
    </row>
    <row r="164" spans="2:9" s="2" customFormat="1" x14ac:dyDescent="0.25">
      <c r="B164" s="12">
        <v>42906.92170590278</v>
      </c>
      <c r="C164" s="2" t="s">
        <v>70</v>
      </c>
      <c r="D164" s="6" t="s">
        <v>72</v>
      </c>
      <c r="E164" s="4">
        <v>163997.37285700001</v>
      </c>
      <c r="F164" s="4">
        <v>170102.60079999999</v>
      </c>
      <c r="G164" s="2" t="s">
        <v>69</v>
      </c>
      <c r="H164" s="5">
        <v>5437.0279956859595</v>
      </c>
      <c r="I164" s="6">
        <v>3.3153140815413297E-2</v>
      </c>
    </row>
    <row r="165" spans="2:9" s="2" customFormat="1" x14ac:dyDescent="0.25">
      <c r="B165" s="12"/>
      <c r="D165" s="6"/>
      <c r="E165" s="4"/>
      <c r="F165" s="4"/>
      <c r="H165" s="5"/>
      <c r="I165" s="6"/>
    </row>
    <row r="166" spans="2:9" s="2" customFormat="1" x14ac:dyDescent="0.25">
      <c r="B166" s="12"/>
      <c r="D166" s="6"/>
      <c r="E166" s="4"/>
      <c r="F166" s="4"/>
      <c r="H166" s="5"/>
      <c r="I166" s="6"/>
    </row>
    <row r="167" spans="2:9" s="2" customFormat="1" x14ac:dyDescent="0.25">
      <c r="B167" s="12">
        <v>42906.912579050928</v>
      </c>
      <c r="C167" s="2" t="s">
        <v>6</v>
      </c>
      <c r="D167" s="6" t="s">
        <v>86</v>
      </c>
      <c r="E167" s="9">
        <v>1.5883000000000001E-2</v>
      </c>
      <c r="F167" s="9">
        <v>1.620009E-2</v>
      </c>
      <c r="G167" s="2" t="s">
        <v>251</v>
      </c>
      <c r="H167" s="5">
        <v>2.4339401999999913E-4</v>
      </c>
      <c r="I167" s="6">
        <v>1.5324184348045023E-2</v>
      </c>
    </row>
    <row r="168" spans="2:9" s="2" customFormat="1" x14ac:dyDescent="0.25">
      <c r="B168" s="12">
        <v>42906.912579050928</v>
      </c>
      <c r="C168" s="2" t="s">
        <v>35</v>
      </c>
      <c r="D168" s="6" t="s">
        <v>11</v>
      </c>
      <c r="E168" s="9">
        <v>1.15E-6</v>
      </c>
      <c r="F168" s="9">
        <v>1.17E-6</v>
      </c>
      <c r="G168" s="2" t="s">
        <v>251</v>
      </c>
      <c r="H168" s="5">
        <v>1.4785000000000063E-8</v>
      </c>
      <c r="I168" s="6">
        <v>1.2856521739130489E-2</v>
      </c>
    </row>
    <row r="169" spans="2:9" s="2" customFormat="1" x14ac:dyDescent="0.25">
      <c r="B169" s="12">
        <v>42906.912579050928</v>
      </c>
      <c r="C169" s="2" t="s">
        <v>4</v>
      </c>
      <c r="D169" s="6" t="s">
        <v>74</v>
      </c>
      <c r="E169" s="9">
        <v>0.12678800000000001</v>
      </c>
      <c r="F169" s="9">
        <v>0.13500000000000001</v>
      </c>
      <c r="G169" s="2" t="s">
        <v>251</v>
      </c>
      <c r="H169" s="5">
        <v>7.8152120000000158E-3</v>
      </c>
      <c r="I169" s="6">
        <v>6.1639997476101958E-2</v>
      </c>
    </row>
    <row r="170" spans="2:9" s="2" customFormat="1" x14ac:dyDescent="0.25">
      <c r="B170" s="12">
        <v>42906.912579050928</v>
      </c>
      <c r="C170" s="2" t="s">
        <v>33</v>
      </c>
      <c r="D170" s="6" t="s">
        <v>250</v>
      </c>
      <c r="E170" s="9">
        <v>6.8000000000000005E-2</v>
      </c>
      <c r="F170" s="9">
        <v>6.8163060502399994E-2</v>
      </c>
      <c r="G170" s="2" t="s">
        <v>251</v>
      </c>
      <c r="H170" s="5">
        <v>-1.432656186048098E-4</v>
      </c>
      <c r="I170" s="6">
        <v>-2.1068473324236735E-3</v>
      </c>
    </row>
    <row r="171" spans="2:9" s="2" customFormat="1" x14ac:dyDescent="0.25">
      <c r="B171" s="12">
        <v>42906.912579050928</v>
      </c>
      <c r="C171" s="2" t="s">
        <v>8</v>
      </c>
      <c r="D171" s="6" t="s">
        <v>74</v>
      </c>
      <c r="E171" s="9">
        <v>1.9323E-2</v>
      </c>
      <c r="F171" s="9">
        <v>1.9343849999999999E-2</v>
      </c>
      <c r="G171" s="2" t="s">
        <v>250</v>
      </c>
      <c r="H171" s="5">
        <v>-4.6832625000003264E-5</v>
      </c>
      <c r="I171" s="6">
        <v>-2.4236725663718504E-3</v>
      </c>
    </row>
    <row r="172" spans="2:9" s="2" customFormat="1" x14ac:dyDescent="0.25">
      <c r="B172" s="12">
        <v>42906.912579050928</v>
      </c>
      <c r="C172" s="2" t="s">
        <v>3</v>
      </c>
      <c r="D172" s="6" t="s">
        <v>86</v>
      </c>
      <c r="E172" s="9">
        <v>7.4681900000000004E-3</v>
      </c>
      <c r="F172" s="9">
        <v>7.4799899999999997E-3</v>
      </c>
      <c r="G172" s="2" t="s">
        <v>250</v>
      </c>
      <c r="H172" s="5">
        <v>-2.6317269000000754E-5</v>
      </c>
      <c r="I172" s="6">
        <v>-3.5239152994233879E-3</v>
      </c>
    </row>
    <row r="173" spans="2:9" s="2" customFormat="1" x14ac:dyDescent="0.25">
      <c r="B173" s="12">
        <v>42906.912579050928</v>
      </c>
      <c r="C173" s="2" t="s">
        <v>21</v>
      </c>
      <c r="D173" s="6" t="s">
        <v>11</v>
      </c>
      <c r="E173" s="9">
        <v>2738.68</v>
      </c>
      <c r="F173" s="9">
        <v>2747</v>
      </c>
      <c r="G173" s="2" t="s">
        <v>250</v>
      </c>
      <c r="H173" s="5">
        <v>-5.3941999999997279</v>
      </c>
      <c r="I173" s="6">
        <v>-1.9696350066454381E-3</v>
      </c>
    </row>
    <row r="174" spans="2:9" s="2" customFormat="1" x14ac:dyDescent="0.25">
      <c r="B174" s="12">
        <v>42906.912579050928</v>
      </c>
      <c r="C174" s="2" t="s">
        <v>50</v>
      </c>
      <c r="D174" s="6" t="s">
        <v>251</v>
      </c>
      <c r="E174" s="9">
        <v>2.177E-5</v>
      </c>
      <c r="F174" s="9">
        <v>2.1489999999999999E-5</v>
      </c>
      <c r="G174" s="2" t="s">
        <v>251</v>
      </c>
      <c r="H174" s="5">
        <v>-3.6652000000000204E-7</v>
      </c>
      <c r="I174" s="6">
        <v>-1.683601286173643E-2</v>
      </c>
    </row>
    <row r="175" spans="2:9" s="2" customFormat="1" x14ac:dyDescent="0.25">
      <c r="B175" s="12">
        <v>42906.912579050928</v>
      </c>
      <c r="C175" s="2" t="s">
        <v>10</v>
      </c>
      <c r="D175" s="6" t="s">
        <v>86</v>
      </c>
      <c r="E175" s="9">
        <v>0.14982599999999999</v>
      </c>
      <c r="F175" s="9">
        <v>0.15000000999999999</v>
      </c>
      <c r="G175" s="2" t="s">
        <v>251</v>
      </c>
      <c r="H175" s="5">
        <v>-5.1553762000000614E-4</v>
      </c>
      <c r="I175" s="6">
        <v>-3.4409089210150853E-3</v>
      </c>
    </row>
    <row r="176" spans="2:9" s="2" customFormat="1" x14ac:dyDescent="0.25">
      <c r="B176" s="12">
        <v>42906.912579050928</v>
      </c>
      <c r="C176" s="2" t="s">
        <v>46</v>
      </c>
      <c r="D176" s="6" t="s">
        <v>74</v>
      </c>
      <c r="E176" s="9">
        <v>6.2890000000000003E-5</v>
      </c>
      <c r="F176" s="9">
        <v>6.3050000000000001E-5</v>
      </c>
      <c r="G176" s="2" t="s">
        <v>11</v>
      </c>
      <c r="H176" s="5">
        <v>-6.0514999999998183E-8</v>
      </c>
      <c r="I176" s="6">
        <v>-9.6223564954679881E-4</v>
      </c>
    </row>
    <row r="177" spans="2:9" s="2" customFormat="1" x14ac:dyDescent="0.25">
      <c r="B177" s="12">
        <v>42906.912579050928</v>
      </c>
      <c r="C177" s="2" t="s">
        <v>80</v>
      </c>
      <c r="D177" s="6" t="s">
        <v>86</v>
      </c>
      <c r="E177" s="9">
        <v>1.1478E-2</v>
      </c>
      <c r="F177" s="9">
        <v>1.145003E-2</v>
      </c>
      <c r="G177" s="2" t="s">
        <v>250</v>
      </c>
      <c r="H177" s="5">
        <v>-8.6437875000001246E-5</v>
      </c>
      <c r="I177" s="6">
        <v>-7.5307435964454819E-3</v>
      </c>
    </row>
    <row r="178" spans="2:9" s="2" customFormat="1" x14ac:dyDescent="0.25">
      <c r="B178" s="12">
        <v>42906.912579050928</v>
      </c>
      <c r="C178" s="2" t="s">
        <v>25</v>
      </c>
      <c r="D178" s="6" t="s">
        <v>87</v>
      </c>
      <c r="E178" s="4">
        <v>1.9599999999999999E-3</v>
      </c>
      <c r="F178" s="4">
        <v>1.8400000000000001E-3</v>
      </c>
      <c r="G178" s="2" t="s">
        <v>87</v>
      </c>
      <c r="H178" s="5">
        <v>-1.2760000000000007E-4</v>
      </c>
      <c r="I178" s="6">
        <v>-6.5102040816326562E-2</v>
      </c>
    </row>
    <row r="179" spans="2:9" s="2" customFormat="1" x14ac:dyDescent="0.25">
      <c r="B179" s="12">
        <v>42906.912579050928</v>
      </c>
      <c r="C179" s="2" t="s">
        <v>70</v>
      </c>
      <c r="D179" s="6" t="s">
        <v>72</v>
      </c>
      <c r="E179" s="4">
        <v>162999.959596</v>
      </c>
      <c r="F179" s="4">
        <v>167963.4008</v>
      </c>
      <c r="G179" s="2" t="s">
        <v>69</v>
      </c>
      <c r="H179" s="5">
        <v>4301.5144832080114</v>
      </c>
      <c r="I179" s="6">
        <v>2.6389665947583279E-2</v>
      </c>
    </row>
    <row r="180" spans="2:9" s="2" customFormat="1" x14ac:dyDescent="0.25">
      <c r="B180" s="12"/>
      <c r="D180" s="6"/>
      <c r="E180" s="4"/>
      <c r="F180" s="4"/>
      <c r="H180" s="5"/>
      <c r="I180" s="6"/>
    </row>
    <row r="181" spans="2:9" s="2" customFormat="1" x14ac:dyDescent="0.25">
      <c r="B181" s="12"/>
      <c r="D181" s="6"/>
      <c r="E181" s="4"/>
      <c r="F181" s="4"/>
      <c r="H181" s="5"/>
      <c r="I181" s="6"/>
    </row>
    <row r="182" spans="2:9" s="2" customFormat="1" x14ac:dyDescent="0.25">
      <c r="B182" s="12">
        <v>42906.908119560183</v>
      </c>
      <c r="C182" s="2" t="s">
        <v>6</v>
      </c>
      <c r="D182" s="6" t="s">
        <v>74</v>
      </c>
      <c r="E182" s="9">
        <v>1.5938000000000001E-2</v>
      </c>
      <c r="F182" s="9">
        <v>1.62082853954E-2</v>
      </c>
      <c r="G182" s="2" t="s">
        <v>72</v>
      </c>
      <c r="H182" s="5">
        <v>2.2193082460919902E-4</v>
      </c>
      <c r="I182" s="6">
        <v>1.3924634496749844E-2</v>
      </c>
    </row>
    <row r="183" spans="2:9" s="2" customFormat="1" x14ac:dyDescent="0.25">
      <c r="B183" s="12">
        <v>42906.908119560183</v>
      </c>
      <c r="C183" s="2" t="s">
        <v>35</v>
      </c>
      <c r="D183" s="6" t="s">
        <v>11</v>
      </c>
      <c r="E183" s="9">
        <v>1.1400000000000001E-6</v>
      </c>
      <c r="F183" s="9">
        <v>1.17E-6</v>
      </c>
      <c r="G183" s="2" t="s">
        <v>251</v>
      </c>
      <c r="H183" s="5">
        <v>2.4810000000000022E-8</v>
      </c>
      <c r="I183" s="6">
        <v>2.1763157894736859E-2</v>
      </c>
    </row>
    <row r="184" spans="2:9" s="2" customFormat="1" x14ac:dyDescent="0.25">
      <c r="B184" s="12">
        <v>42906.908119560183</v>
      </c>
      <c r="C184" s="2" t="s">
        <v>4</v>
      </c>
      <c r="D184" s="6" t="s">
        <v>0</v>
      </c>
      <c r="E184" s="9">
        <v>0.12895683999999999</v>
      </c>
      <c r="F184" s="9">
        <v>0.13532002000000001</v>
      </c>
      <c r="G184" s="2" t="s">
        <v>251</v>
      </c>
      <c r="H184" s="5">
        <v>5.8346262800000326E-3</v>
      </c>
      <c r="I184" s="6">
        <v>4.5244798802452302E-2</v>
      </c>
    </row>
    <row r="185" spans="2:9" s="2" customFormat="1" x14ac:dyDescent="0.25">
      <c r="B185" s="12">
        <v>42906.908119560183</v>
      </c>
      <c r="C185" s="2" t="s">
        <v>33</v>
      </c>
      <c r="D185" s="6" t="s">
        <v>74</v>
      </c>
      <c r="E185" s="9">
        <v>6.7309999999999995E-2</v>
      </c>
      <c r="F185" s="9">
        <v>6.8044075581899996E-2</v>
      </c>
      <c r="G185" s="2" t="s">
        <v>72</v>
      </c>
      <c r="H185" s="5">
        <v>5.3067743073620388E-4</v>
      </c>
      <c r="I185" s="6">
        <v>7.8840800881920057E-3</v>
      </c>
    </row>
    <row r="186" spans="2:9" s="2" customFormat="1" x14ac:dyDescent="0.25">
      <c r="B186" s="12">
        <v>42906.908119560183</v>
      </c>
      <c r="C186" s="2" t="s">
        <v>8</v>
      </c>
      <c r="D186" s="6" t="s">
        <v>250</v>
      </c>
      <c r="E186" s="9">
        <v>1.91898E-2</v>
      </c>
      <c r="F186" s="9">
        <v>1.9212E-2</v>
      </c>
      <c r="G186" s="2" t="s">
        <v>74</v>
      </c>
      <c r="H186" s="5">
        <v>-4.4986500000000068E-5</v>
      </c>
      <c r="I186" s="6">
        <v>-2.3442922802738991E-3</v>
      </c>
    </row>
    <row r="187" spans="2:9" s="2" customFormat="1" x14ac:dyDescent="0.25">
      <c r="B187" s="12">
        <v>42906.908119560183</v>
      </c>
      <c r="C187" s="2" t="s">
        <v>3</v>
      </c>
      <c r="D187" s="6" t="s">
        <v>0</v>
      </c>
      <c r="E187" s="9">
        <v>7.3990000000000002E-3</v>
      </c>
      <c r="F187" s="9">
        <v>7.4489999999999999E-3</v>
      </c>
      <c r="G187" s="2" t="s">
        <v>74</v>
      </c>
      <c r="H187" s="5">
        <v>2.7753000000000153E-5</v>
      </c>
      <c r="I187" s="6">
        <v>3.7509122854439995E-3</v>
      </c>
    </row>
    <row r="188" spans="2:9" s="2" customFormat="1" x14ac:dyDescent="0.25">
      <c r="B188" s="12">
        <v>42906.908119560183</v>
      </c>
      <c r="C188" s="2" t="s">
        <v>21</v>
      </c>
      <c r="D188" s="6" t="s">
        <v>250</v>
      </c>
      <c r="E188" s="9">
        <v>2734.99999996</v>
      </c>
      <c r="F188" s="9">
        <v>2730</v>
      </c>
      <c r="G188" s="2" t="s">
        <v>250</v>
      </c>
      <c r="H188" s="5">
        <v>-18.662499959899833</v>
      </c>
      <c r="I188" s="6">
        <v>-6.8235831664251465E-3</v>
      </c>
    </row>
    <row r="189" spans="2:9" s="2" customFormat="1" x14ac:dyDescent="0.25">
      <c r="B189" s="12">
        <v>42906.908119560183</v>
      </c>
      <c r="C189" s="2" t="s">
        <v>50</v>
      </c>
      <c r="D189" s="6" t="s">
        <v>251</v>
      </c>
      <c r="E189" s="9">
        <v>2.1849999999999999E-5</v>
      </c>
      <c r="F189" s="9">
        <v>2.1469999999999999E-5</v>
      </c>
      <c r="G189" s="2" t="s">
        <v>251</v>
      </c>
      <c r="H189" s="5">
        <v>-4.6663999999999931E-7</v>
      </c>
      <c r="I189" s="6">
        <v>-2.1356521739130403E-2</v>
      </c>
    </row>
    <row r="190" spans="2:9" s="2" customFormat="1" x14ac:dyDescent="0.25">
      <c r="B190" s="12">
        <v>42906.908119560183</v>
      </c>
      <c r="C190" s="2" t="s">
        <v>10</v>
      </c>
      <c r="D190" s="6" t="s">
        <v>0</v>
      </c>
      <c r="E190" s="9">
        <v>0.14499000000000001</v>
      </c>
      <c r="F190" s="9">
        <v>0.14599999999999999</v>
      </c>
      <c r="G190" s="2" t="s">
        <v>251</v>
      </c>
      <c r="H190" s="5">
        <v>4.2802000000000118E-4</v>
      </c>
      <c r="I190" s="6">
        <v>2.9520656597006771E-3</v>
      </c>
    </row>
    <row r="191" spans="2:9" s="2" customFormat="1" x14ac:dyDescent="0.25">
      <c r="B191" s="12">
        <v>42906.908119560183</v>
      </c>
      <c r="C191" s="2" t="s">
        <v>46</v>
      </c>
      <c r="D191" s="6" t="s">
        <v>250</v>
      </c>
      <c r="E191" s="9">
        <v>6.1229999999999995E-5</v>
      </c>
      <c r="F191" s="9">
        <v>6.1519999999999994E-5</v>
      </c>
      <c r="G191" s="2" t="s">
        <v>11</v>
      </c>
      <c r="H191" s="5">
        <v>-1.687499999999465E-8</v>
      </c>
      <c r="I191" s="6">
        <v>-2.7560019598227422E-4</v>
      </c>
    </row>
    <row r="192" spans="2:9" s="2" customFormat="1" x14ac:dyDescent="0.25">
      <c r="B192" s="12">
        <v>42906.908119560183</v>
      </c>
      <c r="C192" s="2" t="s">
        <v>80</v>
      </c>
      <c r="D192" s="6" t="s">
        <v>86</v>
      </c>
      <c r="E192" s="9">
        <v>1.1601E-2</v>
      </c>
      <c r="F192" s="9">
        <v>1.144004E-2</v>
      </c>
      <c r="G192" s="2" t="s">
        <v>250</v>
      </c>
      <c r="H192" s="5">
        <v>-2.1972269999999926E-4</v>
      </c>
      <c r="I192" s="6">
        <v>-1.8939979312128201E-2</v>
      </c>
    </row>
    <row r="193" spans="2:9" s="2" customFormat="1" x14ac:dyDescent="0.25">
      <c r="B193" s="12">
        <v>42906.908119560183</v>
      </c>
      <c r="C193" s="2" t="s">
        <v>25</v>
      </c>
      <c r="D193" s="6" t="s">
        <v>87</v>
      </c>
      <c r="E193" s="4">
        <v>1.9599999999999999E-3</v>
      </c>
      <c r="F193" s="4">
        <v>1.8400000000000001E-3</v>
      </c>
      <c r="G193" s="2" t="s">
        <v>87</v>
      </c>
      <c r="H193" s="5">
        <v>-1.2760000000000007E-4</v>
      </c>
      <c r="I193" s="6">
        <v>-6.5102040816326562E-2</v>
      </c>
    </row>
    <row r="194" spans="2:9" s="2" customFormat="1" x14ac:dyDescent="0.25">
      <c r="B194" s="12">
        <v>42906.908119560183</v>
      </c>
      <c r="C194" s="2" t="s">
        <v>70</v>
      </c>
      <c r="D194" s="6" t="s">
        <v>72</v>
      </c>
      <c r="E194" s="4">
        <v>162934.52170700001</v>
      </c>
      <c r="F194" s="4">
        <v>167876.00080000001</v>
      </c>
      <c r="G194" s="2" t="s">
        <v>69</v>
      </c>
      <c r="H194" s="5">
        <v>4279.8580479860248</v>
      </c>
      <c r="I194" s="6">
        <v>2.6267349627001439E-2</v>
      </c>
    </row>
    <row r="195" spans="2:9" s="2" customFormat="1" x14ac:dyDescent="0.25">
      <c r="B195" s="12"/>
      <c r="D195" s="6"/>
      <c r="E195" s="4"/>
      <c r="F195" s="4"/>
      <c r="H195" s="5"/>
      <c r="I195" s="6"/>
    </row>
    <row r="196" spans="2:9" s="2" customFormat="1" x14ac:dyDescent="0.25">
      <c r="B196" s="12"/>
      <c r="D196" s="6"/>
      <c r="E196" s="4"/>
      <c r="F196" s="4"/>
      <c r="H196" s="5"/>
      <c r="I196" s="6"/>
    </row>
    <row r="197" spans="2:9" s="2" customFormat="1" x14ac:dyDescent="0.25">
      <c r="B197" s="12">
        <v>42906.89978738426</v>
      </c>
      <c r="C197" s="2" t="s">
        <v>6</v>
      </c>
      <c r="D197" s="6" t="s">
        <v>250</v>
      </c>
      <c r="E197" s="9">
        <v>1.5600009999999999E-2</v>
      </c>
      <c r="F197" s="9">
        <v>1.630001E-2</v>
      </c>
      <c r="G197" s="2" t="s">
        <v>251</v>
      </c>
      <c r="H197" s="5">
        <v>6.2839995500000093E-4</v>
      </c>
      <c r="I197" s="6">
        <v>4.0282022575626616E-2</v>
      </c>
    </row>
    <row r="198" spans="2:9" s="2" customFormat="1" x14ac:dyDescent="0.25">
      <c r="B198" s="12">
        <v>42906.89978738426</v>
      </c>
      <c r="C198" s="2" t="s">
        <v>35</v>
      </c>
      <c r="D198" s="6" t="s">
        <v>250</v>
      </c>
      <c r="E198" s="9">
        <v>1.15E-6</v>
      </c>
      <c r="F198" s="9">
        <v>1.17E-6</v>
      </c>
      <c r="G198" s="2" t="s">
        <v>251</v>
      </c>
      <c r="H198" s="5">
        <v>1.4785000000000063E-8</v>
      </c>
      <c r="I198" s="6">
        <v>1.2856521739130489E-2</v>
      </c>
    </row>
    <row r="199" spans="2:9" s="2" customFormat="1" x14ac:dyDescent="0.25">
      <c r="B199" s="12">
        <v>42906.89978738426</v>
      </c>
      <c r="C199" s="2" t="s">
        <v>4</v>
      </c>
      <c r="D199" s="6" t="s">
        <v>250</v>
      </c>
      <c r="E199" s="9">
        <v>0.11699927</v>
      </c>
      <c r="F199" s="9">
        <v>0.13500000000000001</v>
      </c>
      <c r="G199" s="2" t="s">
        <v>251</v>
      </c>
      <c r="H199" s="5">
        <v>1.7438231825000011E-2</v>
      </c>
      <c r="I199" s="6">
        <v>0.1490456463959135</v>
      </c>
    </row>
    <row r="200" spans="2:9" s="2" customFormat="1" x14ac:dyDescent="0.25">
      <c r="B200" s="12">
        <v>42906.89978738426</v>
      </c>
      <c r="C200" s="2" t="s">
        <v>33</v>
      </c>
      <c r="D200" s="6" t="s">
        <v>250</v>
      </c>
      <c r="E200" s="9">
        <v>6.619999E-2</v>
      </c>
      <c r="F200" s="9">
        <v>6.7368782172200006E-2</v>
      </c>
      <c r="G200" s="2" t="s">
        <v>251</v>
      </c>
      <c r="H200" s="5">
        <v>8.6855463285560874E-4</v>
      </c>
      <c r="I200" s="6">
        <v>1.3120162599051884E-2</v>
      </c>
    </row>
    <row r="201" spans="2:9" s="2" customFormat="1" x14ac:dyDescent="0.25">
      <c r="B201" s="12">
        <v>42906.89978738426</v>
      </c>
      <c r="C201" s="2" t="s">
        <v>8</v>
      </c>
      <c r="D201" s="6" t="s">
        <v>250</v>
      </c>
      <c r="E201" s="9">
        <v>1.924E-2</v>
      </c>
      <c r="F201" s="9">
        <v>1.9449999999999999E-2</v>
      </c>
      <c r="G201" s="2" t="s">
        <v>74</v>
      </c>
      <c r="H201" s="5">
        <v>1.4244999999999883E-4</v>
      </c>
      <c r="I201" s="6">
        <v>7.4038461538460925E-3</v>
      </c>
    </row>
    <row r="202" spans="2:9" s="2" customFormat="1" x14ac:dyDescent="0.25">
      <c r="B202" s="12">
        <v>42906.89978738426</v>
      </c>
      <c r="C202" s="2" t="s">
        <v>3</v>
      </c>
      <c r="D202" s="6" t="s">
        <v>11</v>
      </c>
      <c r="E202" s="9">
        <v>7.2411200000000002E-3</v>
      </c>
      <c r="F202" s="9">
        <v>7.3201999999999998E-3</v>
      </c>
      <c r="G202" s="2" t="s">
        <v>86</v>
      </c>
      <c r="H202" s="5">
        <v>4.1944679999999374E-5</v>
      </c>
      <c r="I202" s="6">
        <v>5.7925680005302179E-3</v>
      </c>
    </row>
    <row r="203" spans="2:9" s="2" customFormat="1" x14ac:dyDescent="0.25">
      <c r="B203" s="12">
        <v>42906.89978738426</v>
      </c>
      <c r="C203" s="2" t="s">
        <v>21</v>
      </c>
      <c r="D203" s="6" t="s">
        <v>250</v>
      </c>
      <c r="E203" s="9">
        <v>2749.7469709400002</v>
      </c>
      <c r="F203" s="9">
        <v>2750</v>
      </c>
      <c r="G203" s="2" t="s">
        <v>11</v>
      </c>
      <c r="H203" s="5">
        <v>-13.49633836735029</v>
      </c>
      <c r="I203" s="6">
        <v>-4.9082110135888505E-3</v>
      </c>
    </row>
    <row r="204" spans="2:9" s="2" customFormat="1" x14ac:dyDescent="0.25">
      <c r="B204" s="12">
        <v>42906.89978738426</v>
      </c>
      <c r="C204" s="2" t="s">
        <v>50</v>
      </c>
      <c r="D204" s="6" t="s">
        <v>87</v>
      </c>
      <c r="E204" s="9">
        <v>2.1880000000000001E-5</v>
      </c>
      <c r="F204" s="9">
        <v>2.1500000000000001E-5</v>
      </c>
      <c r="G204" s="2" t="s">
        <v>251</v>
      </c>
      <c r="H204" s="5">
        <v>-4.6675999999999754E-7</v>
      </c>
      <c r="I204" s="6">
        <v>-2.1332723948811586E-2</v>
      </c>
    </row>
    <row r="205" spans="2:9" s="2" customFormat="1" x14ac:dyDescent="0.25">
      <c r="B205" s="12">
        <v>42906.89978738426</v>
      </c>
      <c r="C205" s="2" t="s">
        <v>10</v>
      </c>
      <c r="D205" s="6" t="s">
        <v>250</v>
      </c>
      <c r="E205" s="9">
        <v>0.14649999999999999</v>
      </c>
      <c r="F205" s="9">
        <v>0.15204332876099999</v>
      </c>
      <c r="G205" s="2" t="s">
        <v>251</v>
      </c>
      <c r="H205" s="5">
        <v>4.8729921034779966E-3</v>
      </c>
      <c r="I205" s="6">
        <v>3.3262744733638203E-2</v>
      </c>
    </row>
    <row r="206" spans="2:9" s="2" customFormat="1" x14ac:dyDescent="0.25">
      <c r="B206" s="12">
        <v>42906.89978738426</v>
      </c>
      <c r="C206" s="2" t="s">
        <v>46</v>
      </c>
      <c r="D206" s="6" t="s">
        <v>74</v>
      </c>
      <c r="E206" s="9">
        <v>6.2440000000000005E-5</v>
      </c>
      <c r="F206" s="9">
        <v>6.2520000000000004E-5</v>
      </c>
      <c r="G206" s="2" t="s">
        <v>11</v>
      </c>
      <c r="H206" s="5">
        <v>-1.38740000000002E-7</v>
      </c>
      <c r="I206" s="6">
        <v>-2.2219730941704353E-3</v>
      </c>
    </row>
    <row r="207" spans="2:9" s="2" customFormat="1" x14ac:dyDescent="0.25">
      <c r="B207" s="12">
        <v>42906.89978738426</v>
      </c>
      <c r="C207" s="2" t="s">
        <v>80</v>
      </c>
      <c r="D207" s="6" t="s">
        <v>86</v>
      </c>
      <c r="E207" s="9">
        <v>1.1495E-2</v>
      </c>
      <c r="F207" s="9">
        <v>1.150732E-2</v>
      </c>
      <c r="G207" s="2" t="s">
        <v>250</v>
      </c>
      <c r="H207" s="5">
        <v>-4.6335300000000315E-5</v>
      </c>
      <c r="I207" s="6">
        <v>-4.030909090909118E-3</v>
      </c>
    </row>
    <row r="208" spans="2:9" s="2" customFormat="1" x14ac:dyDescent="0.25">
      <c r="B208" s="12">
        <v>42906.89978738426</v>
      </c>
      <c r="C208" s="2" t="s">
        <v>25</v>
      </c>
      <c r="D208" s="6" t="s">
        <v>87</v>
      </c>
      <c r="E208" s="4">
        <v>1.9599999999999999E-3</v>
      </c>
      <c r="F208" s="4">
        <v>1.8400000000000001E-3</v>
      </c>
      <c r="G208" s="2" t="s">
        <v>87</v>
      </c>
      <c r="H208" s="5">
        <v>-1.2760000000000007E-4</v>
      </c>
      <c r="I208" s="6">
        <v>-6.5102040816326562E-2</v>
      </c>
    </row>
    <row r="209" spans="2:9" s="2" customFormat="1" x14ac:dyDescent="0.25">
      <c r="B209" s="12">
        <v>42906.89978738426</v>
      </c>
      <c r="C209" s="2" t="s">
        <v>70</v>
      </c>
      <c r="D209" s="6" t="s">
        <v>72</v>
      </c>
      <c r="E209" s="4">
        <v>163794.75798200001</v>
      </c>
      <c r="F209" s="4">
        <v>168736.1</v>
      </c>
      <c r="G209" s="2" t="s">
        <v>69</v>
      </c>
      <c r="H209" s="5">
        <v>4276.2803020360006</v>
      </c>
      <c r="I209" s="6">
        <v>2.6107552858962289E-2</v>
      </c>
    </row>
    <row r="210" spans="2:9" s="2" customFormat="1" x14ac:dyDescent="0.25">
      <c r="B210" s="12"/>
      <c r="D210" s="6"/>
      <c r="E210" s="4"/>
      <c r="F210" s="4"/>
      <c r="H210" s="5"/>
      <c r="I210" s="6"/>
    </row>
    <row r="211" spans="2:9" s="2" customFormat="1" x14ac:dyDescent="0.25">
      <c r="B211" s="12"/>
      <c r="D211" s="6"/>
      <c r="E211" s="4"/>
      <c r="F211" s="4"/>
      <c r="H211" s="5"/>
      <c r="I211" s="6"/>
    </row>
    <row r="212" spans="2:9" s="2" customFormat="1" x14ac:dyDescent="0.25">
      <c r="B212" s="12">
        <v>42906.888108796295</v>
      </c>
      <c r="C212" s="2" t="s">
        <v>6</v>
      </c>
      <c r="D212" s="6" t="s">
        <v>250</v>
      </c>
      <c r="E212" s="9">
        <v>1.6393669999999999E-2</v>
      </c>
      <c r="F212" s="9">
        <v>1.6625760190800001E-2</v>
      </c>
      <c r="G212" s="2" t="s">
        <v>251</v>
      </c>
      <c r="H212" s="5">
        <v>1.5785449541839969E-4</v>
      </c>
      <c r="I212" s="6">
        <v>9.6289906664218383E-3</v>
      </c>
    </row>
    <row r="213" spans="2:9" s="2" customFormat="1" x14ac:dyDescent="0.25">
      <c r="B213" s="12">
        <v>42906.888108796295</v>
      </c>
      <c r="C213" s="2" t="s">
        <v>35</v>
      </c>
      <c r="D213" s="6" t="s">
        <v>250</v>
      </c>
      <c r="E213" s="9">
        <v>1.17E-6</v>
      </c>
      <c r="F213" s="9">
        <v>1.1799999999999999E-6</v>
      </c>
      <c r="G213" s="2" t="s">
        <v>72</v>
      </c>
      <c r="H213" s="5">
        <v>4.7149999999999201E-9</v>
      </c>
      <c r="I213" s="6">
        <v>4.0299145299144612E-3</v>
      </c>
    </row>
    <row r="214" spans="2:9" s="2" customFormat="1" x14ac:dyDescent="0.25">
      <c r="B214" s="12">
        <v>42906.888108796295</v>
      </c>
      <c r="C214" s="2" t="s">
        <v>4</v>
      </c>
      <c r="D214" s="6" t="s">
        <v>86</v>
      </c>
      <c r="E214" s="9">
        <v>0.13064799999999999</v>
      </c>
      <c r="F214" s="9">
        <v>0.13656999</v>
      </c>
      <c r="G214" s="2" t="s">
        <v>11</v>
      </c>
      <c r="H214" s="5">
        <v>5.2408802250000219E-3</v>
      </c>
      <c r="I214" s="6">
        <v>4.0114507876125333E-2</v>
      </c>
    </row>
    <row r="215" spans="2:9" s="2" customFormat="1" x14ac:dyDescent="0.25">
      <c r="B215" s="12">
        <v>42906.888108796295</v>
      </c>
      <c r="C215" s="2" t="s">
        <v>33</v>
      </c>
      <c r="D215" s="6" t="s">
        <v>74</v>
      </c>
      <c r="E215" s="9">
        <v>6.7829996000000004E-2</v>
      </c>
      <c r="F215" s="9">
        <v>6.7669989999999999E-2</v>
      </c>
      <c r="G215" s="2" t="s">
        <v>250</v>
      </c>
      <c r="H215" s="5">
        <v>-3.9701097100000582E-4</v>
      </c>
      <c r="I215" s="6">
        <v>-5.8530295505251949E-3</v>
      </c>
    </row>
    <row r="216" spans="2:9" s="2" customFormat="1" x14ac:dyDescent="0.25">
      <c r="B216" s="12">
        <v>42906.888108796295</v>
      </c>
      <c r="C216" s="2" t="s">
        <v>8</v>
      </c>
      <c r="D216" s="6" t="s">
        <v>250</v>
      </c>
      <c r="E216" s="9">
        <v>1.9488999999999999E-2</v>
      </c>
      <c r="F216" s="9">
        <v>1.9599999999999999E-2</v>
      </c>
      <c r="G216" s="2" t="s">
        <v>74</v>
      </c>
      <c r="H216" s="5">
        <v>4.2677499999997648E-5</v>
      </c>
      <c r="I216" s="6">
        <v>2.1898250295037018E-3</v>
      </c>
    </row>
    <row r="217" spans="2:9" s="2" customFormat="1" x14ac:dyDescent="0.25">
      <c r="B217" s="12">
        <v>42906.888108796295</v>
      </c>
      <c r="C217" s="2" t="s">
        <v>3</v>
      </c>
      <c r="D217" s="6" t="s">
        <v>11</v>
      </c>
      <c r="E217" s="9">
        <v>7.7498899999999997E-3</v>
      </c>
      <c r="F217" s="9">
        <v>7.8000099999999996E-3</v>
      </c>
      <c r="G217" s="2" t="s">
        <v>251</v>
      </c>
      <c r="H217" s="5">
        <v>1.5145254999999677E-5</v>
      </c>
      <c r="I217" s="6">
        <v>1.9542541894142598E-3</v>
      </c>
    </row>
    <row r="218" spans="2:9" s="2" customFormat="1" x14ac:dyDescent="0.25">
      <c r="B218" s="12">
        <v>42906.888108796295</v>
      </c>
      <c r="C218" s="2" t="s">
        <v>21</v>
      </c>
      <c r="D218" s="6" t="s">
        <v>11</v>
      </c>
      <c r="E218" s="9">
        <v>2692.9999999900001</v>
      </c>
      <c r="F218" s="9">
        <v>2698</v>
      </c>
      <c r="G218" s="2" t="s">
        <v>250</v>
      </c>
      <c r="H218" s="5">
        <v>-8.4774999899750583</v>
      </c>
      <c r="I218" s="6">
        <v>-3.1479762309716071E-3</v>
      </c>
    </row>
    <row r="219" spans="2:9" s="2" customFormat="1" x14ac:dyDescent="0.25">
      <c r="B219" s="12">
        <v>42906.888108796295</v>
      </c>
      <c r="C219" s="2" t="s">
        <v>50</v>
      </c>
      <c r="D219" s="6" t="s">
        <v>87</v>
      </c>
      <c r="E219" s="9">
        <v>2.1880000000000001E-5</v>
      </c>
      <c r="F219" s="9">
        <v>2.1509999999999999E-5</v>
      </c>
      <c r="G219" s="2" t="s">
        <v>251</v>
      </c>
      <c r="H219" s="5">
        <v>-4.5678000000000073E-7</v>
      </c>
      <c r="I219" s="6">
        <v>-2.087659963436932E-2</v>
      </c>
    </row>
    <row r="220" spans="2:9" s="2" customFormat="1" x14ac:dyDescent="0.25">
      <c r="B220" s="12">
        <v>42906.888108796295</v>
      </c>
      <c r="C220" s="2" t="s">
        <v>10</v>
      </c>
      <c r="D220" s="6" t="s">
        <v>86</v>
      </c>
      <c r="E220" s="9">
        <v>0.153889</v>
      </c>
      <c r="F220" s="9">
        <v>0.1547</v>
      </c>
      <c r="G220" s="2" t="s">
        <v>74</v>
      </c>
      <c r="H220" s="5">
        <v>2.5618860000001242E-4</v>
      </c>
      <c r="I220" s="6">
        <v>1.6647622637096376E-3</v>
      </c>
    </row>
    <row r="221" spans="2:9" s="2" customFormat="1" x14ac:dyDescent="0.25">
      <c r="B221" s="12">
        <v>42906.888108796295</v>
      </c>
      <c r="C221" s="2" t="s">
        <v>46</v>
      </c>
      <c r="D221" s="6" t="s">
        <v>250</v>
      </c>
      <c r="E221" s="9">
        <v>6.4700000000000001E-5</v>
      </c>
      <c r="F221" s="9">
        <v>6.4529999999999994E-5</v>
      </c>
      <c r="G221" s="2" t="s">
        <v>11</v>
      </c>
      <c r="H221" s="5">
        <v>-4.9307500000000883E-7</v>
      </c>
      <c r="I221" s="6">
        <v>-7.6209428129831351E-3</v>
      </c>
    </row>
    <row r="222" spans="2:9" s="2" customFormat="1" x14ac:dyDescent="0.25">
      <c r="B222" s="12">
        <v>42906.888108796295</v>
      </c>
      <c r="C222" s="2" t="s">
        <v>80</v>
      </c>
      <c r="D222" s="6" t="s">
        <v>86</v>
      </c>
      <c r="E222" s="9">
        <v>1.1782000000000001E-2</v>
      </c>
      <c r="F222" s="9">
        <v>1.193016E-2</v>
      </c>
      <c r="G222" s="2" t="s">
        <v>250</v>
      </c>
      <c r="H222" s="5">
        <v>8.7701399999999194E-5</v>
      </c>
      <c r="I222" s="6">
        <v>7.4436767951111173E-3</v>
      </c>
    </row>
    <row r="223" spans="2:9" s="2" customFormat="1" x14ac:dyDescent="0.25">
      <c r="B223" s="12">
        <v>42906.888108796295</v>
      </c>
      <c r="C223" s="2" t="s">
        <v>25</v>
      </c>
      <c r="D223" s="6" t="s">
        <v>87</v>
      </c>
      <c r="E223" s="4">
        <v>1.9599999999999999E-3</v>
      </c>
      <c r="F223" s="4">
        <v>1.8400000000000001E-3</v>
      </c>
      <c r="G223" s="2" t="s">
        <v>87</v>
      </c>
      <c r="H223" s="5">
        <v>-1.2760000000000007E-4</v>
      </c>
      <c r="I223" s="6">
        <v>-6.5102040816326562E-2</v>
      </c>
    </row>
    <row r="224" spans="2:9" s="2" customFormat="1" x14ac:dyDescent="0.25">
      <c r="B224" s="12">
        <v>42906.888108796295</v>
      </c>
      <c r="C224" s="2" t="s">
        <v>70</v>
      </c>
      <c r="D224" s="6" t="s">
        <v>72</v>
      </c>
      <c r="E224" s="4">
        <v>160999.432088</v>
      </c>
      <c r="F224" s="4">
        <v>166114.6</v>
      </c>
      <c r="G224" s="2" t="s">
        <v>69</v>
      </c>
      <c r="H224" s="5">
        <v>4460.9398478239891</v>
      </c>
      <c r="I224" s="6">
        <v>2.7707798654753656E-2</v>
      </c>
    </row>
    <row r="225" spans="2:9" s="2" customFormat="1" x14ac:dyDescent="0.25">
      <c r="B225" s="12"/>
      <c r="D225" s="6"/>
      <c r="E225" s="4"/>
      <c r="F225" s="4"/>
      <c r="H225" s="5"/>
      <c r="I225" s="6"/>
    </row>
    <row r="226" spans="2:9" s="2" customFormat="1" x14ac:dyDescent="0.25">
      <c r="B226" s="12"/>
      <c r="D226" s="6"/>
      <c r="E226" s="4"/>
      <c r="F226" s="4"/>
      <c r="H226" s="5"/>
      <c r="I226" s="6"/>
    </row>
    <row r="227" spans="2:9" s="2" customFormat="1" x14ac:dyDescent="0.25">
      <c r="B227" s="12">
        <v>42906.874176157406</v>
      </c>
      <c r="C227" s="2" t="s">
        <v>6</v>
      </c>
      <c r="D227" s="6" t="s">
        <v>250</v>
      </c>
      <c r="E227" s="9">
        <v>1.6450010000000001E-2</v>
      </c>
      <c r="F227" s="9">
        <v>1.669E-2</v>
      </c>
      <c r="G227" s="2" t="s">
        <v>22</v>
      </c>
      <c r="H227" s="5">
        <v>1.6548497499999787E-4</v>
      </c>
      <c r="I227" s="6">
        <v>1.0059870784272949E-2</v>
      </c>
    </row>
    <row r="228" spans="2:9" s="2" customFormat="1" x14ac:dyDescent="0.25">
      <c r="B228" s="12">
        <v>42906.874176157406</v>
      </c>
      <c r="C228" s="2" t="s">
        <v>35</v>
      </c>
      <c r="D228" s="6" t="s">
        <v>250</v>
      </c>
      <c r="E228" s="9">
        <v>1.17E-6</v>
      </c>
      <c r="F228" s="9">
        <v>1.1799999999999999E-6</v>
      </c>
      <c r="G228" s="2" t="s">
        <v>251</v>
      </c>
      <c r="H228" s="5">
        <v>4.7149999999999201E-9</v>
      </c>
      <c r="I228" s="6">
        <v>4.0299145299144612E-3</v>
      </c>
    </row>
    <row r="229" spans="2:9" s="2" customFormat="1" x14ac:dyDescent="0.25">
      <c r="B229" s="12">
        <v>42906.874176157406</v>
      </c>
      <c r="C229" s="2" t="s">
        <v>4</v>
      </c>
      <c r="D229" s="6" t="s">
        <v>86</v>
      </c>
      <c r="E229" s="9">
        <v>0.13288800000000001</v>
      </c>
      <c r="F229" s="9">
        <v>0.13676025</v>
      </c>
      <c r="G229" s="2" t="s">
        <v>11</v>
      </c>
      <c r="H229" s="5">
        <v>3.1848405749999864E-3</v>
      </c>
      <c r="I229" s="6">
        <v>2.3966351927939215E-2</v>
      </c>
    </row>
    <row r="230" spans="2:9" s="2" customFormat="1" x14ac:dyDescent="0.25">
      <c r="B230" s="12">
        <v>42906.874176157406</v>
      </c>
      <c r="C230" s="2" t="s">
        <v>33</v>
      </c>
      <c r="D230" s="6" t="s">
        <v>86</v>
      </c>
      <c r="E230" s="9">
        <v>6.8489999999999995E-2</v>
      </c>
      <c r="F230" s="9">
        <v>7.0000000000000007E-2</v>
      </c>
      <c r="G230" s="2" t="s">
        <v>87</v>
      </c>
      <c r="H230" s="5">
        <v>1.1919260000000098E-3</v>
      </c>
      <c r="I230" s="6">
        <v>1.7402920134326323E-2</v>
      </c>
    </row>
    <row r="231" spans="2:9" s="2" customFormat="1" x14ac:dyDescent="0.25">
      <c r="B231" s="12">
        <v>42906.874176157406</v>
      </c>
      <c r="C231" s="2" t="s">
        <v>8</v>
      </c>
      <c r="D231" s="6" t="s">
        <v>86</v>
      </c>
      <c r="E231" s="9">
        <v>1.9539000000000001E-2</v>
      </c>
      <c r="F231" s="9">
        <v>1.9699999999999999E-2</v>
      </c>
      <c r="G231" s="2" t="s">
        <v>74</v>
      </c>
      <c r="H231" s="5">
        <v>9.0498599999995488E-5</v>
      </c>
      <c r="I231" s="6">
        <v>4.6316904652231681E-3</v>
      </c>
    </row>
    <row r="232" spans="2:9" s="2" customFormat="1" x14ac:dyDescent="0.25">
      <c r="B232" s="12">
        <v>42906.874176157406</v>
      </c>
      <c r="C232" s="2" t="s">
        <v>3</v>
      </c>
      <c r="D232" s="6" t="s">
        <v>74</v>
      </c>
      <c r="E232" s="9">
        <v>7.7650000000000002E-3</v>
      </c>
      <c r="F232" s="9">
        <v>7.81309E-3</v>
      </c>
      <c r="G232" s="2" t="s">
        <v>250</v>
      </c>
      <c r="H232" s="5">
        <v>2.0792274999999714E-5</v>
      </c>
      <c r="I232" s="6">
        <v>2.6776915647134208E-3</v>
      </c>
    </row>
    <row r="233" spans="2:9" s="2" customFormat="1" x14ac:dyDescent="0.25">
      <c r="B233" s="12">
        <v>42906.874176157406</v>
      </c>
      <c r="C233" s="2" t="s">
        <v>21</v>
      </c>
      <c r="D233" s="6" t="s">
        <v>250</v>
      </c>
      <c r="E233" s="9">
        <v>2683.8460704099998</v>
      </c>
      <c r="F233" s="9">
        <v>2680.0966869399999</v>
      </c>
      <c r="G233" s="2" t="s">
        <v>250</v>
      </c>
      <c r="H233" s="5">
        <v>-17.15924036337492</v>
      </c>
      <c r="I233" s="6">
        <v>-6.3935262728214426E-3</v>
      </c>
    </row>
    <row r="234" spans="2:9" s="2" customFormat="1" x14ac:dyDescent="0.25">
      <c r="B234" s="12">
        <v>42906.874176157406</v>
      </c>
      <c r="C234" s="2" t="s">
        <v>50</v>
      </c>
      <c r="D234" s="6" t="s">
        <v>251</v>
      </c>
      <c r="E234" s="9">
        <v>2.1569999999999998E-5</v>
      </c>
      <c r="F234" s="9">
        <v>2.1489999999999999E-5</v>
      </c>
      <c r="G234" s="2" t="s">
        <v>251</v>
      </c>
      <c r="H234" s="5">
        <v>-1.6611999999999969E-7</v>
      </c>
      <c r="I234" s="6">
        <v>-7.701437181270269E-3</v>
      </c>
    </row>
    <row r="235" spans="2:9" s="2" customFormat="1" x14ac:dyDescent="0.25">
      <c r="B235" s="12">
        <v>42906.874176157406</v>
      </c>
      <c r="C235" s="2" t="s">
        <v>10</v>
      </c>
      <c r="D235" s="6" t="s">
        <v>74</v>
      </c>
      <c r="E235" s="9">
        <v>0.154001</v>
      </c>
      <c r="F235" s="9">
        <v>0.15408461163699999</v>
      </c>
      <c r="G235" s="2" t="s">
        <v>251</v>
      </c>
      <c r="H235" s="5">
        <v>-3.7855858627400263E-4</v>
      </c>
      <c r="I235" s="6">
        <v>-2.4581566760865361E-3</v>
      </c>
    </row>
    <row r="236" spans="2:9" s="2" customFormat="1" x14ac:dyDescent="0.25">
      <c r="B236" s="12">
        <v>42906.874176157406</v>
      </c>
      <c r="C236" s="2" t="s">
        <v>46</v>
      </c>
      <c r="D236" s="6" t="s">
        <v>250</v>
      </c>
      <c r="E236" s="9">
        <v>6.4919999999999995E-5</v>
      </c>
      <c r="F236" s="9">
        <v>6.4750000000000002E-5</v>
      </c>
      <c r="G236" s="2" t="s">
        <v>74</v>
      </c>
      <c r="H236" s="5">
        <v>-3.9704999999999309E-7</v>
      </c>
      <c r="I236" s="6">
        <v>-6.1159889094268812E-3</v>
      </c>
    </row>
    <row r="237" spans="2:9" s="2" customFormat="1" x14ac:dyDescent="0.25">
      <c r="B237" s="12">
        <v>42906.874176157406</v>
      </c>
      <c r="C237" s="2" t="s">
        <v>80</v>
      </c>
      <c r="D237" s="6" t="s">
        <v>86</v>
      </c>
      <c r="E237" s="9">
        <v>1.1849999999999999E-2</v>
      </c>
      <c r="F237" s="9">
        <v>1.210759E-2</v>
      </c>
      <c r="G237" s="2" t="s">
        <v>250</v>
      </c>
      <c r="H237" s="5">
        <v>1.9651102500000024E-4</v>
      </c>
      <c r="I237" s="6">
        <v>1.6583208860759514E-2</v>
      </c>
    </row>
    <row r="238" spans="2:9" s="2" customFormat="1" x14ac:dyDescent="0.25">
      <c r="B238" s="12">
        <v>42906.874176157406</v>
      </c>
      <c r="C238" s="2" t="s">
        <v>25</v>
      </c>
      <c r="D238" s="6" t="s">
        <v>87</v>
      </c>
      <c r="E238" s="4">
        <v>1.9599999999999999E-3</v>
      </c>
      <c r="F238" s="4">
        <v>1.8400000000000001E-3</v>
      </c>
      <c r="G238" s="2" t="s">
        <v>87</v>
      </c>
      <c r="H238" s="5">
        <v>-1.2760000000000007E-4</v>
      </c>
      <c r="I238" s="6">
        <v>-6.5102040816326562E-2</v>
      </c>
    </row>
    <row r="239" spans="2:9" s="2" customFormat="1" x14ac:dyDescent="0.25">
      <c r="B239" s="12">
        <v>42906.874176157406</v>
      </c>
      <c r="C239" s="2" t="s">
        <v>70</v>
      </c>
      <c r="D239" s="6" t="s">
        <v>72</v>
      </c>
      <c r="E239" s="4">
        <v>160118.68892399999</v>
      </c>
      <c r="F239" s="4">
        <v>165348.4</v>
      </c>
      <c r="G239" s="2" t="s">
        <v>69</v>
      </c>
      <c r="H239" s="5">
        <v>4578.7768981519912</v>
      </c>
      <c r="I239" s="6">
        <v>2.8596142829556258E-2</v>
      </c>
    </row>
    <row r="240" spans="2:9" s="2" customFormat="1" x14ac:dyDescent="0.25">
      <c r="B240" s="12"/>
      <c r="D240" s="6"/>
      <c r="E240" s="4"/>
      <c r="F240" s="4"/>
      <c r="H240" s="5"/>
      <c r="I240" s="6"/>
    </row>
    <row r="241" spans="2:9" s="2" customFormat="1" x14ac:dyDescent="0.25">
      <c r="B241" s="12"/>
      <c r="D241" s="6"/>
      <c r="E241" s="4"/>
      <c r="F241" s="4"/>
      <c r="H241" s="5"/>
      <c r="I241" s="6"/>
    </row>
    <row r="242" spans="2:9" s="2" customFormat="1" x14ac:dyDescent="0.25">
      <c r="B242" s="12">
        <v>42906.860618865743</v>
      </c>
      <c r="C242" s="2" t="s">
        <v>6</v>
      </c>
      <c r="D242" s="6" t="s">
        <v>250</v>
      </c>
      <c r="E242" s="9">
        <v>1.6678100000000001E-2</v>
      </c>
      <c r="F242" s="9">
        <v>1.6811E-2</v>
      </c>
      <c r="G242" s="2" t="s">
        <v>251</v>
      </c>
      <c r="H242" s="5">
        <v>5.7582749999996602E-5</v>
      </c>
      <c r="I242" s="6">
        <v>3.4525965187879072E-3</v>
      </c>
    </row>
    <row r="243" spans="2:9" s="2" customFormat="1" x14ac:dyDescent="0.25">
      <c r="B243" s="12">
        <v>42906.860618865743</v>
      </c>
      <c r="C243" s="2" t="s">
        <v>35</v>
      </c>
      <c r="D243" s="6" t="s">
        <v>74</v>
      </c>
      <c r="E243" s="9">
        <v>1.175E-6</v>
      </c>
      <c r="F243" s="9">
        <v>1.1799999999999999E-6</v>
      </c>
      <c r="G243" s="2" t="s">
        <v>72</v>
      </c>
      <c r="H243" s="5">
        <v>1.4649999999999936E-9</v>
      </c>
      <c r="I243" s="6">
        <v>1.2468085106382924E-3</v>
      </c>
    </row>
    <row r="244" spans="2:9" s="2" customFormat="1" x14ac:dyDescent="0.25">
      <c r="B244" s="12">
        <v>42906.860618865743</v>
      </c>
      <c r="C244" s="2" t="s">
        <v>4</v>
      </c>
      <c r="D244" s="6" t="s">
        <v>86</v>
      </c>
      <c r="E244" s="9">
        <v>0.13118199999999999</v>
      </c>
      <c r="F244" s="9">
        <v>0.13701221999999999</v>
      </c>
      <c r="G244" s="2" t="s">
        <v>11</v>
      </c>
      <c r="H244" s="5">
        <v>5.1466162499999857E-3</v>
      </c>
      <c r="I244" s="6">
        <v>3.9232640529950645E-2</v>
      </c>
    </row>
    <row r="245" spans="2:9" s="2" customFormat="1" x14ac:dyDescent="0.25">
      <c r="B245" s="12">
        <v>42906.860618865743</v>
      </c>
      <c r="C245" s="2" t="s">
        <v>33</v>
      </c>
      <c r="D245" s="6" t="s">
        <v>250</v>
      </c>
      <c r="E245" s="9">
        <v>6.9775779999999996E-2</v>
      </c>
      <c r="F245" s="9">
        <v>7.0058936060300003E-2</v>
      </c>
      <c r="G245" s="2" t="s">
        <v>72</v>
      </c>
      <c r="H245" s="5">
        <v>-3.1401261820579451E-5</v>
      </c>
      <c r="I245" s="6">
        <v>-4.5003096806054267E-4</v>
      </c>
    </row>
    <row r="246" spans="2:9" s="2" customFormat="1" x14ac:dyDescent="0.25">
      <c r="B246" s="12">
        <v>42906.860618865743</v>
      </c>
      <c r="C246" s="2" t="s">
        <v>8</v>
      </c>
      <c r="D246" s="6" t="s">
        <v>87</v>
      </c>
      <c r="E246" s="9">
        <v>1.9552070000000001E-2</v>
      </c>
      <c r="F246" s="9">
        <v>1.9800000000000002E-2</v>
      </c>
      <c r="G246" s="2" t="s">
        <v>74</v>
      </c>
      <c r="H246" s="5">
        <v>1.8902586000000068E-4</v>
      </c>
      <c r="I246" s="6">
        <v>9.6678182923854439E-3</v>
      </c>
    </row>
    <row r="247" spans="2:9" s="2" customFormat="1" x14ac:dyDescent="0.25">
      <c r="B247" s="12">
        <v>42906.860618865743</v>
      </c>
      <c r="C247" s="2" t="s">
        <v>3</v>
      </c>
      <c r="D247" s="6" t="s">
        <v>74</v>
      </c>
      <c r="E247" s="9">
        <v>7.77E-3</v>
      </c>
      <c r="F247" s="9">
        <v>7.8338150993999996E-3</v>
      </c>
      <c r="G247" s="2" t="s">
        <v>251</v>
      </c>
      <c r="H247" s="5">
        <v>4.0377469201199889E-5</v>
      </c>
      <c r="I247" s="6">
        <v>5.1965854827799082E-3</v>
      </c>
    </row>
    <row r="248" spans="2:9" s="2" customFormat="1" x14ac:dyDescent="0.25">
      <c r="B248" s="12">
        <v>42906.860618865743</v>
      </c>
      <c r="C248" s="2" t="s">
        <v>21</v>
      </c>
      <c r="D248" s="6" t="s">
        <v>250</v>
      </c>
      <c r="E248" s="9">
        <v>2696.7388258000001</v>
      </c>
      <c r="F248" s="9">
        <v>2695.5454545399998</v>
      </c>
      <c r="G248" s="2" t="s">
        <v>250</v>
      </c>
      <c r="H248" s="5">
        <v>-14.67408196084989</v>
      </c>
      <c r="I248" s="6">
        <v>-5.4414175449477411E-3</v>
      </c>
    </row>
    <row r="249" spans="2:9" s="2" customFormat="1" x14ac:dyDescent="0.25">
      <c r="B249" s="12">
        <v>42906.860618865743</v>
      </c>
      <c r="C249" s="2" t="s">
        <v>50</v>
      </c>
      <c r="D249" s="6" t="s">
        <v>87</v>
      </c>
      <c r="E249" s="9">
        <v>2.1889999999999999E-5</v>
      </c>
      <c r="F249" s="9">
        <v>2.1610000000000001E-5</v>
      </c>
      <c r="G249" s="2" t="s">
        <v>251</v>
      </c>
      <c r="H249" s="5">
        <v>-3.6699999999999835E-7</v>
      </c>
      <c r="I249" s="6">
        <v>-1.6765646413887544E-2</v>
      </c>
    </row>
    <row r="250" spans="2:9" s="2" customFormat="1" x14ac:dyDescent="0.25">
      <c r="B250" s="12">
        <v>42906.860618865743</v>
      </c>
      <c r="C250" s="2" t="s">
        <v>10</v>
      </c>
      <c r="D250" s="6" t="s">
        <v>250</v>
      </c>
      <c r="E250" s="9">
        <v>0.15688834134900001</v>
      </c>
      <c r="F250" s="9">
        <v>0.15745999999999999</v>
      </c>
      <c r="G250" s="2" t="s">
        <v>0</v>
      </c>
      <c r="H250" s="5">
        <v>-1.3548220237252773E-4</v>
      </c>
      <c r="I250" s="6">
        <v>-8.6355812807750916E-4</v>
      </c>
    </row>
    <row r="251" spans="2:9" s="2" customFormat="1" x14ac:dyDescent="0.25">
      <c r="B251" s="12">
        <v>42906.860618865743</v>
      </c>
      <c r="C251" s="2" t="s">
        <v>46</v>
      </c>
      <c r="D251" s="6" t="s">
        <v>250</v>
      </c>
      <c r="E251" s="9">
        <v>6.5740000000000004E-5</v>
      </c>
      <c r="F251" s="9">
        <v>6.5679999999999995E-5</v>
      </c>
      <c r="G251" s="2" t="s">
        <v>250</v>
      </c>
      <c r="H251" s="5">
        <v>-3.8855000000000833E-7</v>
      </c>
      <c r="I251" s="6">
        <v>-5.9104046242775829E-3</v>
      </c>
    </row>
    <row r="252" spans="2:9" s="2" customFormat="1" x14ac:dyDescent="0.25">
      <c r="B252" s="12">
        <v>42906.860618865743</v>
      </c>
      <c r="C252" s="2" t="s">
        <v>80</v>
      </c>
      <c r="D252" s="6" t="s">
        <v>86</v>
      </c>
      <c r="E252" s="9">
        <v>1.1847999999999999E-2</v>
      </c>
      <c r="F252" s="9">
        <v>1.21781625801E-2</v>
      </c>
      <c r="G252" s="2" t="s">
        <v>250</v>
      </c>
      <c r="H252" s="5">
        <v>2.6891237364975139E-4</v>
      </c>
      <c r="I252" s="6">
        <v>2.2696858005549578E-2</v>
      </c>
    </row>
    <row r="253" spans="2:9" s="2" customFormat="1" x14ac:dyDescent="0.25">
      <c r="B253" s="12">
        <v>42906.860618865743</v>
      </c>
      <c r="C253" s="2" t="s">
        <v>25</v>
      </c>
      <c r="D253" s="6" t="s">
        <v>251</v>
      </c>
      <c r="E253" s="4">
        <v>1.8804754632E-3</v>
      </c>
      <c r="F253" s="4">
        <v>1.8400000000000001E-3</v>
      </c>
      <c r="G253" s="2" t="s">
        <v>87</v>
      </c>
      <c r="H253" s="5">
        <v>-4.79164141263999E-5</v>
      </c>
      <c r="I253" s="6">
        <v>-2.5481010023316479E-2</v>
      </c>
    </row>
    <row r="254" spans="2:9" s="2" customFormat="1" x14ac:dyDescent="0.25">
      <c r="B254" s="12">
        <v>42906.860618865743</v>
      </c>
      <c r="C254" s="2" t="s">
        <v>70</v>
      </c>
      <c r="D254" s="6" t="s">
        <v>72</v>
      </c>
      <c r="E254" s="4">
        <v>159998.997516</v>
      </c>
      <c r="F254" s="4">
        <v>165044.20000000001</v>
      </c>
      <c r="G254" s="2" t="s">
        <v>69</v>
      </c>
      <c r="H254" s="5">
        <v>4395.1160889680032</v>
      </c>
      <c r="I254" s="6">
        <v>2.7469647667814224E-2</v>
      </c>
    </row>
    <row r="255" spans="2:9" s="2" customFormat="1" x14ac:dyDescent="0.25">
      <c r="B255" s="12"/>
      <c r="D255" s="6"/>
      <c r="E255" s="4"/>
      <c r="F255" s="4"/>
      <c r="H255" s="5"/>
      <c r="I255" s="6"/>
    </row>
    <row r="256" spans="2:9" s="2" customFormat="1" x14ac:dyDescent="0.25">
      <c r="B256" s="12"/>
      <c r="D256" s="6"/>
      <c r="E256" s="4"/>
      <c r="F256" s="4"/>
      <c r="H256" s="5"/>
      <c r="I256" s="6"/>
    </row>
    <row r="257" spans="2:9" s="2" customFormat="1" x14ac:dyDescent="0.25">
      <c r="B257" s="12">
        <v>42906.776901851852</v>
      </c>
      <c r="C257" s="2" t="s">
        <v>6</v>
      </c>
      <c r="D257" s="6" t="s">
        <v>250</v>
      </c>
      <c r="E257" s="9">
        <v>1.696988E-2</v>
      </c>
      <c r="F257" s="9">
        <v>1.7102279532300001E-2</v>
      </c>
      <c r="G257" s="2" t="s">
        <v>251</v>
      </c>
      <c r="H257" s="5">
        <v>5.5770273235399709E-5</v>
      </c>
      <c r="I257" s="6">
        <v>3.2864270834796539E-3</v>
      </c>
    </row>
    <row r="258" spans="2:9" s="2" customFormat="1" x14ac:dyDescent="0.25">
      <c r="B258" s="12">
        <v>42906.776901851852</v>
      </c>
      <c r="C258" s="2" t="s">
        <v>35</v>
      </c>
      <c r="D258" s="6" t="s">
        <v>250</v>
      </c>
      <c r="E258" s="9">
        <v>1.1799999999999999E-6</v>
      </c>
      <c r="F258" s="9">
        <v>1.1799999999999999E-6</v>
      </c>
      <c r="G258" s="2" t="s">
        <v>11</v>
      </c>
      <c r="H258" s="5">
        <v>-5.899999999999808E-9</v>
      </c>
      <c r="I258" s="6">
        <v>-4.9999999999998379E-3</v>
      </c>
    </row>
    <row r="259" spans="2:9" s="2" customFormat="1" x14ac:dyDescent="0.25">
      <c r="B259" s="12">
        <v>42906.776901851852</v>
      </c>
      <c r="C259" s="2" t="s">
        <v>4</v>
      </c>
      <c r="D259" s="6" t="s">
        <v>86</v>
      </c>
      <c r="E259" s="9">
        <v>0.13739999999999999</v>
      </c>
      <c r="F259" s="9">
        <v>0.13910001999999999</v>
      </c>
      <c r="G259" s="2" t="s">
        <v>11</v>
      </c>
      <c r="H259" s="5">
        <v>9.9502994999997596E-4</v>
      </c>
      <c r="I259" s="6">
        <v>7.2418482532749344E-3</v>
      </c>
    </row>
    <row r="260" spans="2:9" s="2" customFormat="1" x14ac:dyDescent="0.25">
      <c r="B260" s="12">
        <v>42906.776901851852</v>
      </c>
      <c r="C260" s="2" t="s">
        <v>33</v>
      </c>
      <c r="D260" s="6" t="s">
        <v>11</v>
      </c>
      <c r="E260" s="9">
        <v>7.2400000000000006E-2</v>
      </c>
      <c r="F260" s="9">
        <v>7.2980000000000003E-2</v>
      </c>
      <c r="G260" s="2" t="s">
        <v>72</v>
      </c>
      <c r="H260" s="5">
        <v>2.5303999999999605E-4</v>
      </c>
      <c r="I260" s="6">
        <v>3.4950276243093372E-3</v>
      </c>
    </row>
    <row r="261" spans="2:9" s="2" customFormat="1" x14ac:dyDescent="0.25">
      <c r="B261" s="12">
        <v>42906.776901851852</v>
      </c>
      <c r="C261" s="2" t="s">
        <v>8</v>
      </c>
      <c r="D261" s="6" t="s">
        <v>87</v>
      </c>
      <c r="E261" s="9">
        <v>1.955349E-2</v>
      </c>
      <c r="F261" s="9">
        <v>1.9939999999999999E-2</v>
      </c>
      <c r="G261" s="2" t="s">
        <v>0</v>
      </c>
      <c r="H261" s="5">
        <v>3.0752302000000217E-4</v>
      </c>
      <c r="I261" s="6">
        <v>1.5727270170184566E-2</v>
      </c>
    </row>
    <row r="262" spans="2:9" s="2" customFormat="1" x14ac:dyDescent="0.25">
      <c r="B262" s="12">
        <v>42906.776901851852</v>
      </c>
      <c r="C262" s="2" t="s">
        <v>3</v>
      </c>
      <c r="D262" s="6" t="s">
        <v>251</v>
      </c>
      <c r="E262" s="9">
        <v>7.9998925898399995E-3</v>
      </c>
      <c r="F262" s="9">
        <v>7.9998799999999991E-3</v>
      </c>
      <c r="G262" s="2" t="s">
        <v>250</v>
      </c>
      <c r="H262" s="5">
        <v>-3.6012075019679901E-5</v>
      </c>
      <c r="I262" s="6">
        <v>-4.5015698167517717E-3</v>
      </c>
    </row>
    <row r="263" spans="2:9" s="2" customFormat="1" x14ac:dyDescent="0.25">
      <c r="B263" s="12">
        <v>42906.776901851852</v>
      </c>
      <c r="C263" s="2" t="s">
        <v>21</v>
      </c>
      <c r="D263" s="6" t="s">
        <v>11</v>
      </c>
      <c r="E263" s="9">
        <v>2653.8460132199998</v>
      </c>
      <c r="F263" s="9">
        <v>2653.0662745999998</v>
      </c>
      <c r="G263" s="2" t="s">
        <v>250</v>
      </c>
      <c r="H263" s="5">
        <v>-14.047019339549934</v>
      </c>
      <c r="I263" s="6">
        <v>-5.2930800316127674E-3</v>
      </c>
    </row>
    <row r="264" spans="2:9" s="2" customFormat="1" x14ac:dyDescent="0.25">
      <c r="B264" s="12">
        <v>42906.776901851852</v>
      </c>
      <c r="C264" s="2" t="s">
        <v>50</v>
      </c>
      <c r="D264" s="6" t="s">
        <v>251</v>
      </c>
      <c r="E264" s="9">
        <v>2.177E-5</v>
      </c>
      <c r="F264" s="9">
        <v>2.1270000000000001E-5</v>
      </c>
      <c r="G264" s="2" t="s">
        <v>251</v>
      </c>
      <c r="H264" s="5">
        <v>-5.8607999999999965E-7</v>
      </c>
      <c r="I264" s="6">
        <v>-2.6921451538814867E-2</v>
      </c>
    </row>
    <row r="265" spans="2:9" s="2" customFormat="1" x14ac:dyDescent="0.25">
      <c r="B265" s="12">
        <v>42906.776901851852</v>
      </c>
      <c r="C265" s="2" t="s">
        <v>10</v>
      </c>
      <c r="D265" s="6" t="s">
        <v>86</v>
      </c>
      <c r="E265" s="9">
        <v>0.15856700000000001</v>
      </c>
      <c r="F265" s="9">
        <v>0.158743</v>
      </c>
      <c r="G265" s="2" t="s">
        <v>74</v>
      </c>
      <c r="H265" s="5">
        <v>-3.9501720000001406E-4</v>
      </c>
      <c r="I265" s="6">
        <v>-2.491169032648748E-3</v>
      </c>
    </row>
    <row r="266" spans="2:9" s="2" customFormat="1" x14ac:dyDescent="0.25">
      <c r="B266" s="12">
        <v>42906.776901851852</v>
      </c>
      <c r="C266" s="2" t="s">
        <v>46</v>
      </c>
      <c r="D266" s="6" t="s">
        <v>74</v>
      </c>
      <c r="E266" s="9">
        <v>6.648E-5</v>
      </c>
      <c r="F266" s="9">
        <v>6.6569999999999995E-5</v>
      </c>
      <c r="G266" s="2" t="s">
        <v>11</v>
      </c>
      <c r="H266" s="5">
        <v>-1.4290500000000198E-7</v>
      </c>
      <c r="I266" s="6">
        <v>-2.1495938628159142E-3</v>
      </c>
    </row>
    <row r="267" spans="2:9" s="2" customFormat="1" x14ac:dyDescent="0.25">
      <c r="B267" s="12">
        <v>42906.776901851852</v>
      </c>
      <c r="C267" s="2" t="s">
        <v>80</v>
      </c>
      <c r="D267" s="6" t="s">
        <v>86</v>
      </c>
      <c r="E267" s="9">
        <v>1.2019E-2</v>
      </c>
      <c r="F267" s="9">
        <v>1.211514E-2</v>
      </c>
      <c r="G267" s="2" t="s">
        <v>250</v>
      </c>
      <c r="H267" s="5">
        <v>3.4602749999999502E-5</v>
      </c>
      <c r="I267" s="6">
        <v>2.8790040768782348E-3</v>
      </c>
    </row>
    <row r="268" spans="2:9" s="2" customFormat="1" x14ac:dyDescent="0.25">
      <c r="B268" s="12">
        <v>42906.776901851852</v>
      </c>
      <c r="C268" s="2" t="s">
        <v>25</v>
      </c>
      <c r="D268" s="6" t="s">
        <v>251</v>
      </c>
      <c r="E268" s="4">
        <v>1.8804754632E-3</v>
      </c>
      <c r="F268" s="4">
        <v>1.8400000000000001E-3</v>
      </c>
      <c r="G268" s="2" t="s">
        <v>22</v>
      </c>
      <c r="H268" s="5">
        <v>-4.79164141263999E-5</v>
      </c>
      <c r="I268" s="6">
        <v>-2.5481010023316479E-2</v>
      </c>
    </row>
    <row r="269" spans="2:9" s="2" customFormat="1" x14ac:dyDescent="0.25">
      <c r="B269" s="12">
        <v>42906.776901851852</v>
      </c>
      <c r="C269" s="2" t="s">
        <v>70</v>
      </c>
      <c r="D269" s="6" t="s">
        <v>72</v>
      </c>
      <c r="E269" s="4">
        <v>157238.63990499999</v>
      </c>
      <c r="F269" s="4">
        <v>164526.3008</v>
      </c>
      <c r="G269" s="2" t="s">
        <v>69</v>
      </c>
      <c r="H269" s="5">
        <v>6644.1310135899985</v>
      </c>
      <c r="I269" s="6">
        <v>4.2255078125861628E-2</v>
      </c>
    </row>
    <row r="270" spans="2:9" s="2" customFormat="1" x14ac:dyDescent="0.25">
      <c r="B270" s="12"/>
      <c r="D270" s="6"/>
      <c r="E270" s="4"/>
      <c r="F270" s="4"/>
      <c r="H270" s="5"/>
      <c r="I270" s="6"/>
    </row>
    <row r="271" spans="2:9" s="2" customFormat="1" x14ac:dyDescent="0.25">
      <c r="B271" s="12"/>
      <c r="D271" s="6"/>
      <c r="E271" s="4"/>
      <c r="F271" s="4"/>
      <c r="H271" s="5"/>
      <c r="I271" s="6"/>
    </row>
    <row r="272" spans="2:9" s="2" customFormat="1" x14ac:dyDescent="0.25">
      <c r="B272" s="12">
        <v>42906.704900115743</v>
      </c>
      <c r="C272" s="2" t="s">
        <v>6</v>
      </c>
      <c r="D272" s="6" t="s">
        <v>87</v>
      </c>
      <c r="E272" s="9">
        <v>1.76814254527E-2</v>
      </c>
      <c r="F272" s="9">
        <v>1.7864648E-2</v>
      </c>
      <c r="G272" s="2" t="s">
        <v>72</v>
      </c>
      <c r="H272" s="5">
        <v>1.1213040039460137E-4</v>
      </c>
      <c r="I272" s="6">
        <v>6.3417059158812766E-3</v>
      </c>
    </row>
    <row r="273" spans="2:9" s="2" customFormat="1" x14ac:dyDescent="0.25">
      <c r="B273" s="12">
        <v>42906.704900115743</v>
      </c>
      <c r="C273" s="2" t="s">
        <v>35</v>
      </c>
      <c r="D273" s="6" t="s">
        <v>74</v>
      </c>
      <c r="E273" s="9">
        <v>1.176E-6</v>
      </c>
      <c r="F273" s="9">
        <v>1.173E-6</v>
      </c>
      <c r="G273" s="2" t="s">
        <v>74</v>
      </c>
      <c r="H273" s="5">
        <v>-5.3490000000000567E-9</v>
      </c>
      <c r="I273" s="6">
        <v>-4.5484693877551503E-3</v>
      </c>
    </row>
    <row r="274" spans="2:9" s="2" customFormat="1" x14ac:dyDescent="0.25">
      <c r="B274" s="12">
        <v>42906.704900115743</v>
      </c>
      <c r="C274" s="2" t="s">
        <v>4</v>
      </c>
      <c r="D274" s="6" t="s">
        <v>0</v>
      </c>
      <c r="E274" s="9">
        <v>0.13764999999999999</v>
      </c>
      <c r="F274" s="9">
        <v>0.13930000000000001</v>
      </c>
      <c r="G274" s="2" t="s">
        <v>11</v>
      </c>
      <c r="H274" s="5">
        <v>1.0264500000000121E-3</v>
      </c>
      <c r="I274" s="6">
        <v>7.4569560479477819E-3</v>
      </c>
    </row>
    <row r="275" spans="2:9" s="2" customFormat="1" x14ac:dyDescent="0.25">
      <c r="B275" s="12">
        <v>42906.704900115743</v>
      </c>
      <c r="C275" s="2" t="s">
        <v>33</v>
      </c>
      <c r="D275" s="6" t="s">
        <v>250</v>
      </c>
      <c r="E275" s="9">
        <v>7.3600100000000002E-2</v>
      </c>
      <c r="F275" s="9">
        <v>7.4020000000000002E-2</v>
      </c>
      <c r="G275" s="2" t="s">
        <v>72</v>
      </c>
      <c r="H275" s="5">
        <v>8.7859750000002235E-5</v>
      </c>
      <c r="I275" s="6">
        <v>1.1937449813247841E-3</v>
      </c>
    </row>
    <row r="276" spans="2:9" s="2" customFormat="1" x14ac:dyDescent="0.25">
      <c r="B276" s="12">
        <v>42906.704900115743</v>
      </c>
      <c r="C276" s="2" t="s">
        <v>8</v>
      </c>
      <c r="D276" s="6" t="s">
        <v>74</v>
      </c>
      <c r="E276" s="9">
        <v>1.9942000000000001E-2</v>
      </c>
      <c r="F276" s="9">
        <v>2.001E-2</v>
      </c>
      <c r="G276" s="2" t="s">
        <v>86</v>
      </c>
      <c r="H276" s="5">
        <v>-3.9680000000000271E-6</v>
      </c>
      <c r="I276" s="6">
        <v>-1.9897703339685221E-4</v>
      </c>
    </row>
    <row r="277" spans="2:9" s="2" customFormat="1" x14ac:dyDescent="0.25">
      <c r="B277" s="12">
        <v>42906.704900115743</v>
      </c>
      <c r="C277" s="2" t="s">
        <v>3</v>
      </c>
      <c r="D277" s="6" t="s">
        <v>251</v>
      </c>
      <c r="E277" s="9">
        <v>8.0499899999999999E-3</v>
      </c>
      <c r="F277" s="9">
        <v>8.0673299999999993E-3</v>
      </c>
      <c r="G277" s="2" t="s">
        <v>250</v>
      </c>
      <c r="H277" s="5">
        <v>-1.8928305000000603E-5</v>
      </c>
      <c r="I277" s="6">
        <v>-2.3513451569505805E-3</v>
      </c>
    </row>
    <row r="278" spans="2:9" s="2" customFormat="1" x14ac:dyDescent="0.25">
      <c r="B278" s="12">
        <v>42906.704900115743</v>
      </c>
      <c r="C278" s="2" t="s">
        <v>21</v>
      </c>
      <c r="D278" s="6" t="s">
        <v>250</v>
      </c>
      <c r="E278" s="9">
        <v>2624</v>
      </c>
      <c r="F278" s="9">
        <v>2620.1173402499999</v>
      </c>
      <c r="G278" s="2" t="s">
        <v>250</v>
      </c>
      <c r="H278" s="5">
        <v>-16.992953100625073</v>
      </c>
      <c r="I278" s="6">
        <v>-6.4759729804211401E-3</v>
      </c>
    </row>
    <row r="279" spans="2:9" s="2" customFormat="1" x14ac:dyDescent="0.25">
      <c r="B279" s="12">
        <v>42906.704900115743</v>
      </c>
      <c r="C279" s="2" t="s">
        <v>50</v>
      </c>
      <c r="D279" s="6" t="s">
        <v>87</v>
      </c>
      <c r="E279" s="9">
        <v>2.1500000000000001E-5</v>
      </c>
      <c r="F279" s="9">
        <v>2.128E-5</v>
      </c>
      <c r="G279" s="2" t="s">
        <v>87</v>
      </c>
      <c r="H279" s="5">
        <v>-3.0555999999999983E-7</v>
      </c>
      <c r="I279" s="6">
        <v>-1.4212093023255806E-2</v>
      </c>
    </row>
    <row r="280" spans="2:9" s="2" customFormat="1" x14ac:dyDescent="0.25">
      <c r="B280" s="12">
        <v>42906.704900115743</v>
      </c>
      <c r="C280" s="2" t="s">
        <v>10</v>
      </c>
      <c r="D280" s="6" t="s">
        <v>74</v>
      </c>
      <c r="E280" s="9">
        <v>0.15731300000000001</v>
      </c>
      <c r="F280" s="9">
        <v>0.15725</v>
      </c>
      <c r="G280" s="2" t="s">
        <v>250</v>
      </c>
      <c r="H280" s="5">
        <v>-6.1343799999999393E-4</v>
      </c>
      <c r="I280" s="6">
        <v>-3.8994742964662417E-3</v>
      </c>
    </row>
    <row r="281" spans="2:9" s="2" customFormat="1" x14ac:dyDescent="0.25">
      <c r="B281" s="12">
        <v>42906.704900115743</v>
      </c>
      <c r="C281" s="2" t="s">
        <v>46</v>
      </c>
      <c r="D281" s="6" t="s">
        <v>250</v>
      </c>
      <c r="E281" s="9">
        <v>6.6769999999999999E-5</v>
      </c>
      <c r="F281" s="9">
        <v>6.7000000000000002E-5</v>
      </c>
      <c r="G281" s="2" t="s">
        <v>11</v>
      </c>
      <c r="H281" s="5">
        <v>-1.044249999999935E-7</v>
      </c>
      <c r="I281" s="6">
        <v>-1.5639508761418825E-3</v>
      </c>
    </row>
    <row r="282" spans="2:9" s="2" customFormat="1" x14ac:dyDescent="0.25">
      <c r="B282" s="12">
        <v>42906.704900115743</v>
      </c>
      <c r="C282" s="2" t="s">
        <v>80</v>
      </c>
      <c r="D282" s="6" t="s">
        <v>86</v>
      </c>
      <c r="E282" s="9">
        <v>1.2174000000000001E-2</v>
      </c>
      <c r="F282" s="9">
        <v>1.2031E-2</v>
      </c>
      <c r="G282" s="2" t="s">
        <v>86</v>
      </c>
      <c r="H282" s="5">
        <v>-2.0593300000000016E-4</v>
      </c>
      <c r="I282" s="6">
        <v>-1.6915804172827349E-2</v>
      </c>
    </row>
    <row r="283" spans="2:9" s="2" customFormat="1" x14ac:dyDescent="0.25">
      <c r="B283" s="12">
        <v>42906.704900115743</v>
      </c>
      <c r="C283" s="2" t="s">
        <v>25</v>
      </c>
      <c r="D283" s="6" t="s">
        <v>87</v>
      </c>
      <c r="E283" s="4">
        <v>1.8982700000000001E-3</v>
      </c>
      <c r="F283" s="4">
        <v>1.8400000000000001E-3</v>
      </c>
      <c r="G283" s="2" t="s">
        <v>87</v>
      </c>
      <c r="H283" s="5">
        <v>-6.5746540000000001E-5</v>
      </c>
      <c r="I283" s="6">
        <v>-3.4634978164328575E-2</v>
      </c>
    </row>
    <row r="284" spans="2:9" s="2" customFormat="1" x14ac:dyDescent="0.25">
      <c r="B284" s="12">
        <v>42906.704900115743</v>
      </c>
      <c r="C284" s="2" t="s">
        <v>70</v>
      </c>
      <c r="D284" s="6" t="s">
        <v>72</v>
      </c>
      <c r="E284" s="4">
        <v>155859.888186</v>
      </c>
      <c r="F284" s="4">
        <v>163172.36799999999</v>
      </c>
      <c r="G284" s="2" t="s">
        <v>69</v>
      </c>
      <c r="H284" s="5">
        <v>6674.4153016280034</v>
      </c>
      <c r="I284" s="6">
        <v>4.2823175220444744E-2</v>
      </c>
    </row>
    <row r="285" spans="2:9" s="2" customFormat="1" x14ac:dyDescent="0.25">
      <c r="B285" s="12"/>
      <c r="D285" s="6"/>
      <c r="E285" s="4"/>
      <c r="F285" s="4"/>
      <c r="H285" s="5"/>
      <c r="I285" s="6"/>
    </row>
    <row r="286" spans="2:9" s="2" customFormat="1" x14ac:dyDescent="0.25">
      <c r="B286" s="12"/>
      <c r="D286" s="6"/>
      <c r="E286" s="4"/>
      <c r="F286" s="4"/>
      <c r="H286" s="5"/>
      <c r="I286" s="6"/>
    </row>
    <row r="287" spans="2:9" s="2" customFormat="1" x14ac:dyDescent="0.25">
      <c r="B287" s="12">
        <v>42906.683436226849</v>
      </c>
      <c r="C287" s="2" t="s">
        <v>6</v>
      </c>
      <c r="D287" s="6" t="s">
        <v>11</v>
      </c>
      <c r="E287" s="9">
        <v>1.7701020000000001E-2</v>
      </c>
      <c r="F287" s="9">
        <v>1.7860009999999999E-2</v>
      </c>
      <c r="G287" s="2" t="s">
        <v>72</v>
      </c>
      <c r="H287" s="5">
        <v>7.9017429999998084E-5</v>
      </c>
      <c r="I287" s="6">
        <v>4.4640043342133997E-3</v>
      </c>
    </row>
    <row r="288" spans="2:9" s="2" customFormat="1" x14ac:dyDescent="0.25">
      <c r="B288" s="12">
        <v>42906.683436226849</v>
      </c>
      <c r="C288" s="2" t="s">
        <v>35</v>
      </c>
      <c r="D288" s="6" t="s">
        <v>11</v>
      </c>
      <c r="E288" s="9">
        <v>1.17E-6</v>
      </c>
      <c r="F288" s="9">
        <v>1.172E-6</v>
      </c>
      <c r="G288" s="2" t="s">
        <v>74</v>
      </c>
      <c r="H288" s="5">
        <v>-2.097000000000075E-9</v>
      </c>
      <c r="I288" s="6">
        <v>-1.7923076923077564E-3</v>
      </c>
    </row>
    <row r="289" spans="2:9" s="2" customFormat="1" x14ac:dyDescent="0.25">
      <c r="B289" s="12">
        <v>42906.683436226849</v>
      </c>
      <c r="C289" s="2" t="s">
        <v>4</v>
      </c>
      <c r="D289" s="6" t="s">
        <v>86</v>
      </c>
      <c r="E289" s="9">
        <v>0.138151</v>
      </c>
      <c r="F289" s="9">
        <v>0.13850003</v>
      </c>
      <c r="G289" s="2" t="s">
        <v>11</v>
      </c>
      <c r="H289" s="5">
        <v>-3.5641267500000073E-4</v>
      </c>
      <c r="I289" s="6">
        <v>-2.579877633893354E-3</v>
      </c>
    </row>
    <row r="290" spans="2:9" s="2" customFormat="1" x14ac:dyDescent="0.25">
      <c r="B290" s="12">
        <v>42906.683436226849</v>
      </c>
      <c r="C290" s="2" t="s">
        <v>33</v>
      </c>
      <c r="D290" s="6" t="s">
        <v>250</v>
      </c>
      <c r="E290" s="9">
        <v>7.4098370255099993E-2</v>
      </c>
      <c r="F290" s="9">
        <v>7.417E-2</v>
      </c>
      <c r="G290" s="2" t="s">
        <v>72</v>
      </c>
      <c r="H290" s="5">
        <v>-2.6195618073773796E-4</v>
      </c>
      <c r="I290" s="6">
        <v>-3.5352488838269452E-3</v>
      </c>
    </row>
    <row r="291" spans="2:9" s="2" customFormat="1" x14ac:dyDescent="0.25">
      <c r="B291" s="12">
        <v>42906.683436226849</v>
      </c>
      <c r="C291" s="2" t="s">
        <v>8</v>
      </c>
      <c r="D291" s="6" t="s">
        <v>87</v>
      </c>
      <c r="E291" s="9">
        <v>1.9452130000000002E-2</v>
      </c>
      <c r="F291" s="9">
        <v>2.0001999999999999E-2</v>
      </c>
      <c r="G291" s="2" t="s">
        <v>0</v>
      </c>
      <c r="H291" s="5">
        <v>4.7096173999999769E-4</v>
      </c>
      <c r="I291" s="6">
        <v>2.4211319788629712E-2</v>
      </c>
    </row>
    <row r="292" spans="2:9" s="2" customFormat="1" x14ac:dyDescent="0.25">
      <c r="B292" s="12">
        <v>42906.683436226849</v>
      </c>
      <c r="C292" s="2" t="s">
        <v>3</v>
      </c>
      <c r="D292" s="6" t="s">
        <v>250</v>
      </c>
      <c r="E292" s="9">
        <v>8.0573999999999993E-3</v>
      </c>
      <c r="F292" s="9">
        <v>8.0499999999999999E-3</v>
      </c>
      <c r="G292" s="2" t="s">
        <v>86</v>
      </c>
      <c r="H292" s="5">
        <v>-4.8473500000000003E-5</v>
      </c>
      <c r="I292" s="6">
        <v>-6.0160225382877861E-3</v>
      </c>
    </row>
    <row r="293" spans="2:9" s="2" customFormat="1" x14ac:dyDescent="0.25">
      <c r="B293" s="12">
        <v>42906.683436226849</v>
      </c>
      <c r="C293" s="2" t="s">
        <v>21</v>
      </c>
      <c r="D293" s="6" t="s">
        <v>250</v>
      </c>
      <c r="E293" s="9">
        <v>2624.5</v>
      </c>
      <c r="F293" s="9">
        <v>2623.0010000000002</v>
      </c>
      <c r="G293" s="2" t="s">
        <v>250</v>
      </c>
      <c r="H293" s="5">
        <v>-14.617752499999824</v>
      </c>
      <c r="I293" s="6">
        <v>-5.5697285197179747E-3</v>
      </c>
    </row>
    <row r="294" spans="2:9" s="2" customFormat="1" x14ac:dyDescent="0.25">
      <c r="B294" s="12">
        <v>42906.683436226849</v>
      </c>
      <c r="C294" s="2" t="s">
        <v>50</v>
      </c>
      <c r="D294" s="6" t="s">
        <v>251</v>
      </c>
      <c r="E294" s="9">
        <v>2.1800000000000001E-5</v>
      </c>
      <c r="F294" s="9">
        <v>2.1659999999999999E-5</v>
      </c>
      <c r="G294" s="2" t="s">
        <v>87</v>
      </c>
      <c r="H294" s="5">
        <v>-2.2692000000000426E-7</v>
      </c>
      <c r="I294" s="6">
        <v>-1.0409174311926801E-2</v>
      </c>
    </row>
    <row r="295" spans="2:9" s="2" customFormat="1" x14ac:dyDescent="0.25">
      <c r="B295" s="12">
        <v>42906.683436226849</v>
      </c>
      <c r="C295" s="2" t="s">
        <v>10</v>
      </c>
      <c r="D295" s="6" t="s">
        <v>0</v>
      </c>
      <c r="E295" s="9">
        <v>0.15698000000000001</v>
      </c>
      <c r="F295" s="9">
        <v>0.15712000000000001</v>
      </c>
      <c r="G295" s="2" t="s">
        <v>74</v>
      </c>
      <c r="H295" s="5">
        <v>-3.3108000000001137E-4</v>
      </c>
      <c r="I295" s="6">
        <v>-2.1090584787871788E-3</v>
      </c>
    </row>
    <row r="296" spans="2:9" s="2" customFormat="1" x14ac:dyDescent="0.25">
      <c r="B296" s="12">
        <v>42906.683436226849</v>
      </c>
      <c r="C296" s="2" t="s">
        <v>46</v>
      </c>
      <c r="D296" s="6" t="s">
        <v>74</v>
      </c>
      <c r="E296" s="9">
        <v>6.6270000000000001E-5</v>
      </c>
      <c r="F296" s="9">
        <v>6.635E-5</v>
      </c>
      <c r="G296" s="2" t="s">
        <v>11</v>
      </c>
      <c r="H296" s="5">
        <v>-1.5214499999999785E-7</v>
      </c>
      <c r="I296" s="6">
        <v>-2.295835219556328E-3</v>
      </c>
    </row>
    <row r="297" spans="2:9" s="2" customFormat="1" x14ac:dyDescent="0.25">
      <c r="B297" s="12">
        <v>42906.683436226849</v>
      </c>
      <c r="C297" s="2" t="s">
        <v>80</v>
      </c>
      <c r="D297" s="6" t="s">
        <v>86</v>
      </c>
      <c r="E297" s="9">
        <v>1.2165E-2</v>
      </c>
      <c r="F297" s="9">
        <v>1.20411511542E-2</v>
      </c>
      <c r="G297" s="2" t="s">
        <v>250</v>
      </c>
      <c r="H297" s="5">
        <v>-1.8558072368549984E-4</v>
      </c>
      <c r="I297" s="6">
        <v>-1.5255299933045609E-2</v>
      </c>
    </row>
    <row r="298" spans="2:9" s="2" customFormat="1" x14ac:dyDescent="0.25">
      <c r="B298" s="12">
        <v>42906.683436226849</v>
      </c>
      <c r="C298" s="2" t="s">
        <v>25</v>
      </c>
      <c r="D298" s="6" t="s">
        <v>87</v>
      </c>
      <c r="E298" s="4">
        <v>1.89832E-3</v>
      </c>
      <c r="F298" s="4">
        <v>1.8400000000000001E-3</v>
      </c>
      <c r="G298" s="2" t="s">
        <v>87</v>
      </c>
      <c r="H298" s="5">
        <v>-6.5796639999999955E-5</v>
      </c>
      <c r="I298" s="6">
        <v>-3.4660457667832587E-2</v>
      </c>
    </row>
    <row r="299" spans="2:9" s="2" customFormat="1" x14ac:dyDescent="0.25">
      <c r="B299" s="12">
        <v>42906.683436226849</v>
      </c>
      <c r="C299" s="2" t="s">
        <v>70</v>
      </c>
      <c r="D299" s="6" t="s">
        <v>72</v>
      </c>
      <c r="E299" s="4">
        <v>155399.43848800001</v>
      </c>
      <c r="F299" s="4">
        <v>163603.9</v>
      </c>
      <c r="G299" s="2" t="s">
        <v>69</v>
      </c>
      <c r="H299" s="5">
        <v>7566.4548350239638</v>
      </c>
      <c r="I299" s="6">
        <v>4.8690361488070932E-2</v>
      </c>
    </row>
    <row r="300" spans="2:9" s="2" customFormat="1" x14ac:dyDescent="0.25">
      <c r="B300" s="12"/>
      <c r="D300" s="6"/>
      <c r="E300" s="4"/>
      <c r="F300" s="4"/>
      <c r="H300" s="5"/>
      <c r="I300" s="6"/>
    </row>
    <row r="301" spans="2:9" s="2" customFormat="1" x14ac:dyDescent="0.25">
      <c r="B301" s="12"/>
      <c r="D301" s="6"/>
      <c r="E301" s="4"/>
      <c r="F301" s="4"/>
      <c r="H301" s="5"/>
      <c r="I301" s="6"/>
    </row>
    <row r="302" spans="2:9" s="2" customFormat="1" x14ac:dyDescent="0.25">
      <c r="B302" s="12">
        <v>42906.682345601854</v>
      </c>
      <c r="C302" s="2" t="s">
        <v>6</v>
      </c>
      <c r="D302" s="6" t="s">
        <v>86</v>
      </c>
      <c r="E302" s="9">
        <v>1.7743999999999999E-2</v>
      </c>
      <c r="F302" s="9">
        <v>1.7860009999999999E-2</v>
      </c>
      <c r="G302" s="2" t="s">
        <v>72</v>
      </c>
      <c r="H302" s="5">
        <v>3.4155579999996938E-5</v>
      </c>
      <c r="I302" s="6">
        <v>1.92490870153274E-3</v>
      </c>
    </row>
    <row r="303" spans="2:9" s="2" customFormat="1" x14ac:dyDescent="0.25">
      <c r="B303" s="12">
        <v>42906.682345601854</v>
      </c>
      <c r="C303" s="2" t="s">
        <v>35</v>
      </c>
      <c r="D303" s="6" t="s">
        <v>11</v>
      </c>
      <c r="E303" s="9">
        <v>1.17E-6</v>
      </c>
      <c r="F303" s="9">
        <v>1.172E-6</v>
      </c>
      <c r="G303" s="2" t="s">
        <v>74</v>
      </c>
      <c r="H303" s="5">
        <v>-2.097000000000075E-9</v>
      </c>
      <c r="I303" s="6">
        <v>-1.7923076923077564E-3</v>
      </c>
    </row>
    <row r="304" spans="2:9" s="2" customFormat="1" x14ac:dyDescent="0.25">
      <c r="B304" s="12">
        <v>42906.682345601854</v>
      </c>
      <c r="C304" s="2" t="s">
        <v>4</v>
      </c>
      <c r="D304" s="6" t="s">
        <v>74</v>
      </c>
      <c r="E304" s="9">
        <v>0.138348</v>
      </c>
      <c r="F304" s="9">
        <v>0.13865079962499999</v>
      </c>
      <c r="G304" s="2" t="s">
        <v>251</v>
      </c>
      <c r="H304" s="5">
        <v>-1.128499742500122E-4</v>
      </c>
      <c r="I304" s="6">
        <v>-8.1569646290522596E-4</v>
      </c>
    </row>
    <row r="305" spans="2:9" s="2" customFormat="1" x14ac:dyDescent="0.25">
      <c r="B305" s="12">
        <v>42906.682345601854</v>
      </c>
      <c r="C305" s="2" t="s">
        <v>33</v>
      </c>
      <c r="D305" s="6" t="s">
        <v>11</v>
      </c>
      <c r="E305" s="9">
        <v>7.4202799999999999E-2</v>
      </c>
      <c r="F305" s="9">
        <v>7.4380009999999996E-2</v>
      </c>
      <c r="G305" s="2" t="s">
        <v>72</v>
      </c>
      <c r="H305" s="5">
        <v>-1.5705702000000377E-4</v>
      </c>
      <c r="I305" s="6">
        <v>-2.1165915571919628E-3</v>
      </c>
    </row>
    <row r="306" spans="2:9" s="2" customFormat="1" x14ac:dyDescent="0.25">
      <c r="B306" s="12">
        <v>42906.682345601854</v>
      </c>
      <c r="C306" s="2" t="s">
        <v>8</v>
      </c>
      <c r="D306" s="6" t="s">
        <v>87</v>
      </c>
      <c r="E306" s="9">
        <v>1.9990297180000002E-2</v>
      </c>
      <c r="F306" s="9">
        <v>2.0055759999999999E-2</v>
      </c>
      <c r="G306" s="2" t="s">
        <v>250</v>
      </c>
      <c r="H306" s="5">
        <v>-2.4657174360002976E-5</v>
      </c>
      <c r="I306" s="6">
        <v>-1.2334571186201331E-3</v>
      </c>
    </row>
    <row r="307" spans="2:9" s="2" customFormat="1" x14ac:dyDescent="0.25">
      <c r="B307" s="12">
        <v>42906.682345601854</v>
      </c>
      <c r="C307" s="2" t="s">
        <v>3</v>
      </c>
      <c r="D307" s="6" t="s">
        <v>74</v>
      </c>
      <c r="E307" s="9">
        <v>8.0499999999999999E-3</v>
      </c>
      <c r="F307" s="9">
        <v>8.0579999999999992E-3</v>
      </c>
      <c r="G307" s="2" t="s">
        <v>11</v>
      </c>
      <c r="H307" s="5">
        <v>-2.0195000000000629E-5</v>
      </c>
      <c r="I307" s="6">
        <v>-2.508695652173991E-3</v>
      </c>
    </row>
    <row r="308" spans="2:9" s="2" customFormat="1" x14ac:dyDescent="0.25">
      <c r="B308" s="12">
        <v>42906.682345601854</v>
      </c>
      <c r="C308" s="2" t="s">
        <v>21</v>
      </c>
      <c r="D308" s="6" t="s">
        <v>11</v>
      </c>
      <c r="E308" s="9">
        <v>2624.9960000000001</v>
      </c>
      <c r="F308" s="9">
        <v>2624</v>
      </c>
      <c r="G308" s="2" t="s">
        <v>250</v>
      </c>
      <c r="H308" s="5">
        <v>-14.118489999999838</v>
      </c>
      <c r="I308" s="6">
        <v>-5.3784805767322459E-3</v>
      </c>
    </row>
    <row r="309" spans="2:9" s="2" customFormat="1" x14ac:dyDescent="0.25">
      <c r="B309" s="12">
        <v>42906.682345601854</v>
      </c>
      <c r="C309" s="2" t="s">
        <v>50</v>
      </c>
      <c r="D309" s="6" t="s">
        <v>251</v>
      </c>
      <c r="E309" s="9">
        <v>2.1889999999999999E-5</v>
      </c>
      <c r="F309" s="9">
        <v>2.1659999999999999E-5</v>
      </c>
      <c r="G309" s="2" t="s">
        <v>87</v>
      </c>
      <c r="H309" s="5">
        <v>-3.1710000000000074E-7</v>
      </c>
      <c r="I309" s="6">
        <v>-1.4486066697122008E-2</v>
      </c>
    </row>
    <row r="310" spans="2:9" s="2" customFormat="1" x14ac:dyDescent="0.25">
      <c r="B310" s="12">
        <v>42906.682345601854</v>
      </c>
      <c r="C310" s="2" t="s">
        <v>10</v>
      </c>
      <c r="D310" s="6" t="s">
        <v>0</v>
      </c>
      <c r="E310" s="9">
        <v>0.15670000000000001</v>
      </c>
      <c r="F310" s="9">
        <v>0.15657299999999999</v>
      </c>
      <c r="G310" s="2" t="s">
        <v>86</v>
      </c>
      <c r="H310" s="5">
        <v>-8.474898000000175E-4</v>
      </c>
      <c r="I310" s="6">
        <v>-5.4083586470964739E-3</v>
      </c>
    </row>
    <row r="311" spans="2:9" s="2" customFormat="1" x14ac:dyDescent="0.25">
      <c r="B311" s="12">
        <v>42906.682345601854</v>
      </c>
      <c r="C311" s="2" t="s">
        <v>46</v>
      </c>
      <c r="D311" s="6" t="s">
        <v>250</v>
      </c>
      <c r="E311" s="9">
        <v>6.6000000000000005E-5</v>
      </c>
      <c r="F311" s="9">
        <v>6.6119999999999997E-5</v>
      </c>
      <c r="G311" s="2" t="s">
        <v>11</v>
      </c>
      <c r="H311" s="5">
        <v>-2.1030000000000712E-7</v>
      </c>
      <c r="I311" s="6">
        <v>-3.186363636363744E-3</v>
      </c>
    </row>
    <row r="312" spans="2:9" s="2" customFormat="1" x14ac:dyDescent="0.25">
      <c r="B312" s="12">
        <v>42906.682345601854</v>
      </c>
      <c r="C312" s="2" t="s">
        <v>80</v>
      </c>
      <c r="D312" s="6" t="s">
        <v>86</v>
      </c>
      <c r="E312" s="9">
        <v>1.2147E-2</v>
      </c>
      <c r="F312" s="9">
        <v>1.2021E-2</v>
      </c>
      <c r="G312" s="2" t="s">
        <v>86</v>
      </c>
      <c r="H312" s="5">
        <v>-1.8883679999999979E-4</v>
      </c>
      <c r="I312" s="6">
        <v>-1.5545961965917494E-2</v>
      </c>
    </row>
    <row r="313" spans="2:9" s="2" customFormat="1" x14ac:dyDescent="0.25">
      <c r="B313" s="12">
        <v>42906.682345601854</v>
      </c>
      <c r="C313" s="2" t="s">
        <v>25</v>
      </c>
      <c r="D313" s="6" t="s">
        <v>87</v>
      </c>
      <c r="E313" s="4">
        <v>1.89835E-3</v>
      </c>
      <c r="F313" s="4">
        <v>1.8400000000000001E-3</v>
      </c>
      <c r="G313" s="2" t="s">
        <v>87</v>
      </c>
      <c r="H313" s="5">
        <v>-6.5826699999999971E-5</v>
      </c>
      <c r="I313" s="6">
        <v>-3.4675744725682814E-2</v>
      </c>
    </row>
    <row r="314" spans="2:9" s="2" customFormat="1" x14ac:dyDescent="0.25">
      <c r="B314" s="12">
        <v>42906.682345601854</v>
      </c>
      <c r="C314" s="2" t="s">
        <v>70</v>
      </c>
      <c r="D314" s="6" t="s">
        <v>72</v>
      </c>
      <c r="E314" s="4">
        <v>155369.55591699999</v>
      </c>
      <c r="F314" s="4">
        <v>163571</v>
      </c>
      <c r="G314" s="2" t="s">
        <v>69</v>
      </c>
      <c r="H314" s="5">
        <v>7563.5629711660149</v>
      </c>
      <c r="I314" s="6">
        <v>4.8681113404266584E-2</v>
      </c>
    </row>
    <row r="315" spans="2:9" s="2" customFormat="1" x14ac:dyDescent="0.25">
      <c r="B315" s="12"/>
      <c r="D315" s="6"/>
      <c r="E315" s="4"/>
      <c r="F315" s="4"/>
      <c r="H315" s="5"/>
      <c r="I315" s="6"/>
    </row>
    <row r="316" spans="2:9" s="2" customFormat="1" x14ac:dyDescent="0.25">
      <c r="B316" s="12"/>
      <c r="D316" s="6"/>
      <c r="E316" s="4"/>
      <c r="F316" s="4"/>
      <c r="H316" s="5"/>
      <c r="I316" s="6"/>
    </row>
    <row r="317" spans="2:9" s="2" customFormat="1" x14ac:dyDescent="0.25">
      <c r="B317" s="12">
        <v>42906.676676157411</v>
      </c>
      <c r="C317" s="2" t="s">
        <v>6</v>
      </c>
      <c r="D317" s="6" t="s">
        <v>86</v>
      </c>
      <c r="E317" s="9">
        <v>1.77E-2</v>
      </c>
      <c r="F317" s="9">
        <v>1.7840531367699999E-2</v>
      </c>
      <c r="G317" s="2" t="s">
        <v>72</v>
      </c>
      <c r="H317" s="5">
        <v>5.8830304964598013E-5</v>
      </c>
      <c r="I317" s="6">
        <v>3.3237460431976276E-3</v>
      </c>
    </row>
    <row r="318" spans="2:9" s="2" customFormat="1" x14ac:dyDescent="0.25">
      <c r="B318" s="12">
        <v>42906.676676157411</v>
      </c>
      <c r="C318" s="2" t="s">
        <v>35</v>
      </c>
      <c r="D318" s="6" t="s">
        <v>11</v>
      </c>
      <c r="E318" s="9">
        <v>1.17E-6</v>
      </c>
      <c r="F318" s="9">
        <v>1.172E-6</v>
      </c>
      <c r="G318" s="2" t="s">
        <v>74</v>
      </c>
      <c r="H318" s="5">
        <v>-2.097000000000075E-9</v>
      </c>
      <c r="I318" s="6">
        <v>-1.7923076923077564E-3</v>
      </c>
    </row>
    <row r="319" spans="2:9" s="2" customFormat="1" x14ac:dyDescent="0.25">
      <c r="B319" s="12">
        <v>42906.676676157411</v>
      </c>
      <c r="C319" s="2" t="s">
        <v>4</v>
      </c>
      <c r="D319" s="6" t="s">
        <v>87</v>
      </c>
      <c r="E319" s="9">
        <v>0.13850000000000001</v>
      </c>
      <c r="F319" s="9">
        <v>0.1387284</v>
      </c>
      <c r="G319" s="2" t="s">
        <v>22</v>
      </c>
      <c r="H319" s="5">
        <v>-3.2605680000000192E-4</v>
      </c>
      <c r="I319" s="6">
        <v>-2.3542007220216745E-3</v>
      </c>
    </row>
    <row r="320" spans="2:9" s="2" customFormat="1" x14ac:dyDescent="0.25">
      <c r="B320" s="12">
        <v>42906.676676157411</v>
      </c>
      <c r="C320" s="2" t="s">
        <v>33</v>
      </c>
      <c r="D320" s="6" t="s">
        <v>11</v>
      </c>
      <c r="E320" s="9">
        <v>7.4499990000000002E-2</v>
      </c>
      <c r="F320" s="9">
        <v>7.4480009999999999E-2</v>
      </c>
      <c r="G320" s="2" t="s">
        <v>72</v>
      </c>
      <c r="H320" s="5">
        <v>-3.5518999500000481E-4</v>
      </c>
      <c r="I320" s="6">
        <v>-4.7676515795506118E-3</v>
      </c>
    </row>
    <row r="321" spans="2:9" s="2" customFormat="1" x14ac:dyDescent="0.25">
      <c r="B321" s="12">
        <v>42906.676676157411</v>
      </c>
      <c r="C321" s="2" t="s">
        <v>8</v>
      </c>
      <c r="D321" s="6" t="s">
        <v>74</v>
      </c>
      <c r="E321" s="9">
        <v>1.9900000000000001E-2</v>
      </c>
      <c r="F321" s="9">
        <v>2.003514E-2</v>
      </c>
      <c r="G321" s="2" t="s">
        <v>250</v>
      </c>
      <c r="H321" s="5">
        <v>6.5152149999997411E-5</v>
      </c>
      <c r="I321" s="6">
        <v>3.273977386934543E-3</v>
      </c>
    </row>
    <row r="322" spans="2:9" s="2" customFormat="1" x14ac:dyDescent="0.25">
      <c r="B322" s="12">
        <v>42906.676676157411</v>
      </c>
      <c r="C322" s="2" t="s">
        <v>3</v>
      </c>
      <c r="D322" s="6" t="s">
        <v>11</v>
      </c>
      <c r="E322" s="9">
        <v>8.0597199999999994E-3</v>
      </c>
      <c r="F322" s="9">
        <v>8.0820000000000006E-3</v>
      </c>
      <c r="G322" s="2" t="s">
        <v>250</v>
      </c>
      <c r="H322" s="5">
        <v>-1.8074299999998669E-5</v>
      </c>
      <c r="I322" s="6">
        <v>-2.2425468874847599E-3</v>
      </c>
    </row>
    <row r="323" spans="2:9" s="2" customFormat="1" x14ac:dyDescent="0.25">
      <c r="B323" s="12">
        <v>42906.676676157411</v>
      </c>
      <c r="C323" s="2" t="s">
        <v>21</v>
      </c>
      <c r="D323" s="6" t="s">
        <v>11</v>
      </c>
      <c r="E323" s="9">
        <v>2620.538</v>
      </c>
      <c r="F323" s="9">
        <v>2622.1408289699998</v>
      </c>
      <c r="G323" s="2" t="s">
        <v>250</v>
      </c>
      <c r="H323" s="5">
        <v>-11.503868102425258</v>
      </c>
      <c r="I323" s="6">
        <v>-4.3898879170709447E-3</v>
      </c>
    </row>
    <row r="324" spans="2:9" s="2" customFormat="1" x14ac:dyDescent="0.25">
      <c r="B324" s="12">
        <v>42906.676676157411</v>
      </c>
      <c r="C324" s="2" t="s">
        <v>50</v>
      </c>
      <c r="D324" s="6" t="s">
        <v>251</v>
      </c>
      <c r="E324" s="9">
        <v>2.2030000000000001E-5</v>
      </c>
      <c r="F324" s="9">
        <v>2.1670000000000001E-5</v>
      </c>
      <c r="G324" s="2" t="s">
        <v>87</v>
      </c>
      <c r="H324" s="5">
        <v>-4.4739999999999846E-7</v>
      </c>
      <c r="I324" s="6">
        <v>-2.0308669995460663E-2</v>
      </c>
    </row>
    <row r="325" spans="2:9" s="2" customFormat="1" x14ac:dyDescent="0.25">
      <c r="B325" s="12">
        <v>42906.676676157411</v>
      </c>
      <c r="C325" s="2" t="s">
        <v>10</v>
      </c>
      <c r="D325" s="6" t="s">
        <v>0</v>
      </c>
      <c r="E325" s="9">
        <v>0.15601999999999999</v>
      </c>
      <c r="F325" s="9">
        <v>0.156694</v>
      </c>
      <c r="G325" s="2" t="s">
        <v>86</v>
      </c>
      <c r="H325" s="5">
        <v>-4.5444400000010932E-5</v>
      </c>
      <c r="I325" s="6">
        <v>-2.9127291372907919E-4</v>
      </c>
    </row>
    <row r="326" spans="2:9" s="2" customFormat="1" x14ac:dyDescent="0.25">
      <c r="B326" s="12">
        <v>42906.676676157411</v>
      </c>
      <c r="C326" s="2" t="s">
        <v>46</v>
      </c>
      <c r="D326" s="6" t="s">
        <v>74</v>
      </c>
      <c r="E326" s="9">
        <v>6.6229999999999994E-5</v>
      </c>
      <c r="F326" s="9">
        <v>6.6619999999999996E-5</v>
      </c>
      <c r="G326" s="2" t="s">
        <v>11</v>
      </c>
      <c r="H326" s="5">
        <v>1.5722000000000728E-7</v>
      </c>
      <c r="I326" s="6">
        <v>2.3738487090443497E-3</v>
      </c>
    </row>
    <row r="327" spans="2:9" s="2" customFormat="1" x14ac:dyDescent="0.25">
      <c r="B327" s="12">
        <v>42906.676676157411</v>
      </c>
      <c r="C327" s="2" t="s">
        <v>80</v>
      </c>
      <c r="D327" s="6" t="s">
        <v>86</v>
      </c>
      <c r="E327" s="9">
        <v>1.2127000000000001E-2</v>
      </c>
      <c r="F327" s="9">
        <v>1.21E-2</v>
      </c>
      <c r="G327" s="2" t="s">
        <v>250</v>
      </c>
      <c r="H327" s="5">
        <v>-8.8780200000001044E-5</v>
      </c>
      <c r="I327" s="6">
        <v>-7.3208707842006299E-3</v>
      </c>
    </row>
    <row r="328" spans="2:9" s="2" customFormat="1" x14ac:dyDescent="0.25">
      <c r="B328" s="12">
        <v>42906.676676157411</v>
      </c>
      <c r="C328" s="2" t="s">
        <v>25</v>
      </c>
      <c r="D328" s="6" t="s">
        <v>87</v>
      </c>
      <c r="E328" s="4">
        <v>1.89839E-3</v>
      </c>
      <c r="F328" s="4">
        <v>1.8400000000000001E-3</v>
      </c>
      <c r="G328" s="2" t="s">
        <v>87</v>
      </c>
      <c r="H328" s="5">
        <v>-6.5866780000000064E-5</v>
      </c>
      <c r="I328" s="6">
        <v>-3.4696126717903099E-2</v>
      </c>
    </row>
    <row r="329" spans="2:9" s="2" customFormat="1" x14ac:dyDescent="0.25">
      <c r="B329" s="12">
        <v>42906.676676157411</v>
      </c>
      <c r="C329" s="2" t="s">
        <v>70</v>
      </c>
      <c r="D329" s="6" t="s">
        <v>72</v>
      </c>
      <c r="E329" s="4">
        <v>155097.57939200001</v>
      </c>
      <c r="F329" s="4">
        <v>163294.50399999999</v>
      </c>
      <c r="G329" s="2" t="s">
        <v>69</v>
      </c>
      <c r="H329" s="5">
        <v>7560.1404412159754</v>
      </c>
      <c r="I329" s="6">
        <v>4.8744412845465275E-2</v>
      </c>
    </row>
    <row r="330" spans="2:9" s="2" customFormat="1" x14ac:dyDescent="0.25">
      <c r="B330" s="12"/>
      <c r="D330" s="6"/>
      <c r="E330" s="4"/>
      <c r="F330" s="4"/>
      <c r="H330" s="5"/>
      <c r="I330" s="6"/>
    </row>
    <row r="331" spans="2:9" s="2" customFormat="1" x14ac:dyDescent="0.25">
      <c r="B331" s="12"/>
      <c r="D331" s="6"/>
      <c r="E331" s="4"/>
      <c r="F331" s="4"/>
      <c r="H331" s="5"/>
      <c r="I331" s="6"/>
    </row>
    <row r="332" spans="2:9" s="2" customFormat="1" x14ac:dyDescent="0.25">
      <c r="B332" s="12">
        <v>42906.665412615737</v>
      </c>
      <c r="C332" s="2" t="s">
        <v>6</v>
      </c>
      <c r="D332" s="6" t="s">
        <v>0</v>
      </c>
      <c r="E332" s="9">
        <v>1.7618999999999999E-2</v>
      </c>
      <c r="F332" s="9">
        <v>1.77E-2</v>
      </c>
      <c r="G332" s="2" t="s">
        <v>72</v>
      </c>
      <c r="H332" s="5">
        <v>1.0361999999999871E-5</v>
      </c>
      <c r="I332" s="6">
        <v>5.8811510301378463E-4</v>
      </c>
    </row>
    <row r="333" spans="2:9" s="2" customFormat="1" x14ac:dyDescent="0.25">
      <c r="B333" s="12">
        <v>42906.665412615737</v>
      </c>
      <c r="C333" s="2" t="s">
        <v>35</v>
      </c>
      <c r="D333" s="6" t="s">
        <v>11</v>
      </c>
      <c r="E333" s="9">
        <v>1.17E-6</v>
      </c>
      <c r="F333" s="9">
        <v>1.1710000000000001E-6</v>
      </c>
      <c r="G333" s="2" t="s">
        <v>74</v>
      </c>
      <c r="H333" s="5">
        <v>-3.0959999999999107E-9</v>
      </c>
      <c r="I333" s="6">
        <v>-2.6461538461537699E-3</v>
      </c>
    </row>
    <row r="334" spans="2:9" s="2" customFormat="1" x14ac:dyDescent="0.25">
      <c r="B334" s="12">
        <v>42906.665412615737</v>
      </c>
      <c r="C334" s="2" t="s">
        <v>4</v>
      </c>
      <c r="D334" s="6" t="s">
        <v>250</v>
      </c>
      <c r="E334" s="9">
        <v>0.13837100999999999</v>
      </c>
      <c r="F334" s="9">
        <v>0.13883395339900001</v>
      </c>
      <c r="G334" s="2" t="s">
        <v>251</v>
      </c>
      <c r="H334" s="5">
        <v>-1.6065203279799767E-4</v>
      </c>
      <c r="I334" s="6">
        <v>-1.1610237780153348E-3</v>
      </c>
    </row>
    <row r="335" spans="2:9" s="2" customFormat="1" x14ac:dyDescent="0.25">
      <c r="B335" s="12">
        <v>42906.665412615737</v>
      </c>
      <c r="C335" s="2" t="s">
        <v>33</v>
      </c>
      <c r="D335" s="6" t="s">
        <v>250</v>
      </c>
      <c r="E335" s="9">
        <v>7.4462929999999997E-2</v>
      </c>
      <c r="F335" s="9">
        <v>7.4649999999999994E-2</v>
      </c>
      <c r="G335" s="2" t="s">
        <v>251</v>
      </c>
      <c r="H335" s="5">
        <v>-1.4838732500001284E-4</v>
      </c>
      <c r="I335" s="6">
        <v>-1.9927677436277734E-3</v>
      </c>
    </row>
    <row r="336" spans="2:9" s="2" customFormat="1" x14ac:dyDescent="0.25">
      <c r="B336" s="12">
        <v>42906.665412615737</v>
      </c>
      <c r="C336" s="2" t="s">
        <v>8</v>
      </c>
      <c r="D336" s="6" t="s">
        <v>74</v>
      </c>
      <c r="E336" s="9">
        <v>1.9900000000000001E-2</v>
      </c>
      <c r="F336" s="9">
        <v>2.0002010000000001E-2</v>
      </c>
      <c r="G336" s="2" t="s">
        <v>250</v>
      </c>
      <c r="H336" s="5">
        <v>3.2104974999998953E-5</v>
      </c>
      <c r="I336" s="6">
        <v>1.6133153266331131E-3</v>
      </c>
    </row>
    <row r="337" spans="2:9" s="2" customFormat="1" x14ac:dyDescent="0.25">
      <c r="B337" s="12">
        <v>42906.665412615737</v>
      </c>
      <c r="C337" s="2" t="s">
        <v>3</v>
      </c>
      <c r="D337" s="6" t="s">
        <v>74</v>
      </c>
      <c r="E337" s="9">
        <v>8.0190000000000001E-3</v>
      </c>
      <c r="F337" s="9">
        <v>8.0383599999999996E-3</v>
      </c>
      <c r="G337" s="2" t="s">
        <v>86</v>
      </c>
      <c r="H337" s="5">
        <v>-9.5587360000003174E-6</v>
      </c>
      <c r="I337" s="6">
        <v>-1.1920109739369394E-3</v>
      </c>
    </row>
    <row r="338" spans="2:9" s="2" customFormat="1" x14ac:dyDescent="0.25">
      <c r="B338" s="12">
        <v>42906.665412615737</v>
      </c>
      <c r="C338" s="2" t="s">
        <v>21</v>
      </c>
      <c r="D338" s="6" t="s">
        <v>11</v>
      </c>
      <c r="E338" s="9">
        <v>2624.0621807399998</v>
      </c>
      <c r="F338" s="9">
        <v>2623.9999999800002</v>
      </c>
      <c r="G338" s="2" t="s">
        <v>250</v>
      </c>
      <c r="H338" s="5">
        <v>-13.182336211799338</v>
      </c>
      <c r="I338" s="6">
        <v>-5.02363713350796E-3</v>
      </c>
    </row>
    <row r="339" spans="2:9" s="2" customFormat="1" x14ac:dyDescent="0.25">
      <c r="B339" s="12">
        <v>42906.665412615737</v>
      </c>
      <c r="C339" s="2" t="s">
        <v>50</v>
      </c>
      <c r="D339" s="6" t="s">
        <v>251</v>
      </c>
      <c r="E339" s="9">
        <v>2.141E-5</v>
      </c>
      <c r="F339" s="9">
        <v>2.1670000000000001E-5</v>
      </c>
      <c r="G339" s="2" t="s">
        <v>87</v>
      </c>
      <c r="H339" s="5">
        <v>1.7384000000000103E-7</v>
      </c>
      <c r="I339" s="6">
        <v>8.1195702942550695E-3</v>
      </c>
    </row>
    <row r="340" spans="2:9" s="2" customFormat="1" x14ac:dyDescent="0.25">
      <c r="B340" s="12">
        <v>42906.665412615737</v>
      </c>
      <c r="C340" s="2" t="s">
        <v>10</v>
      </c>
      <c r="D340" s="6" t="s">
        <v>11</v>
      </c>
      <c r="E340" s="9">
        <v>0.15647742000000001</v>
      </c>
      <c r="F340" s="9">
        <v>0.15731400000000001</v>
      </c>
      <c r="G340" s="2" t="s">
        <v>86</v>
      </c>
      <c r="H340" s="5">
        <v>3.6370050000011922E-5</v>
      </c>
      <c r="I340" s="6">
        <v>2.3243002089382559E-4</v>
      </c>
    </row>
    <row r="341" spans="2:9" s="2" customFormat="1" x14ac:dyDescent="0.25">
      <c r="B341" s="12">
        <v>42906.665412615737</v>
      </c>
      <c r="C341" s="2" t="s">
        <v>46</v>
      </c>
      <c r="D341" s="6" t="s">
        <v>250</v>
      </c>
      <c r="E341" s="9">
        <v>6.5599999999999995E-5</v>
      </c>
      <c r="F341" s="9">
        <v>6.5660000000000005E-5</v>
      </c>
      <c r="G341" s="2" t="s">
        <v>11</v>
      </c>
      <c r="H341" s="5">
        <v>-2.6814999999998828E-7</v>
      </c>
      <c r="I341" s="6">
        <v>-4.0876524390242117E-3</v>
      </c>
    </row>
    <row r="342" spans="2:9" s="2" customFormat="1" x14ac:dyDescent="0.25">
      <c r="B342" s="12">
        <v>42906.665412615737</v>
      </c>
      <c r="C342" s="2" t="s">
        <v>80</v>
      </c>
      <c r="D342" s="6" t="s">
        <v>86</v>
      </c>
      <c r="E342" s="9">
        <v>1.2093E-2</v>
      </c>
      <c r="F342" s="9">
        <v>1.21E-2</v>
      </c>
      <c r="G342" s="2" t="s">
        <v>250</v>
      </c>
      <c r="H342" s="5">
        <v>-5.4691800000001081E-5</v>
      </c>
      <c r="I342" s="6">
        <v>-4.5225998511536497E-3</v>
      </c>
    </row>
    <row r="343" spans="2:9" s="2" customFormat="1" x14ac:dyDescent="0.25">
      <c r="B343" s="12">
        <v>42906.665412615737</v>
      </c>
      <c r="C343" s="2" t="s">
        <v>25</v>
      </c>
      <c r="D343" s="6" t="s">
        <v>87</v>
      </c>
      <c r="E343" s="4">
        <v>1.8984399999999999E-3</v>
      </c>
      <c r="F343" s="4">
        <v>1.8400000000000001E-3</v>
      </c>
      <c r="G343" s="2" t="s">
        <v>87</v>
      </c>
      <c r="H343" s="5">
        <v>-6.5916880000000018E-5</v>
      </c>
      <c r="I343" s="6">
        <v>-3.4721603000358196E-2</v>
      </c>
    </row>
    <row r="344" spans="2:9" s="2" customFormat="1" x14ac:dyDescent="0.25">
      <c r="B344" s="12">
        <v>42906.665412615737</v>
      </c>
      <c r="C344" s="2" t="s">
        <v>70</v>
      </c>
      <c r="D344" s="6" t="s">
        <v>72</v>
      </c>
      <c r="E344" s="4">
        <v>155161.36666299999</v>
      </c>
      <c r="F344" s="4">
        <v>163788.5</v>
      </c>
      <c r="G344" s="2" t="s">
        <v>69</v>
      </c>
      <c r="H344" s="5">
        <v>7989.2336036740162</v>
      </c>
      <c r="I344" s="6">
        <v>5.1489837808828355E-2</v>
      </c>
    </row>
    <row r="345" spans="2:9" s="2" customFormat="1" x14ac:dyDescent="0.25">
      <c r="B345" s="12"/>
      <c r="D345" s="6"/>
      <c r="E345" s="4"/>
      <c r="F345" s="4"/>
      <c r="H345" s="5"/>
      <c r="I345" s="6"/>
    </row>
    <row r="346" spans="2:9" s="2" customFormat="1" x14ac:dyDescent="0.25">
      <c r="B346" s="12"/>
      <c r="D346" s="6"/>
      <c r="E346" s="4"/>
      <c r="F346" s="4"/>
      <c r="H346" s="5"/>
      <c r="I346" s="6"/>
    </row>
    <row r="347" spans="2:9" s="2" customFormat="1" x14ac:dyDescent="0.25">
      <c r="B347" s="12">
        <v>42906.655501041663</v>
      </c>
      <c r="C347" s="2" t="s">
        <v>6</v>
      </c>
      <c r="D347" s="6" t="s">
        <v>22</v>
      </c>
      <c r="E347" s="9">
        <v>1.7639999999999999E-2</v>
      </c>
      <c r="F347" s="9">
        <v>1.7738919999999998E-2</v>
      </c>
      <c r="G347" s="2" t="s">
        <v>72</v>
      </c>
      <c r="H347" s="5">
        <v>2.8162160000001074E-5</v>
      </c>
      <c r="I347" s="6">
        <v>1.5964943310658205E-3</v>
      </c>
    </row>
    <row r="348" spans="2:9" s="2" customFormat="1" x14ac:dyDescent="0.25">
      <c r="B348" s="12">
        <v>42906.655501041663</v>
      </c>
      <c r="C348" s="2" t="s">
        <v>35</v>
      </c>
      <c r="D348" s="6" t="s">
        <v>11</v>
      </c>
      <c r="E348" s="9">
        <v>1.17E-6</v>
      </c>
      <c r="F348" s="9">
        <v>1.1710000000000001E-6</v>
      </c>
      <c r="G348" s="2" t="s">
        <v>74</v>
      </c>
      <c r="H348" s="5">
        <v>-3.0959999999999107E-9</v>
      </c>
      <c r="I348" s="6">
        <v>-2.6461538461537699E-3</v>
      </c>
    </row>
    <row r="349" spans="2:9" s="2" customFormat="1" x14ac:dyDescent="0.25">
      <c r="B349" s="12">
        <v>42906.655501041663</v>
      </c>
      <c r="C349" s="2" t="s">
        <v>4</v>
      </c>
      <c r="D349" s="6" t="s">
        <v>250</v>
      </c>
      <c r="E349" s="9">
        <v>0.13839999</v>
      </c>
      <c r="F349" s="9">
        <v>0.13896000777799999</v>
      </c>
      <c r="G349" s="2" t="s">
        <v>251</v>
      </c>
      <c r="H349" s="5">
        <v>-6.3902212556005145E-5</v>
      </c>
      <c r="I349" s="6">
        <v>-4.6172122234983647E-4</v>
      </c>
    </row>
    <row r="350" spans="2:9" s="2" customFormat="1" x14ac:dyDescent="0.25">
      <c r="B350" s="12">
        <v>42906.655501041663</v>
      </c>
      <c r="C350" s="2" t="s">
        <v>33</v>
      </c>
      <c r="D350" s="6" t="s">
        <v>11</v>
      </c>
      <c r="E350" s="9">
        <v>7.4789990000000001E-2</v>
      </c>
      <c r="F350" s="9">
        <v>7.4774999999999994E-2</v>
      </c>
      <c r="G350" s="2" t="s">
        <v>74</v>
      </c>
      <c r="H350" s="5">
        <v>-2.7673997500000935E-4</v>
      </c>
      <c r="I350" s="6">
        <v>-3.7002274635951865E-3</v>
      </c>
    </row>
    <row r="351" spans="2:9" s="2" customFormat="1" x14ac:dyDescent="0.25">
      <c r="B351" s="12">
        <v>42906.655501041663</v>
      </c>
      <c r="C351" s="2" t="s">
        <v>8</v>
      </c>
      <c r="D351" s="6" t="s">
        <v>74</v>
      </c>
      <c r="E351" s="9">
        <v>1.9900000000000001E-2</v>
      </c>
      <c r="F351" s="9">
        <v>2.0050020000000002E-2</v>
      </c>
      <c r="G351" s="2" t="s">
        <v>250</v>
      </c>
      <c r="H351" s="5">
        <v>7.9994950000002174E-5</v>
      </c>
      <c r="I351" s="6">
        <v>4.0198467336684512E-3</v>
      </c>
    </row>
    <row r="352" spans="2:9" s="2" customFormat="1" x14ac:dyDescent="0.25">
      <c r="B352" s="12">
        <v>42906.655501041663</v>
      </c>
      <c r="C352" s="2" t="s">
        <v>3</v>
      </c>
      <c r="D352" s="6" t="s">
        <v>0</v>
      </c>
      <c r="E352" s="9">
        <v>8.0289999999999997E-3</v>
      </c>
      <c r="F352" s="9">
        <v>8.0383599999999996E-3</v>
      </c>
      <c r="G352" s="2" t="s">
        <v>86</v>
      </c>
      <c r="H352" s="5">
        <v>-2.7597735999999526E-5</v>
      </c>
      <c r="I352" s="6">
        <v>-3.4372569435794655E-3</v>
      </c>
    </row>
    <row r="353" spans="2:9" s="2" customFormat="1" x14ac:dyDescent="0.25">
      <c r="B353" s="12">
        <v>42906.655501041663</v>
      </c>
      <c r="C353" s="2" t="s">
        <v>21</v>
      </c>
      <c r="D353" s="6" t="s">
        <v>11</v>
      </c>
      <c r="E353" s="9">
        <v>2615</v>
      </c>
      <c r="F353" s="9">
        <v>2615.0000000300001</v>
      </c>
      <c r="G353" s="2" t="s">
        <v>250</v>
      </c>
      <c r="H353" s="5">
        <v>-13.074999970074714</v>
      </c>
      <c r="I353" s="6">
        <v>-4.9999999885562956E-3</v>
      </c>
    </row>
    <row r="354" spans="2:9" s="2" customFormat="1" x14ac:dyDescent="0.25">
      <c r="B354" s="12">
        <v>42906.655501041663</v>
      </c>
      <c r="C354" s="2" t="s">
        <v>50</v>
      </c>
      <c r="D354" s="6" t="s">
        <v>251</v>
      </c>
      <c r="E354" s="9">
        <v>2.1149999999999999E-5</v>
      </c>
      <c r="F354" s="9">
        <v>2.19E-5</v>
      </c>
      <c r="G354" s="2" t="s">
        <v>87</v>
      </c>
      <c r="H354" s="5">
        <v>6.6389999999999884E-7</v>
      </c>
      <c r="I354" s="6">
        <v>3.1390070921985765E-2</v>
      </c>
    </row>
    <row r="355" spans="2:9" s="2" customFormat="1" x14ac:dyDescent="0.25">
      <c r="B355" s="12">
        <v>42906.655501041663</v>
      </c>
      <c r="C355" s="2" t="s">
        <v>10</v>
      </c>
      <c r="D355" s="6" t="s">
        <v>250</v>
      </c>
      <c r="E355" s="9">
        <v>0.15554000000000001</v>
      </c>
      <c r="F355" s="9">
        <v>0.15731400000000001</v>
      </c>
      <c r="G355" s="2" t="s">
        <v>86</v>
      </c>
      <c r="H355" s="5">
        <v>9.7613360000001204E-4</v>
      </c>
      <c r="I355" s="6">
        <v>6.2757721486435131E-3</v>
      </c>
    </row>
    <row r="356" spans="2:9" s="2" customFormat="1" x14ac:dyDescent="0.25">
      <c r="B356" s="12">
        <v>42906.655501041663</v>
      </c>
      <c r="C356" s="2" t="s">
        <v>46</v>
      </c>
      <c r="D356" s="6" t="s">
        <v>74</v>
      </c>
      <c r="E356" s="9">
        <v>6.6489999999999995E-5</v>
      </c>
      <c r="F356" s="9">
        <v>6.6669999999999997E-5</v>
      </c>
      <c r="G356" s="2" t="s">
        <v>11</v>
      </c>
      <c r="H356" s="5">
        <v>-5.3164999999999007E-8</v>
      </c>
      <c r="I356" s="6">
        <v>-7.9959392389831573E-4</v>
      </c>
    </row>
    <row r="357" spans="2:9" s="2" customFormat="1" x14ac:dyDescent="0.25">
      <c r="B357" s="12">
        <v>42906.655501041663</v>
      </c>
      <c r="C357" s="2" t="s">
        <v>80</v>
      </c>
      <c r="D357" s="6" t="s">
        <v>86</v>
      </c>
      <c r="E357" s="9">
        <v>1.2093E-2</v>
      </c>
      <c r="F357" s="9">
        <v>1.2057E-2</v>
      </c>
      <c r="G357" s="2" t="s">
        <v>86</v>
      </c>
      <c r="H357" s="5">
        <v>-9.8789999999999642E-5</v>
      </c>
      <c r="I357" s="6">
        <v>-8.169188786901484E-3</v>
      </c>
    </row>
    <row r="358" spans="2:9" s="2" customFormat="1" x14ac:dyDescent="0.25">
      <c r="B358" s="12">
        <v>42906.655501041663</v>
      </c>
      <c r="C358" s="2" t="s">
        <v>25</v>
      </c>
      <c r="D358" s="6" t="s">
        <v>87</v>
      </c>
      <c r="E358" s="4">
        <v>1.8984799999999999E-3</v>
      </c>
      <c r="F358" s="4">
        <v>1.8400000000000001E-3</v>
      </c>
      <c r="G358" s="2" t="s">
        <v>87</v>
      </c>
      <c r="H358" s="5">
        <v>-6.5956959999999894E-5</v>
      </c>
      <c r="I358" s="6">
        <v>-3.4741983060132264E-2</v>
      </c>
    </row>
    <row r="359" spans="2:9" s="2" customFormat="1" x14ac:dyDescent="0.25">
      <c r="B359" s="12">
        <v>42906.655501041663</v>
      </c>
      <c r="C359" s="2" t="s">
        <v>70</v>
      </c>
      <c r="D359" s="6" t="s">
        <v>72</v>
      </c>
      <c r="E359" s="4">
        <v>154985.13858</v>
      </c>
      <c r="F359" s="4">
        <v>163070.9</v>
      </c>
      <c r="G359" s="2" t="s">
        <v>69</v>
      </c>
      <c r="H359" s="5">
        <v>7449.6493428399845</v>
      </c>
      <c r="I359" s="6">
        <v>4.8066862481751023E-2</v>
      </c>
    </row>
    <row r="360" spans="2:9" s="2" customFormat="1" x14ac:dyDescent="0.25">
      <c r="B360" s="12"/>
      <c r="D360" s="6"/>
      <c r="E360" s="4"/>
      <c r="F360" s="4"/>
      <c r="H360" s="5"/>
      <c r="I360" s="6"/>
    </row>
    <row r="361" spans="2:9" s="2" customFormat="1" x14ac:dyDescent="0.25">
      <c r="B361" s="12"/>
      <c r="D361" s="6"/>
      <c r="E361" s="4"/>
      <c r="F361" s="4"/>
      <c r="H361" s="5"/>
      <c r="I361" s="6"/>
    </row>
    <row r="362" spans="2:9" s="2" customFormat="1" x14ac:dyDescent="0.25">
      <c r="B362" s="12">
        <v>42906.650166087966</v>
      </c>
      <c r="C362" s="2" t="s">
        <v>6</v>
      </c>
      <c r="D362" s="6" t="s">
        <v>22</v>
      </c>
      <c r="E362" s="9">
        <v>1.77E-2</v>
      </c>
      <c r="F362" s="9">
        <v>1.7831698721299999E-2</v>
      </c>
      <c r="G362" s="2" t="s">
        <v>27</v>
      </c>
      <c r="H362" s="5">
        <v>6.0635323857395618E-5</v>
      </c>
      <c r="I362" s="6">
        <v>3.4257245117172664E-3</v>
      </c>
    </row>
    <row r="363" spans="2:9" s="2" customFormat="1" x14ac:dyDescent="0.25">
      <c r="B363" s="12">
        <v>42906.650166087966</v>
      </c>
      <c r="C363" s="2" t="s">
        <v>35</v>
      </c>
      <c r="D363" s="6" t="s">
        <v>11</v>
      </c>
      <c r="E363" s="9">
        <v>1.17E-6</v>
      </c>
      <c r="F363" s="9">
        <v>1.17E-6</v>
      </c>
      <c r="G363" s="2" t="s">
        <v>250</v>
      </c>
      <c r="H363" s="5">
        <v>-5.8500000000001219E-9</v>
      </c>
      <c r="I363" s="6">
        <v>-5.0000000000001042E-3</v>
      </c>
    </row>
    <row r="364" spans="2:9" s="2" customFormat="1" x14ac:dyDescent="0.25">
      <c r="B364" s="12">
        <v>42906.650166087966</v>
      </c>
      <c r="C364" s="2" t="s">
        <v>4</v>
      </c>
      <c r="D364" s="6" t="s">
        <v>0</v>
      </c>
      <c r="E364" s="9">
        <v>0.13880999999999999</v>
      </c>
      <c r="F364" s="9">
        <v>0.13914397000000001</v>
      </c>
      <c r="G364" s="2" t="s">
        <v>11</v>
      </c>
      <c r="H364" s="5">
        <v>-2.9150992499998862E-4</v>
      </c>
      <c r="I364" s="6">
        <v>-2.1000642965203417E-3</v>
      </c>
    </row>
    <row r="365" spans="2:9" s="2" customFormat="1" x14ac:dyDescent="0.25">
      <c r="B365" s="12">
        <v>42906.650166087966</v>
      </c>
      <c r="C365" s="2" t="s">
        <v>33</v>
      </c>
      <c r="D365" s="6" t="s">
        <v>250</v>
      </c>
      <c r="E365" s="9">
        <v>7.4759562301599997E-2</v>
      </c>
      <c r="F365" s="9">
        <v>7.4795688348100006E-2</v>
      </c>
      <c r="G365" s="2" t="s">
        <v>72</v>
      </c>
      <c r="H365" s="5">
        <v>-3.0036423595020123E-4</v>
      </c>
      <c r="I365" s="6">
        <v>-4.0177366841508766E-3</v>
      </c>
    </row>
    <row r="366" spans="2:9" s="2" customFormat="1" x14ac:dyDescent="0.25">
      <c r="B366" s="12">
        <v>42906.650166087966</v>
      </c>
      <c r="C366" s="2" t="s">
        <v>8</v>
      </c>
      <c r="D366" s="6" t="s">
        <v>74</v>
      </c>
      <c r="E366" s="9">
        <v>1.9900000000000001E-2</v>
      </c>
      <c r="F366" s="9">
        <v>2.00002819906E-2</v>
      </c>
      <c r="G366" s="2" t="s">
        <v>250</v>
      </c>
      <c r="H366" s="5">
        <v>3.0381285623500009E-5</v>
      </c>
      <c r="I366" s="6">
        <v>1.5266977700251259E-3</v>
      </c>
    </row>
    <row r="367" spans="2:9" s="2" customFormat="1" x14ac:dyDescent="0.25">
      <c r="B367" s="12">
        <v>42906.650166087966</v>
      </c>
      <c r="C367" s="2" t="s">
        <v>3</v>
      </c>
      <c r="D367" s="6" t="s">
        <v>11</v>
      </c>
      <c r="E367" s="9">
        <v>8.0316599999999995E-3</v>
      </c>
      <c r="F367" s="9">
        <v>8.0619999999999997E-3</v>
      </c>
      <c r="G367" s="2" t="s">
        <v>0</v>
      </c>
      <c r="H367" s="5">
        <v>-5.863149999998582E-6</v>
      </c>
      <c r="I367" s="6">
        <v>-7.3000475617725138E-4</v>
      </c>
    </row>
    <row r="368" spans="2:9" s="2" customFormat="1" x14ac:dyDescent="0.25">
      <c r="B368" s="12">
        <v>42906.650166087966</v>
      </c>
      <c r="C368" s="2" t="s">
        <v>21</v>
      </c>
      <c r="D368" s="6" t="s">
        <v>27</v>
      </c>
      <c r="E368" s="9">
        <v>4.8494E-4</v>
      </c>
      <c r="F368" s="9">
        <v>2615.83000292</v>
      </c>
      <c r="G368" s="2" t="s">
        <v>250</v>
      </c>
      <c r="H368" s="5">
        <v>2609.2899420028202</v>
      </c>
      <c r="I368" s="6">
        <v>5380644.9086543079</v>
      </c>
    </row>
    <row r="369" spans="2:9" s="2" customFormat="1" x14ac:dyDescent="0.25">
      <c r="B369" s="12">
        <v>42906.650166087966</v>
      </c>
      <c r="C369" s="2" t="s">
        <v>50</v>
      </c>
      <c r="D369" s="6" t="s">
        <v>251</v>
      </c>
      <c r="E369" s="9">
        <v>2.1739999999999999E-5</v>
      </c>
      <c r="F369" s="9">
        <v>2.1659999999999999E-5</v>
      </c>
      <c r="G369" s="2" t="s">
        <v>87</v>
      </c>
      <c r="H369" s="5">
        <v>-1.6679999999999983E-7</v>
      </c>
      <c r="I369" s="6">
        <v>-7.6724931002759818E-3</v>
      </c>
    </row>
    <row r="370" spans="2:9" s="2" customFormat="1" x14ac:dyDescent="0.25">
      <c r="B370" s="12">
        <v>42906.650166087966</v>
      </c>
      <c r="C370" s="2" t="s">
        <v>10</v>
      </c>
      <c r="D370" s="6" t="s">
        <v>11</v>
      </c>
      <c r="E370" s="9">
        <v>0.1565</v>
      </c>
      <c r="F370" s="9">
        <v>0.15731400000000001</v>
      </c>
      <c r="G370" s="2" t="s">
        <v>86</v>
      </c>
      <c r="H370" s="5">
        <v>1.3733600000009893E-5</v>
      </c>
      <c r="I370" s="6">
        <v>8.7754632587922637E-5</v>
      </c>
    </row>
    <row r="371" spans="2:9" s="2" customFormat="1" x14ac:dyDescent="0.25">
      <c r="B371" s="12">
        <v>42906.650166087966</v>
      </c>
      <c r="C371" s="2" t="s">
        <v>46</v>
      </c>
      <c r="D371" s="6" t="s">
        <v>250</v>
      </c>
      <c r="E371" s="9">
        <v>6.6069999999999996E-5</v>
      </c>
      <c r="F371" s="9">
        <v>6.6890000000000005E-5</v>
      </c>
      <c r="G371" s="2" t="s">
        <v>11</v>
      </c>
      <c r="H371" s="5">
        <v>4.8760000000001207E-7</v>
      </c>
      <c r="I371" s="6">
        <v>7.3800514605723037E-3</v>
      </c>
    </row>
    <row r="372" spans="2:9" s="2" customFormat="1" x14ac:dyDescent="0.25">
      <c r="B372" s="12">
        <v>42906.650166087966</v>
      </c>
      <c r="C372" s="2" t="s">
        <v>80</v>
      </c>
      <c r="D372" s="6" t="s">
        <v>86</v>
      </c>
      <c r="E372" s="9">
        <v>1.2135E-2</v>
      </c>
      <c r="F372" s="9">
        <v>1.2042000000000001E-2</v>
      </c>
      <c r="G372" s="2" t="s">
        <v>86</v>
      </c>
      <c r="H372" s="5">
        <v>-1.5586019999999819E-4</v>
      </c>
      <c r="I372" s="6">
        <v>-1.2843856613102446E-2</v>
      </c>
    </row>
    <row r="373" spans="2:9" s="2" customFormat="1" x14ac:dyDescent="0.25">
      <c r="B373" s="12">
        <v>42906.650166087966</v>
      </c>
      <c r="C373" s="2" t="s">
        <v>25</v>
      </c>
      <c r="D373" s="6" t="s">
        <v>87</v>
      </c>
      <c r="E373" s="4">
        <v>1.8985199999999999E-3</v>
      </c>
      <c r="F373" s="4">
        <v>1.8400000000000001E-3</v>
      </c>
      <c r="G373" s="2" t="s">
        <v>87</v>
      </c>
      <c r="H373" s="5">
        <v>-6.5997039999999988E-5</v>
      </c>
      <c r="I373" s="6">
        <v>-3.476236226112972E-2</v>
      </c>
    </row>
    <row r="374" spans="2:9" s="2" customFormat="1" x14ac:dyDescent="0.25">
      <c r="B374" s="12">
        <v>42906.650166087966</v>
      </c>
      <c r="C374" s="2" t="s">
        <v>70</v>
      </c>
      <c r="D374" s="6" t="s">
        <v>72</v>
      </c>
      <c r="E374" s="4">
        <v>154849.557975</v>
      </c>
      <c r="F374" s="4">
        <v>163190.20000000001</v>
      </c>
      <c r="G374" s="2" t="s">
        <v>69</v>
      </c>
      <c r="H374" s="5">
        <v>7704.5625090500107</v>
      </c>
      <c r="I374" s="6">
        <v>4.9755146929730917E-2</v>
      </c>
    </row>
    <row r="375" spans="2:9" s="2" customFormat="1" x14ac:dyDescent="0.25">
      <c r="B375" s="12"/>
      <c r="D375" s="6"/>
      <c r="E375" s="4"/>
      <c r="F375" s="4"/>
      <c r="H375" s="5"/>
      <c r="I375" s="6"/>
    </row>
    <row r="376" spans="2:9" s="2" customFormat="1" x14ac:dyDescent="0.25">
      <c r="B376" s="12"/>
      <c r="D376" s="6"/>
      <c r="E376" s="4"/>
      <c r="F376" s="4"/>
      <c r="H376" s="5"/>
      <c r="I376" s="6"/>
    </row>
    <row r="377" spans="2:9" s="2" customFormat="1" x14ac:dyDescent="0.25">
      <c r="B377" s="12">
        <v>42906.635821180556</v>
      </c>
      <c r="C377" s="2" t="s">
        <v>6</v>
      </c>
      <c r="D377" s="6" t="s">
        <v>250</v>
      </c>
      <c r="E377" s="9">
        <v>1.7770000000000001E-2</v>
      </c>
      <c r="F377" s="9">
        <v>1.7842247601500001E-2</v>
      </c>
      <c r="G377" s="2" t="s">
        <v>72</v>
      </c>
      <c r="H377" s="5">
        <v>-7.8618937030018599E-6</v>
      </c>
      <c r="I377" s="6">
        <v>-4.4242508176712772E-4</v>
      </c>
    </row>
    <row r="378" spans="2:9" s="2" customFormat="1" x14ac:dyDescent="0.25">
      <c r="B378" s="12">
        <v>42906.635821180556</v>
      </c>
      <c r="C378" s="2" t="s">
        <v>35</v>
      </c>
      <c r="D378" s="6" t="s">
        <v>87</v>
      </c>
      <c r="E378" s="9">
        <v>1.17E-6</v>
      </c>
      <c r="F378" s="9">
        <v>1.173E-6</v>
      </c>
      <c r="G378" s="2" t="s">
        <v>74</v>
      </c>
      <c r="H378" s="5">
        <v>-5.129999999999729E-10</v>
      </c>
      <c r="I378" s="6">
        <v>-4.384615384615153E-4</v>
      </c>
    </row>
    <row r="379" spans="2:9" s="2" customFormat="1" x14ac:dyDescent="0.25">
      <c r="B379" s="12">
        <v>42906.635821180556</v>
      </c>
      <c r="C379" s="2" t="s">
        <v>4</v>
      </c>
      <c r="D379" s="6" t="s">
        <v>22</v>
      </c>
      <c r="E379" s="9">
        <v>0.1386</v>
      </c>
      <c r="F379" s="9">
        <v>0.13932</v>
      </c>
      <c r="G379" s="2" t="s">
        <v>11</v>
      </c>
      <c r="H379" s="5">
        <v>9.4499999999997364E-5</v>
      </c>
      <c r="I379" s="6">
        <v>6.8181818181816279E-4</v>
      </c>
    </row>
    <row r="380" spans="2:9" s="2" customFormat="1" x14ac:dyDescent="0.25">
      <c r="B380" s="12">
        <v>42906.635821180556</v>
      </c>
      <c r="C380" s="2" t="s">
        <v>33</v>
      </c>
      <c r="D380" s="6" t="s">
        <v>74</v>
      </c>
      <c r="E380" s="9">
        <v>7.4709999999999999E-2</v>
      </c>
      <c r="F380" s="9">
        <v>7.4860010000000005E-2</v>
      </c>
      <c r="G380" s="2" t="s">
        <v>72</v>
      </c>
      <c r="H380" s="5">
        <v>-7.442001999999337E-5</v>
      </c>
      <c r="I380" s="6">
        <v>-9.9611859188854734E-4</v>
      </c>
    </row>
    <row r="381" spans="2:9" s="2" customFormat="1" x14ac:dyDescent="0.25">
      <c r="B381" s="12">
        <v>42906.635821180556</v>
      </c>
      <c r="C381" s="2" t="s">
        <v>8</v>
      </c>
      <c r="D381" s="6" t="s">
        <v>74</v>
      </c>
      <c r="E381" s="9">
        <v>1.986392E-2</v>
      </c>
      <c r="F381" s="9">
        <v>1.993E-2</v>
      </c>
      <c r="G381" s="2" t="s">
        <v>250</v>
      </c>
      <c r="H381" s="5">
        <v>-3.6089200000019583E-6</v>
      </c>
      <c r="I381" s="6">
        <v>-1.816821654538459E-4</v>
      </c>
    </row>
    <row r="382" spans="2:9" s="2" customFormat="1" x14ac:dyDescent="0.25">
      <c r="B382" s="12">
        <v>42906.635821180556</v>
      </c>
      <c r="C382" s="2" t="s">
        <v>3</v>
      </c>
      <c r="D382" s="6" t="s">
        <v>11</v>
      </c>
      <c r="E382" s="9">
        <v>8.0425900000000005E-3</v>
      </c>
      <c r="F382" s="9">
        <v>8.0850000000000002E-3</v>
      </c>
      <c r="G382" s="2" t="s">
        <v>251</v>
      </c>
      <c r="H382" s="5">
        <v>6.1335250000002506E-6</v>
      </c>
      <c r="I382" s="6">
        <v>7.6263057050033017E-4</v>
      </c>
    </row>
    <row r="383" spans="2:9" s="2" customFormat="1" x14ac:dyDescent="0.25">
      <c r="B383" s="12">
        <v>42906.635821180556</v>
      </c>
      <c r="C383" s="2" t="s">
        <v>21</v>
      </c>
      <c r="D383" s="6" t="s">
        <v>250</v>
      </c>
      <c r="E383" s="9">
        <v>2607.65559613</v>
      </c>
      <c r="F383" s="9">
        <v>2607.6</v>
      </c>
      <c r="G383" s="2" t="s">
        <v>250</v>
      </c>
      <c r="H383" s="5">
        <v>-13.093735120324709</v>
      </c>
      <c r="I383" s="6">
        <v>-5.0212670491291151E-3</v>
      </c>
    </row>
    <row r="384" spans="2:9" s="2" customFormat="1" x14ac:dyDescent="0.25">
      <c r="B384" s="12">
        <v>42906.635821180556</v>
      </c>
      <c r="C384" s="2" t="s">
        <v>50</v>
      </c>
      <c r="D384" s="6" t="s">
        <v>251</v>
      </c>
      <c r="E384" s="9">
        <v>2.2019999999999999E-5</v>
      </c>
      <c r="F384" s="9">
        <v>2.1659999999999999E-5</v>
      </c>
      <c r="G384" s="2" t="s">
        <v>87</v>
      </c>
      <c r="H384" s="5">
        <v>-4.4736000000000244E-7</v>
      </c>
      <c r="I384" s="6">
        <v>-2.0316076294278042E-2</v>
      </c>
    </row>
    <row r="385" spans="2:9" s="2" customFormat="1" x14ac:dyDescent="0.25">
      <c r="B385" s="12">
        <v>42906.635821180556</v>
      </c>
      <c r="C385" s="2" t="s">
        <v>10</v>
      </c>
      <c r="D385" s="6" t="s">
        <v>74</v>
      </c>
      <c r="E385" s="9">
        <v>0.157724</v>
      </c>
      <c r="F385" s="9">
        <v>0.15810995999999999</v>
      </c>
      <c r="G385" s="2" t="s">
        <v>11</v>
      </c>
      <c r="H385" s="5">
        <v>-1.6703889999999944E-4</v>
      </c>
      <c r="I385" s="6">
        <v>-1.0590582282975288E-3</v>
      </c>
    </row>
    <row r="386" spans="2:9" s="2" customFormat="1" x14ac:dyDescent="0.25">
      <c r="B386" s="12">
        <v>42906.635821180556</v>
      </c>
      <c r="C386" s="2" t="s">
        <v>46</v>
      </c>
      <c r="D386" s="6" t="s">
        <v>250</v>
      </c>
      <c r="E386" s="9">
        <v>6.6309999999999994E-5</v>
      </c>
      <c r="F386" s="9">
        <v>6.6569999999999995E-5</v>
      </c>
      <c r="G386" s="2" t="s">
        <v>11</v>
      </c>
      <c r="H386" s="5">
        <v>-7.2199999999995683E-8</v>
      </c>
      <c r="I386" s="6">
        <v>-1.0888252148996485E-3</v>
      </c>
    </row>
    <row r="387" spans="2:9" s="2" customFormat="1" x14ac:dyDescent="0.25">
      <c r="B387" s="12">
        <v>42906.635821180556</v>
      </c>
      <c r="C387" s="2" t="s">
        <v>80</v>
      </c>
      <c r="D387" s="6" t="s">
        <v>86</v>
      </c>
      <c r="E387" s="9">
        <v>1.2135E-2</v>
      </c>
      <c r="F387" s="9">
        <v>1.2042000000000001E-2</v>
      </c>
      <c r="G387" s="2" t="s">
        <v>86</v>
      </c>
      <c r="H387" s="5">
        <v>-1.5586019999999819E-4</v>
      </c>
      <c r="I387" s="6">
        <v>-1.2843856613102446E-2</v>
      </c>
    </row>
    <row r="388" spans="2:9" s="2" customFormat="1" x14ac:dyDescent="0.25">
      <c r="B388" s="12">
        <v>42906.635821180556</v>
      </c>
      <c r="C388" s="2" t="s">
        <v>25</v>
      </c>
      <c r="D388" s="6" t="s">
        <v>87</v>
      </c>
      <c r="E388" s="4">
        <v>1.8986000000000001E-3</v>
      </c>
      <c r="F388" s="4">
        <v>1.8400000000000001E-3</v>
      </c>
      <c r="G388" s="2" t="s">
        <v>87</v>
      </c>
      <c r="H388" s="5">
        <v>-6.6077199999999957E-5</v>
      </c>
      <c r="I388" s="6">
        <v>-3.4803118087011461E-2</v>
      </c>
    </row>
    <row r="389" spans="2:9" s="2" customFormat="1" x14ac:dyDescent="0.25">
      <c r="B389" s="12">
        <v>42906.635821180556</v>
      </c>
      <c r="C389" s="2" t="s">
        <v>70</v>
      </c>
      <c r="D389" s="6" t="s">
        <v>72</v>
      </c>
      <c r="E389" s="4">
        <v>154699.999465</v>
      </c>
      <c r="F389" s="4">
        <v>162395.5</v>
      </c>
      <c r="G389" s="2" t="s">
        <v>69</v>
      </c>
      <c r="H389" s="5">
        <v>7061.3095360700099</v>
      </c>
      <c r="I389" s="6">
        <v>4.5645181386491158E-2</v>
      </c>
    </row>
    <row r="390" spans="2:9" s="2" customFormat="1" x14ac:dyDescent="0.25">
      <c r="B390" s="12"/>
      <c r="D390" s="6"/>
      <c r="E390" s="4"/>
      <c r="F390" s="4"/>
      <c r="H390" s="5"/>
      <c r="I390" s="6"/>
    </row>
    <row r="391" spans="2:9" s="2" customFormat="1" x14ac:dyDescent="0.25">
      <c r="B391" s="12"/>
      <c r="D391" s="6"/>
      <c r="E391" s="4"/>
      <c r="F391" s="4"/>
      <c r="H391" s="5"/>
      <c r="I391" s="6"/>
    </row>
    <row r="392" spans="2:9" s="2" customFormat="1" x14ac:dyDescent="0.25">
      <c r="B392" s="12">
        <v>42906.634679976851</v>
      </c>
      <c r="C392" s="2" t="s">
        <v>6</v>
      </c>
      <c r="D392" s="6" t="s">
        <v>86</v>
      </c>
      <c r="E392" s="9">
        <v>1.7867000000000001E-2</v>
      </c>
      <c r="F392" s="9">
        <v>1.7961362751E-2</v>
      </c>
      <c r="G392" s="2" t="s">
        <v>72</v>
      </c>
      <c r="H392" s="5">
        <v>1.1985825497998898E-5</v>
      </c>
      <c r="I392" s="6">
        <v>6.7083592645653426E-4</v>
      </c>
    </row>
    <row r="393" spans="2:9" s="2" customFormat="1" x14ac:dyDescent="0.25">
      <c r="B393" s="12">
        <v>42906.634679976851</v>
      </c>
      <c r="C393" s="2" t="s">
        <v>35</v>
      </c>
      <c r="D393" s="6" t="s">
        <v>87</v>
      </c>
      <c r="E393" s="9">
        <v>1.17E-6</v>
      </c>
      <c r="F393" s="9">
        <v>1.1739999999999999E-6</v>
      </c>
      <c r="G393" s="2" t="s">
        <v>74</v>
      </c>
      <c r="H393" s="5">
        <v>4.8599999999986287E-10</v>
      </c>
      <c r="I393" s="6">
        <v>4.1538461538449817E-4</v>
      </c>
    </row>
    <row r="394" spans="2:9" s="2" customFormat="1" x14ac:dyDescent="0.25">
      <c r="B394" s="12">
        <v>42906.634679976851</v>
      </c>
      <c r="C394" s="2" t="s">
        <v>4</v>
      </c>
      <c r="D394" s="6" t="s">
        <v>250</v>
      </c>
      <c r="E394" s="9">
        <v>0.13861303999999999</v>
      </c>
      <c r="F394" s="9">
        <v>0.13919968999999999</v>
      </c>
      <c r="G394" s="2" t="s">
        <v>11</v>
      </c>
      <c r="H394" s="5">
        <v>-1.0788182500001686E-4</v>
      </c>
      <c r="I394" s="6">
        <v>-7.7829492088202429E-4</v>
      </c>
    </row>
    <row r="395" spans="2:9" s="2" customFormat="1" x14ac:dyDescent="0.25">
      <c r="B395" s="12">
        <v>42906.634679976851</v>
      </c>
      <c r="C395" s="2" t="s">
        <v>33</v>
      </c>
      <c r="D395" s="6" t="s">
        <v>11</v>
      </c>
      <c r="E395" s="9">
        <v>7.4789999999999995E-2</v>
      </c>
      <c r="F395" s="9">
        <v>7.4880000000000002E-2</v>
      </c>
      <c r="G395" s="2" t="s">
        <v>72</v>
      </c>
      <c r="H395" s="5">
        <v>-2.4673499999999793E-4</v>
      </c>
      <c r="I395" s="6">
        <v>-3.2990373044524393E-3</v>
      </c>
    </row>
    <row r="396" spans="2:9" s="2" customFormat="1" x14ac:dyDescent="0.25">
      <c r="B396" s="12">
        <v>42906.634679976851</v>
      </c>
      <c r="C396" s="2" t="s">
        <v>8</v>
      </c>
      <c r="D396" s="6" t="s">
        <v>74</v>
      </c>
      <c r="E396" s="9">
        <v>1.9872000000000001E-2</v>
      </c>
      <c r="F396" s="9">
        <v>1.9920009999999998E-2</v>
      </c>
      <c r="G396" s="2" t="s">
        <v>250</v>
      </c>
      <c r="H396" s="5">
        <v>-2.166202500000422E-5</v>
      </c>
      <c r="I396" s="6">
        <v>-1.0900777475847535E-3</v>
      </c>
    </row>
    <row r="397" spans="2:9" s="2" customFormat="1" x14ac:dyDescent="0.25">
      <c r="B397" s="12">
        <v>42906.634679976851</v>
      </c>
      <c r="C397" s="2" t="s">
        <v>3</v>
      </c>
      <c r="D397" s="6" t="s">
        <v>11</v>
      </c>
      <c r="E397" s="9">
        <v>8.0601900000000001E-3</v>
      </c>
      <c r="F397" s="9">
        <v>8.0855289293100003E-3</v>
      </c>
      <c r="G397" s="2" t="s">
        <v>251</v>
      </c>
      <c r="H397" s="5">
        <v>-1.0982603548618727E-5</v>
      </c>
      <c r="I397" s="6">
        <v>-1.3625737791067862E-3</v>
      </c>
    </row>
    <row r="398" spans="2:9" s="2" customFormat="1" x14ac:dyDescent="0.25">
      <c r="B398" s="12">
        <v>42906.634679976851</v>
      </c>
      <c r="C398" s="2" t="s">
        <v>21</v>
      </c>
      <c r="D398" s="6" t="s">
        <v>250</v>
      </c>
      <c r="E398" s="9">
        <v>2601.77</v>
      </c>
      <c r="F398" s="9">
        <v>2597.2900926399998</v>
      </c>
      <c r="G398" s="2" t="s">
        <v>250</v>
      </c>
      <c r="H398" s="5">
        <v>-17.477557591600089</v>
      </c>
      <c r="I398" s="6">
        <v>-6.7175644240651897E-3</v>
      </c>
    </row>
    <row r="399" spans="2:9" s="2" customFormat="1" x14ac:dyDescent="0.25">
      <c r="B399" s="12">
        <v>42906.634679976851</v>
      </c>
      <c r="C399" s="2" t="s">
        <v>50</v>
      </c>
      <c r="D399" s="6" t="s">
        <v>251</v>
      </c>
      <c r="E399" s="9">
        <v>2.2079999999999999E-5</v>
      </c>
      <c r="F399" s="9">
        <v>2.1679999999999999E-5</v>
      </c>
      <c r="G399" s="2" t="s">
        <v>87</v>
      </c>
      <c r="H399" s="5">
        <v>-4.875199999999997E-7</v>
      </c>
      <c r="I399" s="6">
        <v>-2.2079710144927524E-2</v>
      </c>
    </row>
    <row r="400" spans="2:9" s="2" customFormat="1" x14ac:dyDescent="0.25">
      <c r="B400" s="12">
        <v>42906.634679976851</v>
      </c>
      <c r="C400" s="2" t="s">
        <v>10</v>
      </c>
      <c r="D400" s="6" t="s">
        <v>11</v>
      </c>
      <c r="E400" s="9">
        <v>0.15799999000000001</v>
      </c>
      <c r="F400" s="9">
        <v>0.15799003</v>
      </c>
      <c r="G400" s="2" t="s">
        <v>250</v>
      </c>
      <c r="H400" s="5">
        <v>-7.9993505000000575E-4</v>
      </c>
      <c r="I400" s="6">
        <v>-5.062880383726643E-3</v>
      </c>
    </row>
    <row r="401" spans="2:9" s="2" customFormat="1" x14ac:dyDescent="0.25">
      <c r="B401" s="12">
        <v>42906.634679976851</v>
      </c>
      <c r="C401" s="2" t="s">
        <v>46</v>
      </c>
      <c r="D401" s="6" t="s">
        <v>250</v>
      </c>
      <c r="E401" s="9">
        <v>6.6390000000000006E-5</v>
      </c>
      <c r="F401" s="9">
        <v>6.6669999999999997E-5</v>
      </c>
      <c r="G401" s="2" t="s">
        <v>11</v>
      </c>
      <c r="H401" s="5">
        <v>-5.2650000000010414E-8</v>
      </c>
      <c r="I401" s="6">
        <v>-7.9304112065085722E-4</v>
      </c>
    </row>
    <row r="402" spans="2:9" s="2" customFormat="1" x14ac:dyDescent="0.25">
      <c r="B402" s="12">
        <v>42906.634679976851</v>
      </c>
      <c r="C402" s="2" t="s">
        <v>80</v>
      </c>
      <c r="D402" s="6" t="s">
        <v>86</v>
      </c>
      <c r="E402" s="9">
        <v>1.2145E-2</v>
      </c>
      <c r="F402" s="9">
        <v>1.2126410000000001E-2</v>
      </c>
      <c r="G402" s="2" t="s">
        <v>250</v>
      </c>
      <c r="H402" s="5">
        <v>-8.0483024999997849E-5</v>
      </c>
      <c r="I402" s="6">
        <v>-6.6268443804032816E-3</v>
      </c>
    </row>
    <row r="403" spans="2:9" s="2" customFormat="1" x14ac:dyDescent="0.25">
      <c r="B403" s="12">
        <v>42906.634679976851</v>
      </c>
      <c r="C403" s="2" t="s">
        <v>25</v>
      </c>
      <c r="D403" s="6" t="s">
        <v>87</v>
      </c>
      <c r="E403" s="4">
        <v>1.89862E-3</v>
      </c>
      <c r="F403" s="4">
        <v>1.8400000000000001E-3</v>
      </c>
      <c r="G403" s="2" t="s">
        <v>87</v>
      </c>
      <c r="H403" s="5">
        <v>-6.6097239999999896E-5</v>
      </c>
      <c r="I403" s="6">
        <v>-3.4813306506831225E-2</v>
      </c>
    </row>
    <row r="404" spans="2:9" s="2" customFormat="1" x14ac:dyDescent="0.25">
      <c r="B404" s="12">
        <v>42906.634679976851</v>
      </c>
      <c r="C404" s="2" t="s">
        <v>70</v>
      </c>
      <c r="D404" s="6" t="s">
        <v>72</v>
      </c>
      <c r="E404" s="4">
        <v>154699.999465</v>
      </c>
      <c r="F404" s="4">
        <v>162226.29999999999</v>
      </c>
      <c r="G404" s="2" t="s">
        <v>69</v>
      </c>
      <c r="H404" s="5">
        <v>6892.4479360700061</v>
      </c>
      <c r="I404" s="6">
        <v>4.4553639042703319E-2</v>
      </c>
    </row>
    <row r="405" spans="2:9" s="2" customFormat="1" x14ac:dyDescent="0.25">
      <c r="B405" s="12"/>
      <c r="D405" s="6"/>
      <c r="E405" s="4"/>
      <c r="F405" s="4"/>
      <c r="H405" s="5"/>
      <c r="I405" s="6"/>
    </row>
    <row r="406" spans="2:9" s="2" customFormat="1" x14ac:dyDescent="0.25">
      <c r="B406" s="12"/>
      <c r="D406" s="6"/>
      <c r="E406" s="4"/>
      <c r="F406" s="4"/>
      <c r="H406" s="5"/>
      <c r="I406" s="6"/>
    </row>
    <row r="407" spans="2:9" s="2" customFormat="1" x14ac:dyDescent="0.25">
      <c r="B407" s="12">
        <v>42906.616290740742</v>
      </c>
      <c r="C407" s="2" t="s">
        <v>6</v>
      </c>
      <c r="D407" s="6" t="s">
        <v>11</v>
      </c>
      <c r="E407" s="9">
        <v>1.7920289999999998E-2</v>
      </c>
      <c r="F407" s="9">
        <v>1.8006000000000001E-2</v>
      </c>
      <c r="G407" s="2" t="s">
        <v>72</v>
      </c>
      <c r="H407" s="5">
        <v>4.8972750000056409E-6</v>
      </c>
      <c r="I407" s="6">
        <v>2.7328101275178254E-4</v>
      </c>
    </row>
    <row r="408" spans="2:9" s="2" customFormat="1" x14ac:dyDescent="0.25">
      <c r="B408" s="12">
        <v>42906.616290740742</v>
      </c>
      <c r="C408" s="2" t="s">
        <v>35</v>
      </c>
      <c r="D408" s="6" t="s">
        <v>87</v>
      </c>
      <c r="E408" s="9">
        <v>1.17E-6</v>
      </c>
      <c r="F408" s="9">
        <v>1.172E-6</v>
      </c>
      <c r="G408" s="2" t="s">
        <v>74</v>
      </c>
      <c r="H408" s="5">
        <v>-1.5120000000000204E-9</v>
      </c>
      <c r="I408" s="6">
        <v>-1.2923076923077098E-3</v>
      </c>
    </row>
    <row r="409" spans="2:9" s="2" customFormat="1" x14ac:dyDescent="0.25">
      <c r="B409" s="12">
        <v>42906.616290740742</v>
      </c>
      <c r="C409" s="2" t="s">
        <v>4</v>
      </c>
      <c r="D409" s="6" t="s">
        <v>250</v>
      </c>
      <c r="E409" s="9">
        <v>0.13891001</v>
      </c>
      <c r="F409" s="9">
        <v>0.13927997</v>
      </c>
      <c r="G409" s="2" t="s">
        <v>87</v>
      </c>
      <c r="H409" s="5">
        <v>-2.5587496500001361E-4</v>
      </c>
      <c r="I409" s="6">
        <v>-1.8420196283911693E-3</v>
      </c>
    </row>
    <row r="410" spans="2:9" s="2" customFormat="1" x14ac:dyDescent="0.25">
      <c r="B410" s="12">
        <v>42906.616290740742</v>
      </c>
      <c r="C410" s="2" t="s">
        <v>33</v>
      </c>
      <c r="D410" s="6" t="s">
        <v>11</v>
      </c>
      <c r="E410" s="9">
        <v>7.4999999999999997E-2</v>
      </c>
      <c r="F410" s="9">
        <v>7.5065999999999994E-2</v>
      </c>
      <c r="G410" s="2" t="s">
        <v>74</v>
      </c>
      <c r="H410" s="5">
        <v>-1.9656599999999524E-4</v>
      </c>
      <c r="I410" s="6">
        <v>-2.6208799999999366E-3</v>
      </c>
    </row>
    <row r="411" spans="2:9" s="2" customFormat="1" x14ac:dyDescent="0.25">
      <c r="B411" s="12">
        <v>42906.616290740742</v>
      </c>
      <c r="C411" s="2" t="s">
        <v>8</v>
      </c>
      <c r="D411" s="6" t="s">
        <v>74</v>
      </c>
      <c r="E411" s="9">
        <v>1.9886000000000001E-2</v>
      </c>
      <c r="F411" s="9">
        <v>1.989517E-2</v>
      </c>
      <c r="G411" s="2" t="s">
        <v>250</v>
      </c>
      <c r="H411" s="5">
        <v>-6.0453925000002184E-5</v>
      </c>
      <c r="I411" s="6">
        <v>-3.0400243890175089E-3</v>
      </c>
    </row>
    <row r="412" spans="2:9" s="2" customFormat="1" x14ac:dyDescent="0.25">
      <c r="B412" s="12">
        <v>42906.616290740742</v>
      </c>
      <c r="C412" s="2" t="s">
        <v>3</v>
      </c>
      <c r="D412" s="6" t="s">
        <v>250</v>
      </c>
      <c r="E412" s="9">
        <v>8.07247E-3</v>
      </c>
      <c r="F412" s="9">
        <v>8.1011399999999997E-3</v>
      </c>
      <c r="G412" s="2" t="s">
        <v>251</v>
      </c>
      <c r="H412" s="5">
        <v>-7.713455000000688E-6</v>
      </c>
      <c r="I412" s="6">
        <v>-9.5552600381304455E-4</v>
      </c>
    </row>
    <row r="413" spans="2:9" s="2" customFormat="1" x14ac:dyDescent="0.25">
      <c r="B413" s="12">
        <v>42906.616290740742</v>
      </c>
      <c r="C413" s="2" t="s">
        <v>21</v>
      </c>
      <c r="D413" s="6" t="s">
        <v>11</v>
      </c>
      <c r="E413" s="9">
        <v>2595</v>
      </c>
      <c r="F413" s="9">
        <v>2593.1455203199998</v>
      </c>
      <c r="G413" s="2" t="s">
        <v>11</v>
      </c>
      <c r="H413" s="5">
        <v>-14.824843480800155</v>
      </c>
      <c r="I413" s="6">
        <v>-5.7128491255491924E-3</v>
      </c>
    </row>
    <row r="414" spans="2:9" s="2" customFormat="1" x14ac:dyDescent="0.25">
      <c r="B414" s="12">
        <v>42906.616290740742</v>
      </c>
      <c r="C414" s="2" t="s">
        <v>50</v>
      </c>
      <c r="D414" s="6" t="s">
        <v>251</v>
      </c>
      <c r="E414" s="9">
        <v>2.247E-5</v>
      </c>
      <c r="F414" s="9">
        <v>2.1549999999999999E-5</v>
      </c>
      <c r="G414" s="2" t="s">
        <v>87</v>
      </c>
      <c r="H414" s="5">
        <v>-1.0080400000000006E-6</v>
      </c>
      <c r="I414" s="6">
        <v>-4.4861593235425039E-2</v>
      </c>
    </row>
    <row r="415" spans="2:9" s="2" customFormat="1" x14ac:dyDescent="0.25">
      <c r="B415" s="12">
        <v>42906.616290740742</v>
      </c>
      <c r="C415" s="2" t="s">
        <v>10</v>
      </c>
      <c r="D415" s="6" t="s">
        <v>74</v>
      </c>
      <c r="E415" s="9">
        <v>0.15839220000000001</v>
      </c>
      <c r="F415" s="9">
        <v>0.15831500000000001</v>
      </c>
      <c r="G415" s="2" t="s">
        <v>86</v>
      </c>
      <c r="H415" s="5">
        <v>-6.4721119999999743E-4</v>
      </c>
      <c r="I415" s="6">
        <v>-4.0861305039010592E-3</v>
      </c>
    </row>
    <row r="416" spans="2:9" s="2" customFormat="1" x14ac:dyDescent="0.25">
      <c r="B416" s="12">
        <v>42906.616290740742</v>
      </c>
      <c r="C416" s="2" t="s">
        <v>46</v>
      </c>
      <c r="D416" s="6" t="s">
        <v>250</v>
      </c>
      <c r="E416" s="9">
        <v>6.6890000000000005E-5</v>
      </c>
      <c r="F416" s="9">
        <v>6.7089999999999996E-5</v>
      </c>
      <c r="G416" s="2" t="s">
        <v>11</v>
      </c>
      <c r="H416" s="5">
        <v>-1.3495000000000792E-7</v>
      </c>
      <c r="I416" s="6">
        <v>-2.0174914037973972E-3</v>
      </c>
    </row>
    <row r="417" spans="2:9" s="2" customFormat="1" x14ac:dyDescent="0.25">
      <c r="B417" s="12">
        <v>42906.616290740742</v>
      </c>
      <c r="C417" s="2" t="s">
        <v>80</v>
      </c>
      <c r="D417" s="6" t="s">
        <v>86</v>
      </c>
      <c r="E417" s="9">
        <v>1.2231000000000001E-2</v>
      </c>
      <c r="F417" s="9">
        <v>1.225964E-2</v>
      </c>
      <c r="G417" s="2" t="s">
        <v>250</v>
      </c>
      <c r="H417" s="5">
        <v>-3.3809699999999901E-5</v>
      </c>
      <c r="I417" s="6">
        <v>-2.7642629384351156E-3</v>
      </c>
    </row>
    <row r="418" spans="2:9" s="2" customFormat="1" x14ac:dyDescent="0.25">
      <c r="B418" s="12">
        <v>42906.616290740742</v>
      </c>
      <c r="C418" s="2" t="s">
        <v>25</v>
      </c>
      <c r="D418" s="6" t="s">
        <v>87</v>
      </c>
      <c r="E418" s="4">
        <v>1.8987100000000001E-3</v>
      </c>
      <c r="F418" s="4">
        <v>1.8400000000000001E-3</v>
      </c>
      <c r="G418" s="2" t="s">
        <v>87</v>
      </c>
      <c r="H418" s="5">
        <v>-6.618742000000016E-5</v>
      </c>
      <c r="I418" s="6">
        <v>-3.485915173986557E-2</v>
      </c>
    </row>
    <row r="419" spans="2:9" s="2" customFormat="1" x14ac:dyDescent="0.25">
      <c r="B419" s="12">
        <v>42906.616290740742</v>
      </c>
      <c r="C419" s="2" t="s">
        <v>70</v>
      </c>
      <c r="D419" s="6" t="s">
        <v>72</v>
      </c>
      <c r="E419" s="4">
        <v>154644.60138899999</v>
      </c>
      <c r="F419" s="4">
        <v>161656.9</v>
      </c>
      <c r="G419" s="2" t="s">
        <v>69</v>
      </c>
      <c r="H419" s="5">
        <v>6379.6956082220131</v>
      </c>
      <c r="I419" s="6">
        <v>4.1253917375196562E-2</v>
      </c>
    </row>
    <row r="420" spans="2:9" s="2" customFormat="1" x14ac:dyDescent="0.25">
      <c r="B420" s="12"/>
      <c r="D420" s="6"/>
      <c r="E420" s="4"/>
      <c r="F420" s="4"/>
      <c r="H420" s="5"/>
      <c r="I420" s="6"/>
    </row>
    <row r="421" spans="2:9" s="2" customFormat="1" x14ac:dyDescent="0.25">
      <c r="B421" s="12"/>
      <c r="D421" s="6"/>
      <c r="E421" s="4"/>
      <c r="F421" s="4"/>
      <c r="H421" s="5"/>
      <c r="I421" s="6"/>
    </row>
    <row r="422" spans="2:9" s="2" customFormat="1" x14ac:dyDescent="0.25">
      <c r="B422" s="12">
        <v>42906.540969560185</v>
      </c>
      <c r="C422" s="2" t="s">
        <v>6</v>
      </c>
      <c r="D422" s="6" t="s">
        <v>250</v>
      </c>
      <c r="E422" s="9">
        <v>1.7899999999999999E-2</v>
      </c>
      <c r="F422" s="9">
        <v>1.8080019999999999E-2</v>
      </c>
      <c r="G422" s="2" t="s">
        <v>11</v>
      </c>
      <c r="H422" s="5">
        <v>9.0069950000000454E-5</v>
      </c>
      <c r="I422" s="6">
        <v>5.0318407821229308E-3</v>
      </c>
    </row>
    <row r="423" spans="2:9" s="2" customFormat="1" x14ac:dyDescent="0.25">
      <c r="B423" s="12">
        <v>42906.540969560185</v>
      </c>
      <c r="C423" s="2" t="s">
        <v>35</v>
      </c>
      <c r="D423" s="6" t="s">
        <v>11</v>
      </c>
      <c r="E423" s="9">
        <v>1.17E-6</v>
      </c>
      <c r="F423" s="9">
        <v>1.17E-6</v>
      </c>
      <c r="G423" s="2" t="s">
        <v>250</v>
      </c>
      <c r="H423" s="5">
        <v>-5.8500000000001219E-9</v>
      </c>
      <c r="I423" s="6">
        <v>-5.0000000000001042E-3</v>
      </c>
    </row>
    <row r="424" spans="2:9" s="2" customFormat="1" x14ac:dyDescent="0.25">
      <c r="B424" s="12">
        <v>42906.540969560185</v>
      </c>
      <c r="C424" s="2" t="s">
        <v>4</v>
      </c>
      <c r="D424" s="6" t="s">
        <v>72</v>
      </c>
      <c r="E424" s="9">
        <v>0.13938572349799999</v>
      </c>
      <c r="F424" s="9">
        <v>0.140450991271</v>
      </c>
      <c r="G424" s="2" t="s">
        <v>11</v>
      </c>
      <c r="H424" s="5">
        <v>4.3536884782649499E-4</v>
      </c>
      <c r="I424" s="6">
        <v>3.123482354580898E-3</v>
      </c>
    </row>
    <row r="425" spans="2:9" s="2" customFormat="1" x14ac:dyDescent="0.25">
      <c r="B425" s="12">
        <v>42906.540969560185</v>
      </c>
      <c r="C425" s="2" t="s">
        <v>33</v>
      </c>
      <c r="D425" s="6" t="s">
        <v>11</v>
      </c>
      <c r="E425" s="9">
        <v>7.3999999999999996E-2</v>
      </c>
      <c r="F425" s="9">
        <v>7.4010099999999995E-2</v>
      </c>
      <c r="G425" s="2" t="s">
        <v>27</v>
      </c>
      <c r="H425" s="5">
        <v>-3.2292020000000698E-4</v>
      </c>
      <c r="I425" s="6">
        <v>-4.3637864864865808E-3</v>
      </c>
    </row>
    <row r="426" spans="2:9" s="2" customFormat="1" x14ac:dyDescent="0.25">
      <c r="B426" s="12">
        <v>42906.540969560185</v>
      </c>
      <c r="C426" s="2" t="s">
        <v>8</v>
      </c>
      <c r="D426" s="6" t="s">
        <v>74</v>
      </c>
      <c r="E426" s="9">
        <v>1.9900000000000001E-2</v>
      </c>
      <c r="F426" s="9">
        <v>1.9963000000000002E-2</v>
      </c>
      <c r="G426" s="2" t="s">
        <v>86</v>
      </c>
      <c r="H426" s="5">
        <v>-8.803799999998474E-6</v>
      </c>
      <c r="I426" s="6">
        <v>-4.4240201005017456E-4</v>
      </c>
    </row>
    <row r="427" spans="2:9" s="2" customFormat="1" x14ac:dyDescent="0.25">
      <c r="B427" s="12">
        <v>42906.540969560185</v>
      </c>
      <c r="C427" s="2" t="s">
        <v>3</v>
      </c>
      <c r="D427" s="6" t="s">
        <v>0</v>
      </c>
      <c r="E427" s="9">
        <v>8.1872999999999998E-3</v>
      </c>
      <c r="F427" s="9">
        <v>8.2000000000000007E-3</v>
      </c>
      <c r="G427" s="2" t="s">
        <v>250</v>
      </c>
      <c r="H427" s="5">
        <v>-2.4174599999999408E-5</v>
      </c>
      <c r="I427" s="6">
        <v>-2.9526950276647255E-3</v>
      </c>
    </row>
    <row r="428" spans="2:9" s="2" customFormat="1" x14ac:dyDescent="0.25">
      <c r="B428" s="12">
        <v>42906.540969560185</v>
      </c>
      <c r="C428" s="2" t="s">
        <v>21</v>
      </c>
      <c r="D428" s="6" t="s">
        <v>27</v>
      </c>
      <c r="E428" s="9">
        <v>4.8494E-4</v>
      </c>
      <c r="F428" s="9">
        <v>2580</v>
      </c>
      <c r="G428" s="2" t="s">
        <v>11</v>
      </c>
      <c r="H428" s="5">
        <v>2573.5495140901203</v>
      </c>
      <c r="I428" s="6">
        <v>5306944.1870955592</v>
      </c>
    </row>
    <row r="429" spans="2:9" s="2" customFormat="1" x14ac:dyDescent="0.25">
      <c r="B429" s="12">
        <v>42906.540969560185</v>
      </c>
      <c r="C429" s="2" t="s">
        <v>50</v>
      </c>
      <c r="D429" s="6" t="s">
        <v>27</v>
      </c>
      <c r="E429" s="9">
        <v>2.2019999999999999E-5</v>
      </c>
      <c r="F429" s="9">
        <v>2.2549999999999999E-5</v>
      </c>
      <c r="G429" s="2" t="s">
        <v>251</v>
      </c>
      <c r="H429" s="5">
        <v>4.4085999999999835E-7</v>
      </c>
      <c r="I429" s="6">
        <v>2.0020890099909098E-2</v>
      </c>
    </row>
    <row r="430" spans="2:9" s="2" customFormat="1" x14ac:dyDescent="0.25">
      <c r="B430" s="12">
        <v>42906.540969560185</v>
      </c>
      <c r="C430" s="2" t="s">
        <v>10</v>
      </c>
      <c r="D430" s="6" t="s">
        <v>11</v>
      </c>
      <c r="E430" s="9">
        <v>0.15689999067800001</v>
      </c>
      <c r="F430" s="9">
        <v>0.15695000000000001</v>
      </c>
      <c r="G430" s="2" t="s">
        <v>0</v>
      </c>
      <c r="H430" s="5">
        <v>-6.5614065469501992E-4</v>
      </c>
      <c r="I430" s="6">
        <v>-4.1819037200683641E-3</v>
      </c>
    </row>
    <row r="431" spans="2:9" s="2" customFormat="1" x14ac:dyDescent="0.25">
      <c r="B431" s="12">
        <v>42906.540969560185</v>
      </c>
      <c r="C431" s="2" t="s">
        <v>46</v>
      </c>
      <c r="D431" s="6" t="s">
        <v>250</v>
      </c>
      <c r="E431" s="9">
        <v>6.8189999999999996E-5</v>
      </c>
      <c r="F431" s="9">
        <v>6.8490000000000003E-5</v>
      </c>
      <c r="G431" s="2" t="s">
        <v>11</v>
      </c>
      <c r="H431" s="5">
        <v>-4.1700000000003345E-8</v>
      </c>
      <c r="I431" s="6">
        <v>-6.115266168060324E-4</v>
      </c>
    </row>
    <row r="432" spans="2:9" s="2" customFormat="1" x14ac:dyDescent="0.25">
      <c r="B432" s="12">
        <v>42906.540969560185</v>
      </c>
      <c r="C432" s="2" t="s">
        <v>80</v>
      </c>
      <c r="D432" s="6" t="s">
        <v>86</v>
      </c>
      <c r="E432" s="9">
        <v>1.2239999999999999E-2</v>
      </c>
      <c r="F432" s="9">
        <v>1.2277E-2</v>
      </c>
      <c r="G432" s="2" t="s">
        <v>250</v>
      </c>
      <c r="H432" s="5">
        <v>-2.551649999999947E-5</v>
      </c>
      <c r="I432" s="6">
        <v>-2.0846813725489766E-3</v>
      </c>
    </row>
    <row r="433" spans="2:9" s="2" customFormat="1" x14ac:dyDescent="0.25">
      <c r="B433" s="12">
        <v>42906.540969560185</v>
      </c>
      <c r="C433" s="2" t="s">
        <v>25</v>
      </c>
      <c r="D433" s="6" t="s">
        <v>27</v>
      </c>
      <c r="E433" s="4">
        <v>1.8330099999999999E-3</v>
      </c>
      <c r="F433" s="4">
        <v>1.8400000000000001E-3</v>
      </c>
      <c r="G433" s="2" t="s">
        <v>87</v>
      </c>
      <c r="H433" s="5">
        <v>-3.5601999999988754E-7</v>
      </c>
      <c r="I433" s="6">
        <v>-1.9422698184946483E-4</v>
      </c>
    </row>
    <row r="434" spans="2:9" s="2" customFormat="1" x14ac:dyDescent="0.25">
      <c r="B434" s="12">
        <v>42906.540969560185</v>
      </c>
      <c r="C434" s="2" t="s">
        <v>70</v>
      </c>
      <c r="D434" s="6" t="s">
        <v>72</v>
      </c>
      <c r="E434" s="4">
        <v>154632.019546</v>
      </c>
      <c r="F434" s="4">
        <v>159626.01</v>
      </c>
      <c r="G434" s="2" t="s">
        <v>69</v>
      </c>
      <c r="H434" s="5">
        <v>4365.4743949080002</v>
      </c>
      <c r="I434" s="6">
        <v>2.8231374121123452E-2</v>
      </c>
    </row>
    <row r="435" spans="2:9" s="2" customFormat="1" x14ac:dyDescent="0.25">
      <c r="B435" s="12"/>
      <c r="D435" s="6"/>
      <c r="E435" s="4"/>
      <c r="F435" s="4"/>
      <c r="H435" s="5"/>
      <c r="I435" s="6"/>
    </row>
    <row r="436" spans="2:9" s="2" customFormat="1" x14ac:dyDescent="0.25">
      <c r="B436" s="12"/>
      <c r="D436" s="6"/>
      <c r="E436" s="4"/>
      <c r="F436" s="4"/>
      <c r="H436" s="5"/>
      <c r="I436" s="6"/>
    </row>
    <row r="437" spans="2:9" s="2" customFormat="1" x14ac:dyDescent="0.25">
      <c r="B437" s="12">
        <v>42906.536028356481</v>
      </c>
      <c r="C437" s="2" t="s">
        <v>6</v>
      </c>
      <c r="D437" s="6" t="s">
        <v>250</v>
      </c>
      <c r="E437" s="9">
        <v>1.7899999999999999E-2</v>
      </c>
      <c r="F437" s="9">
        <v>1.8030011340199999E-2</v>
      </c>
      <c r="G437" s="2" t="s">
        <v>72</v>
      </c>
      <c r="H437" s="5">
        <v>4.9201317519599608E-5</v>
      </c>
      <c r="I437" s="6">
        <v>2.7486769564022129E-3</v>
      </c>
    </row>
    <row r="438" spans="2:9" s="2" customFormat="1" x14ac:dyDescent="0.25">
      <c r="B438" s="12">
        <v>42906.536028356481</v>
      </c>
      <c r="C438" s="2" t="s">
        <v>35</v>
      </c>
      <c r="D438" s="6" t="s">
        <v>74</v>
      </c>
      <c r="E438" s="9">
        <v>1.17E-6</v>
      </c>
      <c r="F438" s="9">
        <v>1.17E-6</v>
      </c>
      <c r="G438" s="2" t="s">
        <v>250</v>
      </c>
      <c r="H438" s="5">
        <v>-4.0949999999999583E-9</v>
      </c>
      <c r="I438" s="6">
        <v>-3.4999999999999641E-3</v>
      </c>
    </row>
    <row r="439" spans="2:9" s="2" customFormat="1" x14ac:dyDescent="0.25">
      <c r="B439" s="12">
        <v>42906.536028356481</v>
      </c>
      <c r="C439" s="2" t="s">
        <v>4</v>
      </c>
      <c r="D439" s="6" t="s">
        <v>72</v>
      </c>
      <c r="E439" s="9">
        <v>0.13919999999999999</v>
      </c>
      <c r="F439" s="9">
        <v>0.14019999999999999</v>
      </c>
      <c r="G439" s="2" t="s">
        <v>11</v>
      </c>
      <c r="H439" s="5">
        <v>3.7109999999998533E-4</v>
      </c>
      <c r="I439" s="6">
        <v>2.6659482758619639E-3</v>
      </c>
    </row>
    <row r="440" spans="2:9" s="2" customFormat="1" x14ac:dyDescent="0.25">
      <c r="B440" s="12">
        <v>42906.536028356481</v>
      </c>
      <c r="C440" s="2" t="s">
        <v>33</v>
      </c>
      <c r="D440" s="6" t="s">
        <v>250</v>
      </c>
      <c r="E440" s="9">
        <v>7.3726350031199997E-2</v>
      </c>
      <c r="F440" s="9">
        <v>7.4010099999999995E-2</v>
      </c>
      <c r="G440" s="2" t="s">
        <v>27</v>
      </c>
      <c r="H440" s="5">
        <v>-4.8586106278003527E-5</v>
      </c>
      <c r="I440" s="6">
        <v>-6.5900598981832881E-4</v>
      </c>
    </row>
    <row r="441" spans="2:9" s="2" customFormat="1" x14ac:dyDescent="0.25">
      <c r="B441" s="12">
        <v>42906.536028356481</v>
      </c>
      <c r="C441" s="2" t="s">
        <v>8</v>
      </c>
      <c r="D441" s="6" t="s">
        <v>74</v>
      </c>
      <c r="E441" s="9">
        <v>1.9900000000000001E-2</v>
      </c>
      <c r="F441" s="9">
        <v>1.9949999999999999E-2</v>
      </c>
      <c r="G441" s="2" t="s">
        <v>250</v>
      </c>
      <c r="H441" s="5">
        <v>-1.9775000000003123E-5</v>
      </c>
      <c r="I441" s="6">
        <v>-9.9371859296498092E-4</v>
      </c>
    </row>
    <row r="442" spans="2:9" s="2" customFormat="1" x14ac:dyDescent="0.25">
      <c r="B442" s="12">
        <v>42906.536028356481</v>
      </c>
      <c r="C442" s="2" t="s">
        <v>3</v>
      </c>
      <c r="D442" s="6" t="s">
        <v>11</v>
      </c>
      <c r="E442" s="9">
        <v>8.1499499999999996E-3</v>
      </c>
      <c r="F442" s="9">
        <v>8.1890000000000001E-3</v>
      </c>
      <c r="G442" s="2" t="s">
        <v>74</v>
      </c>
      <c r="H442" s="5">
        <v>1.0486125000000457E-5</v>
      </c>
      <c r="I442" s="6">
        <v>1.2866489978466686E-3</v>
      </c>
    </row>
    <row r="443" spans="2:9" s="2" customFormat="1" x14ac:dyDescent="0.25">
      <c r="B443" s="12">
        <v>42906.536028356481</v>
      </c>
      <c r="C443" s="2" t="s">
        <v>21</v>
      </c>
      <c r="D443" s="6" t="s">
        <v>27</v>
      </c>
      <c r="E443" s="9">
        <v>4.8494E-4</v>
      </c>
      <c r="F443" s="9">
        <v>2580</v>
      </c>
      <c r="G443" s="2" t="s">
        <v>11</v>
      </c>
      <c r="H443" s="5">
        <v>2573.5495140901203</v>
      </c>
      <c r="I443" s="6">
        <v>5306944.1870955592</v>
      </c>
    </row>
    <row r="444" spans="2:9" s="2" customFormat="1" x14ac:dyDescent="0.25">
      <c r="B444" s="12">
        <v>42906.536028356481</v>
      </c>
      <c r="C444" s="2" t="s">
        <v>50</v>
      </c>
      <c r="D444" s="6" t="s">
        <v>27</v>
      </c>
      <c r="E444" s="9">
        <v>2.2019999999999999E-5</v>
      </c>
      <c r="F444" s="9">
        <v>2.2549999999999999E-5</v>
      </c>
      <c r="G444" s="2" t="s">
        <v>251</v>
      </c>
      <c r="H444" s="5">
        <v>4.4085999999999835E-7</v>
      </c>
      <c r="I444" s="6">
        <v>2.0020890099909098E-2</v>
      </c>
    </row>
    <row r="445" spans="2:9" s="2" customFormat="1" x14ac:dyDescent="0.25">
      <c r="B445" s="12">
        <v>42906.536028356481</v>
      </c>
      <c r="C445" s="2" t="s">
        <v>10</v>
      </c>
      <c r="D445" s="6" t="s">
        <v>11</v>
      </c>
      <c r="E445" s="9">
        <v>0.15690000000000001</v>
      </c>
      <c r="F445" s="9">
        <v>0.157074568267</v>
      </c>
      <c r="G445" s="2" t="s">
        <v>250</v>
      </c>
      <c r="H445" s="5">
        <v>-6.1036815366752317E-4</v>
      </c>
      <c r="I445" s="6">
        <v>-3.890173063527872E-3</v>
      </c>
    </row>
    <row r="446" spans="2:9" s="2" customFormat="1" x14ac:dyDescent="0.25">
      <c r="B446" s="12">
        <v>42906.536028356481</v>
      </c>
      <c r="C446" s="2" t="s">
        <v>46</v>
      </c>
      <c r="D446" s="6" t="s">
        <v>74</v>
      </c>
      <c r="E446" s="9">
        <v>6.8280000000000004E-5</v>
      </c>
      <c r="F446" s="9">
        <v>6.8490000000000003E-5</v>
      </c>
      <c r="G446" s="2" t="s">
        <v>11</v>
      </c>
      <c r="H446" s="5">
        <v>-2.9505000000010825E-8</v>
      </c>
      <c r="I446" s="6">
        <v>-4.3211775043952582E-4</v>
      </c>
    </row>
    <row r="447" spans="2:9" s="2" customFormat="1" x14ac:dyDescent="0.25">
      <c r="B447" s="12">
        <v>42906.536028356481</v>
      </c>
      <c r="C447" s="2" t="s">
        <v>80</v>
      </c>
      <c r="D447" s="6" t="s">
        <v>86</v>
      </c>
      <c r="E447" s="9">
        <v>1.2239E-2</v>
      </c>
      <c r="F447" s="9">
        <v>1.2239979999999999E-2</v>
      </c>
      <c r="G447" s="2" t="s">
        <v>250</v>
      </c>
      <c r="H447" s="5">
        <v>-6.1441350000000089E-5</v>
      </c>
      <c r="I447" s="6">
        <v>-5.0201282784541291E-3</v>
      </c>
    </row>
    <row r="448" spans="2:9" s="2" customFormat="1" x14ac:dyDescent="0.25">
      <c r="B448" s="12">
        <v>42906.536028356481</v>
      </c>
      <c r="C448" s="2" t="s">
        <v>25</v>
      </c>
      <c r="D448" s="6" t="s">
        <v>27</v>
      </c>
      <c r="E448" s="4">
        <v>1.8330099999999999E-3</v>
      </c>
      <c r="F448" s="4">
        <v>1.8400000000000001E-3</v>
      </c>
      <c r="G448" s="2" t="s">
        <v>87</v>
      </c>
      <c r="H448" s="5">
        <v>-3.5601999999988754E-7</v>
      </c>
      <c r="I448" s="6">
        <v>-1.9422698184946483E-4</v>
      </c>
    </row>
    <row r="449" spans="2:9" s="2" customFormat="1" x14ac:dyDescent="0.25">
      <c r="B449" s="12">
        <v>42906.536028356481</v>
      </c>
      <c r="C449" s="2" t="s">
        <v>70</v>
      </c>
      <c r="D449" s="6" t="s">
        <v>72</v>
      </c>
      <c r="E449" s="4">
        <v>154595.23267200001</v>
      </c>
      <c r="F449" s="4">
        <v>159874.91</v>
      </c>
      <c r="G449" s="2" t="s">
        <v>69</v>
      </c>
      <c r="H449" s="5">
        <v>4650.7370426559937</v>
      </c>
      <c r="I449" s="6">
        <v>3.0083314745696723E-2</v>
      </c>
    </row>
    <row r="450" spans="2:9" s="2" customFormat="1" x14ac:dyDescent="0.25">
      <c r="B450" s="12"/>
      <c r="D450" s="6"/>
      <c r="E450" s="4"/>
      <c r="F450" s="4"/>
      <c r="H450" s="5"/>
      <c r="I450" s="6"/>
    </row>
    <row r="451" spans="2:9" s="2" customFormat="1" x14ac:dyDescent="0.25">
      <c r="B451" s="12"/>
      <c r="D451" s="6"/>
      <c r="E451" s="4"/>
      <c r="F451" s="4"/>
      <c r="H451" s="5"/>
      <c r="I451" s="6"/>
    </row>
    <row r="452" spans="2:9" s="2" customFormat="1" x14ac:dyDescent="0.25">
      <c r="B452" s="12">
        <v>42906.531665740738</v>
      </c>
      <c r="C452" s="2" t="s">
        <v>6</v>
      </c>
      <c r="D452" s="6" t="s">
        <v>250</v>
      </c>
      <c r="E452" s="9">
        <v>1.79499977595E-2</v>
      </c>
      <c r="F452" s="9">
        <v>1.8080019999999999E-2</v>
      </c>
      <c r="G452" s="2" t="s">
        <v>11</v>
      </c>
      <c r="H452" s="5">
        <v>3.9947196101248333E-5</v>
      </c>
      <c r="I452" s="6">
        <v>2.2254708126693977E-3</v>
      </c>
    </row>
    <row r="453" spans="2:9" s="2" customFormat="1" x14ac:dyDescent="0.25">
      <c r="B453" s="12">
        <v>42906.531665740738</v>
      </c>
      <c r="C453" s="2" t="s">
        <v>35</v>
      </c>
      <c r="D453" s="6" t="s">
        <v>74</v>
      </c>
      <c r="E453" s="9">
        <v>1.1790000000000001E-6</v>
      </c>
      <c r="F453" s="9">
        <v>1.173E-6</v>
      </c>
      <c r="G453" s="2" t="s">
        <v>74</v>
      </c>
      <c r="H453" s="5">
        <v>-8.3519999999999414E-9</v>
      </c>
      <c r="I453" s="6">
        <v>-7.083969465648805E-3</v>
      </c>
    </row>
    <row r="454" spans="2:9" s="2" customFormat="1" x14ac:dyDescent="0.25">
      <c r="B454" s="12">
        <v>42906.531665740738</v>
      </c>
      <c r="C454" s="2" t="s">
        <v>4</v>
      </c>
      <c r="D454" s="6" t="s">
        <v>72</v>
      </c>
      <c r="E454" s="9">
        <v>0.13950000000000001</v>
      </c>
      <c r="F454" s="9">
        <v>0.140014</v>
      </c>
      <c r="G454" s="2" t="s">
        <v>74</v>
      </c>
      <c r="H454" s="5">
        <v>9.4985999999991355E-5</v>
      </c>
      <c r="I454" s="6">
        <v>6.809032258063896E-4</v>
      </c>
    </row>
    <row r="455" spans="2:9" s="2" customFormat="1" x14ac:dyDescent="0.25">
      <c r="B455" s="12">
        <v>42906.531665740738</v>
      </c>
      <c r="C455" s="2" t="s">
        <v>33</v>
      </c>
      <c r="D455" s="6" t="s">
        <v>11</v>
      </c>
      <c r="E455" s="9">
        <v>7.3679339999999996E-2</v>
      </c>
      <c r="F455" s="9">
        <v>7.4010099999999995E-2</v>
      </c>
      <c r="G455" s="2" t="s">
        <v>27</v>
      </c>
      <c r="H455" s="5">
        <v>-1.4585499999997253E-6</v>
      </c>
      <c r="I455" s="6">
        <v>-1.979591565287807E-5</v>
      </c>
    </row>
    <row r="456" spans="2:9" s="2" customFormat="1" x14ac:dyDescent="0.25">
      <c r="B456" s="12">
        <v>42906.531665740738</v>
      </c>
      <c r="C456" s="2" t="s">
        <v>8</v>
      </c>
      <c r="D456" s="6" t="s">
        <v>86</v>
      </c>
      <c r="E456" s="9">
        <v>1.9890000000000001E-2</v>
      </c>
      <c r="F456" s="9">
        <v>1.9913299999999998E-2</v>
      </c>
      <c r="G456" s="2" t="s">
        <v>250</v>
      </c>
      <c r="H456" s="5">
        <v>-7.8197250000005408E-5</v>
      </c>
      <c r="I456" s="6">
        <v>-3.9314856711918254E-3</v>
      </c>
    </row>
    <row r="457" spans="2:9" s="2" customFormat="1" x14ac:dyDescent="0.25">
      <c r="B457" s="12">
        <v>42906.531665740738</v>
      </c>
      <c r="C457" s="2" t="s">
        <v>3</v>
      </c>
      <c r="D457" s="6" t="s">
        <v>250</v>
      </c>
      <c r="E457" s="9">
        <v>8.1877300000000007E-3</v>
      </c>
      <c r="F457" s="9">
        <v>8.2099800000000004E-3</v>
      </c>
      <c r="G457" s="2" t="s">
        <v>11</v>
      </c>
      <c r="H457" s="5">
        <v>-1.8744274999999561E-5</v>
      </c>
      <c r="I457" s="6">
        <v>-2.2893127887704599E-3</v>
      </c>
    </row>
    <row r="458" spans="2:9" s="2" customFormat="1" x14ac:dyDescent="0.25">
      <c r="B458" s="12">
        <v>42906.531665740738</v>
      </c>
      <c r="C458" s="2" t="s">
        <v>21</v>
      </c>
      <c r="D458" s="6" t="s">
        <v>27</v>
      </c>
      <c r="E458" s="9">
        <v>4.8494E-4</v>
      </c>
      <c r="F458" s="9">
        <v>2577</v>
      </c>
      <c r="G458" s="2" t="s">
        <v>11</v>
      </c>
      <c r="H458" s="5">
        <v>2570.55701409012</v>
      </c>
      <c r="I458" s="6">
        <v>5300773.3205966102</v>
      </c>
    </row>
    <row r="459" spans="2:9" s="2" customFormat="1" x14ac:dyDescent="0.25">
      <c r="B459" s="12">
        <v>42906.531665740738</v>
      </c>
      <c r="C459" s="2" t="s">
        <v>50</v>
      </c>
      <c r="D459" s="6" t="s">
        <v>27</v>
      </c>
      <c r="E459" s="9">
        <v>2.2019999999999999E-5</v>
      </c>
      <c r="F459" s="9">
        <v>2.2529999999999999E-5</v>
      </c>
      <c r="G459" s="2" t="s">
        <v>251</v>
      </c>
      <c r="H459" s="5">
        <v>4.2089999999999795E-7</v>
      </c>
      <c r="I459" s="6">
        <v>1.9114441416893641E-2</v>
      </c>
    </row>
    <row r="460" spans="2:9" s="2" customFormat="1" x14ac:dyDescent="0.25">
      <c r="B460" s="12">
        <v>42906.531665740738</v>
      </c>
      <c r="C460" s="2" t="s">
        <v>10</v>
      </c>
      <c r="D460" s="6" t="s">
        <v>86</v>
      </c>
      <c r="E460" s="9">
        <v>0.15661800000000001</v>
      </c>
      <c r="F460" s="9">
        <v>0.15715999999999999</v>
      </c>
      <c r="G460" s="2" t="s">
        <v>74</v>
      </c>
      <c r="H460" s="5">
        <v>-2.236680000000657E-5</v>
      </c>
      <c r="I460" s="6">
        <v>-1.4281117112979714E-4</v>
      </c>
    </row>
    <row r="461" spans="2:9" s="2" customFormat="1" x14ac:dyDescent="0.25">
      <c r="B461" s="12">
        <v>42906.531665740738</v>
      </c>
      <c r="C461" s="2" t="s">
        <v>46</v>
      </c>
      <c r="D461" s="6" t="s">
        <v>74</v>
      </c>
      <c r="E461" s="9">
        <v>6.8280000000000004E-5</v>
      </c>
      <c r="F461" s="9">
        <v>6.8189999999999996E-5</v>
      </c>
      <c r="G461" s="2" t="s">
        <v>74</v>
      </c>
      <c r="H461" s="5">
        <v>-2.2647000000001344E-7</v>
      </c>
      <c r="I461" s="6">
        <v>-3.3167838312831493E-3</v>
      </c>
    </row>
    <row r="462" spans="2:9" s="2" customFormat="1" x14ac:dyDescent="0.25">
      <c r="B462" s="12">
        <v>42906.531665740738</v>
      </c>
      <c r="C462" s="2" t="s">
        <v>80</v>
      </c>
      <c r="D462" s="6" t="s">
        <v>86</v>
      </c>
      <c r="E462" s="9">
        <v>1.2178E-2</v>
      </c>
      <c r="F462" s="9">
        <v>1.217002E-2</v>
      </c>
      <c r="G462" s="2" t="s">
        <v>250</v>
      </c>
      <c r="H462" s="5">
        <v>-7.0067849999999252E-5</v>
      </c>
      <c r="I462" s="6">
        <v>-5.7536418131055389E-3</v>
      </c>
    </row>
    <row r="463" spans="2:9" s="2" customFormat="1" x14ac:dyDescent="0.25">
      <c r="B463" s="12">
        <v>42906.531665740738</v>
      </c>
      <c r="C463" s="2" t="s">
        <v>25</v>
      </c>
      <c r="D463" s="6" t="s">
        <v>27</v>
      </c>
      <c r="E463" s="4">
        <v>1.8330099999999999E-3</v>
      </c>
      <c r="F463" s="4">
        <v>1.8400000000000001E-3</v>
      </c>
      <c r="G463" s="2" t="s">
        <v>87</v>
      </c>
      <c r="H463" s="5">
        <v>-3.5601999999988754E-7</v>
      </c>
      <c r="I463" s="6">
        <v>-1.9422698184946483E-4</v>
      </c>
    </row>
    <row r="464" spans="2:9" s="2" customFormat="1" x14ac:dyDescent="0.25">
      <c r="B464" s="12">
        <v>42906.531665740738</v>
      </c>
      <c r="C464" s="2" t="s">
        <v>70</v>
      </c>
      <c r="D464" s="6" t="s">
        <v>72</v>
      </c>
      <c r="E464" s="4">
        <v>154564.37496799999</v>
      </c>
      <c r="F464" s="4">
        <v>159349.21</v>
      </c>
      <c r="G464" s="2" t="s">
        <v>69</v>
      </c>
      <c r="H464" s="5">
        <v>4157.0078620639979</v>
      </c>
      <c r="I464" s="6">
        <v>2.6894993512733046E-2</v>
      </c>
    </row>
    <row r="465" spans="2:9" s="2" customFormat="1" x14ac:dyDescent="0.25">
      <c r="B465" s="12"/>
      <c r="D465" s="6"/>
      <c r="E465" s="4"/>
      <c r="F465" s="4"/>
      <c r="H465" s="5"/>
      <c r="I465" s="6"/>
    </row>
    <row r="466" spans="2:9" s="2" customFormat="1" x14ac:dyDescent="0.25">
      <c r="B466" s="12"/>
      <c r="D466" s="6"/>
      <c r="E466" s="4"/>
      <c r="F466" s="4"/>
      <c r="H466" s="5"/>
      <c r="I466" s="6"/>
    </row>
    <row r="467" spans="2:9" s="2" customFormat="1" x14ac:dyDescent="0.25">
      <c r="B467" s="12">
        <v>42906.524311574074</v>
      </c>
      <c r="C467" s="2" t="s">
        <v>6</v>
      </c>
      <c r="D467" s="6" t="s">
        <v>250</v>
      </c>
      <c r="E467" s="9">
        <v>1.7899999999999999E-2</v>
      </c>
      <c r="F467" s="9">
        <v>1.8080019999999999E-2</v>
      </c>
      <c r="G467" s="2" t="s">
        <v>11</v>
      </c>
      <c r="H467" s="5">
        <v>9.0069950000000454E-5</v>
      </c>
      <c r="I467" s="6">
        <v>5.0318407821229308E-3</v>
      </c>
    </row>
    <row r="468" spans="2:9" s="2" customFormat="1" x14ac:dyDescent="0.25">
      <c r="B468" s="12">
        <v>42906.524311574074</v>
      </c>
      <c r="C468" s="2" t="s">
        <v>35</v>
      </c>
      <c r="D468" s="6" t="s">
        <v>74</v>
      </c>
      <c r="E468" s="9">
        <v>1.1739999999999999E-6</v>
      </c>
      <c r="F468" s="9">
        <v>1.173E-6</v>
      </c>
      <c r="G468" s="2" t="s">
        <v>74</v>
      </c>
      <c r="H468" s="5">
        <v>-3.3469999999998512E-9</v>
      </c>
      <c r="I468" s="6">
        <v>-2.8509369676319009E-3</v>
      </c>
    </row>
    <row r="469" spans="2:9" s="2" customFormat="1" x14ac:dyDescent="0.25">
      <c r="B469" s="12">
        <v>42906.524311574074</v>
      </c>
      <c r="C469" s="2" t="s">
        <v>4</v>
      </c>
      <c r="D469" s="6" t="s">
        <v>74</v>
      </c>
      <c r="E469" s="9">
        <v>0.139626</v>
      </c>
      <c r="F469" s="9">
        <v>0.14079999000000001</v>
      </c>
      <c r="G469" s="2" t="s">
        <v>11</v>
      </c>
      <c r="H469" s="5">
        <v>6.8236402500002069E-4</v>
      </c>
      <c r="I469" s="6">
        <v>4.8870842464871925E-3</v>
      </c>
    </row>
    <row r="470" spans="2:9" s="2" customFormat="1" x14ac:dyDescent="0.25">
      <c r="B470" s="12">
        <v>42906.524311574074</v>
      </c>
      <c r="C470" s="2" t="s">
        <v>33</v>
      </c>
      <c r="D470" s="6" t="s">
        <v>74</v>
      </c>
      <c r="E470" s="9">
        <v>7.4496999999999994E-2</v>
      </c>
      <c r="F470" s="9">
        <v>7.4451660866899999E-2</v>
      </c>
      <c r="G470" s="2" t="s">
        <v>251</v>
      </c>
      <c r="H470" s="5">
        <v>-2.6873945483379957E-4</v>
      </c>
      <c r="I470" s="6">
        <v>-3.6073862683571097E-3</v>
      </c>
    </row>
    <row r="471" spans="2:9" s="2" customFormat="1" x14ac:dyDescent="0.25">
      <c r="B471" s="12">
        <v>42906.524311574074</v>
      </c>
      <c r="C471" s="2" t="s">
        <v>8</v>
      </c>
      <c r="D471" s="6" t="s">
        <v>11</v>
      </c>
      <c r="E471" s="9">
        <v>1.9812260000000002E-2</v>
      </c>
      <c r="F471" s="9">
        <v>1.9800189999999999E-2</v>
      </c>
      <c r="G471" s="2" t="s">
        <v>250</v>
      </c>
      <c r="H471" s="5">
        <v>-1.1110112500000227E-4</v>
      </c>
      <c r="I471" s="6">
        <v>-5.6076956894368568E-3</v>
      </c>
    </row>
    <row r="472" spans="2:9" s="2" customFormat="1" x14ac:dyDescent="0.25">
      <c r="B472" s="12">
        <v>42906.524311574074</v>
      </c>
      <c r="C472" s="2" t="s">
        <v>3</v>
      </c>
      <c r="D472" s="6" t="s">
        <v>11</v>
      </c>
      <c r="E472" s="9">
        <v>8.1657599999999993E-3</v>
      </c>
      <c r="F472" s="9">
        <v>8.1901999999999999E-3</v>
      </c>
      <c r="G472" s="2" t="s">
        <v>0</v>
      </c>
      <c r="H472" s="5">
        <v>-1.2354799999999416E-5</v>
      </c>
      <c r="I472" s="6">
        <v>-1.5130006270083149E-3</v>
      </c>
    </row>
    <row r="473" spans="2:9" s="2" customFormat="1" x14ac:dyDescent="0.25">
      <c r="B473" s="12">
        <v>42906.524311574074</v>
      </c>
      <c r="C473" s="2" t="s">
        <v>21</v>
      </c>
      <c r="D473" s="6" t="s">
        <v>27</v>
      </c>
      <c r="E473" s="9">
        <v>4.8494E-4</v>
      </c>
      <c r="F473" s="9">
        <v>2576.5080200500001</v>
      </c>
      <c r="G473" s="2" t="s">
        <v>250</v>
      </c>
      <c r="H473" s="5">
        <v>2570.0662640899955</v>
      </c>
      <c r="I473" s="6">
        <v>5299761.339732741</v>
      </c>
    </row>
    <row r="474" spans="2:9" s="2" customFormat="1" x14ac:dyDescent="0.25">
      <c r="B474" s="12">
        <v>42906.524311574074</v>
      </c>
      <c r="C474" s="2" t="s">
        <v>50</v>
      </c>
      <c r="D474" s="6" t="s">
        <v>27</v>
      </c>
      <c r="E474" s="9">
        <v>2.2019999999999999E-5</v>
      </c>
      <c r="F474" s="9">
        <v>2.2529999999999999E-5</v>
      </c>
      <c r="G474" s="2" t="s">
        <v>251</v>
      </c>
      <c r="H474" s="5">
        <v>4.2089999999999795E-7</v>
      </c>
      <c r="I474" s="6">
        <v>1.9114441416893641E-2</v>
      </c>
    </row>
    <row r="475" spans="2:9" s="2" customFormat="1" x14ac:dyDescent="0.25">
      <c r="B475" s="12">
        <v>42906.524311574074</v>
      </c>
      <c r="C475" s="2" t="s">
        <v>10</v>
      </c>
      <c r="D475" s="6" t="s">
        <v>250</v>
      </c>
      <c r="E475" s="9">
        <v>0.15615699999999999</v>
      </c>
      <c r="F475" s="9">
        <v>0.15615000000000001</v>
      </c>
      <c r="G475" s="2" t="s">
        <v>250</v>
      </c>
      <c r="H475" s="5">
        <v>-7.8776749999998064E-4</v>
      </c>
      <c r="I475" s="6">
        <v>-5.0447146141382113E-3</v>
      </c>
    </row>
    <row r="476" spans="2:9" s="2" customFormat="1" x14ac:dyDescent="0.25">
      <c r="B476" s="12">
        <v>42906.524311574074</v>
      </c>
      <c r="C476" s="2" t="s">
        <v>46</v>
      </c>
      <c r="D476" s="6" t="s">
        <v>250</v>
      </c>
      <c r="E476" s="9">
        <v>6.7990000000000005E-5</v>
      </c>
      <c r="F476" s="9">
        <v>6.8170000000000006E-5</v>
      </c>
      <c r="G476" s="2" t="s">
        <v>11</v>
      </c>
      <c r="H476" s="5">
        <v>-1.6039999999999935E-7</v>
      </c>
      <c r="I476" s="6">
        <v>-2.3591704662450264E-3</v>
      </c>
    </row>
    <row r="477" spans="2:9" s="2" customFormat="1" x14ac:dyDescent="0.25">
      <c r="B477" s="12">
        <v>42906.524311574074</v>
      </c>
      <c r="C477" s="2" t="s">
        <v>80</v>
      </c>
      <c r="D477" s="6" t="s">
        <v>86</v>
      </c>
      <c r="E477" s="9">
        <v>1.2179000000000001E-2</v>
      </c>
      <c r="F477" s="9">
        <v>1.218225E-2</v>
      </c>
      <c r="G477" s="2" t="s">
        <v>11</v>
      </c>
      <c r="H477" s="5">
        <v>-5.8871025000000604E-5</v>
      </c>
      <c r="I477" s="6">
        <v>-4.8338143525741527E-3</v>
      </c>
    </row>
    <row r="478" spans="2:9" s="2" customFormat="1" x14ac:dyDescent="0.25">
      <c r="B478" s="12">
        <v>42906.524311574074</v>
      </c>
      <c r="C478" s="2" t="s">
        <v>25</v>
      </c>
      <c r="D478" s="6" t="s">
        <v>27</v>
      </c>
      <c r="E478" s="4">
        <v>1.8330099999999999E-3</v>
      </c>
      <c r="F478" s="4">
        <v>1.8400000000000001E-3</v>
      </c>
      <c r="G478" s="2" t="s">
        <v>87</v>
      </c>
      <c r="H478" s="5">
        <v>-3.5601999999988754E-7</v>
      </c>
      <c r="I478" s="6">
        <v>-1.9422698184946483E-4</v>
      </c>
    </row>
    <row r="479" spans="2:9" s="2" customFormat="1" x14ac:dyDescent="0.25">
      <c r="B479" s="12">
        <v>42906.524311574074</v>
      </c>
      <c r="C479" s="2" t="s">
        <v>70</v>
      </c>
      <c r="D479" s="6" t="s">
        <v>72</v>
      </c>
      <c r="E479" s="4">
        <v>154480.700667</v>
      </c>
      <c r="F479" s="4">
        <v>159458.31</v>
      </c>
      <c r="G479" s="2" t="s">
        <v>69</v>
      </c>
      <c r="H479" s="5">
        <v>4349.7313116659934</v>
      </c>
      <c r="I479" s="6">
        <v>2.8157117962860058E-2</v>
      </c>
    </row>
    <row r="480" spans="2:9" s="2" customFormat="1" x14ac:dyDescent="0.25">
      <c r="B480" s="12"/>
      <c r="D480" s="6"/>
      <c r="E480" s="4"/>
      <c r="F480" s="4"/>
      <c r="H480" s="5"/>
      <c r="I480" s="6"/>
    </row>
    <row r="481" spans="2:9" s="2" customFormat="1" x14ac:dyDescent="0.25">
      <c r="B481" s="12"/>
      <c r="D481" s="6"/>
      <c r="E481" s="4"/>
      <c r="F481" s="4"/>
      <c r="H481" s="5"/>
      <c r="I481" s="6"/>
    </row>
    <row r="482" spans="2:9" s="2" customFormat="1" x14ac:dyDescent="0.25">
      <c r="B482" s="12">
        <v>42906.496022453706</v>
      </c>
      <c r="C482" s="2" t="s">
        <v>6</v>
      </c>
      <c r="D482" s="6" t="s">
        <v>250</v>
      </c>
      <c r="E482" s="9">
        <v>1.8099959999999998E-2</v>
      </c>
      <c r="F482" s="9">
        <v>1.8178488E-2</v>
      </c>
      <c r="G482" s="2" t="s">
        <v>72</v>
      </c>
      <c r="H482" s="5">
        <v>-3.0788759999983428E-6</v>
      </c>
      <c r="I482" s="6">
        <v>-1.7010402232923958E-4</v>
      </c>
    </row>
    <row r="483" spans="2:9" s="2" customFormat="1" x14ac:dyDescent="0.25">
      <c r="B483" s="12">
        <v>42906.496022453706</v>
      </c>
      <c r="C483" s="2" t="s">
        <v>35</v>
      </c>
      <c r="D483" s="6" t="s">
        <v>74</v>
      </c>
      <c r="E483" s="9">
        <v>1.1769999999999999E-6</v>
      </c>
      <c r="F483" s="9">
        <v>1.1799999999999999E-6</v>
      </c>
      <c r="G483" s="2" t="s">
        <v>72</v>
      </c>
      <c r="H483" s="5">
        <v>-5.3700000000000011E-10</v>
      </c>
      <c r="I483" s="6">
        <v>-4.5624468988954986E-4</v>
      </c>
    </row>
    <row r="484" spans="2:9" s="2" customFormat="1" x14ac:dyDescent="0.25">
      <c r="B484" s="12">
        <v>42906.496022453706</v>
      </c>
      <c r="C484" s="2" t="s">
        <v>4</v>
      </c>
      <c r="D484" s="6" t="s">
        <v>22</v>
      </c>
      <c r="E484" s="9">
        <v>0.13944750661800001</v>
      </c>
      <c r="F484" s="9">
        <v>0.14000000000000001</v>
      </c>
      <c r="G484" s="2" t="s">
        <v>11</v>
      </c>
      <c r="H484" s="5">
        <v>-7.6401631235983869E-5</v>
      </c>
      <c r="I484" s="6">
        <v>-5.4788811280274171E-4</v>
      </c>
    </row>
    <row r="485" spans="2:9" s="2" customFormat="1" x14ac:dyDescent="0.25">
      <c r="B485" s="12">
        <v>42906.496022453706</v>
      </c>
      <c r="C485" s="2" t="s">
        <v>33</v>
      </c>
      <c r="D485" s="6" t="s">
        <v>72</v>
      </c>
      <c r="E485" s="9">
        <v>7.4730000000000005E-2</v>
      </c>
      <c r="F485" s="9">
        <v>7.5170249999999994E-2</v>
      </c>
      <c r="G485" s="2" t="s">
        <v>250</v>
      </c>
      <c r="H485" s="5">
        <v>1.0286437499998358E-4</v>
      </c>
      <c r="I485" s="6">
        <v>1.3764803291848463E-3</v>
      </c>
    </row>
    <row r="486" spans="2:9" s="2" customFormat="1" x14ac:dyDescent="0.25">
      <c r="B486" s="12">
        <v>42906.496022453706</v>
      </c>
      <c r="C486" s="2" t="s">
        <v>8</v>
      </c>
      <c r="D486" s="6" t="s">
        <v>74</v>
      </c>
      <c r="E486" s="9">
        <v>1.9501999999999999E-2</v>
      </c>
      <c r="F486" s="9">
        <v>1.9510139999999999E-2</v>
      </c>
      <c r="G486" s="2" t="s">
        <v>250</v>
      </c>
      <c r="H486" s="5">
        <v>-6.0137349999999506E-5</v>
      </c>
      <c r="I486" s="6">
        <v>-3.0836503948312743E-3</v>
      </c>
    </row>
    <row r="487" spans="2:9" s="2" customFormat="1" x14ac:dyDescent="0.25">
      <c r="B487" s="12">
        <v>42906.496022453706</v>
      </c>
      <c r="C487" s="2" t="s">
        <v>3</v>
      </c>
      <c r="D487" s="6" t="s">
        <v>27</v>
      </c>
      <c r="E487" s="9">
        <v>8.0999999999999996E-3</v>
      </c>
      <c r="F487" s="9">
        <v>8.1499999999999993E-3</v>
      </c>
      <c r="G487" s="2" t="s">
        <v>0</v>
      </c>
      <c r="H487" s="5">
        <v>1.7500000000000154E-5</v>
      </c>
      <c r="I487" s="6">
        <v>2.1604938271605131E-3</v>
      </c>
    </row>
    <row r="488" spans="2:9" s="2" customFormat="1" x14ac:dyDescent="0.25">
      <c r="B488" s="12">
        <v>42906.496022453706</v>
      </c>
      <c r="C488" s="2" t="s">
        <v>21</v>
      </c>
      <c r="D488" s="6" t="s">
        <v>27</v>
      </c>
      <c r="E488" s="9">
        <v>4.8494E-4</v>
      </c>
      <c r="F488" s="9">
        <v>2596.6</v>
      </c>
      <c r="G488" s="2" t="s">
        <v>11</v>
      </c>
      <c r="H488" s="5">
        <v>2590.1080140901199</v>
      </c>
      <c r="I488" s="6">
        <v>5341089.648389739</v>
      </c>
    </row>
    <row r="489" spans="2:9" s="2" customFormat="1" x14ac:dyDescent="0.25">
      <c r="B489" s="12">
        <v>42906.496022453706</v>
      </c>
      <c r="C489" s="2" t="s">
        <v>50</v>
      </c>
      <c r="D489" s="6" t="s">
        <v>27</v>
      </c>
      <c r="E489" s="9">
        <v>2.2019999999999999E-5</v>
      </c>
      <c r="F489" s="9">
        <v>2.194E-5</v>
      </c>
      <c r="G489" s="2" t="s">
        <v>251</v>
      </c>
      <c r="H489" s="5">
        <v>-1.6792000000000025E-7</v>
      </c>
      <c r="I489" s="6">
        <v>-7.625794732061774E-3</v>
      </c>
    </row>
    <row r="490" spans="2:9" s="2" customFormat="1" x14ac:dyDescent="0.25">
      <c r="B490" s="12">
        <v>42906.496022453706</v>
      </c>
      <c r="C490" s="2" t="s">
        <v>10</v>
      </c>
      <c r="D490" s="6" t="s">
        <v>86</v>
      </c>
      <c r="E490" s="9">
        <v>0.154557</v>
      </c>
      <c r="F490" s="9">
        <v>0.15500000999999999</v>
      </c>
      <c r="G490" s="2" t="s">
        <v>250</v>
      </c>
      <c r="H490" s="5">
        <v>-3.4633822499999245E-4</v>
      </c>
      <c r="I490" s="6">
        <v>-2.2408446398415631E-3</v>
      </c>
    </row>
    <row r="491" spans="2:9" s="2" customFormat="1" x14ac:dyDescent="0.25">
      <c r="B491" s="12">
        <v>42906.496022453706</v>
      </c>
      <c r="C491" s="2" t="s">
        <v>46</v>
      </c>
      <c r="D491" s="6" t="s">
        <v>74</v>
      </c>
      <c r="E491" s="9">
        <v>6.6849999999999999E-5</v>
      </c>
      <c r="F491" s="9">
        <v>6.6769999999999999E-5</v>
      </c>
      <c r="G491" s="2" t="s">
        <v>74</v>
      </c>
      <c r="H491" s="5">
        <v>-2.1361999999999542E-7</v>
      </c>
      <c r="I491" s="6">
        <v>-3.1955123410620108E-3</v>
      </c>
    </row>
    <row r="492" spans="2:9" s="2" customFormat="1" x14ac:dyDescent="0.25">
      <c r="B492" s="12">
        <v>42906.496022453706</v>
      </c>
      <c r="C492" s="2" t="s">
        <v>80</v>
      </c>
      <c r="D492" s="6" t="s">
        <v>86</v>
      </c>
      <c r="E492" s="9">
        <v>1.2168999999999999E-2</v>
      </c>
      <c r="F492" s="9">
        <v>1.20607131482E-2</v>
      </c>
      <c r="G492" s="2" t="s">
        <v>250</v>
      </c>
      <c r="H492" s="5">
        <v>-1.700780346704997E-4</v>
      </c>
      <c r="I492" s="6">
        <v>-1.397633615502504E-2</v>
      </c>
    </row>
    <row r="493" spans="2:9" s="2" customFormat="1" x14ac:dyDescent="0.25">
      <c r="B493" s="12">
        <v>42906.496022453706</v>
      </c>
      <c r="C493" s="2" t="s">
        <v>25</v>
      </c>
      <c r="D493" s="6" t="s">
        <v>27</v>
      </c>
      <c r="E493" s="4">
        <v>1.8330099999999999E-3</v>
      </c>
      <c r="F493" s="4">
        <v>1.8400000000000001E-3</v>
      </c>
      <c r="G493" s="2" t="s">
        <v>87</v>
      </c>
      <c r="H493" s="5">
        <v>-3.5601999999988754E-7</v>
      </c>
      <c r="I493" s="6">
        <v>-1.9422698184946483E-4</v>
      </c>
    </row>
    <row r="494" spans="2:9" s="2" customFormat="1" x14ac:dyDescent="0.25">
      <c r="B494" s="12">
        <v>42906.496022453706</v>
      </c>
      <c r="C494" s="2" t="s">
        <v>70</v>
      </c>
      <c r="D494" s="6" t="s">
        <v>72</v>
      </c>
      <c r="E494" s="4">
        <v>154895.380924</v>
      </c>
      <c r="F494" s="4">
        <v>159238.71</v>
      </c>
      <c r="G494" s="2" t="s">
        <v>69</v>
      </c>
      <c r="H494" s="5">
        <v>3715.0608941519749</v>
      </c>
      <c r="I494" s="6">
        <v>2.3984323302544339E-2</v>
      </c>
    </row>
    <row r="495" spans="2:9" s="2" customFormat="1" x14ac:dyDescent="0.25">
      <c r="B495" s="12"/>
      <c r="D495" s="6"/>
      <c r="E495" s="4"/>
      <c r="F495" s="4"/>
      <c r="H495" s="5"/>
      <c r="I495" s="6"/>
    </row>
    <row r="496" spans="2:9" s="2" customFormat="1" x14ac:dyDescent="0.25">
      <c r="B496" s="12"/>
      <c r="D496" s="6"/>
      <c r="E496" s="4"/>
      <c r="F496" s="4"/>
      <c r="H496" s="5"/>
      <c r="I496" s="6"/>
    </row>
    <row r="497" spans="2:9" s="2" customFormat="1" x14ac:dyDescent="0.25">
      <c r="B497" s="12">
        <v>42906.470210185187</v>
      </c>
      <c r="C497" s="2" t="s">
        <v>6</v>
      </c>
      <c r="D497" s="6" t="s">
        <v>87</v>
      </c>
      <c r="E497" s="9">
        <v>1.8021410000000002E-2</v>
      </c>
      <c r="F497" s="9">
        <v>1.8268348E-2</v>
      </c>
      <c r="G497" s="2" t="s">
        <v>72</v>
      </c>
      <c r="H497" s="5">
        <v>1.7435848399999926E-4</v>
      </c>
      <c r="I497" s="6">
        <v>9.6750744808535641E-3</v>
      </c>
    </row>
    <row r="498" spans="2:9" s="2" customFormat="1" x14ac:dyDescent="0.25">
      <c r="B498" s="12">
        <v>42906.470210185187</v>
      </c>
      <c r="C498" s="2" t="s">
        <v>35</v>
      </c>
      <c r="D498" s="6" t="s">
        <v>87</v>
      </c>
      <c r="E498" s="9">
        <v>1.17E-6</v>
      </c>
      <c r="F498" s="9">
        <v>1.17E-6</v>
      </c>
      <c r="G498" s="2" t="s">
        <v>250</v>
      </c>
      <c r="H498" s="5">
        <v>-5.2650000000000673E-9</v>
      </c>
      <c r="I498" s="6">
        <v>-4.5000000000000578E-3</v>
      </c>
    </row>
    <row r="499" spans="2:9" s="2" customFormat="1" x14ac:dyDescent="0.25">
      <c r="B499" s="12">
        <v>42906.470210185187</v>
      </c>
      <c r="C499" s="2" t="s">
        <v>4</v>
      </c>
      <c r="D499" s="6" t="s">
        <v>72</v>
      </c>
      <c r="E499" s="9">
        <v>0.13887986799999999</v>
      </c>
      <c r="F499" s="9">
        <v>0.140500019299</v>
      </c>
      <c r="G499" s="2" t="s">
        <v>11</v>
      </c>
      <c r="H499" s="5">
        <v>9.9114151475251933E-4</v>
      </c>
      <c r="I499" s="6">
        <v>7.1366824365970694E-3</v>
      </c>
    </row>
    <row r="500" spans="2:9" s="2" customFormat="1" x14ac:dyDescent="0.25">
      <c r="B500" s="12">
        <v>42906.470210185187</v>
      </c>
      <c r="C500" s="2" t="s">
        <v>33</v>
      </c>
      <c r="D500" s="6" t="s">
        <v>250</v>
      </c>
      <c r="E500" s="9">
        <v>7.5050119999999998E-2</v>
      </c>
      <c r="F500" s="9">
        <v>7.5500044000000002E-2</v>
      </c>
      <c r="G500" s="2" t="s">
        <v>251</v>
      </c>
      <c r="H500" s="5">
        <v>1.112986120000159E-4</v>
      </c>
      <c r="I500" s="6">
        <v>1.482990460241981E-3</v>
      </c>
    </row>
    <row r="501" spans="2:9" s="2" customFormat="1" x14ac:dyDescent="0.25">
      <c r="B501" s="12">
        <v>42906.470210185187</v>
      </c>
      <c r="C501" s="2" t="s">
        <v>8</v>
      </c>
      <c r="D501" s="6" t="s">
        <v>86</v>
      </c>
      <c r="E501" s="9">
        <v>1.9547999999999999E-2</v>
      </c>
      <c r="F501" s="9">
        <v>1.9535E-2</v>
      </c>
      <c r="G501" s="2" t="s">
        <v>0</v>
      </c>
      <c r="H501" s="5">
        <v>-1.0289479999999948E-4</v>
      </c>
      <c r="I501" s="6">
        <v>-5.2636996112133969E-3</v>
      </c>
    </row>
    <row r="502" spans="2:9" s="2" customFormat="1" x14ac:dyDescent="0.25">
      <c r="B502" s="12">
        <v>42906.470210185187</v>
      </c>
      <c r="C502" s="2" t="s">
        <v>3</v>
      </c>
      <c r="D502" s="6" t="s">
        <v>250</v>
      </c>
      <c r="E502" s="9">
        <v>8.0999799999999997E-3</v>
      </c>
      <c r="F502" s="9">
        <v>8.1202404958000008E-3</v>
      </c>
      <c r="G502" s="2" t="s">
        <v>251</v>
      </c>
      <c r="H502" s="5">
        <v>-1.6229935191599057E-5</v>
      </c>
      <c r="I502" s="6">
        <v>-2.003700650075563E-3</v>
      </c>
    </row>
    <row r="503" spans="2:9" s="2" customFormat="1" x14ac:dyDescent="0.25">
      <c r="B503" s="12">
        <v>42906.470210185187</v>
      </c>
      <c r="C503" s="2" t="s">
        <v>21</v>
      </c>
      <c r="D503" s="6" t="s">
        <v>27</v>
      </c>
      <c r="E503" s="9">
        <v>4.8495E-4</v>
      </c>
      <c r="F503" s="9">
        <v>2596.13390544</v>
      </c>
      <c r="G503" s="2" t="s">
        <v>11</v>
      </c>
      <c r="H503" s="5">
        <v>2589.6430847565002</v>
      </c>
      <c r="I503" s="6">
        <v>5340020.7954562334</v>
      </c>
    </row>
    <row r="504" spans="2:9" s="2" customFormat="1" x14ac:dyDescent="0.25">
      <c r="B504" s="12">
        <v>42906.470210185187</v>
      </c>
      <c r="C504" s="2" t="s">
        <v>50</v>
      </c>
      <c r="D504" s="6" t="s">
        <v>27</v>
      </c>
      <c r="E504" s="9">
        <v>2.2030000000000001E-5</v>
      </c>
      <c r="F504" s="9">
        <v>2.2399999999999999E-5</v>
      </c>
      <c r="G504" s="2" t="s">
        <v>251</v>
      </c>
      <c r="H504" s="5">
        <v>2.8113999999999914E-7</v>
      </c>
      <c r="I504" s="6">
        <v>1.2761688606445717E-2</v>
      </c>
    </row>
    <row r="505" spans="2:9" s="2" customFormat="1" x14ac:dyDescent="0.25">
      <c r="B505" s="12">
        <v>42906.470210185187</v>
      </c>
      <c r="C505" s="2" t="s">
        <v>10</v>
      </c>
      <c r="D505" s="6" t="s">
        <v>86</v>
      </c>
      <c r="E505" s="9">
        <v>0.15464700000000001</v>
      </c>
      <c r="F505" s="9">
        <v>0.15503746187699999</v>
      </c>
      <c r="G505" s="2" t="s">
        <v>251</v>
      </c>
      <c r="H505" s="5">
        <v>-3.2169524675401684E-4</v>
      </c>
      <c r="I505" s="6">
        <v>-2.080190671361338E-3</v>
      </c>
    </row>
    <row r="506" spans="2:9" s="2" customFormat="1" x14ac:dyDescent="0.25">
      <c r="B506" s="12">
        <v>42906.470210185187</v>
      </c>
      <c r="C506" s="2" t="s">
        <v>46</v>
      </c>
      <c r="D506" s="6" t="s">
        <v>74</v>
      </c>
      <c r="E506" s="9">
        <v>6.7249999999999995E-5</v>
      </c>
      <c r="F506" s="9">
        <v>6.737E-5</v>
      </c>
      <c r="G506" s="2" t="s">
        <v>11</v>
      </c>
      <c r="H506" s="5">
        <v>-1.1567499999999445E-7</v>
      </c>
      <c r="I506" s="6">
        <v>-1.7200743494422968E-3</v>
      </c>
    </row>
    <row r="507" spans="2:9" s="2" customFormat="1" x14ac:dyDescent="0.25">
      <c r="B507" s="12">
        <v>42906.470210185187</v>
      </c>
      <c r="C507" s="2" t="s">
        <v>80</v>
      </c>
      <c r="D507" s="6" t="s">
        <v>86</v>
      </c>
      <c r="E507" s="9">
        <v>1.2161999999999999E-2</v>
      </c>
      <c r="F507" s="9">
        <v>1.213005E-2</v>
      </c>
      <c r="G507" s="2" t="s">
        <v>250</v>
      </c>
      <c r="H507" s="5">
        <v>-9.3896324999998698E-5</v>
      </c>
      <c r="I507" s="6">
        <v>-7.7204674395657544E-3</v>
      </c>
    </row>
    <row r="508" spans="2:9" s="2" customFormat="1" x14ac:dyDescent="0.25">
      <c r="B508" s="12">
        <v>42906.470210185187</v>
      </c>
      <c r="C508" s="2" t="s">
        <v>25</v>
      </c>
      <c r="D508" s="6" t="s">
        <v>27</v>
      </c>
      <c r="E508" s="4">
        <v>1.86605E-3</v>
      </c>
      <c r="F508" s="4">
        <v>1.8400000000000001E-3</v>
      </c>
      <c r="G508" s="2" t="s">
        <v>87</v>
      </c>
      <c r="H508" s="5">
        <v>-3.3462099999999979E-5</v>
      </c>
      <c r="I508" s="6">
        <v>-1.7932048980466752E-2</v>
      </c>
    </row>
    <row r="509" spans="2:9" s="2" customFormat="1" x14ac:dyDescent="0.25">
      <c r="B509" s="12">
        <v>42906.470210185187</v>
      </c>
      <c r="C509" s="2" t="s">
        <v>70</v>
      </c>
      <c r="D509" s="6" t="s">
        <v>72</v>
      </c>
      <c r="E509" s="4">
        <v>154948</v>
      </c>
      <c r="F509" s="4">
        <v>160283.179125</v>
      </c>
      <c r="G509" s="2" t="s">
        <v>69</v>
      </c>
      <c r="H509" s="5">
        <v>4704.7167667499743</v>
      </c>
      <c r="I509" s="6">
        <v>3.0363197761506922E-2</v>
      </c>
    </row>
    <row r="510" spans="2:9" s="2" customFormat="1" x14ac:dyDescent="0.25">
      <c r="B510" s="12"/>
      <c r="D510" s="6"/>
      <c r="E510" s="4"/>
      <c r="F510" s="4"/>
      <c r="H510" s="5"/>
      <c r="I510" s="6"/>
    </row>
    <row r="511" spans="2:9" s="2" customFormat="1" x14ac:dyDescent="0.25">
      <c r="B511" s="12"/>
      <c r="D511" s="6"/>
      <c r="E511" s="4"/>
      <c r="F511" s="4"/>
      <c r="H511" s="5"/>
      <c r="I511" s="6"/>
    </row>
    <row r="512" spans="2:9" s="2" customFormat="1" x14ac:dyDescent="0.25">
      <c r="B512" s="12">
        <v>42906.464881481479</v>
      </c>
      <c r="C512" s="2" t="s">
        <v>6</v>
      </c>
      <c r="D512" s="6" t="s">
        <v>11</v>
      </c>
      <c r="E512" s="9">
        <v>1.805911E-2</v>
      </c>
      <c r="F512" s="9">
        <v>1.8282E-2</v>
      </c>
      <c r="G512" s="2" t="s">
        <v>72</v>
      </c>
      <c r="H512" s="5">
        <v>1.4117822500000002E-4</v>
      </c>
      <c r="I512" s="6">
        <v>7.8175627148846221E-3</v>
      </c>
    </row>
    <row r="513" spans="2:9" s="2" customFormat="1" x14ac:dyDescent="0.25">
      <c r="B513" s="12">
        <v>42906.464881481479</v>
      </c>
      <c r="C513" s="2" t="s">
        <v>35</v>
      </c>
      <c r="D513" s="6" t="s">
        <v>27</v>
      </c>
      <c r="E513" s="9">
        <v>1.17E-6</v>
      </c>
      <c r="F513" s="9">
        <v>1.173E-6</v>
      </c>
      <c r="G513" s="2" t="s">
        <v>74</v>
      </c>
      <c r="H513" s="5">
        <v>-5.129999999999729E-10</v>
      </c>
      <c r="I513" s="6">
        <v>-4.384615384615153E-4</v>
      </c>
    </row>
    <row r="514" spans="2:9" s="2" customFormat="1" x14ac:dyDescent="0.25">
      <c r="B514" s="12">
        <v>42906.464881481479</v>
      </c>
      <c r="C514" s="2" t="s">
        <v>4</v>
      </c>
      <c r="D514" s="6" t="s">
        <v>0</v>
      </c>
      <c r="E514" s="9">
        <v>0.13880000000000001</v>
      </c>
      <c r="F514" s="9">
        <v>0.14050000000000001</v>
      </c>
      <c r="G514" s="2" t="s">
        <v>11</v>
      </c>
      <c r="H514" s="5">
        <v>1.0711500000000207E-3</v>
      </c>
      <c r="I514" s="6">
        <v>7.7172190201730594E-3</v>
      </c>
    </row>
    <row r="515" spans="2:9" s="2" customFormat="1" x14ac:dyDescent="0.25">
      <c r="B515" s="12">
        <v>42906.464881481479</v>
      </c>
      <c r="C515" s="2" t="s">
        <v>33</v>
      </c>
      <c r="D515" s="6" t="s">
        <v>74</v>
      </c>
      <c r="E515" s="9">
        <v>7.5373999999999997E-2</v>
      </c>
      <c r="F515" s="9">
        <v>7.5560000000000002E-2</v>
      </c>
      <c r="G515" s="2" t="s">
        <v>72</v>
      </c>
      <c r="H515" s="5">
        <v>-4.0494000000002028E-5</v>
      </c>
      <c r="I515" s="6">
        <v>-5.3724095842070253E-4</v>
      </c>
    </row>
    <row r="516" spans="2:9" s="2" customFormat="1" x14ac:dyDescent="0.25">
      <c r="B516" s="12">
        <v>42906.464881481479</v>
      </c>
      <c r="C516" s="2" t="s">
        <v>8</v>
      </c>
      <c r="D516" s="6" t="s">
        <v>250</v>
      </c>
      <c r="E516" s="9">
        <v>1.9500110000000001E-2</v>
      </c>
      <c r="F516" s="9">
        <v>1.95E-2</v>
      </c>
      <c r="G516" s="2" t="s">
        <v>250</v>
      </c>
      <c r="H516" s="5">
        <v>-9.7610274999999913E-5</v>
      </c>
      <c r="I516" s="6">
        <v>-5.0056268913354802E-3</v>
      </c>
    </row>
    <row r="517" spans="2:9" s="2" customFormat="1" x14ac:dyDescent="0.25">
      <c r="B517" s="12">
        <v>42906.464881481479</v>
      </c>
      <c r="C517" s="2" t="s">
        <v>3</v>
      </c>
      <c r="D517" s="6" t="s">
        <v>86</v>
      </c>
      <c r="E517" s="9">
        <v>8.0890000000000007E-3</v>
      </c>
      <c r="F517" s="9">
        <v>8.1202099999999992E-3</v>
      </c>
      <c r="G517" s="2" t="s">
        <v>251</v>
      </c>
      <c r="H517" s="5">
        <v>-6.0618200000018413E-6</v>
      </c>
      <c r="I517" s="6">
        <v>-7.4939053035008541E-4</v>
      </c>
    </row>
    <row r="518" spans="2:9" s="2" customFormat="1" x14ac:dyDescent="0.25">
      <c r="B518" s="12">
        <v>42906.464881481479</v>
      </c>
      <c r="C518" s="2" t="s">
        <v>21</v>
      </c>
      <c r="D518" s="6" t="s">
        <v>27</v>
      </c>
      <c r="E518" s="9">
        <v>4.1199999999999999E-4</v>
      </c>
      <c r="F518" s="9">
        <v>2595.2611531399998</v>
      </c>
      <c r="G518" s="2" t="s">
        <v>250</v>
      </c>
      <c r="H518" s="5">
        <v>2588.77258743315</v>
      </c>
      <c r="I518" s="6">
        <v>6283428.6102746362</v>
      </c>
    </row>
    <row r="519" spans="2:9" s="2" customFormat="1" x14ac:dyDescent="0.25">
      <c r="B519" s="12">
        <v>42906.464881481479</v>
      </c>
      <c r="C519" s="2" t="s">
        <v>50</v>
      </c>
      <c r="D519" s="6" t="s">
        <v>27</v>
      </c>
      <c r="E519" s="9">
        <v>2.2030000000000001E-5</v>
      </c>
      <c r="F519" s="9">
        <v>2.2399999999999999E-5</v>
      </c>
      <c r="G519" s="2" t="s">
        <v>251</v>
      </c>
      <c r="H519" s="5">
        <v>2.8113999999999914E-7</v>
      </c>
      <c r="I519" s="6">
        <v>1.2761688606445717E-2</v>
      </c>
    </row>
    <row r="520" spans="2:9" s="2" customFormat="1" x14ac:dyDescent="0.25">
      <c r="B520" s="12">
        <v>42906.464881481479</v>
      </c>
      <c r="C520" s="2" t="s">
        <v>10</v>
      </c>
      <c r="D520" s="6" t="s">
        <v>86</v>
      </c>
      <c r="E520" s="9">
        <v>0.15373700000000001</v>
      </c>
      <c r="F520" s="9">
        <v>0.15512939392899999</v>
      </c>
      <c r="G520" s="2" t="s">
        <v>251</v>
      </c>
      <c r="H520" s="5">
        <v>6.8241894114196011E-4</v>
      </c>
      <c r="I520" s="6">
        <v>4.438872497459688E-3</v>
      </c>
    </row>
    <row r="521" spans="2:9" s="2" customFormat="1" x14ac:dyDescent="0.25">
      <c r="B521" s="12">
        <v>42906.464881481479</v>
      </c>
      <c r="C521" s="2" t="s">
        <v>46</v>
      </c>
      <c r="D521" s="6" t="s">
        <v>250</v>
      </c>
      <c r="E521" s="9">
        <v>6.6950000000000001E-5</v>
      </c>
      <c r="F521" s="9">
        <v>6.737E-5</v>
      </c>
      <c r="G521" s="2" t="s">
        <v>11</v>
      </c>
      <c r="H521" s="5">
        <v>8.4199999999994891E-8</v>
      </c>
      <c r="I521" s="6">
        <v>1.2576549663927542E-3</v>
      </c>
    </row>
    <row r="522" spans="2:9" s="2" customFormat="1" x14ac:dyDescent="0.25">
      <c r="B522" s="12">
        <v>42906.464881481479</v>
      </c>
      <c r="C522" s="2" t="s">
        <v>80</v>
      </c>
      <c r="D522" s="6" t="s">
        <v>86</v>
      </c>
      <c r="E522" s="9">
        <v>1.2128E-2</v>
      </c>
      <c r="F522" s="9">
        <v>1.213002E-2</v>
      </c>
      <c r="G522" s="2" t="s">
        <v>250</v>
      </c>
      <c r="H522" s="5">
        <v>-5.983784999999929E-5</v>
      </c>
      <c r="I522" s="6">
        <v>-4.9338596635883324E-3</v>
      </c>
    </row>
    <row r="523" spans="2:9" s="2" customFormat="1" x14ac:dyDescent="0.25">
      <c r="B523" s="12">
        <v>42906.464881481479</v>
      </c>
      <c r="C523" s="2" t="s">
        <v>25</v>
      </c>
      <c r="D523" s="6" t="s">
        <v>27</v>
      </c>
      <c r="E523" s="4">
        <v>1.86605E-3</v>
      </c>
      <c r="F523" s="4">
        <v>1.8400000000000001E-3</v>
      </c>
      <c r="G523" s="2" t="s">
        <v>87</v>
      </c>
      <c r="H523" s="5">
        <v>-3.3462099999999979E-5</v>
      </c>
      <c r="I523" s="6">
        <v>-1.7932048980466752E-2</v>
      </c>
    </row>
    <row r="524" spans="2:9" s="2" customFormat="1" x14ac:dyDescent="0.25">
      <c r="B524" s="12">
        <v>42906.464881481479</v>
      </c>
      <c r="C524" s="2" t="s">
        <v>70</v>
      </c>
      <c r="D524" s="6" t="s">
        <v>72</v>
      </c>
      <c r="E524" s="4">
        <v>154992.48172700001</v>
      </c>
      <c r="F524" s="4">
        <v>160117.76363199999</v>
      </c>
      <c r="G524" s="2" t="s">
        <v>69</v>
      </c>
      <c r="H524" s="5">
        <v>4495.0614142819832</v>
      </c>
      <c r="I524" s="6">
        <v>2.9001802953252113E-2</v>
      </c>
    </row>
    <row r="525" spans="2:9" s="2" customFormat="1" x14ac:dyDescent="0.25">
      <c r="B525" s="12"/>
      <c r="D525" s="6"/>
      <c r="E525" s="4"/>
      <c r="F525" s="4"/>
      <c r="H525" s="5"/>
      <c r="I525" s="6"/>
    </row>
    <row r="526" spans="2:9" s="2" customFormat="1" x14ac:dyDescent="0.25">
      <c r="B526" s="12"/>
      <c r="D526" s="6"/>
      <c r="E526" s="4"/>
      <c r="F526" s="4"/>
      <c r="H526" s="5"/>
      <c r="I526" s="6"/>
    </row>
    <row r="527" spans="2:9" s="2" customFormat="1" x14ac:dyDescent="0.25">
      <c r="B527" s="12">
        <v>42906.012189004628</v>
      </c>
      <c r="C527" s="2" t="s">
        <v>6</v>
      </c>
      <c r="D527" s="6" t="s">
        <v>22</v>
      </c>
      <c r="E527" s="9">
        <v>1.8339999999999999E-2</v>
      </c>
      <c r="F527" s="9">
        <v>1.8388999999999999E-2</v>
      </c>
      <c r="G527" s="2" t="s">
        <v>86</v>
      </c>
      <c r="H527" s="5">
        <v>-3.5491400000000478E-5</v>
      </c>
      <c r="I527" s="6">
        <v>-1.9351908396946828E-3</v>
      </c>
    </row>
    <row r="528" spans="2:9" s="2" customFormat="1" x14ac:dyDescent="0.25">
      <c r="B528" s="12">
        <v>42906.012189004628</v>
      </c>
      <c r="C528" s="2" t="s">
        <v>35</v>
      </c>
      <c r="D528" s="6" t="s">
        <v>250</v>
      </c>
      <c r="E528" s="9">
        <v>1.19E-6</v>
      </c>
      <c r="F528" s="9">
        <v>1.19E-6</v>
      </c>
      <c r="G528" s="2" t="s">
        <v>11</v>
      </c>
      <c r="H528" s="5">
        <v>-5.9499999999999176E-9</v>
      </c>
      <c r="I528" s="6">
        <v>-4.9999999999999307E-3</v>
      </c>
    </row>
    <row r="529" spans="2:9" s="2" customFormat="1" x14ac:dyDescent="0.25">
      <c r="B529" s="12">
        <v>42906.012189004628</v>
      </c>
      <c r="C529" s="2" t="s">
        <v>4</v>
      </c>
      <c r="D529" s="6" t="s">
        <v>0</v>
      </c>
      <c r="E529" s="9">
        <v>0.1386</v>
      </c>
      <c r="F529" s="9">
        <v>0.13910401</v>
      </c>
      <c r="G529" s="2" t="s">
        <v>69</v>
      </c>
      <c r="H529" s="5">
        <v>-5.1398020000009703E-5</v>
      </c>
      <c r="I529" s="6">
        <v>-3.7083708513715514E-4</v>
      </c>
    </row>
    <row r="530" spans="2:9" s="2" customFormat="1" x14ac:dyDescent="0.25">
      <c r="B530" s="12">
        <v>42906.012189004628</v>
      </c>
      <c r="C530" s="2" t="s">
        <v>33</v>
      </c>
      <c r="D530" s="6" t="s">
        <v>251</v>
      </c>
      <c r="E530" s="9">
        <v>7.6307860000000005E-2</v>
      </c>
      <c r="F530" s="9">
        <v>7.6319999999999999E-2</v>
      </c>
      <c r="G530" s="2" t="s">
        <v>250</v>
      </c>
      <c r="H530" s="5">
        <v>-3.3127572000000993E-4</v>
      </c>
      <c r="I530" s="6">
        <v>-4.3413053386638012E-3</v>
      </c>
    </row>
    <row r="531" spans="2:9" s="2" customFormat="1" x14ac:dyDescent="0.25">
      <c r="B531" s="12">
        <v>42906.012189004628</v>
      </c>
      <c r="C531" s="2" t="s">
        <v>8</v>
      </c>
      <c r="D531" s="6" t="s">
        <v>0</v>
      </c>
      <c r="E531" s="9">
        <v>1.9643999999999998E-2</v>
      </c>
      <c r="F531" s="9">
        <v>1.9671000000000001E-2</v>
      </c>
      <c r="G531" s="2" t="s">
        <v>74</v>
      </c>
      <c r="H531" s="5">
        <v>-3.1958999999994603E-5</v>
      </c>
      <c r="I531" s="6">
        <v>-1.6269089798408983E-3</v>
      </c>
    </row>
    <row r="532" spans="2:9" s="2" customFormat="1" x14ac:dyDescent="0.25">
      <c r="B532" s="12">
        <v>42906.012189004628</v>
      </c>
      <c r="C532" s="2" t="s">
        <v>3</v>
      </c>
      <c r="D532" s="6" t="s">
        <v>11</v>
      </c>
      <c r="E532" s="9">
        <v>8.3894999999999994E-3</v>
      </c>
      <c r="F532" s="9">
        <v>8.4200000000000004E-3</v>
      </c>
      <c r="G532" s="2" t="s">
        <v>74</v>
      </c>
      <c r="H532" s="5">
        <v>1.1062500000005859E-6</v>
      </c>
      <c r="I532" s="6">
        <v>1.3186125514042386E-4</v>
      </c>
    </row>
    <row r="533" spans="2:9" s="2" customFormat="1" x14ac:dyDescent="0.25">
      <c r="B533" s="12">
        <v>42906.012189004628</v>
      </c>
      <c r="C533" s="2" t="s">
        <v>21</v>
      </c>
      <c r="D533" s="6" t="s">
        <v>250</v>
      </c>
      <c r="E533" s="9">
        <v>2560.0538914600002</v>
      </c>
      <c r="F533" s="9">
        <v>2560.0000168000001</v>
      </c>
      <c r="G533" s="2" t="s">
        <v>11</v>
      </c>
      <c r="H533" s="5">
        <v>-12.854009430649967</v>
      </c>
      <c r="I533" s="6">
        <v>-5.0209917351854332E-3</v>
      </c>
    </row>
    <row r="534" spans="2:9" s="2" customFormat="1" x14ac:dyDescent="0.25">
      <c r="B534" s="12">
        <v>42906.012189004628</v>
      </c>
      <c r="C534" s="2" t="s">
        <v>50</v>
      </c>
      <c r="D534" s="6" t="s">
        <v>251</v>
      </c>
      <c r="E534" s="9">
        <v>2.158E-5</v>
      </c>
      <c r="F534" s="9">
        <v>2.1290000000000001E-5</v>
      </c>
      <c r="G534" s="2" t="s">
        <v>87</v>
      </c>
      <c r="H534" s="5">
        <v>-3.757399999999999E-7</v>
      </c>
      <c r="I534" s="6">
        <v>-1.741149212233549E-2</v>
      </c>
    </row>
    <row r="535" spans="2:9" s="2" customFormat="1" x14ac:dyDescent="0.25">
      <c r="B535" s="12">
        <v>42906.012189004628</v>
      </c>
      <c r="C535" s="2" t="s">
        <v>10</v>
      </c>
      <c r="D535" s="6" t="s">
        <v>74</v>
      </c>
      <c r="E535" s="9">
        <v>0.15160100000000001</v>
      </c>
      <c r="F535" s="9">
        <v>0.15160012</v>
      </c>
      <c r="G535" s="2" t="s">
        <v>250</v>
      </c>
      <c r="H535" s="5">
        <v>-5.3148129999999738E-4</v>
      </c>
      <c r="I535" s="6">
        <v>-3.5057901992730741E-3</v>
      </c>
    </row>
    <row r="536" spans="2:9" s="2" customFormat="1" x14ac:dyDescent="0.25">
      <c r="B536" s="12">
        <v>42906.012189004628</v>
      </c>
      <c r="C536" s="2" t="s">
        <v>46</v>
      </c>
      <c r="D536" s="6" t="s">
        <v>11</v>
      </c>
      <c r="E536" s="9">
        <v>7.1799999999999997E-5</v>
      </c>
      <c r="F536" s="9">
        <v>7.1950000000000001E-5</v>
      </c>
      <c r="G536" s="2" t="s">
        <v>250</v>
      </c>
      <c r="H536" s="5">
        <v>-2.0937499999998984E-7</v>
      </c>
      <c r="I536" s="6">
        <v>-2.9160863509747892E-3</v>
      </c>
    </row>
    <row r="537" spans="2:9" s="2" customFormat="1" x14ac:dyDescent="0.25">
      <c r="B537" s="12">
        <v>42906.012189004628</v>
      </c>
      <c r="C537" s="2" t="s">
        <v>80</v>
      </c>
      <c r="D537" s="6" t="s">
        <v>86</v>
      </c>
      <c r="E537" s="9">
        <v>1.261E-2</v>
      </c>
      <c r="F537" s="9">
        <v>1.26049E-2</v>
      </c>
      <c r="G537" s="2" t="s">
        <v>250</v>
      </c>
      <c r="H537" s="5">
        <v>-6.9398249999999898E-5</v>
      </c>
      <c r="I537" s="6">
        <v>-5.5034298176050676E-3</v>
      </c>
    </row>
    <row r="538" spans="2:9" s="2" customFormat="1" x14ac:dyDescent="0.25">
      <c r="B538" s="12">
        <v>42906.012189004628</v>
      </c>
      <c r="C538" s="2" t="s">
        <v>25</v>
      </c>
      <c r="D538" s="6" t="s">
        <v>251</v>
      </c>
      <c r="E538" s="4">
        <v>1.9400000000000001E-3</v>
      </c>
      <c r="F538" s="4">
        <v>1.86001E-3</v>
      </c>
      <c r="G538" s="2" t="s">
        <v>87</v>
      </c>
      <c r="H538" s="5">
        <v>-8.759001999999994E-5</v>
      </c>
      <c r="I538" s="6">
        <v>-4.5149494845360794E-2</v>
      </c>
    </row>
    <row r="539" spans="2:9" s="2" customFormat="1" x14ac:dyDescent="0.25">
      <c r="B539" s="12">
        <v>42906.012189004628</v>
      </c>
      <c r="C539" s="2" t="s">
        <v>70</v>
      </c>
      <c r="D539" s="6" t="s">
        <v>72</v>
      </c>
      <c r="E539" s="4">
        <v>154030.93238700001</v>
      </c>
      <c r="F539" s="4">
        <v>156700.00765799999</v>
      </c>
      <c r="G539" s="2" t="s">
        <v>69</v>
      </c>
      <c r="H539" s="5">
        <v>2047.6133909099735</v>
      </c>
      <c r="I539" s="6">
        <v>1.3293520718068374E-2</v>
      </c>
    </row>
    <row r="540" spans="2:9" s="2" customFormat="1" x14ac:dyDescent="0.25">
      <c r="B540" s="12"/>
      <c r="D540" s="6"/>
      <c r="E540" s="4"/>
      <c r="F540" s="4"/>
      <c r="H540" s="5"/>
      <c r="I540" s="6"/>
    </row>
    <row r="541" spans="2:9" s="2" customFormat="1" x14ac:dyDescent="0.25">
      <c r="B541" s="12">
        <v>42906.000387268519</v>
      </c>
      <c r="C541" s="2" t="s">
        <v>6</v>
      </c>
      <c r="D541" s="6" t="s">
        <v>22</v>
      </c>
      <c r="E541" s="9">
        <v>1.8329999999999999E-2</v>
      </c>
      <c r="F541" s="9">
        <v>1.84E-2</v>
      </c>
      <c r="G541" s="2" t="s">
        <v>11</v>
      </c>
      <c r="H541" s="5">
        <v>-1.2660000000001143E-5</v>
      </c>
      <c r="I541" s="6">
        <v>-6.906710310966254E-4</v>
      </c>
    </row>
    <row r="542" spans="2:9" s="2" customFormat="1" x14ac:dyDescent="0.25">
      <c r="B542" s="12">
        <v>42906.000387268519</v>
      </c>
      <c r="C542" s="2" t="s">
        <v>35</v>
      </c>
      <c r="D542" s="6" t="s">
        <v>250</v>
      </c>
      <c r="E542" s="9">
        <v>1.19E-6</v>
      </c>
      <c r="F542" s="9">
        <v>1.19E-6</v>
      </c>
      <c r="G542" s="2" t="s">
        <v>72</v>
      </c>
      <c r="H542" s="5">
        <v>-5.3550000000000106E-9</v>
      </c>
      <c r="I542" s="6">
        <v>-4.5000000000000083E-3</v>
      </c>
    </row>
    <row r="543" spans="2:9" s="2" customFormat="1" x14ac:dyDescent="0.25">
      <c r="B543" s="12">
        <v>42906.000387268519</v>
      </c>
      <c r="C543" s="2" t="s">
        <v>4</v>
      </c>
      <c r="D543" s="6" t="s">
        <v>0</v>
      </c>
      <c r="E543" s="9">
        <v>0.13852999999999999</v>
      </c>
      <c r="F543" s="9">
        <v>0.13920001000000001</v>
      </c>
      <c r="G543" s="2" t="s">
        <v>69</v>
      </c>
      <c r="H543" s="5">
        <v>1.1454998000001715E-4</v>
      </c>
      <c r="I543" s="6">
        <v>8.2689655670264322E-4</v>
      </c>
    </row>
    <row r="544" spans="2:9" s="2" customFormat="1" x14ac:dyDescent="0.25">
      <c r="B544" s="12">
        <v>42906.000387268519</v>
      </c>
      <c r="C544" s="2" t="s">
        <v>33</v>
      </c>
      <c r="D544" s="6" t="s">
        <v>250</v>
      </c>
      <c r="E544" s="9">
        <v>7.6309979999999999E-2</v>
      </c>
      <c r="F544" s="9">
        <v>7.6320009999999994E-2</v>
      </c>
      <c r="G544" s="2" t="s">
        <v>72</v>
      </c>
      <c r="H544" s="5">
        <v>-3.33384970000003E-4</v>
      </c>
      <c r="I544" s="6">
        <v>-4.368825283403337E-3</v>
      </c>
    </row>
    <row r="545" spans="2:9" s="2" customFormat="1" x14ac:dyDescent="0.25">
      <c r="B545" s="12">
        <v>42906.000387268519</v>
      </c>
      <c r="C545" s="2" t="s">
        <v>8</v>
      </c>
      <c r="D545" s="6" t="s">
        <v>11</v>
      </c>
      <c r="E545" s="9">
        <v>1.9599999999999999E-2</v>
      </c>
      <c r="F545" s="9">
        <v>1.959996E-2</v>
      </c>
      <c r="G545" s="2" t="s">
        <v>11</v>
      </c>
      <c r="H545" s="5">
        <v>-9.8039899999999292E-5</v>
      </c>
      <c r="I545" s="6">
        <v>-5.0020357142856785E-3</v>
      </c>
    </row>
    <row r="546" spans="2:9" s="2" customFormat="1" x14ac:dyDescent="0.25">
      <c r="B546" s="12">
        <v>42906.000387268519</v>
      </c>
      <c r="C546" s="2" t="s">
        <v>3</v>
      </c>
      <c r="D546" s="6" t="s">
        <v>11</v>
      </c>
      <c r="E546" s="9">
        <v>8.4115000000000006E-3</v>
      </c>
      <c r="F546" s="9">
        <v>8.4183000000000001E-3</v>
      </c>
      <c r="G546" s="2" t="s">
        <v>250</v>
      </c>
      <c r="H546" s="5">
        <v>-3.5274500000001541E-5</v>
      </c>
      <c r="I546" s="6">
        <v>-4.1936039945314795E-3</v>
      </c>
    </row>
    <row r="547" spans="2:9" s="2" customFormat="1" x14ac:dyDescent="0.25">
      <c r="B547" s="12">
        <v>42906.000387268519</v>
      </c>
      <c r="C547" s="2" t="s">
        <v>21</v>
      </c>
      <c r="D547" s="6" t="s">
        <v>250</v>
      </c>
      <c r="E547" s="9">
        <v>2568.7200640999999</v>
      </c>
      <c r="F547" s="9">
        <v>2564.3273232199999</v>
      </c>
      <c r="G547" s="2" t="s">
        <v>250</v>
      </c>
      <c r="H547" s="5">
        <v>-17.225359348299662</v>
      </c>
      <c r="I547" s="6">
        <v>-6.705814148080357E-3</v>
      </c>
    </row>
    <row r="548" spans="2:9" s="2" customFormat="1" x14ac:dyDescent="0.25">
      <c r="B548" s="12">
        <v>42906.000387268519</v>
      </c>
      <c r="C548" s="2" t="s">
        <v>50</v>
      </c>
      <c r="D548" s="6" t="s">
        <v>251</v>
      </c>
      <c r="E548" s="9">
        <v>2.158E-5</v>
      </c>
      <c r="F548" s="9">
        <v>2.1500000000000001E-5</v>
      </c>
      <c r="G548" s="2" t="s">
        <v>87</v>
      </c>
      <c r="H548" s="5">
        <v>-1.661599999999991E-7</v>
      </c>
      <c r="I548" s="6">
        <v>-7.6997219647821644E-3</v>
      </c>
    </row>
    <row r="549" spans="2:9" s="2" customFormat="1" x14ac:dyDescent="0.25">
      <c r="B549" s="12">
        <v>42906.000387268519</v>
      </c>
      <c r="C549" s="2" t="s">
        <v>10</v>
      </c>
      <c r="D549" s="6" t="s">
        <v>0</v>
      </c>
      <c r="E549" s="9">
        <v>0.15121999999999999</v>
      </c>
      <c r="F549" s="9">
        <v>0.151534</v>
      </c>
      <c r="G549" s="2" t="s">
        <v>86</v>
      </c>
      <c r="H549" s="5">
        <v>-3.8242839999996781E-4</v>
      </c>
      <c r="I549" s="6">
        <v>-2.5289538420841676E-3</v>
      </c>
    </row>
    <row r="550" spans="2:9" s="2" customFormat="1" x14ac:dyDescent="0.25">
      <c r="B550" s="12">
        <v>42906.000387268519</v>
      </c>
      <c r="C550" s="2" t="s">
        <v>46</v>
      </c>
      <c r="D550" s="6" t="s">
        <v>11</v>
      </c>
      <c r="E550" s="9">
        <v>7.1299999999999998E-5</v>
      </c>
      <c r="F550" s="9">
        <v>7.1169999999999998E-5</v>
      </c>
      <c r="G550" s="2" t="s">
        <v>11</v>
      </c>
      <c r="H550" s="5">
        <v>-4.8617500000000047E-7</v>
      </c>
      <c r="I550" s="6">
        <v>-6.8187237026648036E-3</v>
      </c>
    </row>
    <row r="551" spans="2:9" s="2" customFormat="1" x14ac:dyDescent="0.25">
      <c r="B551" s="12">
        <v>42906.000387268519</v>
      </c>
      <c r="C551" s="2" t="s">
        <v>80</v>
      </c>
      <c r="D551" s="6" t="s">
        <v>86</v>
      </c>
      <c r="E551" s="9">
        <v>1.2599000000000001E-2</v>
      </c>
      <c r="F551" s="9">
        <v>1.2604570000000001E-2</v>
      </c>
      <c r="G551" s="2" t="s">
        <v>250</v>
      </c>
      <c r="H551" s="5">
        <v>-5.8698824999999996E-5</v>
      </c>
      <c r="I551" s="6">
        <v>-4.6590066671958084E-3</v>
      </c>
    </row>
    <row r="552" spans="2:9" s="2" customFormat="1" x14ac:dyDescent="0.25">
      <c r="B552" s="12">
        <v>42906.000387268519</v>
      </c>
      <c r="C552" s="2" t="s">
        <v>25</v>
      </c>
      <c r="D552" s="6" t="s">
        <v>251</v>
      </c>
      <c r="E552" s="4">
        <v>1.9400000000000001E-3</v>
      </c>
      <c r="F552" s="4">
        <v>1.8607999999999999E-3</v>
      </c>
      <c r="G552" s="2" t="s">
        <v>87</v>
      </c>
      <c r="H552" s="5">
        <v>-8.6801600000000053E-5</v>
      </c>
      <c r="I552" s="6">
        <v>-4.4743092783505183E-2</v>
      </c>
    </row>
    <row r="553" spans="2:9" s="2" customFormat="1" x14ac:dyDescent="0.25">
      <c r="B553" s="12">
        <v>42906.000387268519</v>
      </c>
      <c r="C553" s="2" t="s">
        <v>70</v>
      </c>
      <c r="D553" s="6" t="s">
        <v>72</v>
      </c>
      <c r="E553" s="4">
        <v>154084.131176</v>
      </c>
      <c r="F553" s="4">
        <v>157000.03</v>
      </c>
      <c r="G553" s="2" t="s">
        <v>69</v>
      </c>
      <c r="H553" s="5">
        <v>2293.7305016480095</v>
      </c>
      <c r="I553" s="6">
        <v>1.488622146967253E-2</v>
      </c>
    </row>
    <row r="554" spans="2:9" s="2" customFormat="1" x14ac:dyDescent="0.25">
      <c r="B554" s="12"/>
      <c r="D554" s="6"/>
      <c r="E554" s="4"/>
      <c r="F554" s="4"/>
      <c r="H554" s="5"/>
      <c r="I554" s="6"/>
    </row>
    <row r="555" spans="2:9" s="2" customFormat="1" x14ac:dyDescent="0.25">
      <c r="B555" s="12"/>
      <c r="D555" s="6"/>
      <c r="E555" s="4"/>
      <c r="F555" s="4"/>
      <c r="H555" s="5"/>
      <c r="I555" s="6"/>
    </row>
    <row r="556" spans="2:9" s="2" customFormat="1" x14ac:dyDescent="0.25">
      <c r="B556" s="12">
        <v>42905.996901736115</v>
      </c>
      <c r="C556" s="2" t="s">
        <v>6</v>
      </c>
      <c r="D556" s="6" t="e">
        <v>#N/A</v>
      </c>
      <c r="E556" s="9">
        <v>0</v>
      </c>
      <c r="F556" s="9">
        <v>0</v>
      </c>
      <c r="G556" s="2" t="e">
        <v>#N/A</v>
      </c>
      <c r="H556" s="5" t="e">
        <v>#N/A</v>
      </c>
      <c r="I556" s="6" t="e">
        <v>#N/A</v>
      </c>
    </row>
    <row r="557" spans="2:9" s="2" customFormat="1" x14ac:dyDescent="0.25">
      <c r="B557" s="12">
        <v>42905.996901736115</v>
      </c>
      <c r="C557" s="2" t="s">
        <v>35</v>
      </c>
      <c r="D557" s="6" t="e">
        <v>#N/A</v>
      </c>
      <c r="E557" s="9">
        <v>0</v>
      </c>
      <c r="F557" s="9">
        <v>0</v>
      </c>
      <c r="G557" s="2" t="e">
        <v>#N/A</v>
      </c>
      <c r="H557" s="5" t="e">
        <v>#N/A</v>
      </c>
      <c r="I557" s="6" t="e">
        <v>#N/A</v>
      </c>
    </row>
    <row r="558" spans="2:9" s="2" customFormat="1" x14ac:dyDescent="0.25">
      <c r="B558" s="12">
        <v>42905.996901736115</v>
      </c>
      <c r="C558" s="2" t="s">
        <v>4</v>
      </c>
      <c r="D558" s="6" t="e">
        <v>#N/A</v>
      </c>
      <c r="E558" s="9">
        <v>0</v>
      </c>
      <c r="F558" s="9">
        <v>0</v>
      </c>
      <c r="G558" s="2" t="e">
        <v>#N/A</v>
      </c>
      <c r="H558" s="5" t="e">
        <v>#N/A</v>
      </c>
      <c r="I558" s="6" t="e">
        <v>#N/A</v>
      </c>
    </row>
    <row r="559" spans="2:9" s="2" customFormat="1" x14ac:dyDescent="0.25">
      <c r="B559" s="12">
        <v>42905.996901736115</v>
      </c>
      <c r="C559" s="2" t="s">
        <v>33</v>
      </c>
      <c r="D559" s="6" t="e">
        <v>#N/A</v>
      </c>
      <c r="E559" s="9">
        <v>0</v>
      </c>
      <c r="F559" s="9">
        <v>0</v>
      </c>
      <c r="G559" s="2" t="e">
        <v>#N/A</v>
      </c>
      <c r="H559" s="5" t="e">
        <v>#N/A</v>
      </c>
      <c r="I559" s="6" t="e">
        <v>#N/A</v>
      </c>
    </row>
    <row r="560" spans="2:9" s="2" customFormat="1" x14ac:dyDescent="0.25">
      <c r="B560" s="12">
        <v>42905.996901736115</v>
      </c>
      <c r="C560" s="2" t="s">
        <v>8</v>
      </c>
      <c r="D560" s="6" t="e">
        <v>#N/A</v>
      </c>
      <c r="E560" s="9">
        <v>0</v>
      </c>
      <c r="F560" s="9">
        <v>0</v>
      </c>
      <c r="G560" s="2" t="e">
        <v>#N/A</v>
      </c>
      <c r="H560" s="5" t="e">
        <v>#N/A</v>
      </c>
      <c r="I560" s="6" t="e">
        <v>#N/A</v>
      </c>
    </row>
    <row r="561" spans="2:9" s="2" customFormat="1" x14ac:dyDescent="0.25">
      <c r="B561" s="12">
        <v>42905.996901736115</v>
      </c>
      <c r="C561" s="2" t="s">
        <v>3</v>
      </c>
      <c r="D561" s="6" t="e">
        <v>#N/A</v>
      </c>
      <c r="E561" s="9">
        <v>0</v>
      </c>
      <c r="F561" s="9">
        <v>0</v>
      </c>
      <c r="G561" s="2" t="e">
        <v>#N/A</v>
      </c>
      <c r="H561" s="5" t="e">
        <v>#N/A</v>
      </c>
      <c r="I561" s="6" t="e">
        <v>#N/A</v>
      </c>
    </row>
    <row r="562" spans="2:9" s="2" customFormat="1" x14ac:dyDescent="0.25">
      <c r="B562" s="12">
        <v>42905.996901736115</v>
      </c>
      <c r="C562" s="2" t="s">
        <v>21</v>
      </c>
      <c r="D562" s="6" t="e">
        <v>#N/A</v>
      </c>
      <c r="E562" s="9">
        <v>0</v>
      </c>
      <c r="F562" s="9">
        <v>0</v>
      </c>
      <c r="G562" s="2" t="e">
        <v>#N/A</v>
      </c>
      <c r="H562" s="5" t="e">
        <v>#N/A</v>
      </c>
      <c r="I562" s="6" t="e">
        <v>#N/A</v>
      </c>
    </row>
    <row r="563" spans="2:9" s="2" customFormat="1" x14ac:dyDescent="0.25">
      <c r="B563" s="12">
        <v>42905.996901736115</v>
      </c>
      <c r="C563" s="2" t="s">
        <v>50</v>
      </c>
      <c r="D563" s="6" t="e">
        <v>#N/A</v>
      </c>
      <c r="E563" s="9">
        <v>0</v>
      </c>
      <c r="F563" s="9">
        <v>0</v>
      </c>
      <c r="G563" s="2" t="e">
        <v>#N/A</v>
      </c>
      <c r="H563" s="5" t="e">
        <v>#N/A</v>
      </c>
      <c r="I563" s="6" t="e">
        <v>#N/A</v>
      </c>
    </row>
    <row r="564" spans="2:9" s="2" customFormat="1" x14ac:dyDescent="0.25">
      <c r="B564" s="12">
        <v>42905.996901736115</v>
      </c>
      <c r="C564" s="2" t="s">
        <v>10</v>
      </c>
      <c r="D564" s="6" t="e">
        <v>#N/A</v>
      </c>
      <c r="E564" s="9">
        <v>0</v>
      </c>
      <c r="F564" s="9">
        <v>0</v>
      </c>
      <c r="G564" s="2" t="e">
        <v>#N/A</v>
      </c>
      <c r="H564" s="5" t="e">
        <v>#N/A</v>
      </c>
      <c r="I564" s="6" t="e">
        <v>#N/A</v>
      </c>
    </row>
    <row r="565" spans="2:9" s="2" customFormat="1" x14ac:dyDescent="0.25">
      <c r="B565" s="12">
        <v>42905.996901736115</v>
      </c>
      <c r="C565" s="2" t="s">
        <v>46</v>
      </c>
      <c r="D565" s="6" t="e">
        <v>#N/A</v>
      </c>
      <c r="E565" s="9">
        <v>0</v>
      </c>
      <c r="F565" s="9">
        <v>0</v>
      </c>
      <c r="G565" s="2" t="e">
        <v>#N/A</v>
      </c>
      <c r="H565" s="5" t="e">
        <v>#N/A</v>
      </c>
      <c r="I565" s="6" t="e">
        <v>#N/A</v>
      </c>
    </row>
    <row r="566" spans="2:9" s="2" customFormat="1" x14ac:dyDescent="0.25">
      <c r="B566" s="12">
        <v>42905.996901736115</v>
      </c>
      <c r="C566" s="2" t="s">
        <v>80</v>
      </c>
      <c r="D566" s="6" t="e">
        <v>#N/A</v>
      </c>
      <c r="E566" s="9">
        <v>0</v>
      </c>
      <c r="F566" s="9">
        <v>0</v>
      </c>
      <c r="G566" s="2" t="e">
        <v>#N/A</v>
      </c>
      <c r="H566" s="5" t="e">
        <v>#N/A</v>
      </c>
      <c r="I566" s="6" t="e">
        <v>#N/A</v>
      </c>
    </row>
    <row r="567" spans="2:9" s="2" customFormat="1" x14ac:dyDescent="0.25">
      <c r="B567" s="12">
        <v>42905.996901736115</v>
      </c>
      <c r="C567" s="2" t="s">
        <v>25</v>
      </c>
      <c r="D567" s="6" t="e">
        <v>#N/A</v>
      </c>
      <c r="E567" s="4">
        <v>0</v>
      </c>
      <c r="F567" s="4">
        <v>0</v>
      </c>
      <c r="G567" s="2" t="e">
        <v>#N/A</v>
      </c>
      <c r="H567" s="5" t="e">
        <v>#N/A</v>
      </c>
      <c r="I567" s="6" t="e">
        <v>#N/A</v>
      </c>
    </row>
    <row r="568" spans="2:9" s="2" customFormat="1" x14ac:dyDescent="0.25">
      <c r="B568" s="12">
        <v>42905.996901736115</v>
      </c>
      <c r="C568" s="2" t="s">
        <v>70</v>
      </c>
      <c r="D568" s="6" t="e">
        <v>#N/A</v>
      </c>
      <c r="E568" s="4">
        <v>0</v>
      </c>
      <c r="F568" s="4">
        <v>0</v>
      </c>
      <c r="G568" s="2" t="e">
        <v>#N/A</v>
      </c>
      <c r="H568" s="5" t="e">
        <v>#N/A</v>
      </c>
      <c r="I568" s="6" t="e">
        <v>#N/A</v>
      </c>
    </row>
    <row r="569" spans="2:9" s="2" customFormat="1" x14ac:dyDescent="0.25">
      <c r="B569" s="12"/>
      <c r="D569" s="6"/>
      <c r="E569" s="9"/>
      <c r="F569" s="9"/>
      <c r="H569" s="5"/>
      <c r="I569" s="6"/>
    </row>
    <row r="570" spans="2:9" s="2" customFormat="1" x14ac:dyDescent="0.25">
      <c r="B570" s="12"/>
      <c r="D570" s="6"/>
      <c r="E570" s="4"/>
      <c r="F570" s="4"/>
      <c r="H570" s="5"/>
      <c r="I570" s="6"/>
    </row>
    <row r="571" spans="2:9" s="2" customFormat="1" x14ac:dyDescent="0.25">
      <c r="B571" s="12">
        <v>42905.993416550926</v>
      </c>
      <c r="C571" s="2" t="s">
        <v>6</v>
      </c>
      <c r="D571" s="6" t="s">
        <v>11</v>
      </c>
      <c r="E571" s="9">
        <v>1.816684E-2</v>
      </c>
      <c r="F571" s="9">
        <v>1.8164E-2</v>
      </c>
      <c r="G571" s="2" t="s">
        <v>11</v>
      </c>
      <c r="H571" s="5">
        <v>-9.3667100000000003E-5</v>
      </c>
      <c r="I571" s="6">
        <v>-5.1559379616928427E-3</v>
      </c>
    </row>
    <row r="572" spans="2:9" s="2" customFormat="1" x14ac:dyDescent="0.25">
      <c r="B572" s="12">
        <v>42905.993416550926</v>
      </c>
      <c r="C572" s="2" t="s">
        <v>35</v>
      </c>
      <c r="D572" s="6" t="e">
        <v>#N/A</v>
      </c>
      <c r="E572" s="9">
        <v>0</v>
      </c>
      <c r="F572" s="9">
        <v>1.1799999999999999E-6</v>
      </c>
      <c r="G572" s="2" t="s">
        <v>11</v>
      </c>
      <c r="H572" s="5" t="e">
        <v>#N/A</v>
      </c>
      <c r="I572" s="6" t="e">
        <v>#N/A</v>
      </c>
    </row>
    <row r="573" spans="2:9" s="2" customFormat="1" x14ac:dyDescent="0.25">
      <c r="B573" s="12">
        <v>42905.993416550926</v>
      </c>
      <c r="C573" s="2" t="s">
        <v>4</v>
      </c>
      <c r="D573" s="6" t="e">
        <v>#N/A</v>
      </c>
      <c r="E573" s="9">
        <v>0</v>
      </c>
      <c r="F573" s="9">
        <v>0.13880001</v>
      </c>
      <c r="G573" s="2" t="s">
        <v>11</v>
      </c>
      <c r="H573" s="5" t="e">
        <v>#N/A</v>
      </c>
      <c r="I573" s="6" t="e">
        <v>#N/A</v>
      </c>
    </row>
    <row r="574" spans="2:9" s="2" customFormat="1" x14ac:dyDescent="0.25">
      <c r="B574" s="12">
        <v>42905.993416550926</v>
      </c>
      <c r="C574" s="2" t="s">
        <v>33</v>
      </c>
      <c r="D574" s="6" t="e">
        <v>#N/A</v>
      </c>
      <c r="E574" s="9">
        <v>0</v>
      </c>
      <c r="F574" s="9">
        <v>7.6055330000000004E-2</v>
      </c>
      <c r="G574" s="2" t="s">
        <v>11</v>
      </c>
      <c r="H574" s="5" t="e">
        <v>#N/A</v>
      </c>
      <c r="I574" s="6" t="e">
        <v>#N/A</v>
      </c>
    </row>
    <row r="575" spans="2:9" s="2" customFormat="1" x14ac:dyDescent="0.25">
      <c r="B575" s="12">
        <v>42905.993416550926</v>
      </c>
      <c r="C575" s="2" t="s">
        <v>8</v>
      </c>
      <c r="D575" s="6" t="s">
        <v>0</v>
      </c>
      <c r="E575" s="9">
        <v>1.9633999999999999E-2</v>
      </c>
      <c r="F575" s="9">
        <v>1.9599999999999999E-2</v>
      </c>
      <c r="G575" s="2" t="s">
        <v>11</v>
      </c>
      <c r="H575" s="5">
        <v>-1.2226799999999829E-4</v>
      </c>
      <c r="I575" s="6">
        <v>-6.227360700825013E-3</v>
      </c>
    </row>
    <row r="576" spans="2:9" s="2" customFormat="1" x14ac:dyDescent="0.25">
      <c r="B576" s="12">
        <v>42905.993416550926</v>
      </c>
      <c r="C576" s="2" t="s">
        <v>3</v>
      </c>
      <c r="D576" s="6" t="e">
        <v>#N/A</v>
      </c>
      <c r="E576" s="9">
        <v>0</v>
      </c>
      <c r="F576" s="9">
        <v>0</v>
      </c>
      <c r="G576" s="2" t="e">
        <v>#N/A</v>
      </c>
      <c r="H576" s="5" t="e">
        <v>#N/A</v>
      </c>
      <c r="I576" s="6" t="e">
        <v>#N/A</v>
      </c>
    </row>
    <row r="577" spans="2:9" s="2" customFormat="1" x14ac:dyDescent="0.25">
      <c r="B577" s="12">
        <v>42905.993416550926</v>
      </c>
      <c r="C577" s="2" t="s">
        <v>21</v>
      </c>
      <c r="D577" s="6" t="e">
        <v>#N/A</v>
      </c>
      <c r="E577" s="9">
        <v>0</v>
      </c>
      <c r="F577" s="9">
        <v>0</v>
      </c>
      <c r="G577" s="2" t="e">
        <v>#N/A</v>
      </c>
      <c r="H577" s="5" t="e">
        <v>#N/A</v>
      </c>
      <c r="I577" s="6" t="e">
        <v>#N/A</v>
      </c>
    </row>
    <row r="578" spans="2:9" s="2" customFormat="1" x14ac:dyDescent="0.25">
      <c r="B578" s="12">
        <v>42905.993416550926</v>
      </c>
      <c r="C578" s="2" t="s">
        <v>50</v>
      </c>
      <c r="D578" s="6" t="e">
        <v>#N/A</v>
      </c>
      <c r="E578" s="9">
        <v>0</v>
      </c>
      <c r="F578" s="9">
        <v>0</v>
      </c>
      <c r="G578" s="2" t="e">
        <v>#N/A</v>
      </c>
      <c r="H578" s="5" t="e">
        <v>#N/A</v>
      </c>
      <c r="I578" s="6" t="e">
        <v>#N/A</v>
      </c>
    </row>
    <row r="579" spans="2:9" s="2" customFormat="1" x14ac:dyDescent="0.25">
      <c r="B579" s="12">
        <v>42905.993416550926</v>
      </c>
      <c r="C579" s="2" t="s">
        <v>10</v>
      </c>
      <c r="D579" s="6" t="e">
        <v>#N/A</v>
      </c>
      <c r="E579" s="9">
        <v>0</v>
      </c>
      <c r="F579" s="9">
        <v>0</v>
      </c>
      <c r="G579" s="2" t="e">
        <v>#N/A</v>
      </c>
      <c r="H579" s="5" t="e">
        <v>#N/A</v>
      </c>
      <c r="I579" s="6" t="e">
        <v>#N/A</v>
      </c>
    </row>
    <row r="580" spans="2:9" s="2" customFormat="1" x14ac:dyDescent="0.25">
      <c r="B580" s="12">
        <v>42905.993416550926</v>
      </c>
      <c r="C580" s="2" t="s">
        <v>46</v>
      </c>
      <c r="D580" s="6" t="e">
        <v>#N/A</v>
      </c>
      <c r="E580" s="9">
        <v>0</v>
      </c>
      <c r="F580" s="9">
        <v>0</v>
      </c>
      <c r="G580" s="2" t="e">
        <v>#N/A</v>
      </c>
      <c r="H580" s="5" t="e">
        <v>#N/A</v>
      </c>
      <c r="I580" s="6" t="e">
        <v>#N/A</v>
      </c>
    </row>
    <row r="581" spans="2:9" s="2" customFormat="1" x14ac:dyDescent="0.25">
      <c r="B581" s="12">
        <v>42905.993416550926</v>
      </c>
      <c r="C581" s="2" t="s">
        <v>80</v>
      </c>
      <c r="D581" s="6" t="e">
        <v>#N/A</v>
      </c>
      <c r="E581" s="9">
        <v>0</v>
      </c>
      <c r="F581" s="9">
        <v>0</v>
      </c>
      <c r="G581" s="2" t="e">
        <v>#N/A</v>
      </c>
      <c r="H581" s="5" t="e">
        <v>#N/A</v>
      </c>
      <c r="I581" s="6" t="e">
        <v>#N/A</v>
      </c>
    </row>
    <row r="582" spans="2:9" s="2" customFormat="1" x14ac:dyDescent="0.25">
      <c r="B582" s="12">
        <v>42905.993416550926</v>
      </c>
      <c r="C582" s="2" t="s">
        <v>25</v>
      </c>
      <c r="D582" s="6" t="e">
        <v>#N/A</v>
      </c>
      <c r="E582" s="4">
        <v>0</v>
      </c>
      <c r="F582" s="4">
        <v>0</v>
      </c>
      <c r="G582" s="2" t="e">
        <v>#N/A</v>
      </c>
      <c r="H582" s="5" t="e">
        <v>#N/A</v>
      </c>
      <c r="I582" s="6" t="e">
        <v>#N/A</v>
      </c>
    </row>
    <row r="583" spans="2:9" s="2" customFormat="1" x14ac:dyDescent="0.25">
      <c r="B583" s="12">
        <v>42905.993416550926</v>
      </c>
      <c r="C583" s="2" t="s">
        <v>70</v>
      </c>
      <c r="D583" s="6" t="e">
        <v>#N/A</v>
      </c>
      <c r="E583" s="4">
        <v>0</v>
      </c>
      <c r="F583" s="4">
        <v>0</v>
      </c>
      <c r="G583" s="2" t="e">
        <v>#N/A</v>
      </c>
      <c r="H583" s="5" t="e">
        <v>#N/A</v>
      </c>
      <c r="I583" s="6" t="e">
        <v>#N/A</v>
      </c>
    </row>
    <row r="584" spans="2:9" s="2" customFormat="1" x14ac:dyDescent="0.25">
      <c r="B584" s="12">
        <v>42905.993416550926</v>
      </c>
      <c r="C584" s="2" t="s">
        <v>2</v>
      </c>
      <c r="D584" s="6" t="e">
        <v>#N/A</v>
      </c>
      <c r="E584" s="9">
        <v>0</v>
      </c>
      <c r="F584" s="9">
        <v>0</v>
      </c>
      <c r="G584" s="2" t="e">
        <v>#N/A</v>
      </c>
      <c r="H584" s="5" t="e">
        <v>#N/A</v>
      </c>
      <c r="I584" s="6" t="e">
        <v>#N/A</v>
      </c>
    </row>
    <row r="585" spans="2:9" s="2" customFormat="1" x14ac:dyDescent="0.25">
      <c r="B585" s="12"/>
      <c r="D585" s="6"/>
      <c r="E585" s="4"/>
      <c r="F585" s="4"/>
      <c r="H585" s="5"/>
      <c r="I585" s="6"/>
    </row>
    <row r="586" spans="2:9" s="2" customFormat="1" x14ac:dyDescent="0.25">
      <c r="B586" s="12">
        <v>42905.989919560183</v>
      </c>
      <c r="C586" s="2" t="s">
        <v>6</v>
      </c>
      <c r="D586" s="6" t="s">
        <v>86</v>
      </c>
      <c r="E586" s="9">
        <v>1.8061000000000001E-2</v>
      </c>
      <c r="F586" s="9">
        <v>1.8140003286499999E-2</v>
      </c>
      <c r="G586" s="2" t="s">
        <v>72</v>
      </c>
      <c r="H586" s="5">
        <v>-4.235320073001092E-6</v>
      </c>
      <c r="I586" s="6">
        <v>-2.3450086224467592E-4</v>
      </c>
    </row>
    <row r="587" spans="2:9" s="2" customFormat="1" x14ac:dyDescent="0.25">
      <c r="B587" s="12">
        <v>42905.989919560183</v>
      </c>
      <c r="C587" s="2" t="s">
        <v>35</v>
      </c>
      <c r="D587" s="6" t="s">
        <v>250</v>
      </c>
      <c r="E587" s="9">
        <v>1.19E-6</v>
      </c>
      <c r="F587" s="9">
        <v>1.19E-6</v>
      </c>
      <c r="G587" s="2" t="s">
        <v>72</v>
      </c>
      <c r="H587" s="5">
        <v>-5.3550000000000106E-9</v>
      </c>
      <c r="I587" s="6">
        <v>-4.5000000000000083E-3</v>
      </c>
    </row>
    <row r="588" spans="2:9" s="2" customFormat="1" x14ac:dyDescent="0.25">
      <c r="B588" s="12">
        <v>42905.989919560183</v>
      </c>
      <c r="C588" s="2" t="s">
        <v>4</v>
      </c>
      <c r="D588" s="6" t="s">
        <v>11</v>
      </c>
      <c r="E588" s="9">
        <v>0.138516</v>
      </c>
      <c r="F588" s="9">
        <v>0.13910131000000001</v>
      </c>
      <c r="G588" s="2" t="s">
        <v>69</v>
      </c>
      <c r="H588" s="5">
        <v>-3.9182619999994506E-5</v>
      </c>
      <c r="I588" s="6">
        <v>-2.8287432498768738E-4</v>
      </c>
    </row>
    <row r="589" spans="2:9" s="2" customFormat="1" x14ac:dyDescent="0.25">
      <c r="B589" s="12">
        <v>42905.989919560183</v>
      </c>
      <c r="C589" s="2" t="s">
        <v>33</v>
      </c>
      <c r="D589" s="6" t="s">
        <v>251</v>
      </c>
      <c r="E589" s="9">
        <v>7.6424179999999994E-2</v>
      </c>
      <c r="F589" s="9">
        <v>7.658732E-2</v>
      </c>
      <c r="G589" s="2" t="s">
        <v>11</v>
      </c>
      <c r="H589" s="5">
        <v>-1.8117665999999033E-4</v>
      </c>
      <c r="I589" s="6">
        <v>-2.3706719522537285E-3</v>
      </c>
    </row>
    <row r="590" spans="2:9" s="2" customFormat="1" x14ac:dyDescent="0.25">
      <c r="B590" s="12">
        <v>42905.989919560183</v>
      </c>
      <c r="C590" s="2" t="s">
        <v>8</v>
      </c>
      <c r="D590" s="6" t="s">
        <v>87</v>
      </c>
      <c r="E590" s="9">
        <v>1.95E-2</v>
      </c>
      <c r="F590" s="9">
        <v>1.9618831056499999E-2</v>
      </c>
      <c r="G590" s="2" t="s">
        <v>250</v>
      </c>
      <c r="H590" s="5">
        <v>3.0783978858747035E-5</v>
      </c>
      <c r="I590" s="6">
        <v>1.578665582499848E-3</v>
      </c>
    </row>
    <row r="591" spans="2:9" s="2" customFormat="1" x14ac:dyDescent="0.25">
      <c r="B591" s="12">
        <v>42905.989919560183</v>
      </c>
      <c r="C591" s="2" t="s">
        <v>3</v>
      </c>
      <c r="D591" s="6" t="s">
        <v>250</v>
      </c>
      <c r="E591" s="9">
        <v>8.4183000000000001E-3</v>
      </c>
      <c r="F591" s="9">
        <v>8.4051100000000004E-3</v>
      </c>
      <c r="G591" s="2" t="s">
        <v>250</v>
      </c>
      <c r="H591" s="5">
        <v>-5.5248525000000867E-5</v>
      </c>
      <c r="I591" s="6">
        <v>-6.5629075941699474E-3</v>
      </c>
    </row>
    <row r="592" spans="2:9" s="2" customFormat="1" x14ac:dyDescent="0.25">
      <c r="B592" s="12">
        <v>42905.989919560183</v>
      </c>
      <c r="C592" s="2" t="s">
        <v>21</v>
      </c>
      <c r="D592" s="6" t="s">
        <v>250</v>
      </c>
      <c r="E592" s="9">
        <v>2565</v>
      </c>
      <c r="F592" s="9">
        <v>2560</v>
      </c>
      <c r="G592" s="2" t="s">
        <v>250</v>
      </c>
      <c r="H592" s="5">
        <v>-17.8125</v>
      </c>
      <c r="I592" s="6">
        <v>-6.9444444444444441E-3</v>
      </c>
    </row>
    <row r="593" spans="2:9" s="2" customFormat="1" x14ac:dyDescent="0.25">
      <c r="B593" s="12">
        <v>42905.989919560183</v>
      </c>
      <c r="C593" s="2" t="s">
        <v>50</v>
      </c>
      <c r="D593" s="6" t="s">
        <v>251</v>
      </c>
      <c r="E593" s="9">
        <v>2.158E-5</v>
      </c>
      <c r="F593" s="9">
        <v>2.1509999999999999E-5</v>
      </c>
      <c r="G593" s="2" t="s">
        <v>87</v>
      </c>
      <c r="H593" s="5">
        <v>-1.5618000000000229E-7</v>
      </c>
      <c r="I593" s="6">
        <v>-7.2372567191845358E-3</v>
      </c>
    </row>
    <row r="594" spans="2:9" s="2" customFormat="1" x14ac:dyDescent="0.25">
      <c r="B594" s="12">
        <v>42905.989919560183</v>
      </c>
      <c r="C594" s="2" t="s">
        <v>10</v>
      </c>
      <c r="D594" s="6" t="s">
        <v>250</v>
      </c>
      <c r="E594" s="9">
        <v>0.15105686858100001</v>
      </c>
      <c r="F594" s="9">
        <v>0.151</v>
      </c>
      <c r="G594" s="2" t="s">
        <v>250</v>
      </c>
      <c r="H594" s="5">
        <v>-8.1201075245251886E-4</v>
      </c>
      <c r="I594" s="6">
        <v>-5.3755301568236919E-3</v>
      </c>
    </row>
    <row r="595" spans="2:9" s="2" customFormat="1" x14ac:dyDescent="0.25">
      <c r="B595" s="12">
        <v>42905.989919560183</v>
      </c>
      <c r="C595" s="2" t="s">
        <v>46</v>
      </c>
      <c r="D595" s="6" t="s">
        <v>11</v>
      </c>
      <c r="E595" s="9">
        <v>7.1359999999999994E-5</v>
      </c>
      <c r="F595" s="9">
        <v>7.1489999999999995E-5</v>
      </c>
      <c r="G595" s="2" t="s">
        <v>250</v>
      </c>
      <c r="H595" s="5">
        <v>-2.2712499999999827E-7</v>
      </c>
      <c r="I595" s="6">
        <v>-3.1828054932735187E-3</v>
      </c>
    </row>
    <row r="596" spans="2:9" s="2" customFormat="1" x14ac:dyDescent="0.25">
      <c r="B596" s="12">
        <v>42905.989919560183</v>
      </c>
      <c r="C596" s="2" t="s">
        <v>80</v>
      </c>
      <c r="D596" s="6" t="s">
        <v>86</v>
      </c>
      <c r="E596" s="9">
        <v>1.2586E-2</v>
      </c>
      <c r="F596" s="9">
        <v>1.260467E-2</v>
      </c>
      <c r="G596" s="2" t="s">
        <v>250</v>
      </c>
      <c r="H596" s="5">
        <v>-4.556527499999935E-5</v>
      </c>
      <c r="I596" s="6">
        <v>-3.6203142380422174E-3</v>
      </c>
    </row>
    <row r="597" spans="2:9" s="2" customFormat="1" x14ac:dyDescent="0.25">
      <c r="B597" s="12">
        <v>42905.989919560183</v>
      </c>
      <c r="C597" s="2" t="s">
        <v>25</v>
      </c>
      <c r="D597" s="6" t="s">
        <v>251</v>
      </c>
      <c r="E597" s="4">
        <v>1.9400000000000001E-3</v>
      </c>
      <c r="F597" s="4">
        <v>1.86075E-3</v>
      </c>
      <c r="G597" s="2" t="s">
        <v>87</v>
      </c>
      <c r="H597" s="5">
        <v>-8.6851500000000156E-5</v>
      </c>
      <c r="I597" s="6">
        <v>-4.4768814432989766E-2</v>
      </c>
    </row>
    <row r="598" spans="2:9" s="2" customFormat="1" x14ac:dyDescent="0.25">
      <c r="B598" s="12">
        <v>42905.989919560183</v>
      </c>
      <c r="C598" s="2" t="s">
        <v>70</v>
      </c>
      <c r="D598" s="6" t="s">
        <v>72</v>
      </c>
      <c r="E598" s="4">
        <v>154099.907466</v>
      </c>
      <c r="F598" s="4">
        <v>157000.03</v>
      </c>
      <c r="G598" s="2" t="s">
        <v>69</v>
      </c>
      <c r="H598" s="5">
        <v>2277.92265906799</v>
      </c>
      <c r="I598" s="6">
        <v>1.4782115684077109E-2</v>
      </c>
    </row>
    <row r="599" spans="2:9" s="2" customFormat="1" x14ac:dyDescent="0.25">
      <c r="B599" s="12"/>
      <c r="D599" s="6"/>
      <c r="E599" s="4"/>
      <c r="F599" s="4"/>
      <c r="H599" s="5"/>
      <c r="I599" s="6"/>
    </row>
    <row r="600" spans="2:9" s="2" customFormat="1" x14ac:dyDescent="0.25">
      <c r="B600" s="12">
        <v>42905.986399768517</v>
      </c>
      <c r="C600" s="2" t="s">
        <v>6</v>
      </c>
      <c r="D600" s="6" t="s">
        <v>87</v>
      </c>
      <c r="E600" s="9">
        <v>1.8074908399999999E-2</v>
      </c>
      <c r="F600" s="9">
        <v>1.8180866E-2</v>
      </c>
      <c r="G600" s="2" t="s">
        <v>72</v>
      </c>
      <c r="H600" s="5">
        <v>3.3446051200002047E-5</v>
      </c>
      <c r="I600" s="6">
        <v>1.8504133166175297E-3</v>
      </c>
    </row>
    <row r="601" spans="2:9" s="2" customFormat="1" x14ac:dyDescent="0.25">
      <c r="B601" s="12">
        <v>42905.986399768517</v>
      </c>
      <c r="C601" s="2" t="s">
        <v>35</v>
      </c>
      <c r="D601" s="6" t="s">
        <v>250</v>
      </c>
      <c r="E601" s="9">
        <v>1.19E-6</v>
      </c>
      <c r="F601" s="9">
        <v>1.19E-6</v>
      </c>
      <c r="G601" s="2" t="s">
        <v>72</v>
      </c>
      <c r="H601" s="5">
        <v>-5.3550000000000106E-9</v>
      </c>
      <c r="I601" s="6">
        <v>-4.5000000000000083E-3</v>
      </c>
    </row>
    <row r="602" spans="2:9" s="2" customFormat="1" x14ac:dyDescent="0.25">
      <c r="B602" s="12">
        <v>42905.986399768517</v>
      </c>
      <c r="C602" s="2" t="s">
        <v>4</v>
      </c>
      <c r="D602" s="6" t="s">
        <v>11</v>
      </c>
      <c r="E602" s="9">
        <v>0.138516</v>
      </c>
      <c r="F602" s="9">
        <v>0.13905762999999999</v>
      </c>
      <c r="G602" s="2" t="s">
        <v>69</v>
      </c>
      <c r="H602" s="5">
        <v>-8.2775260000000905E-5</v>
      </c>
      <c r="I602" s="6">
        <v>-5.9758627162205741E-4</v>
      </c>
    </row>
    <row r="603" spans="2:9" s="2" customFormat="1" x14ac:dyDescent="0.25">
      <c r="B603" s="12">
        <v>42905.986399768517</v>
      </c>
      <c r="C603" s="2" t="s">
        <v>33</v>
      </c>
      <c r="D603" s="6" t="s">
        <v>72</v>
      </c>
      <c r="E603" s="9">
        <v>7.6700000000000004E-2</v>
      </c>
      <c r="F603" s="9">
        <v>7.6700009999999999E-2</v>
      </c>
      <c r="G603" s="2" t="s">
        <v>11</v>
      </c>
      <c r="H603" s="5">
        <v>-3.4514002500000973E-4</v>
      </c>
      <c r="I603" s="6">
        <v>-4.499869947848888E-3</v>
      </c>
    </row>
    <row r="604" spans="2:9" s="2" customFormat="1" x14ac:dyDescent="0.25">
      <c r="B604" s="12">
        <v>42905.986399768517</v>
      </c>
      <c r="C604" s="2" t="s">
        <v>8</v>
      </c>
      <c r="D604" s="6" t="s">
        <v>87</v>
      </c>
      <c r="E604" s="9">
        <v>1.95E-2</v>
      </c>
      <c r="F604" s="9">
        <v>1.9599950000000001E-2</v>
      </c>
      <c r="G604" s="2" t="s">
        <v>11</v>
      </c>
      <c r="H604" s="5">
        <v>1.1950125000000089E-5</v>
      </c>
      <c r="I604" s="6">
        <v>6.1282692307692763E-4</v>
      </c>
    </row>
    <row r="605" spans="2:9" s="2" customFormat="1" x14ac:dyDescent="0.25">
      <c r="B605" s="12">
        <v>42905.986399768517</v>
      </c>
      <c r="C605" s="2" t="s">
        <v>3</v>
      </c>
      <c r="D605" s="6" t="s">
        <v>11</v>
      </c>
      <c r="E605" s="9">
        <v>8.4005299999999998E-3</v>
      </c>
      <c r="F605" s="9">
        <v>8.4378100000000004E-3</v>
      </c>
      <c r="G605" s="2" t="s">
        <v>86</v>
      </c>
      <c r="H605" s="5">
        <v>-5.6596310000003869E-6</v>
      </c>
      <c r="I605" s="6">
        <v>-6.7372308651958705E-4</v>
      </c>
    </row>
    <row r="606" spans="2:9" s="2" customFormat="1" x14ac:dyDescent="0.25">
      <c r="B606" s="12">
        <v>42905.986399768517</v>
      </c>
      <c r="C606" s="2" t="s">
        <v>21</v>
      </c>
      <c r="D606" s="6" t="s">
        <v>250</v>
      </c>
      <c r="E606" s="9">
        <v>2561.1937208999998</v>
      </c>
      <c r="F606" s="9">
        <v>2560.0004005999999</v>
      </c>
      <c r="G606" s="2" t="s">
        <v>250</v>
      </c>
      <c r="H606" s="5">
        <v>-13.996305603749988</v>
      </c>
      <c r="I606" s="6">
        <v>-5.4647586746510166E-3</v>
      </c>
    </row>
    <row r="607" spans="2:9" s="2" customFormat="1" x14ac:dyDescent="0.25">
      <c r="B607" s="12">
        <v>42905.986399768517</v>
      </c>
      <c r="C607" s="2" t="s">
        <v>50</v>
      </c>
      <c r="D607" s="6" t="s">
        <v>251</v>
      </c>
      <c r="E607" s="9">
        <v>2.158E-5</v>
      </c>
      <c r="F607" s="9">
        <v>2.1509999999999999E-5</v>
      </c>
      <c r="G607" s="2" t="s">
        <v>87</v>
      </c>
      <c r="H607" s="5">
        <v>-1.5618000000000229E-7</v>
      </c>
      <c r="I607" s="6">
        <v>-7.2372567191845358E-3</v>
      </c>
    </row>
    <row r="608" spans="2:9" s="2" customFormat="1" x14ac:dyDescent="0.25">
      <c r="B608" s="12">
        <v>42905.986399768517</v>
      </c>
      <c r="C608" s="2" t="s">
        <v>10</v>
      </c>
      <c r="D608" s="6" t="s">
        <v>250</v>
      </c>
      <c r="E608" s="9">
        <v>0.150812</v>
      </c>
      <c r="F608" s="9">
        <v>0.1510002</v>
      </c>
      <c r="G608" s="2" t="s">
        <v>11</v>
      </c>
      <c r="H608" s="5">
        <v>-5.6633049999998963E-4</v>
      </c>
      <c r="I608" s="6">
        <v>-3.7552084714743499E-3</v>
      </c>
    </row>
    <row r="609" spans="2:9" s="2" customFormat="1" x14ac:dyDescent="0.25">
      <c r="B609" s="12">
        <v>42905.986399768517</v>
      </c>
      <c r="C609" s="2" t="s">
        <v>46</v>
      </c>
      <c r="D609" s="6" t="s">
        <v>11</v>
      </c>
      <c r="E609" s="9">
        <v>7.0599999999999995E-5</v>
      </c>
      <c r="F609" s="9">
        <v>7.0829999999999998E-5</v>
      </c>
      <c r="G609" s="2" t="s">
        <v>250</v>
      </c>
      <c r="H609" s="5">
        <v>-1.2357499999999144E-7</v>
      </c>
      <c r="I609" s="6">
        <v>-1.7503541076486042E-3</v>
      </c>
    </row>
    <row r="610" spans="2:9" s="2" customFormat="1" x14ac:dyDescent="0.25">
      <c r="B610" s="12">
        <v>42905.986399768517</v>
      </c>
      <c r="C610" s="2" t="s">
        <v>80</v>
      </c>
      <c r="D610" s="6" t="s">
        <v>86</v>
      </c>
      <c r="E610" s="9">
        <v>1.2588E-2</v>
      </c>
      <c r="F610" s="9">
        <v>1.260467E-2</v>
      </c>
      <c r="G610" s="2" t="s">
        <v>250</v>
      </c>
      <c r="H610" s="5">
        <v>-4.7570474999999654E-5</v>
      </c>
      <c r="I610" s="6">
        <v>-3.7790336034318121E-3</v>
      </c>
    </row>
    <row r="611" spans="2:9" s="2" customFormat="1" x14ac:dyDescent="0.25">
      <c r="B611" s="12">
        <v>42905.986399768517</v>
      </c>
      <c r="C611" s="2" t="s">
        <v>25</v>
      </c>
      <c r="D611" s="6" t="s">
        <v>251</v>
      </c>
      <c r="E611" s="4">
        <v>1.9400000000000001E-3</v>
      </c>
      <c r="F611" s="4">
        <v>1.86071E-3</v>
      </c>
      <c r="G611" s="2" t="s">
        <v>87</v>
      </c>
      <c r="H611" s="5">
        <v>-8.6891420000000021E-5</v>
      </c>
      <c r="I611" s="6">
        <v>-4.4789391752577332E-2</v>
      </c>
    </row>
    <row r="612" spans="2:9" s="2" customFormat="1" x14ac:dyDescent="0.25">
      <c r="B612" s="12">
        <v>42905.986399768517</v>
      </c>
      <c r="C612" s="2" t="s">
        <v>70</v>
      </c>
      <c r="D612" s="6" t="s">
        <v>72</v>
      </c>
      <c r="E612" s="4">
        <v>153710.626911</v>
      </c>
      <c r="F612" s="4">
        <v>156700.00765799999</v>
      </c>
      <c r="G612" s="2" t="s">
        <v>69</v>
      </c>
      <c r="H612" s="5">
        <v>2368.5594778619998</v>
      </c>
      <c r="I612" s="6">
        <v>1.5409210966483271E-2</v>
      </c>
    </row>
    <row r="613" spans="2:9" s="2" customFormat="1" x14ac:dyDescent="0.25">
      <c r="B613" s="12"/>
      <c r="D613" s="6"/>
      <c r="E613" s="4"/>
      <c r="F613" s="4"/>
      <c r="H613" s="5"/>
      <c r="I613" s="6"/>
    </row>
    <row r="614" spans="2:9" s="2" customFormat="1" x14ac:dyDescent="0.25">
      <c r="B614" s="12">
        <v>42905.981351851849</v>
      </c>
      <c r="C614" s="2" t="s">
        <v>6</v>
      </c>
      <c r="D614" s="6" t="s">
        <v>87</v>
      </c>
      <c r="E614" s="9">
        <v>1.807491E-2</v>
      </c>
      <c r="F614" s="9">
        <v>1.8178488E-2</v>
      </c>
      <c r="G614" s="2" t="s">
        <v>72</v>
      </c>
      <c r="H614" s="5">
        <v>3.1071203999998021E-5</v>
      </c>
      <c r="I614" s="6">
        <v>1.7190239951401154E-3</v>
      </c>
    </row>
    <row r="615" spans="2:9" s="2" customFormat="1" x14ac:dyDescent="0.25">
      <c r="B615" s="12">
        <v>42905.981351851849</v>
      </c>
      <c r="C615" s="2" t="s">
        <v>35</v>
      </c>
      <c r="D615" s="6" t="s">
        <v>250</v>
      </c>
      <c r="E615" s="9">
        <v>1.19E-6</v>
      </c>
      <c r="F615" s="9">
        <v>1.19E-6</v>
      </c>
      <c r="G615" s="2" t="s">
        <v>72</v>
      </c>
      <c r="H615" s="5">
        <v>-5.3550000000000106E-9</v>
      </c>
      <c r="I615" s="6">
        <v>-4.5000000000000083E-3</v>
      </c>
    </row>
    <row r="616" spans="2:9" s="2" customFormat="1" x14ac:dyDescent="0.25">
      <c r="B616" s="12">
        <v>42905.981351851849</v>
      </c>
      <c r="C616" s="2" t="s">
        <v>4</v>
      </c>
      <c r="D616" s="6" t="s">
        <v>11</v>
      </c>
      <c r="E616" s="9">
        <v>0.13815</v>
      </c>
      <c r="F616" s="9">
        <v>0.13905461</v>
      </c>
      <c r="G616" s="2" t="s">
        <v>69</v>
      </c>
      <c r="H616" s="5">
        <v>2.8112578000000221E-4</v>
      </c>
      <c r="I616" s="6">
        <v>2.0349314513210441E-3</v>
      </c>
    </row>
    <row r="617" spans="2:9" s="2" customFormat="1" x14ac:dyDescent="0.25">
      <c r="B617" s="12">
        <v>42905.981351851849</v>
      </c>
      <c r="C617" s="2" t="s">
        <v>33</v>
      </c>
      <c r="D617" s="6" t="s">
        <v>72</v>
      </c>
      <c r="E617" s="9">
        <v>7.6700000000000004E-2</v>
      </c>
      <c r="F617" s="9">
        <v>7.6700009999999999E-2</v>
      </c>
      <c r="G617" s="2" t="s">
        <v>11</v>
      </c>
      <c r="H617" s="5">
        <v>-3.4514002500000973E-4</v>
      </c>
      <c r="I617" s="6">
        <v>-4.499869947848888E-3</v>
      </c>
    </row>
    <row r="618" spans="2:9" s="2" customFormat="1" x14ac:dyDescent="0.25">
      <c r="B618" s="12">
        <v>42905.981351851849</v>
      </c>
      <c r="C618" s="2" t="s">
        <v>8</v>
      </c>
      <c r="D618" s="6" t="s">
        <v>87</v>
      </c>
      <c r="E618" s="9">
        <v>1.95E-2</v>
      </c>
      <c r="F618" s="9">
        <v>1.9618750000000001E-2</v>
      </c>
      <c r="G618" s="2" t="s">
        <v>250</v>
      </c>
      <c r="H618" s="5">
        <v>3.0703124999999915E-5</v>
      </c>
      <c r="I618" s="6">
        <v>1.5745192307692263E-3</v>
      </c>
    </row>
    <row r="619" spans="2:9" s="2" customFormat="1" x14ac:dyDescent="0.25">
      <c r="B619" s="12">
        <v>42905.981351851849</v>
      </c>
      <c r="C619" s="2" t="s">
        <v>3</v>
      </c>
      <c r="D619" s="6" t="s">
        <v>11</v>
      </c>
      <c r="E619" s="9">
        <v>8.42152E-3</v>
      </c>
      <c r="F619" s="9">
        <v>8.4499999999999992E-3</v>
      </c>
      <c r="G619" s="2" t="s">
        <v>0</v>
      </c>
      <c r="H619" s="5">
        <v>-9.4738000000014339E-6</v>
      </c>
      <c r="I619" s="6">
        <v>-1.1249513152021765E-3</v>
      </c>
    </row>
    <row r="620" spans="2:9" s="2" customFormat="1" x14ac:dyDescent="0.25">
      <c r="B620" s="12">
        <v>42905.981351851849</v>
      </c>
      <c r="C620" s="2" t="s">
        <v>21</v>
      </c>
      <c r="D620" s="6" t="s">
        <v>250</v>
      </c>
      <c r="E620" s="9">
        <v>2562.9569494000002</v>
      </c>
      <c r="F620" s="9">
        <v>2560</v>
      </c>
      <c r="G620" s="2" t="s">
        <v>250</v>
      </c>
      <c r="H620" s="5">
        <v>-15.764341773500291</v>
      </c>
      <c r="I620" s="6">
        <v>-6.1508414244690274E-3</v>
      </c>
    </row>
    <row r="621" spans="2:9" s="2" customFormat="1" x14ac:dyDescent="0.25">
      <c r="B621" s="12">
        <v>42905.981351851849</v>
      </c>
      <c r="C621" s="2" t="s">
        <v>50</v>
      </c>
      <c r="D621" s="6" t="s">
        <v>251</v>
      </c>
      <c r="E621" s="9">
        <v>2.158E-5</v>
      </c>
      <c r="F621" s="9">
        <v>2.1509999999999999E-5</v>
      </c>
      <c r="G621" s="2" t="s">
        <v>87</v>
      </c>
      <c r="H621" s="5">
        <v>-1.5618000000000229E-7</v>
      </c>
      <c r="I621" s="6">
        <v>-7.2372567191845358E-3</v>
      </c>
    </row>
    <row r="622" spans="2:9" s="2" customFormat="1" x14ac:dyDescent="0.25">
      <c r="B622" s="12">
        <v>42905.981351851849</v>
      </c>
      <c r="C622" s="2" t="s">
        <v>10</v>
      </c>
      <c r="D622" s="6" t="s">
        <v>74</v>
      </c>
      <c r="E622" s="9">
        <v>0.150865</v>
      </c>
      <c r="F622" s="9">
        <v>0.15100021</v>
      </c>
      <c r="G622" s="2" t="s">
        <v>11</v>
      </c>
      <c r="H622" s="5">
        <v>-3.9315552499999407E-4</v>
      </c>
      <c r="I622" s="6">
        <v>-2.6060088489708948E-3</v>
      </c>
    </row>
    <row r="623" spans="2:9" s="2" customFormat="1" x14ac:dyDescent="0.25">
      <c r="B623" s="12">
        <v>42905.981351851849</v>
      </c>
      <c r="C623" s="2" t="s">
        <v>46</v>
      </c>
      <c r="D623" s="6" t="s">
        <v>74</v>
      </c>
      <c r="E623" s="9">
        <v>7.0539999999999999E-5</v>
      </c>
      <c r="F623" s="9">
        <v>7.0699999999999997E-5</v>
      </c>
      <c r="G623" s="2" t="s">
        <v>250</v>
      </c>
      <c r="H623" s="5">
        <v>-8.7290000000007765E-8</v>
      </c>
      <c r="I623" s="6">
        <v>-1.2374539268501243E-3</v>
      </c>
    </row>
    <row r="624" spans="2:9" s="2" customFormat="1" x14ac:dyDescent="0.25">
      <c r="B624" s="12">
        <v>42905.981351851849</v>
      </c>
      <c r="C624" s="2" t="s">
        <v>80</v>
      </c>
      <c r="D624" s="6" t="s">
        <v>86</v>
      </c>
      <c r="E624" s="9">
        <v>1.2598E-2</v>
      </c>
      <c r="F624" s="9">
        <v>1.260467E-2</v>
      </c>
      <c r="G624" s="2" t="s">
        <v>250</v>
      </c>
      <c r="H624" s="5">
        <v>-5.7596474999999439E-5</v>
      </c>
      <c r="I624" s="6">
        <v>-4.5718745038894615E-3</v>
      </c>
    </row>
    <row r="625" spans="2:9" s="2" customFormat="1" x14ac:dyDescent="0.25">
      <c r="B625" s="12">
        <v>42905.981351851849</v>
      </c>
      <c r="C625" s="2" t="s">
        <v>25</v>
      </c>
      <c r="D625" s="6" t="s">
        <v>251</v>
      </c>
      <c r="E625" s="4">
        <v>1.9400000000000001E-3</v>
      </c>
      <c r="F625" s="4">
        <v>1.8607000000000001E-3</v>
      </c>
      <c r="G625" s="2" t="s">
        <v>87</v>
      </c>
      <c r="H625" s="5">
        <v>-8.6901400000000042E-5</v>
      </c>
      <c r="I625" s="6">
        <v>-4.4794536082474246E-2</v>
      </c>
    </row>
    <row r="626" spans="2:9" s="2" customFormat="1" x14ac:dyDescent="0.25">
      <c r="B626" s="12">
        <v>42905.981351851849</v>
      </c>
      <c r="C626" s="2" t="s">
        <v>70</v>
      </c>
      <c r="D626" s="6" t="s">
        <v>72</v>
      </c>
      <c r="E626" s="4">
        <v>153717.83068799999</v>
      </c>
      <c r="F626" s="4">
        <v>156700.02982299999</v>
      </c>
      <c r="G626" s="2" t="s">
        <v>69</v>
      </c>
      <c r="H626" s="5">
        <v>2361.3634139780188</v>
      </c>
      <c r="I626" s="6">
        <v>1.5361675372396204E-2</v>
      </c>
    </row>
    <row r="627" spans="2:9" s="2" customFormat="1" x14ac:dyDescent="0.25">
      <c r="B627" s="12"/>
      <c r="D627" s="6"/>
      <c r="E627" s="4"/>
      <c r="F627" s="4"/>
      <c r="H627" s="5"/>
      <c r="I627" s="6"/>
    </row>
    <row r="628" spans="2:9" s="2" customFormat="1" x14ac:dyDescent="0.25">
      <c r="B628" s="12">
        <v>42905.972441550926</v>
      </c>
      <c r="C628" s="2" t="s">
        <v>6</v>
      </c>
      <c r="D628" s="6" t="s">
        <v>22</v>
      </c>
      <c r="E628" s="9">
        <v>1.8030000000000001E-2</v>
      </c>
      <c r="F628" s="9">
        <v>1.8090007700899999E-2</v>
      </c>
      <c r="G628" s="2" t="s">
        <v>72</v>
      </c>
      <c r="H628" s="5">
        <v>-1.2232314501803981E-5</v>
      </c>
      <c r="I628" s="6">
        <v>-6.7844229072678761E-4</v>
      </c>
    </row>
    <row r="629" spans="2:9" s="2" customFormat="1" x14ac:dyDescent="0.25">
      <c r="B629" s="12">
        <v>42905.972441550926</v>
      </c>
      <c r="C629" s="2" t="s">
        <v>35</v>
      </c>
      <c r="D629" s="6" t="s">
        <v>251</v>
      </c>
      <c r="E629" s="9">
        <v>1.19E-6</v>
      </c>
      <c r="F629" s="9">
        <v>1.19E-6</v>
      </c>
      <c r="G629" s="2" t="s">
        <v>250</v>
      </c>
      <c r="H629" s="5">
        <v>-5.3550000000000106E-9</v>
      </c>
      <c r="I629" s="6">
        <v>-4.5000000000000083E-3</v>
      </c>
    </row>
    <row r="630" spans="2:9" s="2" customFormat="1" x14ac:dyDescent="0.25">
      <c r="B630" s="12">
        <v>42905.972441550926</v>
      </c>
      <c r="C630" s="2" t="s">
        <v>4</v>
      </c>
      <c r="D630" s="6" t="s">
        <v>250</v>
      </c>
      <c r="E630" s="9">
        <v>0.13841001</v>
      </c>
      <c r="F630" s="9">
        <v>0.13905212</v>
      </c>
      <c r="G630" s="2" t="s">
        <v>69</v>
      </c>
      <c r="H630" s="5">
        <v>1.7980735000006076E-5</v>
      </c>
      <c r="I630" s="6">
        <v>1.2990920960128589E-4</v>
      </c>
    </row>
    <row r="631" spans="2:9" s="2" customFormat="1" x14ac:dyDescent="0.25">
      <c r="B631" s="12">
        <v>42905.972441550926</v>
      </c>
      <c r="C631" s="2" t="s">
        <v>33</v>
      </c>
      <c r="D631" s="6" t="s">
        <v>74</v>
      </c>
      <c r="E631" s="9">
        <v>7.6686000000000004E-2</v>
      </c>
      <c r="F631" s="9">
        <v>7.6982919999999996E-2</v>
      </c>
      <c r="G631" s="2" t="s">
        <v>251</v>
      </c>
      <c r="H631" s="5">
        <v>6.6268159999979814E-5</v>
      </c>
      <c r="I631" s="6">
        <v>8.6414938841483202E-4</v>
      </c>
    </row>
    <row r="632" spans="2:9" s="2" customFormat="1" x14ac:dyDescent="0.25">
      <c r="B632" s="12">
        <v>42905.972441550926</v>
      </c>
      <c r="C632" s="2" t="s">
        <v>8</v>
      </c>
      <c r="D632" s="6" t="s">
        <v>11</v>
      </c>
      <c r="E632" s="9">
        <v>1.9599995669399999E-2</v>
      </c>
      <c r="F632" s="9">
        <v>1.960903E-2</v>
      </c>
      <c r="G632" s="2" t="s">
        <v>250</v>
      </c>
      <c r="H632" s="5">
        <v>-8.8988233573502468E-5</v>
      </c>
      <c r="I632" s="6">
        <v>-4.5402170018043987E-3</v>
      </c>
    </row>
    <row r="633" spans="2:9" s="2" customFormat="1" x14ac:dyDescent="0.25">
      <c r="B633" s="12">
        <v>42905.972441550926</v>
      </c>
      <c r="C633" s="2" t="s">
        <v>3</v>
      </c>
      <c r="D633" s="6" t="s">
        <v>250</v>
      </c>
      <c r="E633" s="9">
        <v>8.4700000000000001E-3</v>
      </c>
      <c r="F633" s="9">
        <v>8.4910000000000003E-3</v>
      </c>
      <c r="G633" s="2" t="s">
        <v>0</v>
      </c>
      <c r="H633" s="5">
        <v>-1.7157000000000283E-5</v>
      </c>
      <c r="I633" s="6">
        <v>-2.0256198347107773E-3</v>
      </c>
    </row>
    <row r="634" spans="2:9" s="2" customFormat="1" x14ac:dyDescent="0.25">
      <c r="B634" s="12">
        <v>42905.972441550926</v>
      </c>
      <c r="C634" s="2" t="s">
        <v>21</v>
      </c>
      <c r="D634" s="6" t="s">
        <v>250</v>
      </c>
      <c r="E634" s="9">
        <v>2552.1401548700001</v>
      </c>
      <c r="F634" s="9">
        <v>2556</v>
      </c>
      <c r="G634" s="2" t="s">
        <v>11</v>
      </c>
      <c r="H634" s="5">
        <v>-8.9105052571749184</v>
      </c>
      <c r="I634" s="6">
        <v>-3.4913855495639105E-3</v>
      </c>
    </row>
    <row r="635" spans="2:9" s="2" customFormat="1" x14ac:dyDescent="0.25">
      <c r="B635" s="12">
        <v>42905.972441550926</v>
      </c>
      <c r="C635" s="2" t="s">
        <v>50</v>
      </c>
      <c r="D635" s="6" t="s">
        <v>251</v>
      </c>
      <c r="E635" s="9">
        <v>2.158E-5</v>
      </c>
      <c r="F635" s="9">
        <v>2.1509999999999999E-5</v>
      </c>
      <c r="G635" s="2" t="s">
        <v>87</v>
      </c>
      <c r="H635" s="5">
        <v>-1.5618000000000229E-7</v>
      </c>
      <c r="I635" s="6">
        <v>-7.2372567191845358E-3</v>
      </c>
    </row>
    <row r="636" spans="2:9" s="2" customFormat="1" x14ac:dyDescent="0.25">
      <c r="B636" s="12">
        <v>42905.972441550926</v>
      </c>
      <c r="C636" s="2" t="s">
        <v>10</v>
      </c>
      <c r="D636" s="6" t="s">
        <v>251</v>
      </c>
      <c r="E636" s="9">
        <v>0.150998923072</v>
      </c>
      <c r="F636" s="9">
        <v>0.15104999999999999</v>
      </c>
      <c r="G636" s="2" t="s">
        <v>250</v>
      </c>
      <c r="H636" s="5">
        <v>-6.2854591814398564E-4</v>
      </c>
      <c r="I636" s="6">
        <v>-4.1625854367469857E-3</v>
      </c>
    </row>
    <row r="637" spans="2:9" s="2" customFormat="1" x14ac:dyDescent="0.25">
      <c r="B637" s="12">
        <v>42905.972441550926</v>
      </c>
      <c r="C637" s="2" t="s">
        <v>46</v>
      </c>
      <c r="D637" s="6" t="s">
        <v>11</v>
      </c>
      <c r="E637" s="9">
        <v>7.0199999999999999E-5</v>
      </c>
      <c r="F637" s="9">
        <v>7.0339999999999994E-5</v>
      </c>
      <c r="G637" s="2" t="s">
        <v>250</v>
      </c>
      <c r="H637" s="5">
        <v>-2.1134999999999926E-7</v>
      </c>
      <c r="I637" s="6">
        <v>-3.01068376068375E-3</v>
      </c>
    </row>
    <row r="638" spans="2:9" s="2" customFormat="1" x14ac:dyDescent="0.25">
      <c r="B638" s="12">
        <v>42905.972441550926</v>
      </c>
      <c r="C638" s="2" t="s">
        <v>80</v>
      </c>
      <c r="D638" s="6" t="s">
        <v>86</v>
      </c>
      <c r="E638" s="9">
        <v>1.2593999999999999E-2</v>
      </c>
      <c r="F638" s="9">
        <v>1.260467E-2</v>
      </c>
      <c r="G638" s="2" t="s">
        <v>250</v>
      </c>
      <c r="H638" s="5">
        <v>-5.3586074999998831E-5</v>
      </c>
      <c r="I638" s="6">
        <v>-4.2548892329679873E-3</v>
      </c>
    </row>
    <row r="639" spans="2:9" s="2" customFormat="1" x14ac:dyDescent="0.25">
      <c r="B639" s="12">
        <v>42905.972441550926</v>
      </c>
      <c r="C639" s="2" t="s">
        <v>25</v>
      </c>
      <c r="D639" s="6" t="s">
        <v>251</v>
      </c>
      <c r="E639" s="4">
        <v>1.9300000000000001E-3</v>
      </c>
      <c r="F639" s="4">
        <v>1.86064E-3</v>
      </c>
      <c r="G639" s="2" t="s">
        <v>87</v>
      </c>
      <c r="H639" s="5">
        <v>-7.6941280000000041E-5</v>
      </c>
      <c r="I639" s="6">
        <v>-3.986594818652852E-2</v>
      </c>
    </row>
    <row r="640" spans="2:9" s="2" customFormat="1" x14ac:dyDescent="0.25">
      <c r="B640" s="12">
        <v>42905.972441550926</v>
      </c>
      <c r="C640" s="2" t="s">
        <v>70</v>
      </c>
      <c r="D640" s="6" t="s">
        <v>72</v>
      </c>
      <c r="E640" s="4">
        <v>153680.54095299999</v>
      </c>
      <c r="F640" s="4">
        <v>156700.02982299999</v>
      </c>
      <c r="G640" s="2" t="s">
        <v>69</v>
      </c>
      <c r="H640" s="5">
        <v>2398.7277284479933</v>
      </c>
      <c r="I640" s="6">
        <v>1.5608532567448435E-2</v>
      </c>
    </row>
    <row r="641" spans="2:9" s="2" customFormat="1" x14ac:dyDescent="0.25">
      <c r="B641" s="12"/>
      <c r="D641" s="6"/>
      <c r="E641" s="4"/>
      <c r="F641" s="4"/>
      <c r="H641" s="5"/>
      <c r="I641" s="6"/>
    </row>
    <row r="642" spans="2:9" s="2" customFormat="1" x14ac:dyDescent="0.25">
      <c r="B642" s="12">
        <v>42905.968014467595</v>
      </c>
      <c r="C642" s="2" t="s">
        <v>6</v>
      </c>
      <c r="D642" s="6" t="s">
        <v>250</v>
      </c>
      <c r="E642" s="9">
        <v>1.793171E-2</v>
      </c>
      <c r="F642" s="9">
        <v>1.8083381302899999E-2</v>
      </c>
      <c r="G642" s="2" t="s">
        <v>251</v>
      </c>
      <c r="H642" s="5">
        <v>7.0675265294199013E-5</v>
      </c>
      <c r="I642" s="6">
        <v>3.9413566968347696E-3</v>
      </c>
    </row>
    <row r="643" spans="2:9" s="2" customFormat="1" x14ac:dyDescent="0.25">
      <c r="B643" s="12">
        <v>42905.968014467595</v>
      </c>
      <c r="C643" s="2" t="s">
        <v>35</v>
      </c>
      <c r="D643" s="6" t="s">
        <v>87</v>
      </c>
      <c r="E643" s="9">
        <v>1.19E-6</v>
      </c>
      <c r="F643" s="9">
        <v>1.19E-6</v>
      </c>
      <c r="G643" s="2" t="s">
        <v>250</v>
      </c>
      <c r="H643" s="5">
        <v>-5.3550000000000106E-9</v>
      </c>
      <c r="I643" s="6">
        <v>-4.5000000000000083E-3</v>
      </c>
    </row>
    <row r="644" spans="2:9" s="2" customFormat="1" x14ac:dyDescent="0.25">
      <c r="B644" s="12">
        <v>42905.968014467595</v>
      </c>
      <c r="C644" s="2" t="s">
        <v>4</v>
      </c>
      <c r="D644" s="6" t="s">
        <v>0</v>
      </c>
      <c r="E644" s="9">
        <v>0.13876292789299999</v>
      </c>
      <c r="F644" s="9">
        <v>0.13905111000000001</v>
      </c>
      <c r="G644" s="2" t="s">
        <v>69</v>
      </c>
      <c r="H644" s="5">
        <v>-2.6744596878597315E-4</v>
      </c>
      <c r="I644" s="6">
        <v>-1.9273589340245154E-3</v>
      </c>
    </row>
    <row r="645" spans="2:9" s="2" customFormat="1" x14ac:dyDescent="0.25">
      <c r="B645" s="12">
        <v>42905.968014467595</v>
      </c>
      <c r="C645" s="2" t="s">
        <v>33</v>
      </c>
      <c r="D645" s="6" t="s">
        <v>72</v>
      </c>
      <c r="E645" s="9">
        <v>7.6699184978400003E-2</v>
      </c>
      <c r="F645" s="9">
        <v>7.6700019999999994E-2</v>
      </c>
      <c r="G645" s="2" t="s">
        <v>250</v>
      </c>
      <c r="H645" s="5">
        <v>-3.4431339835680475E-4</v>
      </c>
      <c r="I645" s="6">
        <v>-4.4891402490622317E-3</v>
      </c>
    </row>
    <row r="646" spans="2:9" s="2" customFormat="1" x14ac:dyDescent="0.25">
      <c r="B646" s="12">
        <v>42905.968014467595</v>
      </c>
      <c r="C646" s="2" t="s">
        <v>8</v>
      </c>
      <c r="D646" s="6" t="s">
        <v>11</v>
      </c>
      <c r="E646" s="9">
        <v>1.9550000000000001E-2</v>
      </c>
      <c r="F646" s="9">
        <v>1.9626000000000001E-2</v>
      </c>
      <c r="G646" s="2" t="s">
        <v>86</v>
      </c>
      <c r="H646" s="5">
        <v>-2.3902600000000329E-5</v>
      </c>
      <c r="I646" s="6">
        <v>-1.222639386189275E-3</v>
      </c>
    </row>
    <row r="647" spans="2:9" s="2" customFormat="1" x14ac:dyDescent="0.25">
      <c r="B647" s="12">
        <v>42905.968014467595</v>
      </c>
      <c r="C647" s="2" t="s">
        <v>3</v>
      </c>
      <c r="D647" s="6" t="s">
        <v>250</v>
      </c>
      <c r="E647" s="9">
        <v>8.4810000000000007E-3</v>
      </c>
      <c r="F647" s="9">
        <v>8.5000000000000006E-3</v>
      </c>
      <c r="G647" s="2" t="s">
        <v>0</v>
      </c>
      <c r="H647" s="5">
        <v>-1.9202499999999151E-5</v>
      </c>
      <c r="I647" s="6">
        <v>-2.2641787525055006E-3</v>
      </c>
    </row>
    <row r="648" spans="2:9" s="2" customFormat="1" x14ac:dyDescent="0.25">
      <c r="B648" s="12">
        <v>42905.968014467595</v>
      </c>
      <c r="C648" s="2" t="s">
        <v>21</v>
      </c>
      <c r="D648" s="6" t="s">
        <v>250</v>
      </c>
      <c r="E648" s="9">
        <v>2549.8948462499998</v>
      </c>
      <c r="F648" s="9">
        <v>2550</v>
      </c>
      <c r="G648" s="2" t="s">
        <v>11</v>
      </c>
      <c r="H648" s="5">
        <v>-12.64458336562484</v>
      </c>
      <c r="I648" s="6">
        <v>-4.958864630916284E-3</v>
      </c>
    </row>
    <row r="649" spans="2:9" s="2" customFormat="1" x14ac:dyDescent="0.25">
      <c r="B649" s="12">
        <v>42905.968014467595</v>
      </c>
      <c r="C649" s="2" t="s">
        <v>50</v>
      </c>
      <c r="D649" s="6" t="s">
        <v>251</v>
      </c>
      <c r="E649" s="9">
        <v>2.158E-5</v>
      </c>
      <c r="F649" s="9">
        <v>2.1509999999999999E-5</v>
      </c>
      <c r="G649" s="2" t="s">
        <v>87</v>
      </c>
      <c r="H649" s="5">
        <v>-1.5618000000000229E-7</v>
      </c>
      <c r="I649" s="6">
        <v>-7.2372567191845358E-3</v>
      </c>
    </row>
    <row r="650" spans="2:9" s="2" customFormat="1" x14ac:dyDescent="0.25">
      <c r="B650" s="12">
        <v>42905.968014467595</v>
      </c>
      <c r="C650" s="2" t="s">
        <v>10</v>
      </c>
      <c r="D650" s="6" t="s">
        <v>251</v>
      </c>
      <c r="E650" s="9">
        <v>0.15099901532500001</v>
      </c>
      <c r="F650" s="9">
        <v>0.15140700000000001</v>
      </c>
      <c r="G650" s="2" t="s">
        <v>11</v>
      </c>
      <c r="H650" s="5">
        <v>-2.7253085565001611E-4</v>
      </c>
      <c r="I650" s="6">
        <v>-1.804851873129366E-3</v>
      </c>
    </row>
    <row r="651" spans="2:9" s="2" customFormat="1" x14ac:dyDescent="0.25">
      <c r="B651" s="12">
        <v>42905.968014467595</v>
      </c>
      <c r="C651" s="2" t="s">
        <v>46</v>
      </c>
      <c r="D651" s="6" t="s">
        <v>250</v>
      </c>
      <c r="E651" s="9">
        <v>7.0350000000000002E-5</v>
      </c>
      <c r="F651" s="9">
        <v>7.0500000000000006E-5</v>
      </c>
      <c r="G651" s="2" t="s">
        <v>11</v>
      </c>
      <c r="H651" s="5">
        <v>-2.0212499999999766E-7</v>
      </c>
      <c r="I651" s="6">
        <v>-2.8731343283581756E-3</v>
      </c>
    </row>
    <row r="652" spans="2:9" s="2" customFormat="1" x14ac:dyDescent="0.25">
      <c r="B652" s="12">
        <v>42905.968014467595</v>
      </c>
      <c r="C652" s="2" t="s">
        <v>80</v>
      </c>
      <c r="D652" s="6" t="s">
        <v>86</v>
      </c>
      <c r="E652" s="9">
        <v>1.2567999999999999E-2</v>
      </c>
      <c r="F652" s="9">
        <v>1.2500000000000001E-2</v>
      </c>
      <c r="G652" s="2" t="s">
        <v>11</v>
      </c>
      <c r="H652" s="5">
        <v>-1.319267999999995E-4</v>
      </c>
      <c r="I652" s="6">
        <v>-1.0497040101845918E-2</v>
      </c>
    </row>
    <row r="653" spans="2:9" s="2" customFormat="1" x14ac:dyDescent="0.25">
      <c r="B653" s="12">
        <v>42905.968014467595</v>
      </c>
      <c r="C653" s="2" t="s">
        <v>25</v>
      </c>
      <c r="D653" s="6" t="s">
        <v>251</v>
      </c>
      <c r="E653" s="4">
        <v>1.9300000000000001E-3</v>
      </c>
      <c r="F653" s="4">
        <v>1.8606E-3</v>
      </c>
      <c r="G653" s="2" t="s">
        <v>87</v>
      </c>
      <c r="H653" s="5">
        <v>-7.6981200000000123E-5</v>
      </c>
      <c r="I653" s="6">
        <v>-3.9886632124352395E-2</v>
      </c>
    </row>
    <row r="654" spans="2:9" s="2" customFormat="1" x14ac:dyDescent="0.25">
      <c r="B654" s="12">
        <v>42905.968014467595</v>
      </c>
      <c r="C654" s="2" t="s">
        <v>70</v>
      </c>
      <c r="D654" s="6" t="s">
        <v>72</v>
      </c>
      <c r="E654" s="4">
        <v>153640.491618</v>
      </c>
      <c r="F654" s="4">
        <v>156700.02953199999</v>
      </c>
      <c r="G654" s="2" t="s">
        <v>69</v>
      </c>
      <c r="H654" s="5">
        <v>2438.8568716999725</v>
      </c>
      <c r="I654" s="6">
        <v>1.5873789819442652E-2</v>
      </c>
    </row>
    <row r="655" spans="2:9" s="2" customFormat="1" x14ac:dyDescent="0.25">
      <c r="B655" s="12"/>
      <c r="D655" s="6"/>
      <c r="E655" s="4"/>
      <c r="F655" s="4"/>
      <c r="H655" s="5"/>
      <c r="I655" s="6"/>
    </row>
    <row r="656" spans="2:9" s="2" customFormat="1" x14ac:dyDescent="0.25">
      <c r="B656" s="12">
        <v>42905.960247569441</v>
      </c>
      <c r="C656" s="2" t="s">
        <v>6</v>
      </c>
      <c r="D656" s="6" t="s">
        <v>250</v>
      </c>
      <c r="E656" s="9">
        <v>1.78E-2</v>
      </c>
      <c r="F656" s="9">
        <v>1.8023054833700002E-2</v>
      </c>
      <c r="G656" s="2" t="s">
        <v>251</v>
      </c>
      <c r="H656" s="5">
        <v>1.4250872403260076E-4</v>
      </c>
      <c r="I656" s="6">
        <v>8.0061080917191441E-3</v>
      </c>
    </row>
    <row r="657" spans="2:9" s="2" customFormat="1" x14ac:dyDescent="0.25">
      <c r="B657" s="12">
        <v>42905.960247569441</v>
      </c>
      <c r="C657" s="2" t="s">
        <v>35</v>
      </c>
      <c r="D657" s="6" t="s">
        <v>87</v>
      </c>
      <c r="E657" s="9">
        <v>1.19E-6</v>
      </c>
      <c r="F657" s="9">
        <v>1.19E-6</v>
      </c>
      <c r="G657" s="2" t="s">
        <v>250</v>
      </c>
      <c r="H657" s="5">
        <v>-5.3550000000000106E-9</v>
      </c>
      <c r="I657" s="6">
        <v>-4.5000000000000083E-3</v>
      </c>
    </row>
    <row r="658" spans="2:9" s="2" customFormat="1" x14ac:dyDescent="0.25">
      <c r="B658" s="12">
        <v>42905.960247569441</v>
      </c>
      <c r="C658" s="2" t="s">
        <v>4</v>
      </c>
      <c r="D658" s="6" t="s">
        <v>250</v>
      </c>
      <c r="E658" s="9">
        <v>0.1387323</v>
      </c>
      <c r="F658" s="9">
        <v>0.13924383000000001</v>
      </c>
      <c r="G658" s="2" t="s">
        <v>69</v>
      </c>
      <c r="H658" s="5">
        <v>-1.1378840999998197E-4</v>
      </c>
      <c r="I658" s="6">
        <v>-8.2020127973068968E-4</v>
      </c>
    </row>
    <row r="659" spans="2:9" s="2" customFormat="1" x14ac:dyDescent="0.25">
      <c r="B659" s="12">
        <v>42905.960247569441</v>
      </c>
      <c r="C659" s="2" t="s">
        <v>33</v>
      </c>
      <c r="D659" s="6" t="s">
        <v>72</v>
      </c>
      <c r="E659" s="9">
        <v>7.67745271078E-2</v>
      </c>
      <c r="F659" s="9">
        <v>7.6860999999999999E-2</v>
      </c>
      <c r="G659" s="2" t="s">
        <v>86</v>
      </c>
      <c r="H659" s="5">
        <v>-2.669147620155965E-4</v>
      </c>
      <c r="I659" s="6">
        <v>-3.4766057450385645E-3</v>
      </c>
    </row>
    <row r="660" spans="2:9" s="2" customFormat="1" x14ac:dyDescent="0.25">
      <c r="B660" s="12">
        <v>42905.960247569441</v>
      </c>
      <c r="C660" s="2" t="s">
        <v>8</v>
      </c>
      <c r="D660" s="6" t="s">
        <v>11</v>
      </c>
      <c r="E660" s="9">
        <v>1.9534838264000001E-2</v>
      </c>
      <c r="F660" s="9">
        <v>1.9535E-2</v>
      </c>
      <c r="G660" s="2" t="s">
        <v>74</v>
      </c>
      <c r="H660" s="5">
        <v>-6.8210359660002273E-5</v>
      </c>
      <c r="I660" s="6">
        <v>-3.4917289172393361E-3</v>
      </c>
    </row>
    <row r="661" spans="2:9" s="2" customFormat="1" x14ac:dyDescent="0.25">
      <c r="B661" s="12">
        <v>42905.960247569441</v>
      </c>
      <c r="C661" s="2" t="s">
        <v>3</v>
      </c>
      <c r="D661" s="6" t="s">
        <v>86</v>
      </c>
      <c r="E661" s="9">
        <v>8.4707399999999992E-3</v>
      </c>
      <c r="F661" s="9">
        <v>8.4992999999999996E-3</v>
      </c>
      <c r="G661" s="2" t="s">
        <v>0</v>
      </c>
      <c r="H661" s="5">
        <v>-1.0462523999998918E-5</v>
      </c>
      <c r="I661" s="6">
        <v>-1.2351369537961169E-3</v>
      </c>
    </row>
    <row r="662" spans="2:9" s="2" customFormat="1" x14ac:dyDescent="0.25">
      <c r="B662" s="12">
        <v>42905.960247569441</v>
      </c>
      <c r="C662" s="2" t="s">
        <v>21</v>
      </c>
      <c r="D662" s="6" t="s">
        <v>250</v>
      </c>
      <c r="E662" s="9">
        <v>2548.7735028400002</v>
      </c>
      <c r="F662" s="9">
        <v>2550</v>
      </c>
      <c r="G662" s="2" t="s">
        <v>11</v>
      </c>
      <c r="H662" s="5">
        <v>-11.520436597100343</v>
      </c>
      <c r="I662" s="6">
        <v>-4.5199922960057308E-3</v>
      </c>
    </row>
    <row r="663" spans="2:9" s="2" customFormat="1" x14ac:dyDescent="0.25">
      <c r="B663" s="12">
        <v>42905.960247569441</v>
      </c>
      <c r="C663" s="2" t="s">
        <v>50</v>
      </c>
      <c r="D663" s="6" t="s">
        <v>251</v>
      </c>
      <c r="E663" s="9">
        <v>2.158E-5</v>
      </c>
      <c r="F663" s="9">
        <v>2.1509999999999999E-5</v>
      </c>
      <c r="G663" s="2" t="s">
        <v>87</v>
      </c>
      <c r="H663" s="5">
        <v>-1.5618000000000229E-7</v>
      </c>
      <c r="I663" s="6">
        <v>-7.2372567191845358E-3</v>
      </c>
    </row>
    <row r="664" spans="2:9" s="2" customFormat="1" x14ac:dyDescent="0.25">
      <c r="B664" s="12">
        <v>42905.960247569441</v>
      </c>
      <c r="C664" s="2" t="s">
        <v>10</v>
      </c>
      <c r="D664" s="6" t="s">
        <v>86</v>
      </c>
      <c r="E664" s="9">
        <v>0.150756</v>
      </c>
      <c r="F664" s="9">
        <v>0.15090000000000001</v>
      </c>
      <c r="G664" s="2" t="s">
        <v>11</v>
      </c>
      <c r="H664" s="5">
        <v>-6.2521559999997867E-4</v>
      </c>
      <c r="I664" s="6">
        <v>-4.1472021014087573E-3</v>
      </c>
    </row>
    <row r="665" spans="2:9" s="2" customFormat="1" x14ac:dyDescent="0.25">
      <c r="B665" s="12">
        <v>42905.960247569441</v>
      </c>
      <c r="C665" s="2" t="s">
        <v>46</v>
      </c>
      <c r="D665" s="6" t="s">
        <v>250</v>
      </c>
      <c r="E665" s="9">
        <v>7.0419999999999993E-5</v>
      </c>
      <c r="F665" s="9">
        <v>7.0329999999999999E-5</v>
      </c>
      <c r="G665" s="2" t="s">
        <v>250</v>
      </c>
      <c r="H665" s="5">
        <v>-4.4187499999999143E-7</v>
      </c>
      <c r="I665" s="6">
        <v>-6.2748508946320856E-3</v>
      </c>
    </row>
    <row r="666" spans="2:9" s="2" customFormat="1" x14ac:dyDescent="0.25">
      <c r="B666" s="12">
        <v>42905.960247569441</v>
      </c>
      <c r="C666" s="2" t="s">
        <v>80</v>
      </c>
      <c r="D666" s="6" t="s">
        <v>86</v>
      </c>
      <c r="E666" s="9">
        <v>1.2564000000000001E-2</v>
      </c>
      <c r="F666" s="9">
        <v>1.249922E-2</v>
      </c>
      <c r="G666" s="2" t="s">
        <v>250</v>
      </c>
      <c r="H666" s="5">
        <v>-1.2869445000000118E-4</v>
      </c>
      <c r="I666" s="6">
        <v>-1.0243111270296177E-2</v>
      </c>
    </row>
    <row r="667" spans="2:9" s="2" customFormat="1" x14ac:dyDescent="0.25">
      <c r="B667" s="12">
        <v>42905.960247569441</v>
      </c>
      <c r="C667" s="2" t="s">
        <v>25</v>
      </c>
      <c r="D667" s="6" t="s">
        <v>251</v>
      </c>
      <c r="E667" s="4">
        <v>1.9400000000000001E-3</v>
      </c>
      <c r="F667" s="4">
        <v>1.8605799999999999E-3</v>
      </c>
      <c r="G667" s="2" t="s">
        <v>87</v>
      </c>
      <c r="H667" s="5">
        <v>-8.7021160000000071E-5</v>
      </c>
      <c r="I667" s="6">
        <v>-4.485626804123715E-2</v>
      </c>
    </row>
    <row r="668" spans="2:9" s="2" customFormat="1" x14ac:dyDescent="0.25">
      <c r="B668" s="12">
        <v>42905.960247569441</v>
      </c>
      <c r="C668" s="2" t="s">
        <v>70</v>
      </c>
      <c r="D668" s="6" t="s">
        <v>72</v>
      </c>
      <c r="E668" s="4">
        <v>153681.96848899999</v>
      </c>
      <c r="F668" s="4">
        <v>156700.02953199999</v>
      </c>
      <c r="G668" s="2" t="s">
        <v>69</v>
      </c>
      <c r="H668" s="5">
        <v>2397.2970469579741</v>
      </c>
      <c r="I668" s="6">
        <v>1.5599078216710662E-2</v>
      </c>
    </row>
    <row r="669" spans="2:9" s="2" customFormat="1" x14ac:dyDescent="0.25">
      <c r="B669" s="12"/>
      <c r="D669" s="6"/>
      <c r="E669" s="4"/>
      <c r="F669" s="4"/>
      <c r="H669" s="5"/>
      <c r="I669" s="6"/>
    </row>
    <row r="670" spans="2:9" s="2" customFormat="1" x14ac:dyDescent="0.25">
      <c r="B670" s="12">
        <v>42905.952380324074</v>
      </c>
      <c r="C670" s="2" t="s">
        <v>6</v>
      </c>
      <c r="D670" s="6" t="s">
        <v>74</v>
      </c>
      <c r="E670" s="9">
        <v>1.797E-2</v>
      </c>
      <c r="F670" s="9">
        <v>1.8247044E-2</v>
      </c>
      <c r="G670" s="2" t="s">
        <v>72</v>
      </c>
      <c r="H670" s="5">
        <v>2.2257991200000035E-4</v>
      </c>
      <c r="I670" s="6">
        <v>1.2386194323873142E-2</v>
      </c>
    </row>
    <row r="671" spans="2:9" s="2" customFormat="1" x14ac:dyDescent="0.25">
      <c r="B671" s="12">
        <v>42905.952380324074</v>
      </c>
      <c r="C671" s="2" t="s">
        <v>35</v>
      </c>
      <c r="D671" s="6" t="s">
        <v>87</v>
      </c>
      <c r="E671" s="9">
        <v>1.19E-6</v>
      </c>
      <c r="F671" s="9">
        <v>1.19E-6</v>
      </c>
      <c r="G671" s="2" t="s">
        <v>11</v>
      </c>
      <c r="H671" s="5">
        <v>-5.3550000000000106E-9</v>
      </c>
      <c r="I671" s="6">
        <v>-4.5000000000000083E-3</v>
      </c>
    </row>
    <row r="672" spans="2:9" s="2" customFormat="1" x14ac:dyDescent="0.25">
      <c r="B672" s="12">
        <v>42905.952380324074</v>
      </c>
      <c r="C672" s="2" t="s">
        <v>4</v>
      </c>
      <c r="D672" s="6" t="s">
        <v>11</v>
      </c>
      <c r="E672" s="9">
        <v>0.13856769999999999</v>
      </c>
      <c r="F672" s="9">
        <v>0.13933092</v>
      </c>
      <c r="G672" s="2" t="s">
        <v>69</v>
      </c>
      <c r="H672" s="5">
        <v>1.3813891000000189E-4</v>
      </c>
      <c r="I672" s="6">
        <v>9.9690555591239443E-4</v>
      </c>
    </row>
    <row r="673" spans="2:9" s="2" customFormat="1" x14ac:dyDescent="0.25">
      <c r="B673" s="12">
        <v>42905.952380324074</v>
      </c>
      <c r="C673" s="2" t="s">
        <v>33</v>
      </c>
      <c r="D673" s="6" t="s">
        <v>74</v>
      </c>
      <c r="E673" s="9">
        <v>7.6170000000000002E-2</v>
      </c>
      <c r="F673" s="9">
        <v>7.6404780000000005E-2</v>
      </c>
      <c r="G673" s="2" t="s">
        <v>250</v>
      </c>
      <c r="H673" s="5">
        <v>-3.2401949999996682E-5</v>
      </c>
      <c r="I673" s="6">
        <v>-4.2538991729022818E-4</v>
      </c>
    </row>
    <row r="674" spans="2:9" s="2" customFormat="1" x14ac:dyDescent="0.25">
      <c r="B674" s="12">
        <v>42905.952380324074</v>
      </c>
      <c r="C674" s="2" t="s">
        <v>8</v>
      </c>
      <c r="D674" s="6" t="s">
        <v>250</v>
      </c>
      <c r="E674" s="9">
        <v>1.9520199952500001E-2</v>
      </c>
      <c r="F674" s="9">
        <v>1.9597E-2</v>
      </c>
      <c r="G674" s="2" t="s">
        <v>0</v>
      </c>
      <c r="H674" s="5">
        <v>-1.1194452381249609E-5</v>
      </c>
      <c r="I674" s="6">
        <v>-5.7348041559461115E-4</v>
      </c>
    </row>
    <row r="675" spans="2:9" s="2" customFormat="1" x14ac:dyDescent="0.25">
      <c r="B675" s="12">
        <v>42905.952380324074</v>
      </c>
      <c r="C675" s="2" t="s">
        <v>3</v>
      </c>
      <c r="D675" s="6" t="s">
        <v>250</v>
      </c>
      <c r="E675" s="9">
        <v>8.4567800000000005E-3</v>
      </c>
      <c r="F675" s="9">
        <v>8.4899999999999993E-3</v>
      </c>
      <c r="G675" s="2" t="s">
        <v>0</v>
      </c>
      <c r="H675" s="5">
        <v>-4.9019500000004046E-6</v>
      </c>
      <c r="I675" s="6">
        <v>-5.7964733622021668E-4</v>
      </c>
    </row>
    <row r="676" spans="2:9" s="2" customFormat="1" x14ac:dyDescent="0.25">
      <c r="B676" s="12">
        <v>42905.952380324074</v>
      </c>
      <c r="C676" s="2" t="s">
        <v>21</v>
      </c>
      <c r="D676" s="6" t="s">
        <v>250</v>
      </c>
      <c r="E676" s="9">
        <v>2545.4038671899998</v>
      </c>
      <c r="F676" s="9">
        <v>2549.89487887</v>
      </c>
      <c r="G676" s="2" t="s">
        <v>250</v>
      </c>
      <c r="H676" s="5">
        <v>-8.2472351851497478</v>
      </c>
      <c r="I676" s="6">
        <v>-3.2400497584905018E-3</v>
      </c>
    </row>
    <row r="677" spans="2:9" s="2" customFormat="1" x14ac:dyDescent="0.25">
      <c r="B677" s="12">
        <v>42905.952380324074</v>
      </c>
      <c r="C677" s="2" t="s">
        <v>50</v>
      </c>
      <c r="D677" s="6" t="s">
        <v>251</v>
      </c>
      <c r="E677" s="9">
        <v>2.1610000000000001E-5</v>
      </c>
      <c r="F677" s="9">
        <v>2.1509999999999999E-5</v>
      </c>
      <c r="G677" s="2" t="s">
        <v>87</v>
      </c>
      <c r="H677" s="5">
        <v>-1.8624000000000451E-7</v>
      </c>
      <c r="I677" s="6">
        <v>-8.618232299861384E-3</v>
      </c>
    </row>
    <row r="678" spans="2:9" s="2" customFormat="1" x14ac:dyDescent="0.25">
      <c r="B678" s="12">
        <v>42905.952380324074</v>
      </c>
      <c r="C678" s="2" t="s">
        <v>10</v>
      </c>
      <c r="D678" s="6" t="s">
        <v>251</v>
      </c>
      <c r="E678" s="9">
        <v>0.150254657274</v>
      </c>
      <c r="F678" s="9">
        <v>0.150999994768</v>
      </c>
      <c r="G678" s="2" t="s">
        <v>250</v>
      </c>
      <c r="H678" s="5">
        <v>6.7328192531995734E-5</v>
      </c>
      <c r="I678" s="6">
        <v>4.4809388110491651E-4</v>
      </c>
    </row>
    <row r="679" spans="2:9" s="2" customFormat="1" x14ac:dyDescent="0.25">
      <c r="B679" s="12">
        <v>42905.952380324074</v>
      </c>
      <c r="C679" s="2" t="s">
        <v>46</v>
      </c>
      <c r="D679" s="6" t="s">
        <v>74</v>
      </c>
      <c r="E679" s="9">
        <v>7.0170000000000001E-5</v>
      </c>
      <c r="F679" s="9">
        <v>7.0099999999999996E-5</v>
      </c>
      <c r="G679" s="2" t="s">
        <v>11</v>
      </c>
      <c r="H679" s="5">
        <v>-3.154200000000018E-7</v>
      </c>
      <c r="I679" s="6">
        <v>-4.4950833689611199E-3</v>
      </c>
    </row>
    <row r="680" spans="2:9" s="2" customFormat="1" x14ac:dyDescent="0.25">
      <c r="B680" s="12">
        <v>42905.952380324074</v>
      </c>
      <c r="C680" s="2" t="s">
        <v>80</v>
      </c>
      <c r="D680" s="6" t="s">
        <v>86</v>
      </c>
      <c r="E680" s="9">
        <v>1.2567999999999999E-2</v>
      </c>
      <c r="F680" s="9">
        <v>1.2624E-2</v>
      </c>
      <c r="G680" s="2" t="s">
        <v>250</v>
      </c>
      <c r="H680" s="5">
        <v>-8.23680000000028E-6</v>
      </c>
      <c r="I680" s="6">
        <v>-6.5537873965629224E-4</v>
      </c>
    </row>
    <row r="681" spans="2:9" s="2" customFormat="1" x14ac:dyDescent="0.25">
      <c r="B681" s="12">
        <v>42905.952380324074</v>
      </c>
      <c r="C681" s="2" t="s">
        <v>25</v>
      </c>
      <c r="D681" s="6" t="s">
        <v>22</v>
      </c>
      <c r="E681" s="4">
        <v>1.82E-3</v>
      </c>
      <c r="F681" s="4">
        <v>1.86053E-3</v>
      </c>
      <c r="G681" s="2" t="s">
        <v>87</v>
      </c>
      <c r="H681" s="5">
        <v>3.3168940000000017E-5</v>
      </c>
      <c r="I681" s="6">
        <v>1.8224692307692317E-2</v>
      </c>
    </row>
    <row r="682" spans="2:9" s="2" customFormat="1" x14ac:dyDescent="0.25">
      <c r="B682" s="12">
        <v>42905.952380324074</v>
      </c>
      <c r="C682" s="2" t="s">
        <v>70</v>
      </c>
      <c r="D682" s="6" t="s">
        <v>72</v>
      </c>
      <c r="E682" s="4">
        <v>153683.21825999999</v>
      </c>
      <c r="F682" s="4">
        <v>156700.029932</v>
      </c>
      <c r="G682" s="2" t="s">
        <v>69</v>
      </c>
      <c r="H682" s="5">
        <v>2396.0451756159891</v>
      </c>
      <c r="I682" s="6">
        <v>1.5590805572293389E-2</v>
      </c>
    </row>
    <row r="683" spans="2:9" s="2" customFormat="1" x14ac:dyDescent="0.25">
      <c r="B683" s="12"/>
      <c r="D683" s="6"/>
      <c r="E683" s="4"/>
      <c r="F683" s="4"/>
      <c r="H683" s="5"/>
      <c r="I683" s="6"/>
    </row>
    <row r="684" spans="2:9" s="2" customFormat="1" x14ac:dyDescent="0.25">
      <c r="B684" s="12"/>
      <c r="D684" s="6"/>
      <c r="E684" s="9"/>
      <c r="F684" s="9"/>
      <c r="H684" s="5"/>
      <c r="I684" s="6"/>
    </row>
    <row r="685" spans="2:9" s="2" customFormat="1" x14ac:dyDescent="0.25">
      <c r="B685" s="12"/>
      <c r="D685" s="6"/>
      <c r="E685" s="9"/>
      <c r="F685" s="9"/>
      <c r="H685" s="5"/>
      <c r="I685" s="6"/>
    </row>
    <row r="686" spans="2:9" s="2" customFormat="1" x14ac:dyDescent="0.25">
      <c r="B686" s="12"/>
      <c r="D686" s="6"/>
      <c r="E686" s="9"/>
      <c r="F686" s="9"/>
      <c r="H686" s="5"/>
      <c r="I686" s="6"/>
    </row>
    <row r="687" spans="2:9" s="2" customFormat="1" x14ac:dyDescent="0.25">
      <c r="B687" s="12"/>
      <c r="D687" s="6"/>
      <c r="E687" s="9"/>
      <c r="F687" s="9"/>
      <c r="H687" s="5"/>
      <c r="I687" s="6"/>
    </row>
    <row r="688" spans="2:9" s="2" customFormat="1" x14ac:dyDescent="0.25">
      <c r="B688" s="12"/>
      <c r="D688" s="6"/>
      <c r="E688" s="9"/>
      <c r="F688" s="9"/>
      <c r="H688" s="5"/>
      <c r="I688" s="6"/>
    </row>
    <row r="689" spans="2:9" s="2" customFormat="1" x14ac:dyDescent="0.25">
      <c r="B689" s="12"/>
      <c r="D689" s="6"/>
      <c r="E689" s="9"/>
      <c r="F689" s="9"/>
      <c r="H689" s="5"/>
      <c r="I689" s="6"/>
    </row>
    <row r="690" spans="2:9" s="2" customFormat="1" x14ac:dyDescent="0.25">
      <c r="B690" s="12"/>
      <c r="D690" s="6"/>
      <c r="E690" s="9"/>
      <c r="F690" s="9"/>
      <c r="H690" s="5"/>
      <c r="I690" s="6"/>
    </row>
    <row r="691" spans="2:9" s="2" customFormat="1" x14ac:dyDescent="0.25">
      <c r="B691" s="12"/>
      <c r="D691" s="6"/>
      <c r="E691" s="9"/>
      <c r="F691" s="9"/>
      <c r="H691" s="5"/>
      <c r="I691" s="6"/>
    </row>
    <row r="692" spans="2:9" s="2" customFormat="1" x14ac:dyDescent="0.25">
      <c r="B692" s="12"/>
      <c r="D692" s="6"/>
      <c r="E692" s="9"/>
      <c r="F692" s="9"/>
      <c r="H692" s="5"/>
      <c r="I692" s="6"/>
    </row>
    <row r="693" spans="2:9" s="2" customFormat="1" x14ac:dyDescent="0.25">
      <c r="B693" s="12"/>
      <c r="D693" s="6"/>
      <c r="E693" s="9"/>
      <c r="F693" s="9"/>
      <c r="H693" s="5"/>
      <c r="I693" s="6"/>
    </row>
    <row r="694" spans="2:9" s="2" customFormat="1" x14ac:dyDescent="0.25">
      <c r="B694" s="12"/>
      <c r="D694" s="6"/>
      <c r="E694" s="9"/>
      <c r="F694" s="9"/>
      <c r="H694" s="5"/>
      <c r="I694" s="6"/>
    </row>
    <row r="695" spans="2:9" s="2" customFormat="1" x14ac:dyDescent="0.25">
      <c r="B695" s="12"/>
      <c r="D695" s="6"/>
      <c r="E695" s="4"/>
      <c r="F695" s="4"/>
      <c r="H695" s="5"/>
      <c r="I695" s="6"/>
    </row>
    <row r="696" spans="2:9" s="2" customFormat="1" x14ac:dyDescent="0.25">
      <c r="B696" s="12"/>
      <c r="D696" s="6"/>
      <c r="E696" s="4"/>
      <c r="F696" s="4"/>
      <c r="H696" s="5"/>
      <c r="I696" s="6"/>
    </row>
    <row r="697" spans="2:9" s="2" customFormat="1" x14ac:dyDescent="0.25">
      <c r="B697" s="12"/>
      <c r="D697" s="6"/>
      <c r="E697" s="4"/>
      <c r="F697" s="4"/>
      <c r="H697" s="5"/>
      <c r="I697" s="6"/>
    </row>
    <row r="698" spans="2:9" s="2" customFormat="1" x14ac:dyDescent="0.25">
      <c r="B698" s="12"/>
      <c r="D698" s="6"/>
      <c r="E698" s="9"/>
      <c r="F698" s="9"/>
      <c r="H698" s="5"/>
      <c r="I698" s="6"/>
    </row>
    <row r="699" spans="2:9" s="2" customFormat="1" x14ac:dyDescent="0.25">
      <c r="B699" s="12"/>
      <c r="D699" s="6"/>
      <c r="E699" s="9"/>
      <c r="F699" s="9"/>
      <c r="H699" s="5"/>
      <c r="I699" s="6"/>
    </row>
    <row r="700" spans="2:9" s="2" customFormat="1" x14ac:dyDescent="0.25">
      <c r="B700" s="12"/>
      <c r="D700" s="6"/>
      <c r="E700" s="9"/>
      <c r="F700" s="9"/>
      <c r="H700" s="5"/>
      <c r="I700" s="6"/>
    </row>
    <row r="701" spans="2:9" s="2" customFormat="1" x14ac:dyDescent="0.25">
      <c r="B701" s="12"/>
      <c r="D701" s="6"/>
      <c r="E701" s="9"/>
      <c r="F701" s="9"/>
      <c r="H701" s="5"/>
      <c r="I701" s="6"/>
    </row>
    <row r="702" spans="2:9" s="2" customFormat="1" x14ac:dyDescent="0.25">
      <c r="B702" s="12"/>
      <c r="D702" s="6"/>
      <c r="E702" s="9"/>
      <c r="F702" s="9"/>
      <c r="H702" s="5"/>
      <c r="I702" s="6"/>
    </row>
    <row r="703" spans="2:9" s="2" customFormat="1" x14ac:dyDescent="0.25">
      <c r="B703" s="12"/>
      <c r="D703" s="6"/>
      <c r="E703" s="9"/>
      <c r="F703" s="9"/>
      <c r="H703" s="5"/>
      <c r="I703" s="6"/>
    </row>
    <row r="704" spans="2:9" s="2" customFormat="1" x14ac:dyDescent="0.25">
      <c r="B704" s="12"/>
      <c r="D704" s="6"/>
      <c r="E704" s="9"/>
      <c r="F704" s="9"/>
      <c r="H704" s="5"/>
      <c r="I704" s="6"/>
    </row>
    <row r="705" spans="2:9" s="2" customFormat="1" x14ac:dyDescent="0.25">
      <c r="B705" s="12"/>
      <c r="D705" s="6"/>
      <c r="E705" s="9"/>
      <c r="F705" s="9"/>
      <c r="H705" s="5"/>
      <c r="I705" s="6"/>
    </row>
    <row r="706" spans="2:9" s="2" customFormat="1" x14ac:dyDescent="0.25">
      <c r="B706" s="12"/>
      <c r="D706" s="6"/>
      <c r="E706" s="9"/>
      <c r="F706" s="9"/>
      <c r="H706" s="5"/>
      <c r="I706" s="6"/>
    </row>
    <row r="707" spans="2:9" s="2" customFormat="1" x14ac:dyDescent="0.25">
      <c r="B707" s="12"/>
      <c r="D707" s="6"/>
      <c r="E707" s="9"/>
      <c r="F707" s="9"/>
      <c r="H707" s="5"/>
      <c r="I707" s="6"/>
    </row>
    <row r="708" spans="2:9" s="2" customFormat="1" x14ac:dyDescent="0.25">
      <c r="B708" s="12"/>
      <c r="D708" s="6"/>
      <c r="E708" s="9"/>
      <c r="F708" s="9"/>
      <c r="H708" s="5"/>
      <c r="I708" s="6"/>
    </row>
    <row r="709" spans="2:9" s="2" customFormat="1" x14ac:dyDescent="0.25">
      <c r="B709" s="12"/>
      <c r="D709" s="6"/>
      <c r="E709" s="4"/>
      <c r="F709" s="4"/>
      <c r="H709" s="5"/>
      <c r="I709" s="6"/>
    </row>
    <row r="710" spans="2:9" s="2" customFormat="1" x14ac:dyDescent="0.25">
      <c r="B710" s="12"/>
      <c r="D710" s="6"/>
      <c r="E710" s="4"/>
      <c r="F710" s="4"/>
      <c r="H710" s="5"/>
      <c r="I710" s="6"/>
    </row>
    <row r="711" spans="2:9" s="2" customFormat="1" x14ac:dyDescent="0.25">
      <c r="B711" s="12"/>
      <c r="D711" s="6"/>
      <c r="E711" s="4"/>
      <c r="F711" s="4"/>
      <c r="H711" s="5"/>
      <c r="I711" s="6"/>
    </row>
    <row r="712" spans="2:9" s="2" customFormat="1" x14ac:dyDescent="0.25">
      <c r="B712" s="12"/>
      <c r="D712" s="6"/>
      <c r="E712" s="9"/>
      <c r="F712" s="9"/>
      <c r="H712" s="5"/>
      <c r="I712" s="6"/>
    </row>
    <row r="713" spans="2:9" s="2" customFormat="1" x14ac:dyDescent="0.25">
      <c r="B713" s="12"/>
      <c r="D713" s="6"/>
      <c r="E713" s="9"/>
      <c r="F713" s="9"/>
      <c r="H713" s="5"/>
      <c r="I713" s="6"/>
    </row>
    <row r="714" spans="2:9" s="2" customFormat="1" x14ac:dyDescent="0.25">
      <c r="B714" s="12"/>
      <c r="D714" s="6"/>
      <c r="E714" s="9"/>
      <c r="F714" s="9"/>
      <c r="H714" s="5"/>
      <c r="I714" s="6"/>
    </row>
    <row r="715" spans="2:9" s="2" customFormat="1" x14ac:dyDescent="0.25">
      <c r="B715" s="12"/>
      <c r="D715" s="6"/>
      <c r="E715" s="9"/>
      <c r="F715" s="9"/>
      <c r="H715" s="5"/>
      <c r="I715" s="6"/>
    </row>
    <row r="716" spans="2:9" s="2" customFormat="1" x14ac:dyDescent="0.25">
      <c r="B716" s="12"/>
      <c r="D716" s="6"/>
      <c r="E716" s="9"/>
      <c r="F716" s="9"/>
      <c r="H716" s="5"/>
      <c r="I716" s="6"/>
    </row>
    <row r="717" spans="2:9" s="2" customFormat="1" x14ac:dyDescent="0.25">
      <c r="B717" s="12"/>
      <c r="D717" s="6"/>
      <c r="E717" s="9"/>
      <c r="F717" s="9"/>
      <c r="H717" s="5"/>
      <c r="I717" s="6"/>
    </row>
    <row r="718" spans="2:9" s="2" customFormat="1" x14ac:dyDescent="0.25">
      <c r="B718" s="12"/>
      <c r="D718" s="6"/>
      <c r="E718" s="9"/>
      <c r="F718" s="9"/>
      <c r="H718" s="5"/>
      <c r="I718" s="6"/>
    </row>
    <row r="719" spans="2:9" s="2" customFormat="1" x14ac:dyDescent="0.25">
      <c r="B719" s="12"/>
      <c r="D719" s="6"/>
      <c r="E719" s="9"/>
      <c r="F719" s="9"/>
      <c r="H719" s="5"/>
      <c r="I719" s="6"/>
    </row>
    <row r="720" spans="2:9" s="2" customFormat="1" x14ac:dyDescent="0.25">
      <c r="B720" s="12"/>
      <c r="D720" s="6"/>
      <c r="E720" s="9"/>
      <c r="F720" s="9"/>
      <c r="H720" s="5"/>
      <c r="I720" s="6"/>
    </row>
    <row r="721" spans="2:9" s="2" customFormat="1" x14ac:dyDescent="0.25">
      <c r="B721" s="12"/>
      <c r="D721" s="6"/>
      <c r="E721" s="9"/>
      <c r="F721" s="9"/>
      <c r="H721" s="5"/>
      <c r="I721" s="6"/>
    </row>
    <row r="722" spans="2:9" s="2" customFormat="1" x14ac:dyDescent="0.25">
      <c r="B722" s="12"/>
      <c r="D722" s="6"/>
      <c r="E722" s="9"/>
      <c r="F722" s="9"/>
      <c r="H722" s="5"/>
      <c r="I722" s="6"/>
    </row>
    <row r="723" spans="2:9" s="2" customFormat="1" x14ac:dyDescent="0.25">
      <c r="B723" s="12"/>
      <c r="D723" s="6"/>
      <c r="E723" s="4"/>
      <c r="F723" s="4"/>
      <c r="H723" s="5"/>
      <c r="I723" s="6"/>
    </row>
    <row r="724" spans="2:9" s="2" customFormat="1" x14ac:dyDescent="0.25">
      <c r="B724" s="12"/>
      <c r="D724" s="6"/>
      <c r="E724" s="4"/>
      <c r="F724" s="4"/>
      <c r="H724" s="5"/>
      <c r="I724" s="6"/>
    </row>
    <row r="725" spans="2:9" s="2" customFormat="1" x14ac:dyDescent="0.25">
      <c r="B725" s="12"/>
      <c r="D725" s="6"/>
      <c r="E725" s="4"/>
      <c r="F725" s="4"/>
      <c r="H725" s="5"/>
      <c r="I725" s="6"/>
    </row>
    <row r="726" spans="2:9" s="2" customFormat="1" x14ac:dyDescent="0.25">
      <c r="B726" s="12"/>
      <c r="D726" s="6"/>
      <c r="E726" s="9"/>
      <c r="F726" s="9"/>
      <c r="H726" s="5"/>
      <c r="I726" s="6"/>
    </row>
    <row r="727" spans="2:9" s="2" customFormat="1" x14ac:dyDescent="0.25">
      <c r="B727" s="12"/>
      <c r="D727" s="6"/>
      <c r="E727" s="9"/>
      <c r="F727" s="9"/>
      <c r="H727" s="5"/>
      <c r="I727" s="6"/>
    </row>
    <row r="728" spans="2:9" s="2" customFormat="1" x14ac:dyDescent="0.25">
      <c r="B728" s="12"/>
      <c r="D728" s="6"/>
      <c r="E728" s="9"/>
      <c r="F728" s="9"/>
      <c r="H728" s="5"/>
      <c r="I728" s="6"/>
    </row>
    <row r="729" spans="2:9" s="2" customFormat="1" x14ac:dyDescent="0.25">
      <c r="B729" s="12"/>
      <c r="D729" s="6"/>
      <c r="E729" s="9"/>
      <c r="F729" s="9"/>
      <c r="H729" s="5"/>
      <c r="I729" s="6"/>
    </row>
    <row r="730" spans="2:9" s="2" customFormat="1" x14ac:dyDescent="0.25">
      <c r="B730" s="12"/>
      <c r="D730" s="6"/>
      <c r="E730" s="9"/>
      <c r="F730" s="9"/>
      <c r="H730" s="5"/>
      <c r="I730" s="6"/>
    </row>
    <row r="731" spans="2:9" s="2" customFormat="1" x14ac:dyDescent="0.25">
      <c r="B731" s="12"/>
      <c r="D731" s="6"/>
      <c r="E731" s="9"/>
      <c r="F731" s="9"/>
      <c r="H731" s="5"/>
      <c r="I731" s="6"/>
    </row>
    <row r="732" spans="2:9" s="2" customFormat="1" x14ac:dyDescent="0.25">
      <c r="B732" s="12"/>
      <c r="D732" s="6"/>
      <c r="E732" s="9"/>
      <c r="F732" s="9"/>
      <c r="H732" s="5"/>
      <c r="I732" s="6"/>
    </row>
    <row r="733" spans="2:9" s="2" customFormat="1" x14ac:dyDescent="0.25">
      <c r="B733" s="12"/>
      <c r="D733" s="6"/>
      <c r="E733" s="9"/>
      <c r="F733" s="9"/>
      <c r="H733" s="5"/>
      <c r="I733" s="6"/>
    </row>
    <row r="734" spans="2:9" s="2" customFormat="1" x14ac:dyDescent="0.25">
      <c r="B734" s="12"/>
      <c r="D734" s="6"/>
      <c r="E734" s="9"/>
      <c r="F734" s="9"/>
      <c r="H734" s="5"/>
      <c r="I734" s="6"/>
    </row>
    <row r="735" spans="2:9" s="2" customFormat="1" x14ac:dyDescent="0.25">
      <c r="B735" s="12"/>
      <c r="D735" s="6"/>
      <c r="E735" s="9"/>
      <c r="F735" s="9"/>
      <c r="H735" s="5"/>
      <c r="I735" s="6"/>
    </row>
    <row r="736" spans="2:9" s="2" customFormat="1" x14ac:dyDescent="0.25">
      <c r="B736" s="12"/>
      <c r="D736" s="6"/>
      <c r="E736" s="9"/>
      <c r="F736" s="9"/>
      <c r="H736" s="5"/>
      <c r="I736" s="6"/>
    </row>
    <row r="737" spans="2:9" s="2" customFormat="1" x14ac:dyDescent="0.25">
      <c r="B737" s="12"/>
      <c r="D737" s="6"/>
      <c r="E737" s="4"/>
      <c r="F737" s="4"/>
      <c r="H737" s="5"/>
      <c r="I737" s="6"/>
    </row>
    <row r="738" spans="2:9" s="2" customFormat="1" x14ac:dyDescent="0.25">
      <c r="B738" s="12"/>
      <c r="D738" s="6"/>
      <c r="E738" s="4"/>
      <c r="F738" s="4"/>
      <c r="H738" s="5"/>
      <c r="I738" s="6"/>
    </row>
    <row r="739" spans="2:9" s="2" customFormat="1" x14ac:dyDescent="0.25">
      <c r="B739" s="12"/>
      <c r="D739" s="6"/>
      <c r="E739" s="4"/>
      <c r="F739" s="4"/>
      <c r="H739" s="5"/>
      <c r="I739" s="6"/>
    </row>
    <row r="740" spans="2:9" s="2" customFormat="1" x14ac:dyDescent="0.25">
      <c r="B740" s="12"/>
      <c r="D740" s="6"/>
      <c r="E740" s="9"/>
      <c r="F740" s="9"/>
      <c r="H740" s="5"/>
      <c r="I740" s="6"/>
    </row>
    <row r="741" spans="2:9" s="2" customFormat="1" x14ac:dyDescent="0.25">
      <c r="B741" s="12"/>
      <c r="D741" s="6"/>
      <c r="E741" s="9"/>
      <c r="F741" s="9"/>
      <c r="H741" s="5"/>
      <c r="I741" s="6"/>
    </row>
    <row r="742" spans="2:9" s="2" customFormat="1" x14ac:dyDescent="0.25">
      <c r="B742" s="12"/>
      <c r="D742" s="6"/>
      <c r="E742" s="9"/>
      <c r="F742" s="9"/>
      <c r="H742" s="5"/>
      <c r="I742" s="6"/>
    </row>
    <row r="743" spans="2:9" s="2" customFormat="1" x14ac:dyDescent="0.25">
      <c r="B743" s="12"/>
      <c r="D743" s="6"/>
      <c r="E743" s="9"/>
      <c r="F743" s="9"/>
      <c r="H743" s="5"/>
      <c r="I743" s="6"/>
    </row>
    <row r="744" spans="2:9" s="2" customFormat="1" x14ac:dyDescent="0.25">
      <c r="B744" s="12"/>
      <c r="D744" s="6"/>
      <c r="E744" s="9"/>
      <c r="F744" s="9"/>
      <c r="H744" s="5"/>
      <c r="I744" s="6"/>
    </row>
    <row r="745" spans="2:9" s="2" customFormat="1" x14ac:dyDescent="0.25">
      <c r="B745" s="12"/>
      <c r="D745" s="6"/>
      <c r="E745" s="9"/>
      <c r="F745" s="9"/>
      <c r="H745" s="5"/>
      <c r="I745" s="6"/>
    </row>
    <row r="746" spans="2:9" s="2" customFormat="1" x14ac:dyDescent="0.25">
      <c r="B746" s="12"/>
      <c r="D746" s="6"/>
      <c r="E746" s="9"/>
      <c r="F746" s="9"/>
      <c r="H746" s="5"/>
      <c r="I746" s="6"/>
    </row>
    <row r="747" spans="2:9" s="2" customFormat="1" x14ac:dyDescent="0.25">
      <c r="B747" s="12"/>
      <c r="D747" s="6"/>
      <c r="E747" s="9"/>
      <c r="F747" s="9"/>
      <c r="H747" s="5"/>
      <c r="I747" s="6"/>
    </row>
    <row r="748" spans="2:9" s="2" customFormat="1" x14ac:dyDescent="0.25">
      <c r="B748" s="12"/>
      <c r="D748" s="6"/>
      <c r="E748" s="9"/>
      <c r="F748" s="9"/>
      <c r="H748" s="5"/>
      <c r="I748" s="6"/>
    </row>
    <row r="749" spans="2:9" s="2" customFormat="1" x14ac:dyDescent="0.25">
      <c r="B749" s="12"/>
      <c r="D749" s="6"/>
      <c r="E749" s="9"/>
      <c r="F749" s="9"/>
      <c r="H749" s="5"/>
      <c r="I749" s="6"/>
    </row>
    <row r="750" spans="2:9" s="2" customFormat="1" x14ac:dyDescent="0.25">
      <c r="B750" s="12"/>
      <c r="D750" s="6"/>
      <c r="E750" s="9"/>
      <c r="F750" s="9"/>
      <c r="H750" s="5"/>
      <c r="I750" s="6"/>
    </row>
    <row r="751" spans="2:9" s="2" customFormat="1" x14ac:dyDescent="0.25">
      <c r="B751" s="12"/>
      <c r="D751" s="6"/>
      <c r="E751" s="4"/>
      <c r="F751" s="4"/>
      <c r="H751" s="5"/>
      <c r="I751" s="6"/>
    </row>
    <row r="752" spans="2:9" s="2" customFormat="1" x14ac:dyDescent="0.25">
      <c r="B752" s="12"/>
      <c r="D752" s="6"/>
      <c r="E752" s="4"/>
      <c r="F752" s="4"/>
      <c r="H752" s="5"/>
      <c r="I752" s="6"/>
    </row>
    <row r="753" spans="2:9" s="2" customFormat="1" x14ac:dyDescent="0.25">
      <c r="B753" s="12"/>
      <c r="D753" s="6"/>
      <c r="E753" s="4"/>
      <c r="F753" s="4"/>
      <c r="H753" s="5"/>
      <c r="I753" s="6"/>
    </row>
    <row r="754" spans="2:9" s="2" customFormat="1" x14ac:dyDescent="0.25">
      <c r="B754" s="12"/>
      <c r="D754" s="6"/>
      <c r="E754" s="9"/>
      <c r="F754" s="9"/>
      <c r="H754" s="5"/>
      <c r="I754" s="6"/>
    </row>
    <row r="755" spans="2:9" s="2" customFormat="1" x14ac:dyDescent="0.25">
      <c r="B755" s="12"/>
      <c r="D755" s="6"/>
      <c r="E755" s="9"/>
      <c r="F755" s="9"/>
      <c r="H755" s="5"/>
      <c r="I755" s="6"/>
    </row>
    <row r="756" spans="2:9" s="2" customFormat="1" x14ac:dyDescent="0.25">
      <c r="B756" s="12"/>
      <c r="D756" s="6"/>
      <c r="E756" s="9"/>
      <c r="F756" s="9"/>
      <c r="H756" s="5"/>
      <c r="I756" s="6"/>
    </row>
    <row r="757" spans="2:9" s="2" customFormat="1" x14ac:dyDescent="0.25">
      <c r="B757" s="12"/>
      <c r="D757" s="6"/>
      <c r="E757" s="9"/>
      <c r="F757" s="9"/>
      <c r="H757" s="5"/>
      <c r="I757" s="6"/>
    </row>
    <row r="758" spans="2:9" s="2" customFormat="1" x14ac:dyDescent="0.25">
      <c r="B758" s="12"/>
      <c r="D758" s="6"/>
      <c r="E758" s="9"/>
      <c r="F758" s="9"/>
      <c r="H758" s="5"/>
      <c r="I758" s="6"/>
    </row>
    <row r="759" spans="2:9" s="2" customFormat="1" x14ac:dyDescent="0.25">
      <c r="B759" s="12"/>
      <c r="D759" s="6"/>
      <c r="E759" s="9"/>
      <c r="F759" s="9"/>
      <c r="H759" s="5"/>
      <c r="I759" s="6"/>
    </row>
    <row r="760" spans="2:9" s="2" customFormat="1" x14ac:dyDescent="0.25">
      <c r="B760" s="12"/>
      <c r="D760" s="6"/>
      <c r="E760" s="9"/>
      <c r="F760" s="9"/>
      <c r="H760" s="5"/>
      <c r="I760" s="6"/>
    </row>
    <row r="761" spans="2:9" s="2" customFormat="1" x14ac:dyDescent="0.25">
      <c r="B761" s="12"/>
      <c r="D761" s="6"/>
      <c r="E761" s="9"/>
      <c r="F761" s="9"/>
      <c r="H761" s="5"/>
      <c r="I761" s="6"/>
    </row>
    <row r="762" spans="2:9" s="2" customFormat="1" x14ac:dyDescent="0.25">
      <c r="B762" s="12"/>
      <c r="D762" s="6"/>
      <c r="E762" s="9"/>
      <c r="F762" s="9"/>
      <c r="H762" s="5"/>
      <c r="I762" s="6"/>
    </row>
    <row r="763" spans="2:9" s="2" customFormat="1" x14ac:dyDescent="0.25">
      <c r="B763" s="12"/>
      <c r="D763" s="6"/>
      <c r="E763" s="9"/>
      <c r="F763" s="9"/>
      <c r="H763" s="5"/>
      <c r="I763" s="6"/>
    </row>
    <row r="764" spans="2:9" s="2" customFormat="1" x14ac:dyDescent="0.25">
      <c r="B764" s="12"/>
      <c r="D764" s="6"/>
      <c r="E764" s="9"/>
      <c r="F764" s="9"/>
      <c r="H764" s="5"/>
      <c r="I764" s="6"/>
    </row>
    <row r="765" spans="2:9" s="2" customFormat="1" x14ac:dyDescent="0.25">
      <c r="B765" s="12"/>
      <c r="D765" s="6"/>
      <c r="E765" s="4"/>
      <c r="F765" s="4"/>
      <c r="H765" s="5"/>
      <c r="I765" s="6"/>
    </row>
    <row r="766" spans="2:9" s="2" customFormat="1" x14ac:dyDescent="0.25">
      <c r="B766" s="12"/>
      <c r="D766" s="6"/>
      <c r="E766" s="4"/>
      <c r="F766" s="4"/>
      <c r="H766" s="5"/>
      <c r="I766" s="6"/>
    </row>
    <row r="767" spans="2:9" s="2" customFormat="1" x14ac:dyDescent="0.25">
      <c r="D767" s="6"/>
      <c r="E767" s="4"/>
      <c r="F767" s="4"/>
      <c r="H767" s="5"/>
      <c r="I767" s="6"/>
    </row>
    <row r="768" spans="2:9" s="2" customFormat="1" x14ac:dyDescent="0.25">
      <c r="B768" s="12"/>
      <c r="D768" s="6"/>
      <c r="E768" s="9"/>
      <c r="F768" s="9"/>
      <c r="H768" s="5"/>
      <c r="I768" s="6"/>
    </row>
    <row r="769" spans="2:9" s="2" customFormat="1" x14ac:dyDescent="0.25">
      <c r="B769" s="12"/>
      <c r="D769" s="6"/>
      <c r="E769" s="9"/>
      <c r="F769" s="9"/>
      <c r="H769" s="5"/>
      <c r="I769" s="6"/>
    </row>
    <row r="770" spans="2:9" s="2" customFormat="1" x14ac:dyDescent="0.25">
      <c r="B770" s="12"/>
      <c r="D770" s="6"/>
      <c r="E770" s="9"/>
      <c r="F770" s="9"/>
      <c r="H770" s="5"/>
      <c r="I770" s="6"/>
    </row>
    <row r="771" spans="2:9" s="2" customFormat="1" x14ac:dyDescent="0.25">
      <c r="B771" s="12"/>
      <c r="D771" s="6"/>
      <c r="E771" s="9"/>
      <c r="F771" s="9"/>
      <c r="H771" s="5"/>
      <c r="I771" s="6"/>
    </row>
    <row r="772" spans="2:9" s="2" customFormat="1" x14ac:dyDescent="0.25">
      <c r="B772" s="12"/>
      <c r="D772" s="6"/>
      <c r="E772" s="9"/>
      <c r="F772" s="9"/>
      <c r="H772" s="5"/>
      <c r="I772" s="6"/>
    </row>
    <row r="773" spans="2:9" s="2" customFormat="1" x14ac:dyDescent="0.25">
      <c r="B773" s="12"/>
      <c r="D773" s="6"/>
      <c r="E773" s="9"/>
      <c r="F773" s="9"/>
      <c r="H773" s="5"/>
      <c r="I773" s="6"/>
    </row>
    <row r="774" spans="2:9" s="2" customFormat="1" x14ac:dyDescent="0.25">
      <c r="B774" s="12"/>
      <c r="D774" s="6"/>
      <c r="E774" s="9"/>
      <c r="F774" s="9"/>
      <c r="H774" s="5"/>
      <c r="I774" s="6"/>
    </row>
    <row r="775" spans="2:9" s="2" customFormat="1" x14ac:dyDescent="0.25">
      <c r="B775" s="12"/>
      <c r="D775" s="6"/>
      <c r="E775" s="9"/>
      <c r="F775" s="9"/>
      <c r="H775" s="5"/>
      <c r="I775" s="6"/>
    </row>
    <row r="776" spans="2:9" s="2" customFormat="1" x14ac:dyDescent="0.25">
      <c r="B776" s="12"/>
      <c r="D776" s="6"/>
      <c r="E776" s="9"/>
      <c r="F776" s="9"/>
      <c r="H776" s="5"/>
      <c r="I776" s="6"/>
    </row>
    <row r="777" spans="2:9" s="2" customFormat="1" x14ac:dyDescent="0.25">
      <c r="B777" s="12"/>
      <c r="D777" s="6"/>
      <c r="E777" s="9"/>
      <c r="F777" s="9"/>
      <c r="H777" s="5"/>
      <c r="I777" s="6"/>
    </row>
    <row r="778" spans="2:9" s="2" customFormat="1" x14ac:dyDescent="0.25">
      <c r="B778" s="12"/>
      <c r="D778" s="6"/>
      <c r="E778" s="9"/>
      <c r="F778" s="9"/>
      <c r="H778" s="5"/>
      <c r="I778" s="6"/>
    </row>
    <row r="779" spans="2:9" s="2" customFormat="1" x14ac:dyDescent="0.25">
      <c r="B779" s="12"/>
      <c r="D779" s="6"/>
      <c r="E779" s="4"/>
      <c r="F779" s="4"/>
      <c r="H779" s="5"/>
      <c r="I779" s="6"/>
    </row>
    <row r="780" spans="2:9" s="2" customFormat="1" x14ac:dyDescent="0.25">
      <c r="B780" s="12"/>
      <c r="D780" s="6"/>
      <c r="E780" s="4"/>
      <c r="F780" s="4"/>
      <c r="H780" s="5"/>
      <c r="I780" s="6"/>
    </row>
    <row r="781" spans="2:9" s="2" customFormat="1" x14ac:dyDescent="0.25">
      <c r="D781" s="6"/>
      <c r="E781" s="4"/>
      <c r="F781" s="4"/>
      <c r="H781" s="5"/>
      <c r="I781" s="6"/>
    </row>
    <row r="782" spans="2:9" s="2" customFormat="1" x14ac:dyDescent="0.25">
      <c r="D782" s="6"/>
      <c r="E782" s="9"/>
      <c r="F782" s="9"/>
      <c r="H782" s="5"/>
      <c r="I782" s="6"/>
    </row>
    <row r="783" spans="2:9" s="2" customFormat="1" x14ac:dyDescent="0.25">
      <c r="D783" s="6"/>
      <c r="E783" s="9"/>
      <c r="F783" s="9"/>
      <c r="H783" s="5"/>
      <c r="I783" s="6"/>
    </row>
    <row r="784" spans="2:9" s="2" customFormat="1" x14ac:dyDescent="0.25">
      <c r="D784" s="6"/>
      <c r="E784" s="9"/>
      <c r="F784" s="9"/>
      <c r="H784" s="5"/>
      <c r="I784" s="6"/>
    </row>
    <row r="785" spans="4:9" s="2" customFormat="1" x14ac:dyDescent="0.25">
      <c r="D785" s="6"/>
      <c r="E785" s="9"/>
      <c r="F785" s="9"/>
      <c r="H785" s="5"/>
      <c r="I785" s="6"/>
    </row>
    <row r="786" spans="4:9" s="2" customFormat="1" x14ac:dyDescent="0.25">
      <c r="D786" s="6"/>
      <c r="E786" s="9"/>
      <c r="F786" s="9"/>
      <c r="H786" s="5"/>
      <c r="I786" s="6"/>
    </row>
    <row r="787" spans="4:9" s="2" customFormat="1" x14ac:dyDescent="0.25">
      <c r="D787" s="6"/>
      <c r="E787" s="9"/>
      <c r="F787" s="9"/>
      <c r="H787" s="5"/>
      <c r="I787" s="6"/>
    </row>
    <row r="788" spans="4:9" s="2" customFormat="1" x14ac:dyDescent="0.25">
      <c r="D788" s="6"/>
      <c r="E788" s="9"/>
      <c r="F788" s="9"/>
      <c r="H788" s="5"/>
      <c r="I788" s="6"/>
    </row>
    <row r="789" spans="4:9" s="2" customFormat="1" x14ac:dyDescent="0.25">
      <c r="D789" s="6"/>
      <c r="E789" s="9"/>
      <c r="F789" s="9"/>
      <c r="H789" s="5"/>
      <c r="I789" s="6"/>
    </row>
    <row r="790" spans="4:9" s="2" customFormat="1" x14ac:dyDescent="0.25">
      <c r="D790" s="6"/>
      <c r="E790" s="9"/>
      <c r="F790" s="9"/>
      <c r="H790" s="5"/>
      <c r="I790" s="6"/>
    </row>
    <row r="791" spans="4:9" s="2" customFormat="1" x14ac:dyDescent="0.25">
      <c r="D791" s="6"/>
      <c r="E791" s="9"/>
      <c r="F791" s="9"/>
      <c r="H791" s="5"/>
      <c r="I791" s="6"/>
    </row>
    <row r="792" spans="4:9" s="2" customFormat="1" x14ac:dyDescent="0.25">
      <c r="D792" s="6"/>
      <c r="E792" s="9"/>
      <c r="F792" s="9"/>
      <c r="H792" s="5"/>
      <c r="I792" s="6"/>
    </row>
    <row r="793" spans="4:9" s="2" customFormat="1" x14ac:dyDescent="0.25">
      <c r="D793" s="6"/>
      <c r="E793" s="4"/>
      <c r="F793" s="4"/>
      <c r="H793" s="5"/>
      <c r="I793" s="6"/>
    </row>
    <row r="794" spans="4:9" s="2" customFormat="1" x14ac:dyDescent="0.25">
      <c r="D794" s="6"/>
      <c r="E794" s="4"/>
      <c r="F794" s="4"/>
      <c r="H794" s="5"/>
      <c r="I794" s="6"/>
    </row>
    <row r="795" spans="4:9" s="2" customFormat="1" x14ac:dyDescent="0.25">
      <c r="D795" s="6"/>
      <c r="E795" s="4"/>
      <c r="F795" s="4"/>
      <c r="H795" s="5"/>
      <c r="I795" s="6"/>
    </row>
    <row r="796" spans="4:9" s="2" customFormat="1" x14ac:dyDescent="0.25">
      <c r="D796" s="6"/>
      <c r="E796" s="9"/>
      <c r="F796" s="9"/>
      <c r="H796" s="5"/>
      <c r="I796" s="6"/>
    </row>
    <row r="797" spans="4:9" s="2" customFormat="1" x14ac:dyDescent="0.25">
      <c r="D797" s="6"/>
      <c r="E797" s="9"/>
      <c r="F797" s="9"/>
      <c r="H797" s="5"/>
      <c r="I797" s="6"/>
    </row>
    <row r="798" spans="4:9" s="2" customFormat="1" x14ac:dyDescent="0.25">
      <c r="D798" s="6"/>
      <c r="E798" s="9"/>
      <c r="F798" s="9"/>
      <c r="H798" s="5"/>
      <c r="I798" s="6"/>
    </row>
    <row r="799" spans="4:9" s="2" customFormat="1" x14ac:dyDescent="0.25">
      <c r="D799" s="6"/>
      <c r="E799" s="9"/>
      <c r="F799" s="9"/>
      <c r="H799" s="5"/>
      <c r="I799" s="6"/>
    </row>
    <row r="800" spans="4:9" s="2" customFormat="1" x14ac:dyDescent="0.25">
      <c r="D800" s="6"/>
      <c r="E800" s="9"/>
      <c r="F800" s="9"/>
      <c r="H800" s="5"/>
      <c r="I800" s="6"/>
    </row>
    <row r="801" spans="4:9" s="2" customFormat="1" x14ac:dyDescent="0.25">
      <c r="D801" s="6"/>
      <c r="E801" s="9"/>
      <c r="F801" s="9"/>
      <c r="H801" s="5"/>
      <c r="I801" s="6"/>
    </row>
    <row r="802" spans="4:9" s="2" customFormat="1" x14ac:dyDescent="0.25">
      <c r="D802" s="6"/>
      <c r="E802" s="9"/>
      <c r="F802" s="9"/>
      <c r="H802" s="5"/>
      <c r="I802" s="6"/>
    </row>
    <row r="803" spans="4:9" s="2" customFormat="1" x14ac:dyDescent="0.25">
      <c r="D803" s="6"/>
      <c r="E803" s="9"/>
      <c r="F803" s="9"/>
      <c r="H803" s="5"/>
      <c r="I803" s="6"/>
    </row>
    <row r="804" spans="4:9" s="2" customFormat="1" x14ac:dyDescent="0.25">
      <c r="D804" s="6"/>
      <c r="E804" s="9"/>
      <c r="F804" s="9"/>
      <c r="H804" s="5"/>
      <c r="I804" s="6"/>
    </row>
    <row r="805" spans="4:9" s="2" customFormat="1" x14ac:dyDescent="0.25">
      <c r="D805" s="6"/>
      <c r="E805" s="9"/>
      <c r="F805" s="9"/>
      <c r="H805" s="5"/>
      <c r="I805" s="6"/>
    </row>
    <row r="806" spans="4:9" s="2" customFormat="1" x14ac:dyDescent="0.25">
      <c r="D806" s="6"/>
      <c r="E806" s="9"/>
      <c r="F806" s="9"/>
      <c r="H806" s="5"/>
      <c r="I806" s="6"/>
    </row>
    <row r="807" spans="4:9" s="2" customFormat="1" x14ac:dyDescent="0.25">
      <c r="D807" s="6"/>
      <c r="E807" s="4"/>
      <c r="F807" s="4"/>
      <c r="H807" s="5"/>
      <c r="I807" s="6"/>
    </row>
    <row r="808" spans="4:9" s="2" customFormat="1" x14ac:dyDescent="0.25">
      <c r="D808" s="6"/>
      <c r="E808" s="4"/>
      <c r="F808" s="4"/>
      <c r="H808" s="5"/>
      <c r="I808" s="6"/>
    </row>
    <row r="809" spans="4:9" s="2" customFormat="1" x14ac:dyDescent="0.25">
      <c r="D809" s="6"/>
      <c r="E809" s="4"/>
      <c r="F809" s="4"/>
      <c r="H809" s="5"/>
      <c r="I809" s="6"/>
    </row>
    <row r="810" spans="4:9" s="2" customFormat="1" x14ac:dyDescent="0.25">
      <c r="D810" s="6"/>
      <c r="E810" s="9"/>
      <c r="F810" s="9"/>
      <c r="H810" s="5"/>
      <c r="I810" s="6"/>
    </row>
    <row r="811" spans="4:9" s="2" customFormat="1" x14ac:dyDescent="0.25">
      <c r="D811" s="6"/>
      <c r="E811" s="9"/>
      <c r="F811" s="9"/>
      <c r="H811" s="5"/>
      <c r="I811" s="6"/>
    </row>
    <row r="812" spans="4:9" s="2" customFormat="1" x14ac:dyDescent="0.25">
      <c r="D812" s="6"/>
      <c r="E812" s="9"/>
      <c r="F812" s="9"/>
      <c r="H812" s="5"/>
      <c r="I812" s="6"/>
    </row>
    <row r="813" spans="4:9" s="2" customFormat="1" x14ac:dyDescent="0.25">
      <c r="D813" s="6"/>
      <c r="E813" s="9"/>
      <c r="F813" s="9"/>
      <c r="H813" s="5"/>
      <c r="I813" s="6"/>
    </row>
    <row r="814" spans="4:9" s="2" customFormat="1" x14ac:dyDescent="0.25">
      <c r="D814" s="6"/>
      <c r="E814" s="9"/>
      <c r="F814" s="9"/>
      <c r="H814" s="5"/>
      <c r="I814" s="6"/>
    </row>
    <row r="815" spans="4:9" s="2" customFormat="1" x14ac:dyDescent="0.25">
      <c r="D815" s="6"/>
      <c r="E815" s="9"/>
      <c r="F815" s="9"/>
      <c r="H815" s="5"/>
      <c r="I815" s="6"/>
    </row>
    <row r="816" spans="4:9" s="2" customFormat="1" x14ac:dyDescent="0.25">
      <c r="D816" s="6"/>
      <c r="E816" s="9"/>
      <c r="F816" s="9"/>
      <c r="H816" s="5"/>
      <c r="I816" s="6"/>
    </row>
    <row r="817" spans="4:9" s="2" customFormat="1" x14ac:dyDescent="0.25">
      <c r="D817" s="6"/>
      <c r="E817" s="9"/>
      <c r="F817" s="9"/>
      <c r="H817" s="5"/>
      <c r="I817" s="6"/>
    </row>
    <row r="818" spans="4:9" s="2" customFormat="1" x14ac:dyDescent="0.25">
      <c r="D818" s="6"/>
      <c r="E818" s="9"/>
      <c r="F818" s="9"/>
      <c r="H818" s="5"/>
      <c r="I818" s="6"/>
    </row>
    <row r="819" spans="4:9" s="2" customFormat="1" x14ac:dyDescent="0.25">
      <c r="D819" s="6"/>
      <c r="E819" s="9"/>
      <c r="F819" s="9"/>
      <c r="H819" s="5"/>
      <c r="I819" s="6"/>
    </row>
    <row r="820" spans="4:9" s="2" customFormat="1" x14ac:dyDescent="0.25">
      <c r="D820" s="6"/>
      <c r="E820" s="9"/>
      <c r="F820" s="9"/>
      <c r="H820" s="5"/>
      <c r="I820" s="6"/>
    </row>
    <row r="821" spans="4:9" s="2" customFormat="1" x14ac:dyDescent="0.25">
      <c r="D821" s="6"/>
      <c r="E821" s="4"/>
      <c r="F821" s="4"/>
      <c r="H821" s="5"/>
      <c r="I821" s="6"/>
    </row>
    <row r="822" spans="4:9" s="2" customFormat="1" x14ac:dyDescent="0.25">
      <c r="D822" s="6"/>
      <c r="E822" s="4"/>
      <c r="F822" s="4"/>
      <c r="H822" s="5"/>
      <c r="I822" s="6"/>
    </row>
    <row r="823" spans="4:9" s="2" customFormat="1" x14ac:dyDescent="0.25">
      <c r="D823" s="6"/>
      <c r="E823" s="4"/>
      <c r="F823" s="4"/>
      <c r="H823" s="5"/>
      <c r="I823" s="6"/>
    </row>
    <row r="824" spans="4:9" s="2" customFormat="1" x14ac:dyDescent="0.25">
      <c r="D824" s="6"/>
      <c r="E824" s="9"/>
      <c r="F824" s="9"/>
      <c r="H824" s="5"/>
      <c r="I824" s="6"/>
    </row>
    <row r="825" spans="4:9" s="2" customFormat="1" x14ac:dyDescent="0.25">
      <c r="D825" s="6"/>
      <c r="E825" s="9"/>
      <c r="F825" s="9"/>
      <c r="H825" s="5"/>
      <c r="I825" s="6"/>
    </row>
    <row r="826" spans="4:9" s="2" customFormat="1" x14ac:dyDescent="0.25">
      <c r="D826" s="6"/>
      <c r="E826" s="9"/>
      <c r="F826" s="9"/>
      <c r="H826" s="5"/>
      <c r="I826" s="6"/>
    </row>
    <row r="827" spans="4:9" s="2" customFormat="1" x14ac:dyDescent="0.25">
      <c r="D827" s="6"/>
      <c r="E827" s="9"/>
      <c r="F827" s="9"/>
      <c r="H827" s="5"/>
      <c r="I827" s="6"/>
    </row>
    <row r="828" spans="4:9" s="2" customFormat="1" x14ac:dyDescent="0.25">
      <c r="D828" s="6"/>
      <c r="E828" s="9"/>
      <c r="F828" s="9"/>
      <c r="H828" s="5"/>
      <c r="I828" s="6"/>
    </row>
    <row r="829" spans="4:9" s="2" customFormat="1" x14ac:dyDescent="0.25">
      <c r="D829" s="6"/>
      <c r="E829" s="9"/>
      <c r="F829" s="9"/>
      <c r="H829" s="5"/>
      <c r="I829" s="6"/>
    </row>
    <row r="830" spans="4:9" s="2" customFormat="1" x14ac:dyDescent="0.25">
      <c r="D830" s="6"/>
      <c r="E830" s="9"/>
      <c r="F830" s="9"/>
      <c r="H830" s="5"/>
      <c r="I830" s="6"/>
    </row>
    <row r="831" spans="4:9" s="2" customFormat="1" x14ac:dyDescent="0.25">
      <c r="D831" s="6"/>
      <c r="E831" s="9"/>
      <c r="F831" s="9"/>
      <c r="H831" s="5"/>
      <c r="I831" s="6"/>
    </row>
    <row r="832" spans="4:9" s="2" customFormat="1" x14ac:dyDescent="0.25">
      <c r="D832" s="6"/>
      <c r="E832" s="9"/>
      <c r="F832" s="9"/>
      <c r="H832" s="5"/>
      <c r="I832" s="6"/>
    </row>
    <row r="833" spans="4:9" s="2" customFormat="1" x14ac:dyDescent="0.25">
      <c r="D833" s="6"/>
      <c r="E833" s="9"/>
      <c r="F833" s="9"/>
      <c r="H833" s="5"/>
      <c r="I833" s="6"/>
    </row>
    <row r="834" spans="4:9" s="2" customFormat="1" x14ac:dyDescent="0.25">
      <c r="D834" s="6"/>
      <c r="E834" s="9"/>
      <c r="F834" s="9"/>
      <c r="H834" s="5"/>
      <c r="I834" s="6"/>
    </row>
    <row r="835" spans="4:9" s="2" customFormat="1" x14ac:dyDescent="0.25">
      <c r="D835" s="6"/>
      <c r="E835" s="4"/>
      <c r="F835" s="4"/>
      <c r="H835" s="5"/>
      <c r="I835" s="6"/>
    </row>
    <row r="836" spans="4:9" s="2" customFormat="1" x14ac:dyDescent="0.25">
      <c r="D836" s="6"/>
      <c r="E836" s="4"/>
      <c r="F836" s="4"/>
      <c r="H836" s="5"/>
      <c r="I836" s="6"/>
    </row>
    <row r="837" spans="4:9" s="2" customFormat="1" x14ac:dyDescent="0.25">
      <c r="D837" s="6"/>
      <c r="E837" s="4"/>
      <c r="F837" s="4"/>
      <c r="H837" s="5"/>
      <c r="I837" s="6"/>
    </row>
    <row r="838" spans="4:9" s="2" customFormat="1" x14ac:dyDescent="0.25">
      <c r="D838" s="6"/>
      <c r="E838" s="9"/>
      <c r="F838" s="9"/>
      <c r="H838" s="5"/>
      <c r="I838" s="6"/>
    </row>
    <row r="839" spans="4:9" s="2" customFormat="1" x14ac:dyDescent="0.25">
      <c r="D839" s="6"/>
      <c r="E839" s="9"/>
      <c r="F839" s="9"/>
      <c r="H839" s="5"/>
      <c r="I839" s="6"/>
    </row>
    <row r="840" spans="4:9" s="2" customFormat="1" x14ac:dyDescent="0.25">
      <c r="D840" s="6"/>
      <c r="E840" s="9"/>
      <c r="F840" s="9"/>
      <c r="H840" s="5"/>
      <c r="I840" s="6"/>
    </row>
    <row r="841" spans="4:9" s="2" customFormat="1" x14ac:dyDescent="0.25">
      <c r="D841" s="6"/>
      <c r="E841" s="9"/>
      <c r="F841" s="9"/>
      <c r="H841" s="5"/>
      <c r="I841" s="6"/>
    </row>
    <row r="842" spans="4:9" s="2" customFormat="1" x14ac:dyDescent="0.25">
      <c r="D842" s="6"/>
      <c r="E842" s="9"/>
      <c r="F842" s="9"/>
      <c r="H842" s="5"/>
      <c r="I842" s="6"/>
    </row>
    <row r="843" spans="4:9" s="2" customFormat="1" x14ac:dyDescent="0.25">
      <c r="D843" s="6"/>
      <c r="E843" s="9"/>
      <c r="F843" s="9"/>
      <c r="H843" s="5"/>
      <c r="I843" s="6"/>
    </row>
    <row r="844" spans="4:9" s="2" customFormat="1" x14ac:dyDescent="0.25">
      <c r="D844" s="6"/>
      <c r="E844" s="9"/>
      <c r="F844" s="9"/>
      <c r="H844" s="5"/>
      <c r="I844" s="6"/>
    </row>
    <row r="845" spans="4:9" s="2" customFormat="1" x14ac:dyDescent="0.25">
      <c r="D845" s="6"/>
      <c r="E845" s="9"/>
      <c r="F845" s="9"/>
      <c r="H845" s="5"/>
      <c r="I845" s="6"/>
    </row>
    <row r="846" spans="4:9" s="2" customFormat="1" x14ac:dyDescent="0.25">
      <c r="D846" s="6"/>
      <c r="E846" s="9"/>
      <c r="F846" s="9"/>
      <c r="H846" s="5"/>
      <c r="I846" s="6"/>
    </row>
    <row r="847" spans="4:9" s="2" customFormat="1" x14ac:dyDescent="0.25">
      <c r="D847" s="6"/>
      <c r="E847" s="9"/>
      <c r="F847" s="9"/>
      <c r="H847" s="5"/>
      <c r="I847" s="6"/>
    </row>
    <row r="848" spans="4:9" s="2" customFormat="1" x14ac:dyDescent="0.25">
      <c r="D848" s="6"/>
      <c r="E848" s="9"/>
      <c r="F848" s="9"/>
      <c r="H848" s="5"/>
      <c r="I848" s="6"/>
    </row>
    <row r="849" spans="3:9" s="2" customFormat="1" x14ac:dyDescent="0.25">
      <c r="D849" s="6"/>
      <c r="E849" s="4"/>
      <c r="F849" s="4"/>
      <c r="H849" s="5"/>
      <c r="I849" s="6"/>
    </row>
    <row r="850" spans="3:9" x14ac:dyDescent="0.25">
      <c r="C850" s="2"/>
      <c r="D850" s="6"/>
      <c r="E850" s="4"/>
      <c r="F850" s="4"/>
      <c r="G850" s="2"/>
      <c r="H850" s="5"/>
      <c r="I850" s="6"/>
    </row>
    <row r="851" spans="3:9" s="2" customFormat="1" x14ac:dyDescent="0.25">
      <c r="D851" s="6"/>
      <c r="E851" s="4"/>
      <c r="F851" s="4"/>
      <c r="H851" s="5"/>
      <c r="I851" s="6"/>
    </row>
    <row r="852" spans="3:9" x14ac:dyDescent="0.25">
      <c r="C852" s="2"/>
      <c r="D852" s="6"/>
      <c r="E852" s="9"/>
      <c r="F852" s="9"/>
      <c r="G852" s="2"/>
      <c r="H852" s="5"/>
      <c r="I852" s="6"/>
    </row>
    <row r="853" spans="3:9" x14ac:dyDescent="0.25">
      <c r="C853" s="2"/>
      <c r="D853" s="6"/>
      <c r="E853" s="9"/>
      <c r="F853" s="9"/>
      <c r="G853" s="2"/>
      <c r="H853" s="5"/>
      <c r="I853" s="6"/>
    </row>
    <row r="854" spans="3:9" x14ac:dyDescent="0.25">
      <c r="C854" s="2"/>
      <c r="D854" s="6"/>
      <c r="E854" s="9"/>
      <c r="F854" s="9"/>
      <c r="G854" s="2"/>
      <c r="H854" s="5"/>
      <c r="I854" s="6"/>
    </row>
    <row r="855" spans="3:9" x14ac:dyDescent="0.25">
      <c r="C855" s="2"/>
      <c r="D855" s="6"/>
      <c r="E855" s="9"/>
      <c r="F855" s="9"/>
      <c r="G855" s="2"/>
      <c r="H855" s="5"/>
      <c r="I855" s="6"/>
    </row>
    <row r="856" spans="3:9" x14ac:dyDescent="0.25">
      <c r="C856" s="2"/>
      <c r="D856" s="6"/>
      <c r="E856" s="9"/>
      <c r="F856" s="9"/>
      <c r="G856" s="2"/>
      <c r="H856" s="5"/>
      <c r="I856" s="6"/>
    </row>
    <row r="857" spans="3:9" x14ac:dyDescent="0.25">
      <c r="C857" s="2"/>
      <c r="D857" s="6"/>
      <c r="E857" s="9"/>
      <c r="F857" s="9"/>
      <c r="G857" s="2"/>
      <c r="H857" s="5"/>
      <c r="I857" s="6"/>
    </row>
    <row r="858" spans="3:9" x14ac:dyDescent="0.25">
      <c r="C858" s="2"/>
      <c r="D858" s="6"/>
      <c r="E858" s="9"/>
      <c r="F858" s="9"/>
      <c r="G858" s="2"/>
      <c r="H858" s="5"/>
      <c r="I858" s="6"/>
    </row>
    <row r="859" spans="3:9" x14ac:dyDescent="0.25">
      <c r="C859" s="2"/>
      <c r="D859" s="6"/>
      <c r="E859" s="9"/>
      <c r="F859" s="9"/>
      <c r="G859" s="2"/>
      <c r="H859" s="5"/>
      <c r="I859" s="6"/>
    </row>
    <row r="860" spans="3:9" x14ac:dyDescent="0.25">
      <c r="C860" s="2"/>
      <c r="D860" s="6"/>
      <c r="E860" s="9"/>
      <c r="F860" s="9"/>
      <c r="G860" s="2"/>
      <c r="H860" s="5"/>
      <c r="I860" s="6"/>
    </row>
    <row r="861" spans="3:9" x14ac:dyDescent="0.25">
      <c r="C861" s="2"/>
      <c r="D861" s="6"/>
      <c r="E861" s="9"/>
      <c r="F861" s="9"/>
      <c r="G861" s="2"/>
      <c r="H861" s="5"/>
      <c r="I861" s="6"/>
    </row>
    <row r="862" spans="3:9" x14ac:dyDescent="0.25">
      <c r="C862" s="2"/>
      <c r="D862" s="6"/>
      <c r="E862" s="9"/>
      <c r="F862" s="9"/>
      <c r="G862" s="2"/>
      <c r="H862" s="5"/>
      <c r="I862" s="6"/>
    </row>
    <row r="863" spans="3:9" x14ac:dyDescent="0.25">
      <c r="C863" s="2"/>
      <c r="D863" s="6"/>
      <c r="E863" s="4"/>
      <c r="F863" s="4"/>
      <c r="G863" s="2"/>
      <c r="H863" s="5"/>
      <c r="I863" s="6"/>
    </row>
    <row r="864" spans="3:9" x14ac:dyDescent="0.25">
      <c r="C864" s="2"/>
      <c r="D864" s="6"/>
      <c r="E864" s="4"/>
      <c r="F864" s="4"/>
      <c r="G864" s="2"/>
      <c r="H864" s="5"/>
      <c r="I864" s="6"/>
    </row>
  </sheetData>
  <sortState ref="A2:I188">
    <sortCondition ref="A1"/>
  </sortState>
  <conditionalFormatting sqref="I865:I1048576 I837 I823 I809 I795 I781 I767 I753 I739 I725 I711 I697 I683 I669 I655 I641 I627 I613 I599 I585 I570 I555 I1:I31 I526 I511 I496 I481 I466 I451 I436 I421 I406 I391 I376 I361 I346 I331 I316 I301 I286 I271 I256 I241 I226 I211 I196 I181 I166 I151 I136 I121 I106 I91 I76 I61 I46">
    <cfRule type="cellIs" dxfId="57" priority="68" operator="greaterThan">
      <formula>0</formula>
    </cfRule>
  </conditionalFormatting>
  <conditionalFormatting sqref="I852:I864">
    <cfRule type="cellIs" dxfId="56" priority="65" operator="greaterThan">
      <formula>0</formula>
    </cfRule>
  </conditionalFormatting>
  <conditionalFormatting sqref="I838:I851">
    <cfRule type="cellIs" dxfId="55" priority="56" operator="greaterThan">
      <formula>0</formula>
    </cfRule>
  </conditionalFormatting>
  <conditionalFormatting sqref="I824:I836">
    <cfRule type="cellIs" dxfId="54" priority="55" operator="greaterThan">
      <formula>0</formula>
    </cfRule>
  </conditionalFormatting>
  <conditionalFormatting sqref="I810:I822">
    <cfRule type="cellIs" dxfId="53" priority="54" operator="greaterThan">
      <formula>0</formula>
    </cfRule>
  </conditionalFormatting>
  <conditionalFormatting sqref="I796:I808">
    <cfRule type="cellIs" dxfId="52" priority="53" operator="greaterThan">
      <formula>0</formula>
    </cfRule>
  </conditionalFormatting>
  <conditionalFormatting sqref="I782:I794">
    <cfRule type="cellIs" dxfId="51" priority="52" operator="greaterThan">
      <formula>0</formula>
    </cfRule>
  </conditionalFormatting>
  <conditionalFormatting sqref="I768:I780">
    <cfRule type="cellIs" dxfId="50" priority="51" operator="greaterThan">
      <formula>0</formula>
    </cfRule>
  </conditionalFormatting>
  <conditionalFormatting sqref="I754:I766">
    <cfRule type="cellIs" dxfId="49" priority="50" operator="greaterThan">
      <formula>0</formula>
    </cfRule>
  </conditionalFormatting>
  <conditionalFormatting sqref="I740:I752">
    <cfRule type="cellIs" dxfId="48" priority="49" operator="greaterThan">
      <formula>0</formula>
    </cfRule>
  </conditionalFormatting>
  <conditionalFormatting sqref="I726:I738">
    <cfRule type="cellIs" dxfId="47" priority="48" operator="greaterThan">
      <formula>0</formula>
    </cfRule>
  </conditionalFormatting>
  <conditionalFormatting sqref="I712:I724">
    <cfRule type="cellIs" dxfId="46" priority="47" operator="greaterThan">
      <formula>0</formula>
    </cfRule>
  </conditionalFormatting>
  <conditionalFormatting sqref="I698:I710">
    <cfRule type="cellIs" dxfId="45" priority="46" operator="greaterThan">
      <formula>0</formula>
    </cfRule>
  </conditionalFormatting>
  <conditionalFormatting sqref="I684:I696">
    <cfRule type="cellIs" dxfId="44" priority="45" operator="greaterThan">
      <formula>0</formula>
    </cfRule>
  </conditionalFormatting>
  <conditionalFormatting sqref="I670:I682">
    <cfRule type="cellIs" dxfId="43" priority="44" operator="greaterThan">
      <formula>0</formula>
    </cfRule>
  </conditionalFormatting>
  <conditionalFormatting sqref="I656:I668">
    <cfRule type="cellIs" dxfId="42" priority="43" operator="greaterThan">
      <formula>0</formula>
    </cfRule>
  </conditionalFormatting>
  <conditionalFormatting sqref="I642:I654">
    <cfRule type="cellIs" dxfId="41" priority="42" operator="greaterThan">
      <formula>0</formula>
    </cfRule>
  </conditionalFormatting>
  <conditionalFormatting sqref="I628:I640">
    <cfRule type="cellIs" dxfId="40" priority="41" operator="greaterThan">
      <formula>0</formula>
    </cfRule>
  </conditionalFormatting>
  <conditionalFormatting sqref="I614:I626">
    <cfRule type="cellIs" dxfId="39" priority="40" operator="greaterThan">
      <formula>0</formula>
    </cfRule>
  </conditionalFormatting>
  <conditionalFormatting sqref="I600:I612">
    <cfRule type="cellIs" dxfId="38" priority="39" operator="greaterThan">
      <formula>0</formula>
    </cfRule>
  </conditionalFormatting>
  <conditionalFormatting sqref="I586:I598">
    <cfRule type="cellIs" dxfId="37" priority="38" operator="greaterThan">
      <formula>0</formula>
    </cfRule>
  </conditionalFormatting>
  <conditionalFormatting sqref="I571:I584">
    <cfRule type="cellIs" dxfId="36" priority="37" operator="greaterThan">
      <formula>0</formula>
    </cfRule>
  </conditionalFormatting>
  <conditionalFormatting sqref="I556:I569">
    <cfRule type="cellIs" dxfId="35" priority="36" operator="greaterThan">
      <formula>0</formula>
    </cfRule>
  </conditionalFormatting>
  <conditionalFormatting sqref="I541:I554">
    <cfRule type="cellIs" dxfId="34" priority="35" operator="greaterThan">
      <formula>0</formula>
    </cfRule>
  </conditionalFormatting>
  <conditionalFormatting sqref="I527:I540">
    <cfRule type="cellIs" dxfId="33" priority="34" operator="greaterThan">
      <formula>0</formula>
    </cfRule>
  </conditionalFormatting>
  <conditionalFormatting sqref="I512:I525">
    <cfRule type="cellIs" dxfId="32" priority="33" operator="greaterThan">
      <formula>0</formula>
    </cfRule>
  </conditionalFormatting>
  <conditionalFormatting sqref="I497:I510">
    <cfRule type="cellIs" dxfId="31" priority="32" operator="greaterThan">
      <formula>0</formula>
    </cfRule>
  </conditionalFormatting>
  <conditionalFormatting sqref="I482:I495">
    <cfRule type="cellIs" dxfId="30" priority="31" operator="greaterThan">
      <formula>0</formula>
    </cfRule>
  </conditionalFormatting>
  <conditionalFormatting sqref="I467:I480">
    <cfRule type="cellIs" dxfId="29" priority="30" operator="greaterThan">
      <formula>0</formula>
    </cfRule>
  </conditionalFormatting>
  <conditionalFormatting sqref="I452:I465">
    <cfRule type="cellIs" dxfId="28" priority="29" operator="greaterThan">
      <formula>0</formula>
    </cfRule>
  </conditionalFormatting>
  <conditionalFormatting sqref="I437:I450">
    <cfRule type="cellIs" dxfId="27" priority="28" operator="greaterThan">
      <formula>0</formula>
    </cfRule>
  </conditionalFormatting>
  <conditionalFormatting sqref="I422:I435">
    <cfRule type="cellIs" dxfId="26" priority="27" operator="greaterThan">
      <formula>0</formula>
    </cfRule>
  </conditionalFormatting>
  <conditionalFormatting sqref="I407:I420">
    <cfRule type="cellIs" dxfId="25" priority="26" operator="greaterThan">
      <formula>0</formula>
    </cfRule>
  </conditionalFormatting>
  <conditionalFormatting sqref="I392:I405">
    <cfRule type="cellIs" dxfId="24" priority="25" operator="greaterThan">
      <formula>0</formula>
    </cfRule>
  </conditionalFormatting>
  <conditionalFormatting sqref="I377:I390">
    <cfRule type="cellIs" dxfId="23" priority="24" operator="greaterThan">
      <formula>0</formula>
    </cfRule>
  </conditionalFormatting>
  <conditionalFormatting sqref="I362:I375">
    <cfRule type="cellIs" dxfId="22" priority="23" operator="greaterThan">
      <formula>0</formula>
    </cfRule>
  </conditionalFormatting>
  <conditionalFormatting sqref="I347:I360">
    <cfRule type="cellIs" dxfId="21" priority="22" operator="greaterThan">
      <formula>0</formula>
    </cfRule>
  </conditionalFormatting>
  <conditionalFormatting sqref="I332:I345">
    <cfRule type="cellIs" dxfId="20" priority="21" operator="greaterThan">
      <formula>0</formula>
    </cfRule>
  </conditionalFormatting>
  <conditionalFormatting sqref="I317:I330">
    <cfRule type="cellIs" dxfId="19" priority="20" operator="greaterThan">
      <formula>0</formula>
    </cfRule>
  </conditionalFormatting>
  <conditionalFormatting sqref="I302:I315">
    <cfRule type="cellIs" dxfId="18" priority="19" operator="greaterThan">
      <formula>0</formula>
    </cfRule>
  </conditionalFormatting>
  <conditionalFormatting sqref="I287:I300">
    <cfRule type="cellIs" dxfId="17" priority="18" operator="greaterThan">
      <formula>0</formula>
    </cfRule>
  </conditionalFormatting>
  <conditionalFormatting sqref="I272:I285">
    <cfRule type="cellIs" dxfId="16" priority="17" operator="greaterThan">
      <formula>0</formula>
    </cfRule>
  </conditionalFormatting>
  <conditionalFormatting sqref="I257:I270">
    <cfRule type="cellIs" dxfId="15" priority="16" operator="greaterThan">
      <formula>0</formula>
    </cfRule>
  </conditionalFormatting>
  <conditionalFormatting sqref="I242:I255">
    <cfRule type="cellIs" dxfId="14" priority="15" operator="greaterThan">
      <formula>0</formula>
    </cfRule>
  </conditionalFormatting>
  <conditionalFormatting sqref="I227:I240">
    <cfRule type="cellIs" dxfId="13" priority="14" operator="greaterThan">
      <formula>0</formula>
    </cfRule>
  </conditionalFormatting>
  <conditionalFormatting sqref="I212:I225">
    <cfRule type="cellIs" dxfId="12" priority="13" operator="greaterThan">
      <formula>0</formula>
    </cfRule>
  </conditionalFormatting>
  <conditionalFormatting sqref="I197:I210">
    <cfRule type="cellIs" dxfId="11" priority="12" operator="greaterThan">
      <formula>0</formula>
    </cfRule>
  </conditionalFormatting>
  <conditionalFormatting sqref="I182:I195">
    <cfRule type="cellIs" dxfId="10" priority="11" operator="greaterThan">
      <formula>0</formula>
    </cfRule>
  </conditionalFormatting>
  <conditionalFormatting sqref="I167:I180">
    <cfRule type="cellIs" dxfId="9" priority="10" operator="greaterThan">
      <formula>0</formula>
    </cfRule>
  </conditionalFormatting>
  <conditionalFormatting sqref="I152:I165">
    <cfRule type="cellIs" dxfId="8" priority="9" operator="greaterThan">
      <formula>0</formula>
    </cfRule>
  </conditionalFormatting>
  <conditionalFormatting sqref="I137:I150">
    <cfRule type="cellIs" dxfId="7" priority="8" operator="greaterThan">
      <formula>0</formula>
    </cfRule>
  </conditionalFormatting>
  <conditionalFormatting sqref="I122:I135">
    <cfRule type="cellIs" dxfId="6" priority="7" operator="greaterThan">
      <formula>0</formula>
    </cfRule>
  </conditionalFormatting>
  <conditionalFormatting sqref="I107:I120">
    <cfRule type="cellIs" dxfId="5" priority="6" operator="greaterThan">
      <formula>0</formula>
    </cfRule>
  </conditionalFormatting>
  <conditionalFormatting sqref="I92:I105">
    <cfRule type="cellIs" dxfId="4" priority="5" operator="greaterThan">
      <formula>0</formula>
    </cfRule>
  </conditionalFormatting>
  <conditionalFormatting sqref="I77:I90">
    <cfRule type="cellIs" dxfId="3" priority="4" operator="greaterThan">
      <formula>0</formula>
    </cfRule>
  </conditionalFormatting>
  <conditionalFormatting sqref="I62:I75">
    <cfRule type="cellIs" dxfId="2" priority="3" operator="greaterThan">
      <formula>0</formula>
    </cfRule>
  </conditionalFormatting>
  <conditionalFormatting sqref="I47:I60">
    <cfRule type="cellIs" dxfId="1" priority="2" operator="greaterThan">
      <formula>0</formula>
    </cfRule>
  </conditionalFormatting>
  <conditionalFormatting sqref="I32:I45">
    <cfRule type="cellIs" dxfId="0" priority="1"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Download">
                <anchor moveWithCells="1" sizeWithCells="1">
                  <from>
                    <xdr:col>12</xdr:col>
                    <xdr:colOff>38100</xdr:colOff>
                    <xdr:row>1</xdr:row>
                    <xdr:rowOff>47625</xdr:rowOff>
                  </from>
                  <to>
                    <xdr:col>16</xdr:col>
                    <xdr:colOff>276225</xdr:colOff>
                    <xdr:row>3</xdr:row>
                    <xdr:rowOff>114300</xdr:rowOff>
                  </to>
                </anchor>
              </controlPr>
            </control>
          </mc:Choice>
        </mc:AlternateContent>
        <mc:AlternateContent xmlns:mc="http://schemas.openxmlformats.org/markup-compatibility/2006">
          <mc:Choice Requires="x14">
            <control shapeId="6146" r:id="rId5" name="Button 2">
              <controlPr defaultSize="0" print="0" autoFill="0" autoPict="0" macro="[0]!History">
                <anchor moveWithCells="1" sizeWithCells="1">
                  <from>
                    <xdr:col>12</xdr:col>
                    <xdr:colOff>38100</xdr:colOff>
                    <xdr:row>5</xdr:row>
                    <xdr:rowOff>47625</xdr:rowOff>
                  </from>
                  <to>
                    <xdr:col>16</xdr:col>
                    <xdr:colOff>276225</xdr:colOff>
                    <xdr:row>7</xdr:row>
                    <xdr:rowOff>114300</xdr:rowOff>
                  </to>
                </anchor>
              </controlPr>
            </control>
          </mc:Choice>
        </mc:AlternateContent>
        <mc:AlternateContent xmlns:mc="http://schemas.openxmlformats.org/markup-compatibility/2006">
          <mc:Choice Requires="x14">
            <control shapeId="6147" r:id="rId6" name="Button 3">
              <controlPr defaultSize="0" print="0" autoFill="0" autoPict="0" macro="[0]!Stopp">
                <anchor moveWithCells="1" sizeWithCells="1">
                  <from>
                    <xdr:col>17</xdr:col>
                    <xdr:colOff>38100</xdr:colOff>
                    <xdr:row>1</xdr:row>
                    <xdr:rowOff>47625</xdr:rowOff>
                  </from>
                  <to>
                    <xdr:col>18</xdr:col>
                    <xdr:colOff>495300</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J2021"/>
  <sheetViews>
    <sheetView zoomScale="80" zoomScaleNormal="80" workbookViewId="0">
      <selection activeCell="A2" sqref="A2:F279"/>
    </sheetView>
  </sheetViews>
  <sheetFormatPr defaultRowHeight="15" x14ac:dyDescent="0.25"/>
  <cols>
    <col min="1" max="1" width="9.85546875" bestFit="1" customWidth="1"/>
    <col min="2" max="2" width="15.7109375" bestFit="1" customWidth="1"/>
    <col min="3" max="3" width="23.7109375" bestFit="1" customWidth="1"/>
    <col min="4" max="4" width="17.42578125" bestFit="1" customWidth="1"/>
    <col min="5" max="5" width="17.42578125" customWidth="1"/>
    <col min="6" max="6" width="17.42578125" bestFit="1" customWidth="1"/>
    <col min="7" max="7" width="8.85546875" bestFit="1" customWidth="1"/>
    <col min="9" max="9" width="17.7109375" bestFit="1" customWidth="1"/>
    <col min="10" max="10" width="11" bestFit="1" customWidth="1"/>
  </cols>
  <sheetData>
    <row r="1" spans="1:10" s="2" customFormat="1" x14ac:dyDescent="0.25">
      <c r="C1" s="8"/>
      <c r="E1" s="8"/>
    </row>
    <row r="2" spans="1:10" x14ac:dyDescent="0.25">
      <c r="A2" s="2" t="s">
        <v>0</v>
      </c>
      <c r="B2" s="2" t="s">
        <v>10</v>
      </c>
      <c r="C2" s="4">
        <v>0.14863999999999999</v>
      </c>
      <c r="D2" s="4">
        <v>0.14837</v>
      </c>
      <c r="E2" s="4">
        <v>0.148640456236</v>
      </c>
      <c r="F2" s="4">
        <v>0.14837</v>
      </c>
      <c r="G2" t="str">
        <f t="shared" ref="G2:G33" si="0">A2</f>
        <v>bitfinex</v>
      </c>
      <c r="I2" s="3"/>
      <c r="J2" s="2"/>
    </row>
    <row r="3" spans="1:10" x14ac:dyDescent="0.25">
      <c r="A3" s="2" t="s">
        <v>0</v>
      </c>
      <c r="B3" s="2" t="s">
        <v>8</v>
      </c>
      <c r="C3" s="4">
        <v>1.8881999999999999E-2</v>
      </c>
      <c r="D3" s="4">
        <v>1.882E-2</v>
      </c>
      <c r="E3" s="4">
        <v>1.8881999999999999E-2</v>
      </c>
      <c r="F3" s="4">
        <v>1.8846999999999999E-2</v>
      </c>
      <c r="G3" s="2" t="str">
        <f t="shared" si="0"/>
        <v>bitfinex</v>
      </c>
      <c r="I3" s="3"/>
      <c r="J3" s="2"/>
    </row>
    <row r="4" spans="1:10" x14ac:dyDescent="0.25">
      <c r="A4" s="2" t="s">
        <v>250</v>
      </c>
      <c r="B4" s="2" t="s">
        <v>18</v>
      </c>
      <c r="C4" s="4">
        <v>1.161002E-2</v>
      </c>
      <c r="D4" s="4">
        <v>1.158002E-2</v>
      </c>
      <c r="E4" s="4">
        <v>1.161002E-2</v>
      </c>
      <c r="F4" s="4">
        <v>1.158002E-2</v>
      </c>
      <c r="G4" s="2" t="str">
        <f t="shared" si="0"/>
        <v>poloniex</v>
      </c>
      <c r="I4" s="3"/>
      <c r="J4" s="2"/>
    </row>
    <row r="5" spans="1:10" x14ac:dyDescent="0.25">
      <c r="A5" s="2" t="s">
        <v>250</v>
      </c>
      <c r="B5" s="2" t="s">
        <v>21</v>
      </c>
      <c r="C5" s="4">
        <v>2750.6714631599998</v>
      </c>
      <c r="D5" s="4">
        <v>2750.4975234799999</v>
      </c>
      <c r="E5" s="4">
        <v>2750.6714631599998</v>
      </c>
      <c r="F5" s="4">
        <v>2750.4975234799999</v>
      </c>
      <c r="G5" s="2" t="str">
        <f t="shared" si="0"/>
        <v>poloniex</v>
      </c>
      <c r="I5" s="3"/>
      <c r="J5" s="2"/>
    </row>
    <row r="6" spans="1:10" x14ac:dyDescent="0.25">
      <c r="A6" s="2" t="s">
        <v>250</v>
      </c>
      <c r="B6" s="2" t="s">
        <v>17</v>
      </c>
      <c r="C6" s="4">
        <v>6.2609999999999999E-5</v>
      </c>
      <c r="D6" s="4">
        <v>6.2470000000000003E-5</v>
      </c>
      <c r="E6" s="4">
        <v>6.2609999999999999E-5</v>
      </c>
      <c r="F6" s="4">
        <v>6.2470000000000003E-5</v>
      </c>
      <c r="G6" s="2" t="str">
        <f t="shared" si="0"/>
        <v>poloniex</v>
      </c>
      <c r="I6" s="3"/>
      <c r="J6" s="2"/>
    </row>
    <row r="7" spans="1:10" x14ac:dyDescent="0.25">
      <c r="A7" s="2" t="s">
        <v>250</v>
      </c>
      <c r="B7" s="2" t="s">
        <v>16</v>
      </c>
      <c r="C7" s="4">
        <v>1.5990000000000001E-2</v>
      </c>
      <c r="D7" s="4">
        <v>1.5989989999999999E-2</v>
      </c>
      <c r="E7" s="4">
        <v>1.5990000000000001E-2</v>
      </c>
      <c r="F7" s="4">
        <v>1.5989989999999999E-2</v>
      </c>
      <c r="G7" s="2" t="str">
        <f t="shared" si="0"/>
        <v>poloniex</v>
      </c>
      <c r="I7" s="3"/>
      <c r="J7" s="2"/>
    </row>
    <row r="8" spans="1:10" x14ac:dyDescent="0.25">
      <c r="A8" s="2" t="s">
        <v>250</v>
      </c>
      <c r="B8" s="2" t="s">
        <v>12</v>
      </c>
      <c r="C8" s="4">
        <v>6.8099919999999994E-2</v>
      </c>
      <c r="D8" s="4">
        <v>6.7999989999999996E-2</v>
      </c>
      <c r="E8" s="4">
        <v>6.8099919999999994E-2</v>
      </c>
      <c r="F8" s="4">
        <v>6.7999989999999996E-2</v>
      </c>
      <c r="G8" s="2" t="str">
        <f t="shared" si="0"/>
        <v>poloniex</v>
      </c>
      <c r="I8" s="3"/>
      <c r="J8" s="2"/>
    </row>
    <row r="9" spans="1:10" x14ac:dyDescent="0.25">
      <c r="A9" s="2" t="s">
        <v>250</v>
      </c>
      <c r="B9" s="2" t="s">
        <v>20</v>
      </c>
      <c r="C9" s="4">
        <v>0.14779999999999999</v>
      </c>
      <c r="D9" s="4">
        <v>0.14770907</v>
      </c>
      <c r="E9" s="4">
        <v>0.14777395786</v>
      </c>
      <c r="F9" s="4">
        <v>0.14770907</v>
      </c>
      <c r="G9" s="2" t="str">
        <f t="shared" si="0"/>
        <v>poloniex</v>
      </c>
      <c r="I9" s="3"/>
      <c r="J9" s="2"/>
    </row>
    <row r="10" spans="1:10" x14ac:dyDescent="0.25">
      <c r="A10" s="2" t="s">
        <v>250</v>
      </c>
      <c r="B10" s="2" t="s">
        <v>14</v>
      </c>
      <c r="C10" s="4">
        <v>7.4493600000000004E-3</v>
      </c>
      <c r="D10" s="4">
        <v>7.4269899999999996E-3</v>
      </c>
      <c r="E10" s="4">
        <v>7.4493600000000004E-3</v>
      </c>
      <c r="F10" s="4">
        <v>7.4269899999999996E-3</v>
      </c>
      <c r="G10" s="2" t="str">
        <f t="shared" si="0"/>
        <v>poloniex</v>
      </c>
      <c r="I10" s="3"/>
      <c r="J10" s="2"/>
    </row>
    <row r="11" spans="1:10" x14ac:dyDescent="0.25">
      <c r="A11" s="2" t="s">
        <v>250</v>
      </c>
      <c r="B11" s="2" t="s">
        <v>15</v>
      </c>
      <c r="C11" s="4">
        <v>0.123756</v>
      </c>
      <c r="D11" s="4">
        <v>0.12364609999999999</v>
      </c>
      <c r="E11" s="4">
        <v>0.123756</v>
      </c>
      <c r="F11" s="4">
        <v>0.12364609999999999</v>
      </c>
      <c r="G11" s="2" t="str">
        <f t="shared" si="0"/>
        <v>poloniex</v>
      </c>
      <c r="I11" s="3"/>
      <c r="J11" s="2"/>
    </row>
    <row r="12" spans="1:10" x14ac:dyDescent="0.25">
      <c r="A12" s="2" t="s">
        <v>250</v>
      </c>
      <c r="B12" s="2" t="s">
        <v>13</v>
      </c>
      <c r="C12" s="4">
        <v>1.15E-6</v>
      </c>
      <c r="D12" s="4">
        <v>1.1400000000000001E-6</v>
      </c>
      <c r="E12" s="4">
        <v>1.15E-6</v>
      </c>
      <c r="F12" s="4">
        <v>1.1400000000000001E-6</v>
      </c>
      <c r="G12" s="2" t="str">
        <f t="shared" si="0"/>
        <v>poloniex</v>
      </c>
      <c r="I12" s="3"/>
    </row>
    <row r="13" spans="1:10" x14ac:dyDescent="0.25">
      <c r="A13" s="2" t="s">
        <v>250</v>
      </c>
      <c r="B13" s="2" t="s">
        <v>19</v>
      </c>
      <c r="C13" s="4">
        <v>1.8849979999999999E-2</v>
      </c>
      <c r="D13" s="4">
        <v>1.8839999999999999E-2</v>
      </c>
      <c r="E13" s="4">
        <v>1.8849979999999999E-2</v>
      </c>
      <c r="F13" s="4">
        <v>1.8839999999999999E-2</v>
      </c>
      <c r="G13" s="2" t="str">
        <f t="shared" si="0"/>
        <v>poloniex</v>
      </c>
      <c r="I13" s="3"/>
    </row>
    <row r="14" spans="1:10" x14ac:dyDescent="0.25">
      <c r="A14" s="2" t="s">
        <v>11</v>
      </c>
      <c r="B14" s="2" t="s">
        <v>16</v>
      </c>
      <c r="C14" s="4">
        <v>1.6151820000000001E-2</v>
      </c>
      <c r="D14" s="4">
        <v>1.6030010000000001E-2</v>
      </c>
      <c r="E14" s="4">
        <v>1.6151820000000001E-2</v>
      </c>
      <c r="F14" s="4">
        <v>1.6030010000000001E-2</v>
      </c>
      <c r="G14" s="2" t="str">
        <f t="shared" si="0"/>
        <v>bittrex</v>
      </c>
      <c r="I14" s="3"/>
    </row>
    <row r="15" spans="1:10" x14ac:dyDescent="0.25">
      <c r="A15" s="2" t="s">
        <v>11</v>
      </c>
      <c r="B15" s="2" t="s">
        <v>13</v>
      </c>
      <c r="C15" s="4">
        <v>1.15E-6</v>
      </c>
      <c r="D15" s="4">
        <v>1.1400000000000001E-6</v>
      </c>
      <c r="E15" s="4">
        <v>1.15E-6</v>
      </c>
      <c r="F15" s="4">
        <v>1.1400000000000001E-6</v>
      </c>
      <c r="G15" s="2" t="str">
        <f t="shared" si="0"/>
        <v>bittrex</v>
      </c>
      <c r="I15" s="3"/>
    </row>
    <row r="16" spans="1:10" x14ac:dyDescent="0.25">
      <c r="A16" s="2" t="s">
        <v>11</v>
      </c>
      <c r="B16" s="2" t="s">
        <v>17</v>
      </c>
      <c r="C16" s="4">
        <v>6.2799999999999995E-5</v>
      </c>
      <c r="D16" s="4">
        <v>6.2669999999999995E-5</v>
      </c>
      <c r="E16" s="4">
        <v>6.2799999999999995E-5</v>
      </c>
      <c r="F16" s="4">
        <v>6.2669999999999995E-5</v>
      </c>
      <c r="G16" s="2" t="str">
        <f t="shared" si="0"/>
        <v>bittrex</v>
      </c>
      <c r="I16" s="3"/>
    </row>
    <row r="17" spans="1:9" x14ac:dyDescent="0.25">
      <c r="A17" s="2" t="s">
        <v>11</v>
      </c>
      <c r="B17" s="2" t="s">
        <v>12</v>
      </c>
      <c r="C17" s="4">
        <v>6.8362210000000007E-2</v>
      </c>
      <c r="D17" s="4">
        <v>6.8000000000000005E-2</v>
      </c>
      <c r="E17" s="4">
        <v>6.8362210000000007E-2</v>
      </c>
      <c r="F17" s="4">
        <v>6.8000000000000005E-2</v>
      </c>
      <c r="G17" s="2" t="str">
        <f t="shared" si="0"/>
        <v>bittrex</v>
      </c>
      <c r="I17" s="3"/>
    </row>
    <row r="18" spans="1:9" x14ac:dyDescent="0.25">
      <c r="A18" s="2" t="s">
        <v>11</v>
      </c>
      <c r="B18" s="2" t="s">
        <v>19</v>
      </c>
      <c r="C18" s="4">
        <v>1.8908029999999999E-2</v>
      </c>
      <c r="D18" s="4">
        <v>1.8829909999999998E-2</v>
      </c>
      <c r="E18" s="4">
        <v>1.8908029999999999E-2</v>
      </c>
      <c r="F18" s="4">
        <v>1.8829458095400001E-2</v>
      </c>
      <c r="G18" s="2" t="str">
        <f t="shared" si="0"/>
        <v>bittrex</v>
      </c>
      <c r="I18" s="3"/>
    </row>
    <row r="19" spans="1:9" x14ac:dyDescent="0.25">
      <c r="A19" s="2" t="s">
        <v>11</v>
      </c>
      <c r="B19" s="2" t="s">
        <v>15</v>
      </c>
      <c r="C19" s="4">
        <v>0.12799998000000001</v>
      </c>
      <c r="D19" s="4">
        <v>0.12778232</v>
      </c>
      <c r="E19" s="4">
        <v>0.12799998000000001</v>
      </c>
      <c r="F19" s="4">
        <v>0.12778232</v>
      </c>
      <c r="G19" s="2" t="str">
        <f t="shared" si="0"/>
        <v>bittrex</v>
      </c>
      <c r="I19" s="3"/>
    </row>
    <row r="20" spans="1:9" x14ac:dyDescent="0.25">
      <c r="A20" s="2" t="s">
        <v>11</v>
      </c>
      <c r="B20" s="2" t="s">
        <v>21</v>
      </c>
      <c r="C20" s="4">
        <v>2752.27341862</v>
      </c>
      <c r="D20" s="4">
        <v>2752.2730000000001</v>
      </c>
      <c r="E20" s="4">
        <v>2757.71727762</v>
      </c>
      <c r="F20" s="4">
        <v>2752.2730000000001</v>
      </c>
      <c r="G20" s="2" t="str">
        <f t="shared" si="0"/>
        <v>bittrex</v>
      </c>
      <c r="I20" s="3"/>
    </row>
    <row r="21" spans="1:9" x14ac:dyDescent="0.25">
      <c r="A21" s="2" t="s">
        <v>11</v>
      </c>
      <c r="B21" s="2" t="s">
        <v>14</v>
      </c>
      <c r="C21" s="4">
        <v>7.4420800000000002E-3</v>
      </c>
      <c r="D21" s="4">
        <v>7.3911300000000001E-3</v>
      </c>
      <c r="E21" s="4">
        <v>7.4420800000000002E-3</v>
      </c>
      <c r="F21" s="4">
        <v>7.39114E-3</v>
      </c>
      <c r="G21" s="2" t="str">
        <f t="shared" si="0"/>
        <v>bittrex</v>
      </c>
      <c r="I21" s="3"/>
    </row>
    <row r="22" spans="1:9" x14ac:dyDescent="0.25">
      <c r="A22" s="2" t="s">
        <v>11</v>
      </c>
      <c r="B22" s="2" t="s">
        <v>18</v>
      </c>
      <c r="C22" s="4">
        <v>1.1711350000000001E-2</v>
      </c>
      <c r="D22" s="4">
        <v>1.150904E-2</v>
      </c>
      <c r="E22" s="4">
        <v>1.1711350000000001E-2</v>
      </c>
      <c r="F22" s="4">
        <v>1.150904E-2</v>
      </c>
      <c r="G22" s="2" t="str">
        <f t="shared" si="0"/>
        <v>bittrex</v>
      </c>
      <c r="I22" s="3"/>
    </row>
    <row r="23" spans="1:9" x14ac:dyDescent="0.25">
      <c r="A23" s="2" t="s">
        <v>11</v>
      </c>
      <c r="B23" s="2" t="s">
        <v>20</v>
      </c>
      <c r="C23" s="4">
        <v>0.14830916</v>
      </c>
      <c r="D23" s="4">
        <v>0.14807639</v>
      </c>
      <c r="E23" s="4">
        <v>0.14830916</v>
      </c>
      <c r="F23" s="4">
        <v>0.147774628573</v>
      </c>
      <c r="G23" s="2" t="str">
        <f t="shared" si="0"/>
        <v>bittrex</v>
      </c>
      <c r="I23" s="3"/>
    </row>
    <row r="24" spans="1:9" x14ac:dyDescent="0.25">
      <c r="A24" s="2" t="s">
        <v>86</v>
      </c>
      <c r="B24" s="2" t="s">
        <v>8</v>
      </c>
      <c r="C24" s="4">
        <v>1.8866999999999998E-2</v>
      </c>
      <c r="D24" s="4">
        <v>1.8814999999999998E-2</v>
      </c>
      <c r="E24" s="4">
        <v>1.8866999999999998E-2</v>
      </c>
      <c r="F24" s="4">
        <v>1.8814999999999998E-2</v>
      </c>
      <c r="G24" s="2" t="str">
        <f t="shared" si="0"/>
        <v>kraken</v>
      </c>
      <c r="I24" s="3"/>
    </row>
    <row r="25" spans="1:9" x14ac:dyDescent="0.25">
      <c r="A25" s="2" t="s">
        <v>86</v>
      </c>
      <c r="B25" s="2" t="s">
        <v>33</v>
      </c>
      <c r="C25" s="4">
        <v>6.8618999999999999E-2</v>
      </c>
      <c r="D25" s="4">
        <v>6.8010000000000001E-2</v>
      </c>
      <c r="E25" s="4">
        <v>6.8617999999999998E-2</v>
      </c>
      <c r="F25" s="4">
        <v>6.8010000000000001E-2</v>
      </c>
      <c r="G25" s="2" t="str">
        <f t="shared" si="0"/>
        <v>kraken</v>
      </c>
      <c r="I25" s="3"/>
    </row>
    <row r="26" spans="1:9" x14ac:dyDescent="0.25">
      <c r="A26" s="2" t="s">
        <v>86</v>
      </c>
      <c r="B26" s="2" t="s">
        <v>80</v>
      </c>
      <c r="C26" s="4">
        <v>1.11E-2</v>
      </c>
      <c r="D26" s="4">
        <v>1.1098999999999999E-2</v>
      </c>
      <c r="E26" s="4">
        <v>1.11E-2</v>
      </c>
      <c r="F26" s="4">
        <v>1.1098999999999999E-2</v>
      </c>
      <c r="G26" s="2" t="str">
        <f t="shared" si="0"/>
        <v>kraken</v>
      </c>
      <c r="I26" s="3"/>
    </row>
    <row r="27" spans="1:9" x14ac:dyDescent="0.25">
      <c r="A27" s="2" t="s">
        <v>86</v>
      </c>
      <c r="B27" s="2" t="s">
        <v>4</v>
      </c>
      <c r="C27" s="4">
        <v>0.124</v>
      </c>
      <c r="D27" s="4">
        <v>0.123001</v>
      </c>
      <c r="E27" s="4">
        <v>0.12338499999999999</v>
      </c>
      <c r="F27" s="4">
        <v>0.12302299999999999</v>
      </c>
      <c r="G27" s="2" t="str">
        <f t="shared" si="0"/>
        <v>kraken</v>
      </c>
      <c r="I27" s="3"/>
    </row>
    <row r="28" spans="1:9" x14ac:dyDescent="0.25">
      <c r="A28" s="2" t="s">
        <v>86</v>
      </c>
      <c r="B28" s="2" t="s">
        <v>3</v>
      </c>
      <c r="C28" s="4">
        <v>7.4424699999999996E-3</v>
      </c>
      <c r="D28" s="4">
        <v>7.4099999999999999E-3</v>
      </c>
      <c r="E28" s="4">
        <v>7.4100099999999999E-3</v>
      </c>
      <c r="F28" s="4">
        <v>7.4100099999999999E-3</v>
      </c>
      <c r="G28" s="2" t="str">
        <f t="shared" si="0"/>
        <v>kraken</v>
      </c>
      <c r="I28" s="3"/>
    </row>
    <row r="29" spans="1:9" x14ac:dyDescent="0.25">
      <c r="A29" s="2" t="s">
        <v>86</v>
      </c>
      <c r="B29" s="2" t="s">
        <v>6</v>
      </c>
      <c r="C29" s="4">
        <v>1.5962E-2</v>
      </c>
      <c r="D29" s="4">
        <v>1.5921000000000001E-2</v>
      </c>
      <c r="E29" s="4">
        <v>1.5966999999999999E-2</v>
      </c>
      <c r="F29" s="4">
        <v>1.5925999999999999E-2</v>
      </c>
      <c r="G29" s="2" t="str">
        <f t="shared" si="0"/>
        <v>kraken</v>
      </c>
      <c r="I29" s="3"/>
    </row>
    <row r="30" spans="1:9" x14ac:dyDescent="0.25">
      <c r="A30" s="2" t="s">
        <v>86</v>
      </c>
      <c r="B30" s="2" t="s">
        <v>10</v>
      </c>
      <c r="C30" s="4">
        <v>0.14799999999999999</v>
      </c>
      <c r="D30" s="4">
        <v>0.14774999999999999</v>
      </c>
      <c r="E30" s="4">
        <v>0.14799999999999999</v>
      </c>
      <c r="F30" s="4">
        <v>0.14774999999999999</v>
      </c>
      <c r="G30" s="2" t="str">
        <f t="shared" si="0"/>
        <v>kraken</v>
      </c>
      <c r="I30" s="3"/>
    </row>
    <row r="31" spans="1:9" x14ac:dyDescent="0.25">
      <c r="A31" s="2" t="s">
        <v>74</v>
      </c>
      <c r="B31" s="2" t="s">
        <v>8</v>
      </c>
      <c r="C31" s="4">
        <v>1.8901000000000001E-2</v>
      </c>
      <c r="D31" s="4">
        <v>1.89E-2</v>
      </c>
      <c r="E31" s="4">
        <v>1.8901000000000001E-2</v>
      </c>
      <c r="F31" s="4">
        <v>1.89E-2</v>
      </c>
      <c r="G31" s="2" t="str">
        <f t="shared" si="0"/>
        <v>hitbtc</v>
      </c>
      <c r="I31" s="3"/>
    </row>
    <row r="32" spans="1:9" x14ac:dyDescent="0.25">
      <c r="A32" s="2" t="s">
        <v>74</v>
      </c>
      <c r="B32" s="2" t="s">
        <v>33</v>
      </c>
      <c r="C32" s="4">
        <v>6.8197999999999995E-2</v>
      </c>
      <c r="D32" s="4">
        <v>6.7943000000000003E-2</v>
      </c>
      <c r="E32" s="4">
        <v>6.8197999999999995E-2</v>
      </c>
      <c r="F32" s="4">
        <v>6.7943000000000003E-2</v>
      </c>
      <c r="G32" s="2" t="str">
        <f t="shared" si="0"/>
        <v>hitbtc</v>
      </c>
      <c r="I32" s="3"/>
    </row>
    <row r="33" spans="1:9" x14ac:dyDescent="0.25">
      <c r="A33" s="2" t="s">
        <v>74</v>
      </c>
      <c r="B33" s="2" t="s">
        <v>80</v>
      </c>
      <c r="C33" s="4">
        <v>1.34E-2</v>
      </c>
      <c r="D33" s="4">
        <v>1.1004999999999999E-2</v>
      </c>
      <c r="E33" s="4">
        <v>1.34E-2</v>
      </c>
      <c r="F33" s="4">
        <v>1.1004119999999999E-2</v>
      </c>
      <c r="G33" s="2" t="str">
        <f t="shared" si="0"/>
        <v>hitbtc</v>
      </c>
      <c r="I33" s="3"/>
    </row>
    <row r="34" spans="1:9" x14ac:dyDescent="0.25">
      <c r="A34" s="2" t="s">
        <v>74</v>
      </c>
      <c r="B34" s="2" t="s">
        <v>6</v>
      </c>
      <c r="C34" s="4">
        <v>1.5990000000000001E-2</v>
      </c>
      <c r="D34" s="4">
        <v>1.5980000000000001E-2</v>
      </c>
      <c r="E34" s="4">
        <v>1.5994000000000001E-2</v>
      </c>
      <c r="F34" s="4">
        <v>1.5980000000000001E-2</v>
      </c>
      <c r="G34" s="2" t="str">
        <f t="shared" ref="G34:G65" si="1">A34</f>
        <v>hitbtc</v>
      </c>
      <c r="I34" s="3"/>
    </row>
    <row r="35" spans="1:9" x14ac:dyDescent="0.25">
      <c r="A35" s="2" t="s">
        <v>74</v>
      </c>
      <c r="B35" s="2" t="s">
        <v>10</v>
      </c>
      <c r="C35" s="4">
        <v>0.14780099999999999</v>
      </c>
      <c r="D35" s="4">
        <v>0.14779999999999999</v>
      </c>
      <c r="E35" s="4">
        <v>0.14780099999999999</v>
      </c>
      <c r="F35" s="4">
        <v>0.14770936400000001</v>
      </c>
      <c r="G35" s="2" t="str">
        <f t="shared" si="1"/>
        <v>hitbtc</v>
      </c>
      <c r="I35" s="3"/>
    </row>
    <row r="36" spans="1:9" x14ac:dyDescent="0.25">
      <c r="A36" s="2" t="s">
        <v>74</v>
      </c>
      <c r="B36" s="2" t="s">
        <v>46</v>
      </c>
      <c r="C36" s="4">
        <v>6.2760000000000002E-5</v>
      </c>
      <c r="D36" s="4">
        <v>6.2749999999999994E-5</v>
      </c>
      <c r="E36" s="4">
        <v>6.2760000000000002E-5</v>
      </c>
      <c r="F36" s="4">
        <v>6.2749999999999994E-5</v>
      </c>
      <c r="G36" s="2" t="str">
        <f t="shared" si="1"/>
        <v>hitbtc</v>
      </c>
      <c r="I36" s="3"/>
    </row>
    <row r="37" spans="1:9" x14ac:dyDescent="0.25">
      <c r="A37" s="2" t="s">
        <v>74</v>
      </c>
      <c r="B37" s="2" t="s">
        <v>3</v>
      </c>
      <c r="C37" s="4">
        <v>7.4590000000000004E-3</v>
      </c>
      <c r="D37" s="4">
        <v>7.4139999999999996E-3</v>
      </c>
      <c r="E37" s="4">
        <v>7.4590000000000004E-3</v>
      </c>
      <c r="F37" s="4">
        <v>7.4139999999999996E-3</v>
      </c>
      <c r="G37" s="2" t="str">
        <f t="shared" si="1"/>
        <v>hitbtc</v>
      </c>
      <c r="I37" s="3"/>
    </row>
    <row r="38" spans="1:9" x14ac:dyDescent="0.25">
      <c r="A38" s="2" t="s">
        <v>74</v>
      </c>
      <c r="B38" s="2" t="s">
        <v>4</v>
      </c>
      <c r="C38" s="4">
        <v>0.123733</v>
      </c>
      <c r="D38" s="4">
        <v>0.1237</v>
      </c>
      <c r="E38" s="4">
        <v>0.123721</v>
      </c>
      <c r="F38" s="4">
        <v>0.123641536</v>
      </c>
      <c r="G38" s="2" t="str">
        <f t="shared" si="1"/>
        <v>hitbtc</v>
      </c>
      <c r="I38" s="3"/>
    </row>
    <row r="39" spans="1:9" x14ac:dyDescent="0.25">
      <c r="A39" s="2" t="s">
        <v>74</v>
      </c>
      <c r="B39" s="2" t="s">
        <v>35</v>
      </c>
      <c r="C39" s="4">
        <v>1.1489999999999999E-6</v>
      </c>
      <c r="D39" s="4">
        <v>1.142E-6</v>
      </c>
      <c r="E39" s="4">
        <v>1.1489999999999999E-6</v>
      </c>
      <c r="F39" s="4">
        <v>1.142E-6</v>
      </c>
      <c r="G39" s="2" t="str">
        <f t="shared" si="1"/>
        <v>hitbtc</v>
      </c>
      <c r="I39" s="3"/>
    </row>
    <row r="40" spans="1:9" x14ac:dyDescent="0.25">
      <c r="A40" s="2" t="s">
        <v>251</v>
      </c>
      <c r="B40" s="2" t="s">
        <v>33</v>
      </c>
      <c r="C40" s="4">
        <v>6.7999989999999996E-2</v>
      </c>
      <c r="D40" s="4">
        <v>6.7660010000000007E-2</v>
      </c>
      <c r="E40" s="4">
        <v>6.8888989929200006E-2</v>
      </c>
      <c r="F40" s="4">
        <v>6.7660003999999996E-2</v>
      </c>
      <c r="G40" s="2" t="str">
        <f t="shared" si="1"/>
        <v>yobit</v>
      </c>
      <c r="I40" s="3"/>
    </row>
    <row r="41" spans="1:9" x14ac:dyDescent="0.25">
      <c r="A41" s="2" t="s">
        <v>251</v>
      </c>
      <c r="B41" s="2" t="s">
        <v>35</v>
      </c>
      <c r="C41" s="4">
        <v>1.17E-6</v>
      </c>
      <c r="D41" s="4">
        <v>1.1599999999999999E-6</v>
      </c>
      <c r="E41" s="4">
        <v>1.17E-6</v>
      </c>
      <c r="F41" s="4">
        <v>1.1599999999999999E-6</v>
      </c>
      <c r="G41" s="2" t="str">
        <f t="shared" si="1"/>
        <v>yobit</v>
      </c>
      <c r="I41" s="3"/>
    </row>
    <row r="42" spans="1:9" x14ac:dyDescent="0.25">
      <c r="A42" s="2" t="s">
        <v>251</v>
      </c>
      <c r="B42" s="2" t="s">
        <v>3</v>
      </c>
      <c r="C42" s="4">
        <v>7.6999599999999996E-3</v>
      </c>
      <c r="D42" s="4">
        <v>7.4200000000000004E-3</v>
      </c>
      <c r="E42" s="4">
        <v>7.6999694736200001E-3</v>
      </c>
      <c r="F42" s="4">
        <v>7.4166380790899999E-3</v>
      </c>
      <c r="G42" s="2" t="str">
        <f t="shared" si="1"/>
        <v>yobit</v>
      </c>
      <c r="I42" s="3"/>
    </row>
    <row r="43" spans="1:9" x14ac:dyDescent="0.25">
      <c r="A43" s="2" t="s">
        <v>251</v>
      </c>
      <c r="B43" s="2" t="s">
        <v>50</v>
      </c>
      <c r="C43" s="4">
        <v>2.1759999999999998E-5</v>
      </c>
      <c r="D43" s="4">
        <v>2.1180000000000001E-5</v>
      </c>
      <c r="E43" s="4">
        <v>2.1759999999999998E-5</v>
      </c>
      <c r="F43" s="4">
        <v>2.1180000000000001E-5</v>
      </c>
      <c r="G43" s="2" t="str">
        <f t="shared" si="1"/>
        <v>yobit</v>
      </c>
      <c r="I43" s="3"/>
    </row>
    <row r="44" spans="1:9" x14ac:dyDescent="0.25">
      <c r="A44" s="2" t="s">
        <v>251</v>
      </c>
      <c r="B44" s="2" t="s">
        <v>6</v>
      </c>
      <c r="C44" s="4">
        <v>1.6299890000000001E-2</v>
      </c>
      <c r="D44" s="4">
        <v>1.600035E-2</v>
      </c>
      <c r="E44" s="4">
        <v>1.6299886250099999E-2</v>
      </c>
      <c r="F44" s="4">
        <v>1.600035E-2</v>
      </c>
      <c r="G44" s="2" t="str">
        <f t="shared" si="1"/>
        <v>yobit</v>
      </c>
      <c r="I44" s="3"/>
    </row>
    <row r="45" spans="1:9" x14ac:dyDescent="0.25">
      <c r="A45" s="2" t="s">
        <v>251</v>
      </c>
      <c r="B45" s="2" t="s">
        <v>10</v>
      </c>
      <c r="C45" s="4">
        <v>0.14999997000000001</v>
      </c>
      <c r="D45" s="4">
        <v>0.14720006999999999</v>
      </c>
      <c r="E45" s="4">
        <v>0.150400477127</v>
      </c>
      <c r="F45" s="4">
        <v>0.14720006999999999</v>
      </c>
      <c r="G45" s="2" t="str">
        <f t="shared" si="1"/>
        <v>yobit</v>
      </c>
      <c r="I45" s="3"/>
    </row>
    <row r="46" spans="1:9" x14ac:dyDescent="0.25">
      <c r="A46" s="2" t="s">
        <v>251</v>
      </c>
      <c r="B46" s="2" t="s">
        <v>25</v>
      </c>
      <c r="C46" s="4">
        <v>1.97E-3</v>
      </c>
      <c r="D46" s="4">
        <v>1.61706E-3</v>
      </c>
      <c r="E46" s="4">
        <v>1.97E-3</v>
      </c>
      <c r="F46" s="4">
        <v>1.61706E-3</v>
      </c>
      <c r="G46" s="2" t="str">
        <f t="shared" si="1"/>
        <v>yobit</v>
      </c>
      <c r="I46" s="3"/>
    </row>
    <row r="47" spans="1:9" x14ac:dyDescent="0.25">
      <c r="A47" s="2" t="s">
        <v>251</v>
      </c>
      <c r="B47" s="2" t="s">
        <v>4</v>
      </c>
      <c r="C47" s="4">
        <v>0.13199896</v>
      </c>
      <c r="D47" s="4">
        <v>0.13199895</v>
      </c>
      <c r="E47" s="4">
        <v>0.131998969789</v>
      </c>
      <c r="F47" s="4">
        <v>0.13138428883</v>
      </c>
      <c r="G47" s="2" t="str">
        <f t="shared" si="1"/>
        <v>yobit</v>
      </c>
      <c r="I47" s="3"/>
    </row>
    <row r="48" spans="1:9" x14ac:dyDescent="0.25">
      <c r="A48" s="2" t="s">
        <v>69</v>
      </c>
      <c r="B48" s="2" t="s">
        <v>2</v>
      </c>
      <c r="C48" s="4">
        <v>2855.9661000000001</v>
      </c>
      <c r="D48" s="4">
        <v>2852.9</v>
      </c>
      <c r="E48" s="4">
        <v>2855.9661000000001</v>
      </c>
      <c r="F48" s="4">
        <v>2852.6059152399998</v>
      </c>
      <c r="G48" s="2" t="str">
        <f t="shared" si="1"/>
        <v>cexio</v>
      </c>
      <c r="I48" s="3"/>
    </row>
    <row r="49" spans="1:9" x14ac:dyDescent="0.25">
      <c r="A49" s="2" t="s">
        <v>69</v>
      </c>
      <c r="B49" s="2" t="s">
        <v>5</v>
      </c>
      <c r="C49" s="4">
        <v>364.68924985000001</v>
      </c>
      <c r="D49" s="4">
        <v>359.00000403000001</v>
      </c>
      <c r="E49" s="4">
        <v>364.68924985000001</v>
      </c>
      <c r="F49" s="4">
        <v>359.00000402400002</v>
      </c>
      <c r="G49" s="2" t="str">
        <f t="shared" si="1"/>
        <v>cexio</v>
      </c>
      <c r="I49" s="3"/>
    </row>
    <row r="50" spans="1:9" x14ac:dyDescent="0.25">
      <c r="A50" s="2" t="s">
        <v>69</v>
      </c>
      <c r="B50" s="2" t="s">
        <v>70</v>
      </c>
      <c r="C50" s="4">
        <v>171300</v>
      </c>
      <c r="D50" s="4">
        <v>169057.42</v>
      </c>
      <c r="E50" s="4">
        <v>171309.348192</v>
      </c>
      <c r="F50" s="4">
        <v>169057.4008</v>
      </c>
      <c r="G50" s="2" t="str">
        <f t="shared" si="1"/>
        <v>cexio</v>
      </c>
      <c r="I50" s="3"/>
    </row>
    <row r="51" spans="1:9" x14ac:dyDescent="0.25">
      <c r="A51" s="2" t="s">
        <v>69</v>
      </c>
      <c r="B51" s="2" t="s">
        <v>71</v>
      </c>
      <c r="C51" s="4">
        <v>1.4440000000000001E-5</v>
      </c>
      <c r="D51" s="4">
        <v>1.4049999999999999E-5</v>
      </c>
      <c r="E51" s="4">
        <v>1.4440000000000001E-5</v>
      </c>
      <c r="F51" s="4">
        <v>1.4049999999999999E-5</v>
      </c>
      <c r="G51" s="2" t="str">
        <f t="shared" si="1"/>
        <v>cexio</v>
      </c>
      <c r="I51" s="3"/>
    </row>
    <row r="52" spans="1:9" x14ac:dyDescent="0.25">
      <c r="A52" s="2" t="s">
        <v>69</v>
      </c>
      <c r="B52" s="2" t="s">
        <v>4</v>
      </c>
      <c r="C52" s="4">
        <v>0.12579976000000001</v>
      </c>
      <c r="D52" s="4">
        <v>0.12500022</v>
      </c>
      <c r="E52" s="4">
        <v>0.12579976000000001</v>
      </c>
      <c r="F52" s="4">
        <v>0.12500022</v>
      </c>
      <c r="G52" s="2" t="str">
        <f t="shared" si="1"/>
        <v>cexio</v>
      </c>
      <c r="I52" s="3"/>
    </row>
    <row r="53" spans="1:9" x14ac:dyDescent="0.25">
      <c r="A53" s="2" t="s">
        <v>72</v>
      </c>
      <c r="B53" s="2" t="s">
        <v>5</v>
      </c>
      <c r="C53" s="4">
        <v>342.13294033</v>
      </c>
      <c r="D53" s="4">
        <v>340.06</v>
      </c>
      <c r="E53" s="4">
        <v>343.77912952399998</v>
      </c>
      <c r="F53" s="4">
        <v>340.06</v>
      </c>
      <c r="G53" s="2" t="str">
        <f t="shared" si="1"/>
        <v>exmo</v>
      </c>
      <c r="I53" s="3"/>
    </row>
    <row r="54" spans="1:9" x14ac:dyDescent="0.25">
      <c r="A54" s="2" t="s">
        <v>87</v>
      </c>
      <c r="B54" s="2" t="s">
        <v>228</v>
      </c>
      <c r="C54" s="4">
        <v>59.1</v>
      </c>
      <c r="D54" s="4">
        <v>58.000010000000003</v>
      </c>
      <c r="E54" s="4">
        <v>59.1</v>
      </c>
      <c r="F54" s="4">
        <v>58.000010000000003</v>
      </c>
      <c r="G54" s="2" t="str">
        <f t="shared" si="1"/>
        <v>livecoin</v>
      </c>
      <c r="I54" s="3"/>
    </row>
    <row r="55" spans="1:9" x14ac:dyDescent="0.25">
      <c r="A55" s="2" t="s">
        <v>87</v>
      </c>
      <c r="B55" s="2" t="s">
        <v>137</v>
      </c>
      <c r="C55" s="4">
        <v>1.125</v>
      </c>
      <c r="D55" s="4">
        <v>1.1010200000000001</v>
      </c>
      <c r="E55" s="4">
        <v>1.125</v>
      </c>
      <c r="F55" s="4">
        <v>1.1010200000000001</v>
      </c>
      <c r="G55" s="2" t="str">
        <f t="shared" si="1"/>
        <v>livecoin</v>
      </c>
      <c r="I55" s="3"/>
    </row>
    <row r="56" spans="1:9" x14ac:dyDescent="0.25">
      <c r="A56" s="2" t="s">
        <v>87</v>
      </c>
      <c r="B56" s="2" t="s">
        <v>2</v>
      </c>
      <c r="C56" s="4">
        <v>2774.99</v>
      </c>
      <c r="D56" s="4">
        <v>2750.01</v>
      </c>
      <c r="E56" s="4">
        <v>2774.99</v>
      </c>
      <c r="F56" s="4">
        <v>2732.7810877299999</v>
      </c>
      <c r="G56" s="2" t="str">
        <f t="shared" si="1"/>
        <v>livecoin</v>
      </c>
      <c r="I56" s="3"/>
    </row>
    <row r="57" spans="1:9" x14ac:dyDescent="0.25">
      <c r="A57" s="2" t="s">
        <v>87</v>
      </c>
      <c r="B57" s="2" t="s">
        <v>73</v>
      </c>
      <c r="C57" s="4">
        <v>2507.2800099999999</v>
      </c>
      <c r="D57" s="4">
        <v>2460.0000599999998</v>
      </c>
      <c r="E57" s="4">
        <v>2595.7563189699999</v>
      </c>
      <c r="F57" s="4">
        <v>2300.2236837800001</v>
      </c>
      <c r="G57" s="2" t="str">
        <f t="shared" si="1"/>
        <v>livecoin</v>
      </c>
      <c r="I57" s="3"/>
    </row>
    <row r="58" spans="1:9" x14ac:dyDescent="0.25">
      <c r="A58" s="2" t="s">
        <v>87</v>
      </c>
      <c r="B58" s="2" t="s">
        <v>23</v>
      </c>
      <c r="C58" s="4">
        <v>162000</v>
      </c>
      <c r="D58" s="4">
        <v>158800</v>
      </c>
      <c r="E58" s="4">
        <v>165924.36308899999</v>
      </c>
      <c r="F58" s="4">
        <v>158800</v>
      </c>
      <c r="G58" s="2" t="str">
        <f t="shared" si="1"/>
        <v>livecoin</v>
      </c>
      <c r="I58" s="3"/>
    </row>
    <row r="59" spans="1:9" x14ac:dyDescent="0.25">
      <c r="A59" s="2" t="s">
        <v>87</v>
      </c>
      <c r="B59" s="2" t="s">
        <v>7</v>
      </c>
      <c r="C59" s="4">
        <v>45.899990000000003</v>
      </c>
      <c r="D59" s="4">
        <v>44.2</v>
      </c>
      <c r="E59" s="4">
        <v>45.899990000000003</v>
      </c>
      <c r="F59" s="4">
        <v>44.2</v>
      </c>
      <c r="G59" s="2" t="str">
        <f t="shared" si="1"/>
        <v>livecoin</v>
      </c>
      <c r="I59" s="3"/>
    </row>
    <row r="60" spans="1:9" x14ac:dyDescent="0.25">
      <c r="A60" s="2" t="s">
        <v>87</v>
      </c>
      <c r="B60" s="2" t="s">
        <v>6</v>
      </c>
      <c r="C60" s="4">
        <v>1.6451790000000001E-2</v>
      </c>
      <c r="D60" s="4">
        <v>1.550664E-2</v>
      </c>
      <c r="E60" s="4">
        <v>1.6451779999999999E-2</v>
      </c>
      <c r="F60" s="4">
        <v>1.550664E-2</v>
      </c>
      <c r="G60" s="2" t="str">
        <f t="shared" si="1"/>
        <v>livecoin</v>
      </c>
      <c r="I60" s="3"/>
    </row>
    <row r="61" spans="1:9" x14ac:dyDescent="0.25">
      <c r="A61" s="2" t="s">
        <v>87</v>
      </c>
      <c r="B61" s="2" t="s">
        <v>210</v>
      </c>
      <c r="C61" s="4">
        <v>0.17</v>
      </c>
      <c r="D61" s="4">
        <v>0.01</v>
      </c>
      <c r="E61" s="4">
        <v>0.17</v>
      </c>
      <c r="F61" s="4">
        <v>0.01</v>
      </c>
      <c r="G61" s="2" t="str">
        <f t="shared" si="1"/>
        <v>livecoin</v>
      </c>
      <c r="I61" s="3"/>
    </row>
    <row r="62" spans="1:9" x14ac:dyDescent="0.25">
      <c r="A62" s="2" t="s">
        <v>87</v>
      </c>
      <c r="B62" s="2" t="s">
        <v>133</v>
      </c>
      <c r="C62" s="4">
        <v>1.6794899999999999</v>
      </c>
      <c r="D62" s="4">
        <v>1.6003799999999999</v>
      </c>
      <c r="E62" s="4">
        <v>1.6794899999999999</v>
      </c>
      <c r="F62" s="4">
        <v>1.6003799999999999</v>
      </c>
      <c r="G62" s="2" t="str">
        <f t="shared" si="1"/>
        <v>livecoin</v>
      </c>
      <c r="I62" s="3"/>
    </row>
    <row r="63" spans="1:9" x14ac:dyDescent="0.25">
      <c r="A63" s="2" t="s">
        <v>87</v>
      </c>
      <c r="B63" s="2" t="s">
        <v>75</v>
      </c>
      <c r="C63" s="4">
        <v>6.0999000000000003E-4</v>
      </c>
      <c r="D63" s="4">
        <v>5.9999999999999995E-4</v>
      </c>
      <c r="E63" s="4">
        <v>6.0999000000000003E-4</v>
      </c>
      <c r="F63" s="4">
        <v>5.9999999999999995E-4</v>
      </c>
      <c r="G63" s="2" t="str">
        <f t="shared" si="1"/>
        <v>livecoin</v>
      </c>
      <c r="I63" s="3"/>
    </row>
    <row r="64" spans="1:9" x14ac:dyDescent="0.25">
      <c r="A64" s="2" t="s">
        <v>87</v>
      </c>
      <c r="B64" s="2" t="s">
        <v>132</v>
      </c>
      <c r="C64" s="4">
        <v>99</v>
      </c>
      <c r="D64" s="4">
        <v>89</v>
      </c>
      <c r="E64" s="4">
        <v>99</v>
      </c>
      <c r="F64" s="4">
        <v>89</v>
      </c>
      <c r="G64" s="2" t="str">
        <f t="shared" si="1"/>
        <v>livecoin</v>
      </c>
      <c r="I64" s="3"/>
    </row>
    <row r="65" spans="1:10" x14ac:dyDescent="0.25">
      <c r="A65" s="2" t="s">
        <v>87</v>
      </c>
      <c r="B65" s="2" t="s">
        <v>130</v>
      </c>
      <c r="C65" s="4">
        <v>9.7000000000000003E-3</v>
      </c>
      <c r="D65" s="4">
        <v>7.4000000000000003E-3</v>
      </c>
      <c r="E65" s="4">
        <v>9.7000000000000003E-3</v>
      </c>
      <c r="F65" s="4">
        <v>7.4000000000000003E-3</v>
      </c>
      <c r="G65" s="2" t="str">
        <f t="shared" si="1"/>
        <v>livecoin</v>
      </c>
      <c r="I65" s="3"/>
    </row>
    <row r="66" spans="1:10" x14ac:dyDescent="0.25">
      <c r="A66" s="2" t="s">
        <v>87</v>
      </c>
      <c r="B66" s="2" t="s">
        <v>131</v>
      </c>
      <c r="C66" s="4">
        <v>5.8399599999999999E-3</v>
      </c>
      <c r="D66" s="4">
        <v>4.0192700000000001E-3</v>
      </c>
      <c r="E66" s="4">
        <v>5.8399599999999999E-3</v>
      </c>
      <c r="F66" s="4">
        <v>4.0192800000000001E-3</v>
      </c>
      <c r="G66" s="2" t="str">
        <f t="shared" ref="G66:G97" si="2">A66</f>
        <v>livecoin</v>
      </c>
      <c r="I66" s="3"/>
    </row>
    <row r="67" spans="1:10" x14ac:dyDescent="0.25">
      <c r="A67" s="2" t="s">
        <v>87</v>
      </c>
      <c r="B67" s="2" t="s">
        <v>134</v>
      </c>
      <c r="C67" s="4">
        <v>4.7999989999999999E-2</v>
      </c>
      <c r="D67" s="4">
        <v>1.1000070000000001E-2</v>
      </c>
      <c r="E67" s="4">
        <v>4.7999989999999999E-2</v>
      </c>
      <c r="F67" s="4">
        <v>1.1000070000000001E-2</v>
      </c>
      <c r="G67" s="2" t="str">
        <f t="shared" si="2"/>
        <v>livecoin</v>
      </c>
      <c r="I67" s="3"/>
    </row>
    <row r="68" spans="1:10" x14ac:dyDescent="0.25">
      <c r="A68" s="2" t="s">
        <v>87</v>
      </c>
      <c r="B68" s="2" t="s">
        <v>26</v>
      </c>
      <c r="C68" s="4">
        <v>9.0998000000000001E-4</v>
      </c>
      <c r="D68" s="4">
        <v>8.5002000000000005E-4</v>
      </c>
      <c r="E68" s="4">
        <v>9.0998000000000001E-4</v>
      </c>
      <c r="F68" s="4">
        <v>8.5002000000000005E-4</v>
      </c>
      <c r="G68" s="2" t="str">
        <f t="shared" si="2"/>
        <v>livecoin</v>
      </c>
      <c r="I68" s="3"/>
    </row>
    <row r="69" spans="1:10" x14ac:dyDescent="0.25">
      <c r="A69" s="2" t="s">
        <v>87</v>
      </c>
      <c r="B69" s="2" t="s">
        <v>36</v>
      </c>
      <c r="C69" s="4">
        <v>3.1554999999999999E-3</v>
      </c>
      <c r="D69" s="4">
        <v>3.0701399999999998E-3</v>
      </c>
      <c r="E69" s="4">
        <v>3.1554999999999999E-3</v>
      </c>
      <c r="F69" s="4">
        <v>3.0701399999999998E-3</v>
      </c>
      <c r="G69" s="2" t="str">
        <f t="shared" si="2"/>
        <v>livecoin</v>
      </c>
      <c r="I69" s="3"/>
    </row>
    <row r="70" spans="1:10" x14ac:dyDescent="0.25">
      <c r="A70" s="2" t="s">
        <v>87</v>
      </c>
      <c r="B70" s="2" t="s">
        <v>35</v>
      </c>
      <c r="C70" s="4">
        <v>1.17E-6</v>
      </c>
      <c r="D70" s="4">
        <v>1.1400000000000001E-6</v>
      </c>
      <c r="E70" s="4">
        <v>1.17E-6</v>
      </c>
      <c r="F70" s="4">
        <v>1.1400000000000001E-6</v>
      </c>
      <c r="G70" s="2" t="str">
        <f t="shared" si="2"/>
        <v>livecoin</v>
      </c>
      <c r="I70" s="3"/>
    </row>
    <row r="71" spans="1:10" x14ac:dyDescent="0.25">
      <c r="A71" s="2" t="s">
        <v>87</v>
      </c>
      <c r="B71" s="2" t="s">
        <v>34</v>
      </c>
      <c r="C71" s="4">
        <v>191</v>
      </c>
      <c r="D71" s="4">
        <v>183</v>
      </c>
      <c r="E71" s="4">
        <v>191.72361719899999</v>
      </c>
      <c r="F71" s="4">
        <v>183</v>
      </c>
      <c r="G71" s="2" t="str">
        <f t="shared" si="2"/>
        <v>livecoin</v>
      </c>
      <c r="I71" s="3"/>
    </row>
    <row r="72" spans="1:10" x14ac:dyDescent="0.25">
      <c r="A72" s="2" t="s">
        <v>87</v>
      </c>
      <c r="B72" s="2" t="s">
        <v>33</v>
      </c>
      <c r="C72" s="4">
        <v>6.859999E-2</v>
      </c>
      <c r="D72" s="4">
        <v>6.7000000000000004E-2</v>
      </c>
      <c r="E72" s="4">
        <v>6.859999E-2</v>
      </c>
      <c r="F72" s="4">
        <v>6.7000000000000004E-2</v>
      </c>
      <c r="G72" s="2" t="str">
        <f t="shared" si="2"/>
        <v>livecoin</v>
      </c>
      <c r="I72" s="3"/>
    </row>
    <row r="73" spans="1:10" x14ac:dyDescent="0.25">
      <c r="A73" s="2" t="s">
        <v>87</v>
      </c>
      <c r="B73" s="2" t="s">
        <v>24</v>
      </c>
      <c r="C73" s="4">
        <v>9.1967000000000004E-4</v>
      </c>
      <c r="D73" s="4">
        <v>8.5689999999999996E-4</v>
      </c>
      <c r="E73" s="4">
        <v>9.1967000000000004E-4</v>
      </c>
      <c r="F73" s="4">
        <v>8.5689999999999996E-4</v>
      </c>
      <c r="G73" s="2" t="str">
        <f t="shared" si="2"/>
        <v>livecoin</v>
      </c>
      <c r="I73" s="3"/>
    </row>
    <row r="74" spans="1:10" x14ac:dyDescent="0.25">
      <c r="A74" s="2" t="s">
        <v>87</v>
      </c>
      <c r="B74" s="2" t="s">
        <v>173</v>
      </c>
      <c r="C74" s="4">
        <v>2.7998999999999998E-4</v>
      </c>
      <c r="D74" s="4">
        <v>1.9002999999999999E-4</v>
      </c>
      <c r="E74" s="4">
        <v>2.7998999999999998E-4</v>
      </c>
      <c r="F74" s="4">
        <v>1.9002999999999999E-4</v>
      </c>
      <c r="G74" s="2" t="str">
        <f t="shared" si="2"/>
        <v>livecoin</v>
      </c>
      <c r="I74" s="3"/>
    </row>
    <row r="75" spans="1:10" x14ac:dyDescent="0.25">
      <c r="A75" s="2" t="s">
        <v>87</v>
      </c>
      <c r="B75" s="2" t="s">
        <v>110</v>
      </c>
      <c r="C75" s="4">
        <v>6.5900000000000003E-5</v>
      </c>
      <c r="D75" s="4">
        <v>6.2199999999999994E-5</v>
      </c>
      <c r="E75" s="4">
        <v>6.5900000000000003E-5</v>
      </c>
      <c r="F75" s="4">
        <v>6.2199999999999994E-5</v>
      </c>
      <c r="G75" s="2" t="str">
        <f t="shared" si="2"/>
        <v>livecoin</v>
      </c>
      <c r="I75" s="3"/>
    </row>
    <row r="76" spans="1:10" x14ac:dyDescent="0.25">
      <c r="A76" s="2" t="s">
        <v>87</v>
      </c>
      <c r="B76" s="2" t="s">
        <v>5</v>
      </c>
      <c r="C76" s="4">
        <v>354.49964999999997</v>
      </c>
      <c r="D76" s="4">
        <v>337</v>
      </c>
      <c r="E76" s="4">
        <v>354.49964999999997</v>
      </c>
      <c r="F76" s="4">
        <v>336.01659917199999</v>
      </c>
      <c r="G76" s="2" t="str">
        <f t="shared" si="2"/>
        <v>livecoin</v>
      </c>
      <c r="I76" s="3"/>
    </row>
    <row r="77" spans="1:10" x14ac:dyDescent="0.25">
      <c r="A77" s="2" t="s">
        <v>87</v>
      </c>
      <c r="B77" s="2" t="s">
        <v>4</v>
      </c>
      <c r="C77" s="4">
        <v>0.12498367000000001</v>
      </c>
      <c r="D77" s="4">
        <v>0.12343058</v>
      </c>
      <c r="E77" s="4">
        <v>0.12498367000000001</v>
      </c>
      <c r="F77" s="4">
        <v>0.123430560728</v>
      </c>
      <c r="G77" s="2" t="str">
        <f t="shared" si="2"/>
        <v>livecoin</v>
      </c>
      <c r="I77" s="3"/>
    </row>
    <row r="78" spans="1:10" x14ac:dyDescent="0.25">
      <c r="A78" s="2" t="s">
        <v>87</v>
      </c>
      <c r="B78" s="2" t="s">
        <v>136</v>
      </c>
      <c r="C78" s="4">
        <v>23189.999980000001</v>
      </c>
      <c r="D78" s="4">
        <v>18400</v>
      </c>
      <c r="E78" s="4">
        <v>23189.999984999999</v>
      </c>
      <c r="F78" s="4">
        <v>18351.95</v>
      </c>
      <c r="G78" s="2" t="str">
        <f t="shared" si="2"/>
        <v>livecoin</v>
      </c>
      <c r="I78" s="3"/>
    </row>
    <row r="79" spans="1:10" x14ac:dyDescent="0.25">
      <c r="A79" s="2" t="s">
        <v>87</v>
      </c>
      <c r="B79" s="2" t="s">
        <v>55</v>
      </c>
      <c r="C79" s="4">
        <v>1.9799999999999999E-4</v>
      </c>
      <c r="D79" s="4">
        <v>1.9000000000000001E-4</v>
      </c>
      <c r="E79" s="4">
        <v>1.9799999999999999E-4</v>
      </c>
      <c r="F79" s="4">
        <v>1.9000000000000001E-4</v>
      </c>
      <c r="G79" s="2" t="str">
        <f t="shared" si="2"/>
        <v>livecoin</v>
      </c>
      <c r="I79" s="3"/>
    </row>
    <row r="80" spans="1:10" s="2" customFormat="1" x14ac:dyDescent="0.25">
      <c r="A80" s="2" t="s">
        <v>87</v>
      </c>
      <c r="B80" s="2" t="s">
        <v>212</v>
      </c>
      <c r="C80" s="4">
        <v>31</v>
      </c>
      <c r="D80" s="4">
        <v>29.5</v>
      </c>
      <c r="E80" s="4">
        <v>31</v>
      </c>
      <c r="F80" s="4">
        <v>29.5</v>
      </c>
      <c r="G80" s="2" t="str">
        <f t="shared" si="2"/>
        <v>livecoin</v>
      </c>
      <c r="I80" s="3"/>
      <c r="J80"/>
    </row>
    <row r="81" spans="1:9" x14ac:dyDescent="0.25">
      <c r="A81" s="2" t="s">
        <v>87</v>
      </c>
      <c r="B81" s="2" t="s">
        <v>224</v>
      </c>
      <c r="C81" s="4">
        <v>1.4176999999999999E-4</v>
      </c>
      <c r="D81" s="4">
        <v>1.3999999999999999E-4</v>
      </c>
      <c r="E81" s="4">
        <v>1.4176999999999999E-4</v>
      </c>
      <c r="F81" s="4">
        <v>1.3999999999999999E-4</v>
      </c>
      <c r="G81" s="2" t="str">
        <f t="shared" si="2"/>
        <v>livecoin</v>
      </c>
      <c r="I81" s="3"/>
    </row>
    <row r="82" spans="1:9" x14ac:dyDescent="0.25">
      <c r="A82" s="2" t="s">
        <v>87</v>
      </c>
      <c r="B82" s="2" t="s">
        <v>54</v>
      </c>
      <c r="C82" s="4">
        <v>1.2099999999999999E-5</v>
      </c>
      <c r="D82" s="4">
        <v>1.2089999999999999E-5</v>
      </c>
      <c r="E82" s="4">
        <v>1.2099999999999999E-5</v>
      </c>
      <c r="F82" s="4">
        <v>1.2089999999999999E-5</v>
      </c>
      <c r="G82" s="2" t="str">
        <f t="shared" si="2"/>
        <v>livecoin</v>
      </c>
      <c r="I82" s="3"/>
    </row>
    <row r="83" spans="1:9" x14ac:dyDescent="0.25">
      <c r="A83" s="2" t="s">
        <v>87</v>
      </c>
      <c r="B83" s="2" t="s">
        <v>79</v>
      </c>
      <c r="C83" s="4">
        <v>2.0437999999999999E-4</v>
      </c>
      <c r="D83" s="4">
        <v>1.9708E-4</v>
      </c>
      <c r="E83" s="4">
        <v>2.0437999999999999E-4</v>
      </c>
      <c r="F83" s="4">
        <v>1.9708E-4</v>
      </c>
      <c r="G83" s="2" t="str">
        <f t="shared" si="2"/>
        <v>livecoin</v>
      </c>
      <c r="I83" s="3"/>
    </row>
    <row r="84" spans="1:9" x14ac:dyDescent="0.25">
      <c r="A84" s="2" t="s">
        <v>87</v>
      </c>
      <c r="B84" s="2" t="s">
        <v>91</v>
      </c>
      <c r="C84" s="4">
        <v>3.891E-2</v>
      </c>
      <c r="D84" s="4">
        <v>3.141E-2</v>
      </c>
      <c r="E84" s="4">
        <v>3.891E-2</v>
      </c>
      <c r="F84" s="4">
        <v>3.141E-2</v>
      </c>
      <c r="G84" s="2" t="str">
        <f t="shared" si="2"/>
        <v>livecoin</v>
      </c>
      <c r="I84" s="3"/>
    </row>
    <row r="85" spans="1:9" x14ac:dyDescent="0.25">
      <c r="A85" s="2" t="s">
        <v>87</v>
      </c>
      <c r="B85" s="2" t="s">
        <v>90</v>
      </c>
      <c r="C85" s="4">
        <v>1.398E-5</v>
      </c>
      <c r="D85" s="4">
        <v>1.218E-5</v>
      </c>
      <c r="E85" s="4">
        <v>1.398E-5</v>
      </c>
      <c r="F85" s="4">
        <v>1.218E-5</v>
      </c>
      <c r="G85" s="2" t="str">
        <f t="shared" si="2"/>
        <v>livecoin</v>
      </c>
      <c r="I85" s="3"/>
    </row>
    <row r="86" spans="1:9" x14ac:dyDescent="0.25">
      <c r="A86" s="2" t="s">
        <v>87</v>
      </c>
      <c r="B86" s="2" t="s">
        <v>172</v>
      </c>
      <c r="C86" s="4">
        <v>2.5900000000000002E-6</v>
      </c>
      <c r="D86" s="4">
        <v>2.3099999999999999E-6</v>
      </c>
      <c r="E86" s="4">
        <v>2.5900000000000002E-6</v>
      </c>
      <c r="F86" s="4">
        <v>2.3099999999999999E-6</v>
      </c>
      <c r="G86" s="2" t="str">
        <f t="shared" si="2"/>
        <v>livecoin</v>
      </c>
      <c r="I86" s="3"/>
    </row>
    <row r="87" spans="1:9" x14ac:dyDescent="0.25">
      <c r="A87" s="2" t="s">
        <v>87</v>
      </c>
      <c r="B87" s="2" t="s">
        <v>146</v>
      </c>
      <c r="C87" s="4">
        <v>1.4019999999999999E-2</v>
      </c>
      <c r="D87" s="4">
        <v>1.0149999999999999E-2</v>
      </c>
      <c r="E87" s="4">
        <v>1.401E-2</v>
      </c>
      <c r="F87" s="4">
        <v>1.0149999999999999E-2</v>
      </c>
      <c r="G87" s="2" t="str">
        <f t="shared" si="2"/>
        <v>livecoin</v>
      </c>
      <c r="I87" s="3"/>
    </row>
    <row r="88" spans="1:9" x14ac:dyDescent="0.25">
      <c r="A88" s="2" t="s">
        <v>87</v>
      </c>
      <c r="B88" s="2" t="s">
        <v>145</v>
      </c>
      <c r="C88" s="4">
        <v>4.7099999999999998E-6</v>
      </c>
      <c r="D88" s="4">
        <v>4.6700000000000002E-6</v>
      </c>
      <c r="E88" s="4">
        <v>4.7099999999999998E-6</v>
      </c>
      <c r="F88" s="4">
        <v>4.6700000000000002E-6</v>
      </c>
      <c r="G88" s="2" t="str">
        <f t="shared" si="2"/>
        <v>livecoin</v>
      </c>
      <c r="I88" s="3"/>
    </row>
    <row r="89" spans="1:9" x14ac:dyDescent="0.25">
      <c r="A89" s="2" t="s">
        <v>87</v>
      </c>
      <c r="B89" s="2" t="s">
        <v>99</v>
      </c>
      <c r="C89" s="4">
        <v>1.02E-4</v>
      </c>
      <c r="D89" s="4">
        <v>9.5459999999999997E-5</v>
      </c>
      <c r="E89" s="4">
        <v>1.02E-4</v>
      </c>
      <c r="F89" s="4">
        <v>9.5459999999999997E-5</v>
      </c>
      <c r="G89" s="2" t="str">
        <f t="shared" si="2"/>
        <v>livecoin</v>
      </c>
      <c r="I89" s="3"/>
    </row>
    <row r="90" spans="1:9" x14ac:dyDescent="0.25">
      <c r="A90" s="2" t="s">
        <v>87</v>
      </c>
      <c r="B90" s="2" t="s">
        <v>217</v>
      </c>
      <c r="C90" s="4">
        <v>4.7700000000000001E-6</v>
      </c>
      <c r="D90" s="4">
        <v>4.6299999999999997E-6</v>
      </c>
      <c r="E90" s="4">
        <v>4.7700000000000001E-6</v>
      </c>
      <c r="F90" s="4">
        <v>4.6299999999999997E-6</v>
      </c>
      <c r="G90" s="2" t="str">
        <f t="shared" si="2"/>
        <v>livecoin</v>
      </c>
      <c r="I90" s="3"/>
    </row>
    <row r="91" spans="1:9" x14ac:dyDescent="0.25">
      <c r="A91" s="2" t="s">
        <v>87</v>
      </c>
      <c r="B91" s="2" t="s">
        <v>100</v>
      </c>
      <c r="C91" s="4">
        <v>3.2218999999999998E-4</v>
      </c>
      <c r="D91" s="4">
        <v>2.5501000000000001E-4</v>
      </c>
      <c r="E91" s="4">
        <v>3.2218999999999998E-4</v>
      </c>
      <c r="F91" s="4">
        <v>2.5501000000000001E-4</v>
      </c>
      <c r="G91" s="2" t="str">
        <f t="shared" si="2"/>
        <v>livecoin</v>
      </c>
      <c r="I91" s="3"/>
    </row>
    <row r="92" spans="1:9" x14ac:dyDescent="0.25">
      <c r="A92" s="2" t="s">
        <v>87</v>
      </c>
      <c r="B92" s="2" t="s">
        <v>230</v>
      </c>
      <c r="C92" s="4">
        <v>3.1949999999999997E-5</v>
      </c>
      <c r="D92" s="4">
        <v>2.7610000000000002E-5</v>
      </c>
      <c r="E92" s="4">
        <v>3.1949999999999997E-5</v>
      </c>
      <c r="F92" s="4">
        <v>2.7610000000000002E-5</v>
      </c>
      <c r="G92" s="2" t="str">
        <f t="shared" si="2"/>
        <v>livecoin</v>
      </c>
      <c r="I92" s="3"/>
    </row>
    <row r="93" spans="1:9" x14ac:dyDescent="0.25">
      <c r="A93" s="2" t="s">
        <v>87</v>
      </c>
      <c r="B93" s="2" t="s">
        <v>106</v>
      </c>
      <c r="C93" s="4">
        <v>3.478E-4</v>
      </c>
      <c r="D93" s="4">
        <v>3.1502E-4</v>
      </c>
      <c r="E93" s="4">
        <v>3.478E-4</v>
      </c>
      <c r="F93" s="4">
        <v>3.1502E-4</v>
      </c>
      <c r="G93" s="2" t="str">
        <f t="shared" si="2"/>
        <v>livecoin</v>
      </c>
      <c r="I93" s="3"/>
    </row>
    <row r="94" spans="1:9" x14ac:dyDescent="0.25">
      <c r="A94" s="2" t="s">
        <v>87</v>
      </c>
      <c r="B94" s="2" t="s">
        <v>107</v>
      </c>
      <c r="C94" s="4">
        <v>3.4497299999999998E-3</v>
      </c>
      <c r="D94" s="4">
        <v>2.0800100000000002E-3</v>
      </c>
      <c r="E94" s="4">
        <v>3.4497299999999998E-3</v>
      </c>
      <c r="F94" s="4">
        <v>2.0800100000000002E-3</v>
      </c>
      <c r="G94" s="2" t="str">
        <f t="shared" si="2"/>
        <v>livecoin</v>
      </c>
      <c r="I94" s="3"/>
    </row>
    <row r="95" spans="1:9" x14ac:dyDescent="0.25">
      <c r="A95" s="2" t="s">
        <v>87</v>
      </c>
      <c r="B95" s="2" t="s">
        <v>108</v>
      </c>
      <c r="C95" s="4">
        <v>3.1999999899999998</v>
      </c>
      <c r="D95" s="4">
        <v>1.3506</v>
      </c>
      <c r="E95" s="4">
        <v>3.1999999899999998</v>
      </c>
      <c r="F95" s="4">
        <v>1.3506</v>
      </c>
      <c r="G95" s="2" t="str">
        <f t="shared" si="2"/>
        <v>livecoin</v>
      </c>
      <c r="I95" s="3"/>
    </row>
    <row r="96" spans="1:9" x14ac:dyDescent="0.25">
      <c r="A96" s="2" t="s">
        <v>87</v>
      </c>
      <c r="B96" s="2" t="s">
        <v>211</v>
      </c>
      <c r="C96" s="4">
        <v>7.6000000000000004E-4</v>
      </c>
      <c r="D96" s="4">
        <v>6.1656000000000005E-4</v>
      </c>
      <c r="E96" s="4">
        <v>7.6000000000000004E-4</v>
      </c>
      <c r="F96" s="4">
        <v>6.1656000000000005E-4</v>
      </c>
      <c r="G96" s="2" t="str">
        <f t="shared" si="2"/>
        <v>livecoin</v>
      </c>
      <c r="I96" s="3"/>
    </row>
    <row r="97" spans="1:9" x14ac:dyDescent="0.25">
      <c r="A97" s="2" t="s">
        <v>87</v>
      </c>
      <c r="B97" s="2" t="s">
        <v>68</v>
      </c>
      <c r="C97" s="4">
        <v>8.0000000000000002E-3</v>
      </c>
      <c r="D97" s="4">
        <v>6.2500000000000003E-3</v>
      </c>
      <c r="E97" s="4">
        <v>8.0000000000000002E-3</v>
      </c>
      <c r="F97" s="4">
        <v>6.2500000000000003E-3</v>
      </c>
      <c r="G97" s="2" t="str">
        <f t="shared" si="2"/>
        <v>livecoin</v>
      </c>
      <c r="I97" s="3"/>
    </row>
    <row r="98" spans="1:9" x14ac:dyDescent="0.25">
      <c r="A98" s="2" t="s">
        <v>87</v>
      </c>
      <c r="B98" s="2" t="s">
        <v>67</v>
      </c>
      <c r="C98" s="4">
        <v>2.6000000000000001E-6</v>
      </c>
      <c r="D98" s="4">
        <v>2.2900000000000001E-6</v>
      </c>
      <c r="E98" s="4">
        <v>2.6000000000000001E-6</v>
      </c>
      <c r="F98" s="4">
        <v>2.2900000000000001E-6</v>
      </c>
      <c r="G98" s="2" t="str">
        <f t="shared" ref="G98:G129" si="3">A98</f>
        <v>livecoin</v>
      </c>
      <c r="I98" s="3"/>
    </row>
    <row r="99" spans="1:9" x14ac:dyDescent="0.25">
      <c r="A99" s="2" t="s">
        <v>87</v>
      </c>
      <c r="B99" s="2" t="s">
        <v>243</v>
      </c>
      <c r="C99" s="4">
        <v>0.5</v>
      </c>
      <c r="D99" s="4">
        <v>0.34499999999999997</v>
      </c>
      <c r="E99" s="4">
        <v>0.5</v>
      </c>
      <c r="F99" s="4">
        <v>0.34499999999999997</v>
      </c>
      <c r="G99" s="2" t="str">
        <f t="shared" si="3"/>
        <v>livecoin</v>
      </c>
      <c r="I99" s="3"/>
    </row>
    <row r="100" spans="1:9" x14ac:dyDescent="0.25">
      <c r="A100" s="2" t="s">
        <v>87</v>
      </c>
      <c r="B100" s="2" t="s">
        <v>109</v>
      </c>
      <c r="C100" s="4">
        <v>5.9999999999999997E-7</v>
      </c>
      <c r="D100" s="4">
        <v>5.4000000000000002E-7</v>
      </c>
      <c r="E100" s="4">
        <v>5.9999999999999997E-7</v>
      </c>
      <c r="F100" s="4">
        <v>5.4000000000000002E-7</v>
      </c>
      <c r="G100" s="2" t="str">
        <f t="shared" si="3"/>
        <v>livecoin</v>
      </c>
      <c r="I100" s="3"/>
    </row>
    <row r="101" spans="1:9" x14ac:dyDescent="0.25">
      <c r="A101" s="2" t="s">
        <v>87</v>
      </c>
      <c r="B101" s="2" t="s">
        <v>168</v>
      </c>
      <c r="C101" s="4">
        <v>3.6494200000000001</v>
      </c>
      <c r="D101" s="4">
        <v>3.4272999999999998</v>
      </c>
      <c r="E101" s="4">
        <v>3.64941</v>
      </c>
      <c r="F101" s="4">
        <v>3.42728786707</v>
      </c>
      <c r="G101" s="2" t="str">
        <f t="shared" si="3"/>
        <v>livecoin</v>
      </c>
      <c r="I101" s="3"/>
    </row>
    <row r="102" spans="1:9" x14ac:dyDescent="0.25">
      <c r="A102" s="2" t="s">
        <v>87</v>
      </c>
      <c r="B102" s="2" t="s">
        <v>78</v>
      </c>
      <c r="C102" s="4">
        <v>1.2955499999999999E-3</v>
      </c>
      <c r="D102" s="4">
        <v>1.20966E-3</v>
      </c>
      <c r="E102" s="4">
        <v>1.2955499999999999E-3</v>
      </c>
      <c r="F102" s="4">
        <v>1.20966E-3</v>
      </c>
      <c r="G102" s="2" t="str">
        <f t="shared" si="3"/>
        <v>livecoin</v>
      </c>
      <c r="I102" s="3"/>
    </row>
    <row r="103" spans="1:9" x14ac:dyDescent="0.25">
      <c r="A103" s="2" t="s">
        <v>87</v>
      </c>
      <c r="B103" s="2" t="s">
        <v>38</v>
      </c>
      <c r="C103" s="4">
        <v>2.3120000000000002E-2</v>
      </c>
      <c r="D103" s="4">
        <v>2.2110000000000001E-2</v>
      </c>
      <c r="E103" s="4">
        <v>2.3109999999999999E-2</v>
      </c>
      <c r="F103" s="4">
        <v>2.2110000000000001E-2</v>
      </c>
      <c r="G103" s="2" t="str">
        <f t="shared" si="3"/>
        <v>livecoin</v>
      </c>
      <c r="I103" s="3"/>
    </row>
    <row r="104" spans="1:9" x14ac:dyDescent="0.25">
      <c r="A104" s="2" t="s">
        <v>87</v>
      </c>
      <c r="B104" s="2" t="s">
        <v>37</v>
      </c>
      <c r="C104" s="4">
        <v>8.3999999999999992E-6</v>
      </c>
      <c r="D104" s="4">
        <v>8.3000000000000002E-6</v>
      </c>
      <c r="E104" s="4">
        <v>8.3999999999999992E-6</v>
      </c>
      <c r="F104" s="4">
        <v>8.3000000000000002E-6</v>
      </c>
      <c r="G104" s="2" t="str">
        <f t="shared" si="3"/>
        <v>livecoin</v>
      </c>
      <c r="I104" s="3"/>
    </row>
    <row r="105" spans="1:9" x14ac:dyDescent="0.25">
      <c r="A105" s="2" t="s">
        <v>87</v>
      </c>
      <c r="B105" s="2" t="s">
        <v>129</v>
      </c>
      <c r="C105" s="4">
        <v>1.45</v>
      </c>
      <c r="D105" s="4">
        <v>1.222</v>
      </c>
      <c r="E105" s="4">
        <v>1.45</v>
      </c>
      <c r="F105" s="4">
        <v>1.222</v>
      </c>
      <c r="G105" s="2" t="str">
        <f t="shared" si="3"/>
        <v>livecoin</v>
      </c>
      <c r="I105" s="3"/>
    </row>
    <row r="106" spans="1:9" x14ac:dyDescent="0.25">
      <c r="A106" s="2" t="s">
        <v>87</v>
      </c>
      <c r="B106" s="2" t="s">
        <v>154</v>
      </c>
      <c r="C106" s="4">
        <v>2.7999999999999999E-6</v>
      </c>
      <c r="D106" s="4">
        <v>2.6800000000000002E-6</v>
      </c>
      <c r="E106" s="4">
        <v>2.7999999999999999E-6</v>
      </c>
      <c r="F106" s="4">
        <v>2.6800000000000002E-6</v>
      </c>
      <c r="G106" s="2" t="str">
        <f t="shared" si="3"/>
        <v>livecoin</v>
      </c>
      <c r="I106" s="3"/>
    </row>
    <row r="107" spans="1:9" x14ac:dyDescent="0.25">
      <c r="A107" s="2" t="s">
        <v>87</v>
      </c>
      <c r="B107" s="2" t="s">
        <v>43</v>
      </c>
      <c r="C107" s="4">
        <v>3.3030000000000001E-5</v>
      </c>
      <c r="D107" s="4">
        <v>2.9799999999999999E-5</v>
      </c>
      <c r="E107" s="4">
        <v>3.3030000000000001E-5</v>
      </c>
      <c r="F107" s="4">
        <v>2.9799999999999999E-5</v>
      </c>
      <c r="G107" s="2" t="str">
        <f t="shared" si="3"/>
        <v>livecoin</v>
      </c>
      <c r="I107" s="3"/>
    </row>
    <row r="108" spans="1:9" x14ac:dyDescent="0.25">
      <c r="A108" s="2" t="s">
        <v>87</v>
      </c>
      <c r="B108" s="2" t="s">
        <v>97</v>
      </c>
      <c r="C108" s="4">
        <v>1.57E-3</v>
      </c>
      <c r="D108" s="4">
        <v>1.2999999999999999E-3</v>
      </c>
      <c r="E108" s="4">
        <v>1.57E-3</v>
      </c>
      <c r="F108" s="4">
        <v>1.2999999999999999E-3</v>
      </c>
      <c r="G108" s="2" t="str">
        <f t="shared" si="3"/>
        <v>livecoin</v>
      </c>
      <c r="I108" s="3"/>
    </row>
    <row r="109" spans="1:9" x14ac:dyDescent="0.25">
      <c r="A109" s="2" t="s">
        <v>87</v>
      </c>
      <c r="B109" s="2" t="s">
        <v>96</v>
      </c>
      <c r="C109" s="4">
        <v>5.0999999999999999E-7</v>
      </c>
      <c r="D109" s="4">
        <v>4.5999999999999999E-7</v>
      </c>
      <c r="E109" s="4">
        <v>5.0999999999999999E-7</v>
      </c>
      <c r="F109" s="4">
        <v>4.5999999999999999E-7</v>
      </c>
      <c r="G109" s="2" t="str">
        <f t="shared" si="3"/>
        <v>livecoin</v>
      </c>
      <c r="I109" s="3"/>
    </row>
    <row r="110" spans="1:9" x14ac:dyDescent="0.25">
      <c r="A110" s="2" t="s">
        <v>87</v>
      </c>
      <c r="B110" s="2" t="s">
        <v>42</v>
      </c>
      <c r="C110" s="4">
        <v>0.55589</v>
      </c>
      <c r="D110" s="4">
        <v>0.53</v>
      </c>
      <c r="E110" s="4">
        <v>0.55589</v>
      </c>
      <c r="F110" s="4">
        <v>0.53</v>
      </c>
      <c r="G110" s="2" t="str">
        <f t="shared" si="3"/>
        <v>livecoin</v>
      </c>
      <c r="I110" s="3"/>
    </row>
    <row r="111" spans="1:9" x14ac:dyDescent="0.25">
      <c r="A111" s="2" t="s">
        <v>87</v>
      </c>
      <c r="B111" s="2" t="s">
        <v>41</v>
      </c>
      <c r="C111" s="4">
        <v>2.0149999999999999E-4</v>
      </c>
      <c r="D111" s="4">
        <v>1.9834E-4</v>
      </c>
      <c r="E111" s="4">
        <v>2.0149999999999999E-4</v>
      </c>
      <c r="F111" s="4">
        <v>1.9834E-4</v>
      </c>
      <c r="G111" s="2" t="str">
        <f t="shared" si="3"/>
        <v>livecoin</v>
      </c>
      <c r="I111" s="3"/>
    </row>
    <row r="112" spans="1:9" x14ac:dyDescent="0.25">
      <c r="A112" s="2" t="s">
        <v>87</v>
      </c>
      <c r="B112" s="2" t="s">
        <v>167</v>
      </c>
      <c r="C112" s="4">
        <v>89.99</v>
      </c>
      <c r="D112" s="4">
        <v>15.600099999999999</v>
      </c>
      <c r="E112" s="4">
        <v>89.99</v>
      </c>
      <c r="F112" s="4">
        <v>15.600099999999999</v>
      </c>
      <c r="G112" s="2" t="str">
        <f t="shared" si="3"/>
        <v>livecoin</v>
      </c>
      <c r="I112" s="3"/>
    </row>
    <row r="113" spans="1:9" x14ac:dyDescent="0.25">
      <c r="A113" s="2" t="s">
        <v>87</v>
      </c>
      <c r="B113" s="2" t="s">
        <v>166</v>
      </c>
      <c r="C113" s="4">
        <v>2.37996E-3</v>
      </c>
      <c r="D113" s="4">
        <v>1.2400499999999999E-3</v>
      </c>
      <c r="E113" s="4">
        <v>2.37996E-3</v>
      </c>
      <c r="F113" s="4">
        <v>1.2400499999999999E-3</v>
      </c>
      <c r="G113" s="2" t="str">
        <f t="shared" si="3"/>
        <v>livecoin</v>
      </c>
      <c r="I113" s="3"/>
    </row>
    <row r="114" spans="1:9" x14ac:dyDescent="0.25">
      <c r="A114" s="2" t="s">
        <v>87</v>
      </c>
      <c r="B114" s="2" t="s">
        <v>205</v>
      </c>
      <c r="C114" s="4">
        <v>1.4450000000000001E-5</v>
      </c>
      <c r="D114" s="4">
        <v>1.189E-5</v>
      </c>
      <c r="E114" s="4">
        <v>1.4450000000000001E-5</v>
      </c>
      <c r="F114" s="4">
        <v>1.189E-5</v>
      </c>
      <c r="G114" s="2" t="str">
        <f t="shared" si="3"/>
        <v>livecoin</v>
      </c>
      <c r="I114" s="3"/>
    </row>
    <row r="115" spans="1:9" x14ac:dyDescent="0.25">
      <c r="A115" s="2" t="s">
        <v>87</v>
      </c>
      <c r="B115" s="2" t="s">
        <v>150</v>
      </c>
      <c r="C115" s="4">
        <v>1.5309399999999999E-3</v>
      </c>
      <c r="D115" s="4">
        <v>1.46626E-3</v>
      </c>
      <c r="E115" s="4">
        <v>1.5309399999999999E-3</v>
      </c>
      <c r="F115" s="4">
        <v>1.46626E-3</v>
      </c>
      <c r="G115" s="2" t="str">
        <f t="shared" si="3"/>
        <v>livecoin</v>
      </c>
      <c r="I115" s="3"/>
    </row>
    <row r="116" spans="1:9" x14ac:dyDescent="0.25">
      <c r="A116" s="2" t="s">
        <v>87</v>
      </c>
      <c r="B116" s="2" t="s">
        <v>213</v>
      </c>
      <c r="C116" s="4">
        <v>9.4909999999999998E-5</v>
      </c>
      <c r="D116" s="4">
        <v>7.7789999999999999E-5</v>
      </c>
      <c r="E116" s="4">
        <v>9.4909999999999998E-5</v>
      </c>
      <c r="F116" s="4">
        <v>7.7789999999999999E-5</v>
      </c>
      <c r="G116" s="2" t="str">
        <f t="shared" si="3"/>
        <v>livecoin</v>
      </c>
      <c r="I116" s="3"/>
    </row>
    <row r="117" spans="1:9" x14ac:dyDescent="0.25">
      <c r="A117" s="2" t="s">
        <v>87</v>
      </c>
      <c r="B117" s="2" t="s">
        <v>95</v>
      </c>
      <c r="C117" s="4">
        <v>1.9987E-4</v>
      </c>
      <c r="D117" s="4">
        <v>1.7950999999999999E-4</v>
      </c>
      <c r="E117" s="4">
        <v>1.9987E-4</v>
      </c>
      <c r="F117" s="4">
        <v>1.795E-4</v>
      </c>
      <c r="G117" s="2" t="str">
        <f t="shared" si="3"/>
        <v>livecoin</v>
      </c>
      <c r="I117" s="3"/>
    </row>
    <row r="118" spans="1:9" x14ac:dyDescent="0.25">
      <c r="A118" s="2" t="s">
        <v>87</v>
      </c>
      <c r="B118" s="2" t="s">
        <v>218</v>
      </c>
      <c r="C118" s="4">
        <v>9.0989999999999994E-5</v>
      </c>
      <c r="D118" s="4">
        <v>8.4300000000000003E-5</v>
      </c>
      <c r="E118" s="4">
        <v>9.0989999999999994E-5</v>
      </c>
      <c r="F118" s="4">
        <v>8.4300000000000003E-5</v>
      </c>
      <c r="G118" s="2" t="str">
        <f t="shared" si="3"/>
        <v>livecoin</v>
      </c>
      <c r="I118" s="3"/>
    </row>
    <row r="119" spans="1:9" x14ac:dyDescent="0.25">
      <c r="A119" s="2" t="s">
        <v>87</v>
      </c>
      <c r="B119" s="2" t="s">
        <v>115</v>
      </c>
      <c r="C119" s="4">
        <v>1.1270000000000001E-5</v>
      </c>
      <c r="D119" s="4">
        <v>1.1039999999999999E-5</v>
      </c>
      <c r="E119" s="4">
        <v>1.1270000000000001E-5</v>
      </c>
      <c r="F119" s="4">
        <v>1.1039999999999999E-5</v>
      </c>
      <c r="G119" s="2" t="str">
        <f t="shared" si="3"/>
        <v>livecoin</v>
      </c>
      <c r="I119" s="3"/>
    </row>
    <row r="120" spans="1:9" x14ac:dyDescent="0.25">
      <c r="A120" s="2" t="s">
        <v>87</v>
      </c>
      <c r="B120" s="2" t="s">
        <v>231</v>
      </c>
      <c r="C120" s="4">
        <v>2.2393000000000001E-4</v>
      </c>
      <c r="D120" s="4">
        <v>1.8503000000000001E-4</v>
      </c>
      <c r="E120" s="4">
        <v>2.2393000000000001E-4</v>
      </c>
      <c r="F120" s="4">
        <v>1.8503000000000001E-4</v>
      </c>
      <c r="G120" s="2" t="str">
        <f t="shared" si="3"/>
        <v>livecoin</v>
      </c>
      <c r="I120" s="3"/>
    </row>
    <row r="121" spans="1:9" x14ac:dyDescent="0.25">
      <c r="A121" s="2" t="s">
        <v>87</v>
      </c>
      <c r="B121" s="2" t="s">
        <v>222</v>
      </c>
      <c r="C121" s="4">
        <v>0.99511000000000005</v>
      </c>
      <c r="D121" s="4">
        <v>0.372</v>
      </c>
      <c r="E121" s="4">
        <v>0.99511000000000005</v>
      </c>
      <c r="F121" s="4">
        <v>0.372</v>
      </c>
      <c r="G121" s="2" t="str">
        <f t="shared" si="3"/>
        <v>livecoin</v>
      </c>
      <c r="I121" s="3"/>
    </row>
    <row r="122" spans="1:9" x14ac:dyDescent="0.25">
      <c r="A122" s="2" t="s">
        <v>87</v>
      </c>
      <c r="B122" s="2" t="s">
        <v>220</v>
      </c>
      <c r="C122" s="4">
        <v>3.7059000000000001E-4</v>
      </c>
      <c r="D122" s="4">
        <v>3.3049000000000002E-4</v>
      </c>
      <c r="E122" s="4">
        <v>3.7059000000000001E-4</v>
      </c>
      <c r="F122" s="4">
        <v>3.3048000000000002E-4</v>
      </c>
      <c r="G122" s="2" t="str">
        <f t="shared" si="3"/>
        <v>livecoin</v>
      </c>
      <c r="I122" s="3"/>
    </row>
    <row r="123" spans="1:9" x14ac:dyDescent="0.25">
      <c r="A123" s="2" t="s">
        <v>87</v>
      </c>
      <c r="B123" s="2" t="s">
        <v>221</v>
      </c>
      <c r="C123" s="4">
        <v>2.489978E-2</v>
      </c>
      <c r="D123" s="4">
        <v>5.5599000000000002E-4</v>
      </c>
      <c r="E123" s="4">
        <v>2.489978E-2</v>
      </c>
      <c r="F123" s="4">
        <v>5.5599000000000002E-4</v>
      </c>
      <c r="G123" s="2" t="str">
        <f t="shared" si="3"/>
        <v>livecoin</v>
      </c>
      <c r="I123" s="3"/>
    </row>
    <row r="124" spans="1:9" x14ac:dyDescent="0.25">
      <c r="A124" s="2" t="s">
        <v>87</v>
      </c>
      <c r="B124" s="2" t="s">
        <v>81</v>
      </c>
      <c r="C124" s="4">
        <v>8.3772000000000002E-4</v>
      </c>
      <c r="D124" s="4">
        <v>7.6911999999999998E-4</v>
      </c>
      <c r="E124" s="4">
        <v>8.3772000000000002E-4</v>
      </c>
      <c r="F124" s="4">
        <v>7.6911999999999998E-4</v>
      </c>
      <c r="G124" s="2" t="str">
        <f t="shared" si="3"/>
        <v>livecoin</v>
      </c>
      <c r="I124" s="3"/>
    </row>
    <row r="125" spans="1:9" x14ac:dyDescent="0.25">
      <c r="A125" s="2" t="s">
        <v>87</v>
      </c>
      <c r="B125" s="2" t="s">
        <v>153</v>
      </c>
      <c r="C125" s="4">
        <v>6.9E-6</v>
      </c>
      <c r="D125" s="4">
        <v>5.5400000000000003E-6</v>
      </c>
      <c r="E125" s="4">
        <v>6.9E-6</v>
      </c>
      <c r="F125" s="4">
        <v>5.5400000000000003E-6</v>
      </c>
      <c r="G125" s="2" t="str">
        <f t="shared" si="3"/>
        <v>livecoin</v>
      </c>
      <c r="I125" s="3"/>
    </row>
    <row r="126" spans="1:9" x14ac:dyDescent="0.25">
      <c r="A126" s="2" t="s">
        <v>87</v>
      </c>
      <c r="B126" s="2" t="s">
        <v>9</v>
      </c>
      <c r="C126" s="4">
        <v>52.493940000000002</v>
      </c>
      <c r="D126" s="4">
        <v>52.1</v>
      </c>
      <c r="E126" s="4">
        <v>52.493940000000002</v>
      </c>
      <c r="F126" s="4">
        <v>51.625975565200001</v>
      </c>
      <c r="G126" s="2" t="str">
        <f t="shared" si="3"/>
        <v>livecoin</v>
      </c>
      <c r="I126" s="3"/>
    </row>
    <row r="127" spans="1:9" x14ac:dyDescent="0.25">
      <c r="A127" s="2" t="s">
        <v>87</v>
      </c>
      <c r="B127" s="2" t="s">
        <v>8</v>
      </c>
      <c r="C127" s="4">
        <v>1.915E-2</v>
      </c>
      <c r="D127" s="4">
        <v>1.892491E-2</v>
      </c>
      <c r="E127" s="4">
        <v>1.915E-2</v>
      </c>
      <c r="F127" s="4">
        <v>1.892491E-2</v>
      </c>
      <c r="G127" s="2" t="str">
        <f t="shared" si="3"/>
        <v>livecoin</v>
      </c>
      <c r="I127" s="3"/>
    </row>
    <row r="128" spans="1:9" x14ac:dyDescent="0.25">
      <c r="A128" s="2" t="s">
        <v>87</v>
      </c>
      <c r="B128" s="2" t="s">
        <v>101</v>
      </c>
      <c r="C128" s="4">
        <v>1.1849E-4</v>
      </c>
      <c r="D128" s="4">
        <v>1.1003E-4</v>
      </c>
      <c r="E128" s="4">
        <v>1.1849E-4</v>
      </c>
      <c r="F128" s="4">
        <v>1.1003E-4</v>
      </c>
      <c r="G128" s="2" t="str">
        <f t="shared" si="3"/>
        <v>livecoin</v>
      </c>
      <c r="I128" s="3"/>
    </row>
    <row r="129" spans="1:9" x14ac:dyDescent="0.25">
      <c r="A129" s="2" t="s">
        <v>87</v>
      </c>
      <c r="B129" s="2" t="s">
        <v>105</v>
      </c>
      <c r="C129" s="4">
        <v>4.01</v>
      </c>
      <c r="D129" s="4">
        <v>3.28</v>
      </c>
      <c r="E129" s="4">
        <v>4.01</v>
      </c>
      <c r="F129" s="4">
        <v>3.28</v>
      </c>
      <c r="G129" s="2" t="str">
        <f t="shared" si="3"/>
        <v>livecoin</v>
      </c>
      <c r="I129" s="3"/>
    </row>
    <row r="130" spans="1:9" x14ac:dyDescent="0.25">
      <c r="A130" s="2" t="s">
        <v>87</v>
      </c>
      <c r="B130" s="2" t="s">
        <v>104</v>
      </c>
      <c r="C130" s="4">
        <v>6</v>
      </c>
      <c r="D130" s="4">
        <v>1.2055</v>
      </c>
      <c r="E130" s="4">
        <v>6</v>
      </c>
      <c r="F130" s="4">
        <v>1.2055</v>
      </c>
      <c r="G130" s="2" t="str">
        <f t="shared" ref="G130:G161" si="4">A130</f>
        <v>livecoin</v>
      </c>
      <c r="I130" s="3"/>
    </row>
    <row r="131" spans="1:9" x14ac:dyDescent="0.25">
      <c r="A131" s="2" t="s">
        <v>87</v>
      </c>
      <c r="B131" s="2" t="s">
        <v>103</v>
      </c>
      <c r="C131" s="4">
        <v>1.4400000000000001E-3</v>
      </c>
      <c r="D131" s="4">
        <v>1.43709E-3</v>
      </c>
      <c r="E131" s="4">
        <v>1.4400000000000001E-3</v>
      </c>
      <c r="F131" s="4">
        <v>1.43709E-3</v>
      </c>
      <c r="G131" s="2" t="str">
        <f t="shared" si="4"/>
        <v>livecoin</v>
      </c>
      <c r="I131" s="3"/>
    </row>
    <row r="132" spans="1:9" x14ac:dyDescent="0.25">
      <c r="A132" s="2" t="s">
        <v>87</v>
      </c>
      <c r="B132" s="2" t="s">
        <v>39</v>
      </c>
      <c r="C132" s="4">
        <v>6.64E-6</v>
      </c>
      <c r="D132" s="4">
        <v>5.9499999999999998E-6</v>
      </c>
      <c r="E132" s="4">
        <v>6.64E-6</v>
      </c>
      <c r="F132" s="4">
        <v>5.9499999999999998E-6</v>
      </c>
      <c r="G132" s="2" t="str">
        <f t="shared" si="4"/>
        <v>livecoin</v>
      </c>
      <c r="I132" s="3"/>
    </row>
    <row r="133" spans="1:9" x14ac:dyDescent="0.25">
      <c r="A133" s="2" t="s">
        <v>87</v>
      </c>
      <c r="B133" s="2" t="s">
        <v>232</v>
      </c>
      <c r="C133" s="4">
        <v>7.9662000000000005E-4</v>
      </c>
      <c r="D133" s="4">
        <v>6.5258000000000004E-4</v>
      </c>
      <c r="E133" s="4">
        <v>7.9662000000000005E-4</v>
      </c>
      <c r="F133" s="4">
        <v>6.5258000000000004E-4</v>
      </c>
      <c r="G133" s="2" t="str">
        <f t="shared" si="4"/>
        <v>livecoin</v>
      </c>
      <c r="I133" s="3"/>
    </row>
    <row r="134" spans="1:9" x14ac:dyDescent="0.25">
      <c r="A134" s="2" t="s">
        <v>87</v>
      </c>
      <c r="B134" s="2" t="s">
        <v>233</v>
      </c>
      <c r="C134" s="4">
        <v>15</v>
      </c>
      <c r="D134" s="4">
        <v>1.0000009999999999</v>
      </c>
      <c r="E134" s="4">
        <v>15</v>
      </c>
      <c r="F134" s="4">
        <v>1.0000009999999999</v>
      </c>
      <c r="G134" s="2" t="str">
        <f t="shared" si="4"/>
        <v>livecoin</v>
      </c>
      <c r="I134" s="3"/>
    </row>
    <row r="135" spans="1:9" x14ac:dyDescent="0.25">
      <c r="A135" s="2" t="s">
        <v>87</v>
      </c>
      <c r="B135" s="2" t="s">
        <v>29</v>
      </c>
      <c r="C135" s="4">
        <v>3.09E-2</v>
      </c>
      <c r="D135" s="4">
        <v>2.4E-2</v>
      </c>
      <c r="E135" s="4">
        <v>3.09E-2</v>
      </c>
      <c r="F135" s="4">
        <v>2.4E-2</v>
      </c>
      <c r="G135" s="2" t="str">
        <f t="shared" si="4"/>
        <v>livecoin</v>
      </c>
      <c r="I135" s="3"/>
    </row>
    <row r="136" spans="1:9" x14ac:dyDescent="0.25">
      <c r="A136" s="2" t="s">
        <v>87</v>
      </c>
      <c r="B136" s="2" t="s">
        <v>28</v>
      </c>
      <c r="C136" s="4">
        <v>9.5300000000000002E-6</v>
      </c>
      <c r="D136" s="4">
        <v>8.9099999999999994E-6</v>
      </c>
      <c r="E136" s="4">
        <v>9.5300000000000002E-6</v>
      </c>
      <c r="F136" s="4">
        <v>8.9099999999999994E-6</v>
      </c>
      <c r="G136" s="2" t="str">
        <f t="shared" si="4"/>
        <v>livecoin</v>
      </c>
      <c r="I136" s="3"/>
    </row>
    <row r="137" spans="1:9" x14ac:dyDescent="0.25">
      <c r="A137" s="2" t="s">
        <v>87</v>
      </c>
      <c r="B137" s="2" t="s">
        <v>93</v>
      </c>
      <c r="C137" s="4">
        <v>3.4979</v>
      </c>
      <c r="D137" s="4">
        <v>0.40569</v>
      </c>
      <c r="E137" s="4">
        <v>3.4979</v>
      </c>
      <c r="F137" s="4">
        <v>0.40569</v>
      </c>
      <c r="G137" s="2" t="str">
        <f t="shared" si="4"/>
        <v>livecoin</v>
      </c>
      <c r="I137" s="3"/>
    </row>
    <row r="138" spans="1:9" x14ac:dyDescent="0.25">
      <c r="A138" s="2" t="s">
        <v>87</v>
      </c>
      <c r="B138" s="2" t="s">
        <v>92</v>
      </c>
      <c r="C138" s="4">
        <v>3.4776000000000002E-4</v>
      </c>
      <c r="D138" s="4">
        <v>6.3670000000000005E-5</v>
      </c>
      <c r="E138" s="4">
        <v>3.4776000000000002E-4</v>
      </c>
      <c r="F138" s="4">
        <v>6.3670000000000005E-5</v>
      </c>
      <c r="G138" s="2" t="str">
        <f t="shared" si="4"/>
        <v>livecoin</v>
      </c>
      <c r="I138" s="3"/>
    </row>
    <row r="139" spans="1:9" x14ac:dyDescent="0.25">
      <c r="A139" s="2" t="s">
        <v>87</v>
      </c>
      <c r="B139" s="2" t="s">
        <v>94</v>
      </c>
      <c r="C139" s="4">
        <v>1.55E-6</v>
      </c>
      <c r="D139" s="4">
        <v>1.1999999999999999E-6</v>
      </c>
      <c r="E139" s="4">
        <v>1.55E-6</v>
      </c>
      <c r="F139" s="4">
        <v>1.1999999999999999E-6</v>
      </c>
      <c r="G139" s="2" t="str">
        <f t="shared" si="4"/>
        <v>livecoin</v>
      </c>
      <c r="I139" s="3"/>
    </row>
    <row r="140" spans="1:9" x14ac:dyDescent="0.25">
      <c r="A140" s="2" t="s">
        <v>87</v>
      </c>
      <c r="B140" s="2" t="s">
        <v>190</v>
      </c>
      <c r="C140" s="4">
        <v>9.3400000000000004E-6</v>
      </c>
      <c r="D140" s="4">
        <v>8.7800000000000006E-6</v>
      </c>
      <c r="E140" s="4">
        <v>9.3400000000000004E-6</v>
      </c>
      <c r="F140" s="4">
        <v>8.7800000000000006E-6</v>
      </c>
      <c r="G140" s="2" t="str">
        <f t="shared" si="4"/>
        <v>livecoin</v>
      </c>
      <c r="I140" s="3"/>
    </row>
    <row r="141" spans="1:9" x14ac:dyDescent="0.25">
      <c r="A141" s="2" t="s">
        <v>87</v>
      </c>
      <c r="B141" s="2" t="s">
        <v>191</v>
      </c>
      <c r="C141" s="4">
        <v>7.3200000000000004E-5</v>
      </c>
      <c r="D141" s="4">
        <v>6.5510000000000001E-5</v>
      </c>
      <c r="E141" s="4">
        <v>7.4049873825999998E-5</v>
      </c>
      <c r="F141" s="4">
        <v>6.5510000000000001E-5</v>
      </c>
      <c r="G141" s="2" t="str">
        <f t="shared" si="4"/>
        <v>livecoin</v>
      </c>
      <c r="I141" s="3"/>
    </row>
    <row r="142" spans="1:9" x14ac:dyDescent="0.25">
      <c r="A142" s="2" t="s">
        <v>87</v>
      </c>
      <c r="B142" s="2" t="s">
        <v>31</v>
      </c>
      <c r="C142" s="4">
        <v>5.8599999999999998E-6</v>
      </c>
      <c r="D142" s="4">
        <v>5.7699999999999998E-6</v>
      </c>
      <c r="E142" s="4">
        <v>5.8599999999999998E-6</v>
      </c>
      <c r="F142" s="4">
        <v>5.7699999999999998E-6</v>
      </c>
      <c r="G142" s="2" t="str">
        <f t="shared" si="4"/>
        <v>livecoin</v>
      </c>
      <c r="I142" s="3"/>
    </row>
    <row r="143" spans="1:9" x14ac:dyDescent="0.25">
      <c r="A143" s="2" t="s">
        <v>87</v>
      </c>
      <c r="B143" s="2" t="s">
        <v>135</v>
      </c>
      <c r="C143" s="4">
        <v>1.146E-5</v>
      </c>
      <c r="D143" s="4">
        <v>1.004E-5</v>
      </c>
      <c r="E143" s="4">
        <v>1.146E-5</v>
      </c>
      <c r="F143" s="4">
        <v>1.004E-5</v>
      </c>
      <c r="G143" s="2" t="str">
        <f t="shared" si="4"/>
        <v>livecoin</v>
      </c>
      <c r="I143" s="3"/>
    </row>
    <row r="144" spans="1:9" x14ac:dyDescent="0.25">
      <c r="A144" s="2" t="s">
        <v>87</v>
      </c>
      <c r="B144" s="2" t="s">
        <v>46</v>
      </c>
      <c r="C144" s="4">
        <v>7.0909999999999997E-5</v>
      </c>
      <c r="D144" s="4">
        <v>6.0040000000000001E-5</v>
      </c>
      <c r="E144" s="4">
        <v>7.0909999999999997E-5</v>
      </c>
      <c r="F144" s="4">
        <v>6.0040000000000001E-5</v>
      </c>
      <c r="G144" s="2" t="str">
        <f t="shared" si="4"/>
        <v>livecoin</v>
      </c>
      <c r="I144" s="3"/>
    </row>
    <row r="145" spans="1:9" x14ac:dyDescent="0.25">
      <c r="A145" s="2" t="s">
        <v>87</v>
      </c>
      <c r="B145" s="2" t="s">
        <v>128</v>
      </c>
      <c r="C145" s="4">
        <v>2.0910000000000002E-2</v>
      </c>
      <c r="D145" s="4">
        <v>2.001E-2</v>
      </c>
      <c r="E145" s="4">
        <v>2.0910000000000002E-2</v>
      </c>
      <c r="F145" s="4">
        <v>2.001E-2</v>
      </c>
      <c r="G145" s="2" t="str">
        <f t="shared" si="4"/>
        <v>livecoin</v>
      </c>
      <c r="I145" s="3"/>
    </row>
    <row r="146" spans="1:9" x14ac:dyDescent="0.25">
      <c r="A146" s="2" t="s">
        <v>87</v>
      </c>
      <c r="B146" s="2" t="s">
        <v>126</v>
      </c>
      <c r="C146" s="4">
        <v>7.7000000000000008E-6</v>
      </c>
      <c r="D146" s="4">
        <v>7.3100000000000003E-6</v>
      </c>
      <c r="E146" s="4">
        <v>7.7000000000000008E-6</v>
      </c>
      <c r="F146" s="4">
        <v>7.3100000000000003E-6</v>
      </c>
      <c r="G146" s="2" t="str">
        <f t="shared" si="4"/>
        <v>livecoin</v>
      </c>
      <c r="I146" s="3"/>
    </row>
    <row r="147" spans="1:9" x14ac:dyDescent="0.25">
      <c r="A147" s="2" t="s">
        <v>87</v>
      </c>
      <c r="B147" s="2" t="s">
        <v>127</v>
      </c>
      <c r="C147" s="4">
        <v>3.7995299999999999</v>
      </c>
      <c r="D147" s="4">
        <v>0.78000999999999998</v>
      </c>
      <c r="E147" s="4">
        <v>3.7995299999999999</v>
      </c>
      <c r="F147" s="4">
        <v>0.78000999999999998</v>
      </c>
      <c r="G147" s="2" t="str">
        <f t="shared" si="4"/>
        <v>livecoin</v>
      </c>
      <c r="I147" s="3"/>
    </row>
    <row r="148" spans="1:9" x14ac:dyDescent="0.25">
      <c r="A148" s="2" t="s">
        <v>87</v>
      </c>
      <c r="B148" s="2" t="s">
        <v>164</v>
      </c>
      <c r="C148" s="4">
        <v>0.28999999999999998</v>
      </c>
      <c r="D148" s="4">
        <v>0.18</v>
      </c>
      <c r="E148" s="4">
        <v>0.28999999999999998</v>
      </c>
      <c r="F148" s="4">
        <v>0.18</v>
      </c>
      <c r="G148" s="2" t="str">
        <f t="shared" si="4"/>
        <v>livecoin</v>
      </c>
      <c r="I148" s="3"/>
    </row>
    <row r="149" spans="1:9" x14ac:dyDescent="0.25">
      <c r="A149" s="2" t="s">
        <v>87</v>
      </c>
      <c r="B149" s="2" t="s">
        <v>162</v>
      </c>
      <c r="C149" s="4">
        <v>9.09E-5</v>
      </c>
      <c r="D149" s="4">
        <v>8.7000000000000001E-5</v>
      </c>
      <c r="E149" s="4">
        <v>9.09E-5</v>
      </c>
      <c r="F149" s="4">
        <v>8.7000000000000001E-5</v>
      </c>
      <c r="G149" s="2" t="str">
        <f t="shared" si="4"/>
        <v>livecoin</v>
      </c>
      <c r="I149" s="3"/>
    </row>
    <row r="150" spans="1:9" x14ac:dyDescent="0.25">
      <c r="A150" s="2" t="s">
        <v>87</v>
      </c>
      <c r="B150" s="2" t="s">
        <v>163</v>
      </c>
      <c r="C150" s="4">
        <v>49.989559999999997</v>
      </c>
      <c r="D150" s="4">
        <v>0.65161000000000002</v>
      </c>
      <c r="E150" s="4">
        <v>49.989559999999997</v>
      </c>
      <c r="F150" s="4">
        <v>0.65161000000000002</v>
      </c>
      <c r="G150" s="2" t="str">
        <f t="shared" si="4"/>
        <v>livecoin</v>
      </c>
      <c r="I150" s="3"/>
    </row>
    <row r="151" spans="1:9" x14ac:dyDescent="0.25">
      <c r="A151" s="2" t="s">
        <v>87</v>
      </c>
      <c r="B151" s="2" t="s">
        <v>47</v>
      </c>
      <c r="C151" s="4">
        <v>7.4994000000000005E-4</v>
      </c>
      <c r="D151" s="4">
        <v>4.7831000000000002E-4</v>
      </c>
      <c r="E151" s="4">
        <v>7.4994000000000005E-4</v>
      </c>
      <c r="F151" s="4">
        <v>4.7831000000000002E-4</v>
      </c>
      <c r="G151" s="2" t="str">
        <f t="shared" si="4"/>
        <v>livecoin</v>
      </c>
      <c r="I151" s="3"/>
    </row>
    <row r="152" spans="1:9" x14ac:dyDescent="0.25">
      <c r="A152" s="2" t="s">
        <v>87</v>
      </c>
      <c r="B152" s="2" t="s">
        <v>124</v>
      </c>
      <c r="C152" s="4">
        <v>2.93E-2</v>
      </c>
      <c r="D152" s="4">
        <v>2.324E-2</v>
      </c>
      <c r="E152" s="4">
        <v>2.93E-2</v>
      </c>
      <c r="F152" s="4">
        <v>2.324E-2</v>
      </c>
      <c r="G152" s="2" t="str">
        <f t="shared" si="4"/>
        <v>livecoin</v>
      </c>
      <c r="I152" s="3"/>
    </row>
    <row r="153" spans="1:9" x14ac:dyDescent="0.25">
      <c r="A153" s="2" t="s">
        <v>87</v>
      </c>
      <c r="B153" s="2" t="s">
        <v>123</v>
      </c>
      <c r="C153" s="4">
        <v>1.097E-5</v>
      </c>
      <c r="D153" s="4">
        <v>7.9999999999999996E-6</v>
      </c>
      <c r="E153" s="4">
        <v>1.097E-5</v>
      </c>
      <c r="F153" s="4">
        <v>7.9999999999999996E-6</v>
      </c>
      <c r="G153" s="2" t="str">
        <f t="shared" si="4"/>
        <v>livecoin</v>
      </c>
      <c r="I153" s="3"/>
    </row>
    <row r="154" spans="1:9" x14ac:dyDescent="0.25">
      <c r="A154" s="2" t="s">
        <v>87</v>
      </c>
      <c r="B154" s="2" t="s">
        <v>63</v>
      </c>
      <c r="C154" s="4">
        <v>7.77E-3</v>
      </c>
      <c r="D154" s="4">
        <v>6.7299999999999999E-3</v>
      </c>
      <c r="E154" s="4">
        <v>7.77E-3</v>
      </c>
      <c r="F154" s="4">
        <v>6.7299999999999999E-3</v>
      </c>
      <c r="G154" s="2" t="str">
        <f t="shared" si="4"/>
        <v>livecoin</v>
      </c>
      <c r="I154" s="3"/>
    </row>
    <row r="155" spans="1:9" x14ac:dyDescent="0.25">
      <c r="A155" s="2" t="s">
        <v>87</v>
      </c>
      <c r="B155" s="2" t="s">
        <v>62</v>
      </c>
      <c r="C155" s="4">
        <v>2.6000000000000001E-6</v>
      </c>
      <c r="D155" s="4">
        <v>2.5100000000000001E-6</v>
      </c>
      <c r="E155" s="4">
        <v>2.6000000000000001E-6</v>
      </c>
      <c r="F155" s="4">
        <v>2.5100000000000001E-6</v>
      </c>
      <c r="G155" s="2" t="str">
        <f t="shared" si="4"/>
        <v>livecoin</v>
      </c>
      <c r="I155" s="3"/>
    </row>
    <row r="156" spans="1:9" x14ac:dyDescent="0.25">
      <c r="A156" s="2" t="s">
        <v>87</v>
      </c>
      <c r="B156" s="2" t="s">
        <v>242</v>
      </c>
      <c r="C156" s="4">
        <v>0.08</v>
      </c>
      <c r="D156" s="4">
        <v>6.3280000000000003E-2</v>
      </c>
      <c r="E156" s="4">
        <v>0.08</v>
      </c>
      <c r="F156" s="4">
        <v>6.3280000000000003E-2</v>
      </c>
      <c r="G156" s="2" t="str">
        <f t="shared" si="4"/>
        <v>livecoin</v>
      </c>
      <c r="I156" s="3"/>
    </row>
    <row r="157" spans="1:9" x14ac:dyDescent="0.25">
      <c r="A157" s="2" t="s">
        <v>87</v>
      </c>
      <c r="B157" s="2" t="s">
        <v>241</v>
      </c>
      <c r="C157" s="4">
        <v>2.5179999999999999E-5</v>
      </c>
      <c r="D157" s="4">
        <v>2.4309999999999999E-5</v>
      </c>
      <c r="E157" s="4">
        <v>2.5179999999999999E-5</v>
      </c>
      <c r="F157" s="4">
        <v>2.4309999999999999E-5</v>
      </c>
      <c r="G157" s="2" t="str">
        <f t="shared" si="4"/>
        <v>livecoin</v>
      </c>
      <c r="I157" s="3"/>
    </row>
    <row r="158" spans="1:9" x14ac:dyDescent="0.25">
      <c r="A158" s="2" t="s">
        <v>87</v>
      </c>
      <c r="B158" s="2" t="s">
        <v>30</v>
      </c>
      <c r="C158" s="4">
        <v>3.8E-6</v>
      </c>
      <c r="D158" s="4">
        <v>3.1099999999999999E-6</v>
      </c>
      <c r="E158" s="4">
        <v>3.8E-6</v>
      </c>
      <c r="F158" s="4">
        <v>3.1099999999999999E-6</v>
      </c>
      <c r="G158" s="2" t="str">
        <f t="shared" si="4"/>
        <v>livecoin</v>
      </c>
      <c r="I158" s="3"/>
    </row>
    <row r="159" spans="1:9" x14ac:dyDescent="0.25">
      <c r="A159" s="2" t="s">
        <v>87</v>
      </c>
      <c r="B159" s="2" t="s">
        <v>125</v>
      </c>
      <c r="C159" s="4">
        <v>1.997E-5</v>
      </c>
      <c r="D159" s="4">
        <v>1.8E-5</v>
      </c>
      <c r="E159" s="4">
        <v>1.997E-5</v>
      </c>
      <c r="F159" s="4">
        <v>1.8E-5</v>
      </c>
      <c r="G159" s="2" t="str">
        <f t="shared" si="4"/>
        <v>livecoin</v>
      </c>
      <c r="I159" s="3"/>
    </row>
    <row r="160" spans="1:9" x14ac:dyDescent="0.25">
      <c r="A160" s="2" t="s">
        <v>87</v>
      </c>
      <c r="B160" s="2" t="s">
        <v>64</v>
      </c>
      <c r="C160" s="4">
        <v>1.1400000000000001E-4</v>
      </c>
      <c r="D160" s="4">
        <v>1.0514E-4</v>
      </c>
      <c r="E160" s="4">
        <v>1.1400000000000001E-4</v>
      </c>
      <c r="F160" s="4">
        <v>1.0514E-4</v>
      </c>
      <c r="G160" s="2" t="str">
        <f t="shared" si="4"/>
        <v>livecoin</v>
      </c>
      <c r="I160" s="3"/>
    </row>
    <row r="161" spans="1:9" x14ac:dyDescent="0.25">
      <c r="A161" s="2" t="s">
        <v>87</v>
      </c>
      <c r="B161" s="2" t="s">
        <v>151</v>
      </c>
      <c r="C161" s="4">
        <v>5.8999999999999998E-5</v>
      </c>
      <c r="D161" s="4">
        <v>5.3999999999999998E-5</v>
      </c>
      <c r="E161" s="4">
        <v>5.8999999999999998E-5</v>
      </c>
      <c r="F161" s="4">
        <v>5.3999999999999998E-5</v>
      </c>
      <c r="G161" s="2" t="str">
        <f t="shared" si="4"/>
        <v>livecoin</v>
      </c>
      <c r="I161" s="3"/>
    </row>
    <row r="162" spans="1:9" x14ac:dyDescent="0.25">
      <c r="A162" s="2" t="s">
        <v>87</v>
      </c>
      <c r="B162" s="2" t="s">
        <v>144</v>
      </c>
      <c r="C162" s="4">
        <v>1.03567E-3</v>
      </c>
      <c r="D162" s="4">
        <v>1.00001E-3</v>
      </c>
      <c r="E162" s="4">
        <v>1.03567E-3</v>
      </c>
      <c r="F162" s="4">
        <v>1.00001E-3</v>
      </c>
      <c r="G162" s="2" t="str">
        <f t="shared" ref="G162:G182" si="5">A162</f>
        <v>livecoin</v>
      </c>
      <c r="I162" s="3"/>
    </row>
    <row r="163" spans="1:9" x14ac:dyDescent="0.25">
      <c r="A163" s="2" t="s">
        <v>87</v>
      </c>
      <c r="B163" s="2" t="s">
        <v>229</v>
      </c>
      <c r="C163" s="4">
        <v>2.17E-6</v>
      </c>
      <c r="D163" s="4">
        <v>1.6700000000000001E-6</v>
      </c>
      <c r="E163" s="4">
        <v>2.17E-6</v>
      </c>
      <c r="F163" s="4">
        <v>1.6700000000000001E-6</v>
      </c>
      <c r="G163" s="2" t="str">
        <f t="shared" si="5"/>
        <v>livecoin</v>
      </c>
      <c r="I163" s="3"/>
    </row>
    <row r="164" spans="1:9" x14ac:dyDescent="0.25">
      <c r="A164" s="2" t="s">
        <v>87</v>
      </c>
      <c r="B164" s="2" t="s">
        <v>32</v>
      </c>
      <c r="C164" s="4">
        <v>2.5499000000000002E-4</v>
      </c>
      <c r="D164" s="4">
        <v>1.9699999999999999E-4</v>
      </c>
      <c r="E164" s="4">
        <v>2.5499000000000002E-4</v>
      </c>
      <c r="F164" s="4">
        <v>1.9699999999999999E-4</v>
      </c>
      <c r="G164" s="2" t="str">
        <f t="shared" si="5"/>
        <v>livecoin</v>
      </c>
      <c r="I164" s="3"/>
    </row>
    <row r="165" spans="1:9" x14ac:dyDescent="0.25">
      <c r="A165" s="2" t="s">
        <v>87</v>
      </c>
      <c r="B165" s="2" t="s">
        <v>102</v>
      </c>
      <c r="C165" s="4">
        <v>1.9940000000000001E-3</v>
      </c>
      <c r="D165" s="4">
        <v>5.0109000000000004E-4</v>
      </c>
      <c r="E165" s="4">
        <v>1.9940000000000001E-3</v>
      </c>
      <c r="F165" s="4">
        <v>5.0109000000000004E-4</v>
      </c>
      <c r="G165" s="2" t="str">
        <f t="shared" si="5"/>
        <v>livecoin</v>
      </c>
      <c r="I165" s="3"/>
    </row>
    <row r="166" spans="1:9" x14ac:dyDescent="0.25">
      <c r="A166" s="2" t="s">
        <v>87</v>
      </c>
      <c r="B166" s="2" t="s">
        <v>58</v>
      </c>
      <c r="C166" s="4">
        <v>2E-8</v>
      </c>
      <c r="D166" s="4">
        <v>1E-8</v>
      </c>
      <c r="E166" s="4">
        <v>2E-8</v>
      </c>
      <c r="F166" s="4">
        <v>1E-8</v>
      </c>
      <c r="G166" s="2" t="str">
        <f t="shared" si="5"/>
        <v>livecoin</v>
      </c>
      <c r="I166" s="3"/>
    </row>
    <row r="167" spans="1:9" x14ac:dyDescent="0.25">
      <c r="A167" s="2" t="s">
        <v>87</v>
      </c>
      <c r="B167" s="2" t="s">
        <v>98</v>
      </c>
      <c r="C167" s="4">
        <v>3.3939999999999997E-5</v>
      </c>
      <c r="D167" s="4">
        <v>3.0000000000000001E-5</v>
      </c>
      <c r="E167" s="4">
        <v>3.3939999999999997E-5</v>
      </c>
      <c r="F167" s="4">
        <v>3.0000000000000001E-5</v>
      </c>
      <c r="G167" s="2" t="str">
        <f t="shared" si="5"/>
        <v>livecoin</v>
      </c>
      <c r="I167" s="3"/>
    </row>
    <row r="168" spans="1:9" x14ac:dyDescent="0.25">
      <c r="A168" s="2" t="s">
        <v>87</v>
      </c>
      <c r="B168" s="2" t="s">
        <v>234</v>
      </c>
      <c r="C168" s="4">
        <v>3.8999E-4</v>
      </c>
      <c r="D168" s="4">
        <v>3.3610999999999998E-4</v>
      </c>
      <c r="E168" s="4">
        <v>3.8999E-4</v>
      </c>
      <c r="F168" s="4">
        <v>3.3610999999999998E-4</v>
      </c>
      <c r="G168" s="2" t="str">
        <f t="shared" si="5"/>
        <v>livecoin</v>
      </c>
      <c r="I168" s="3"/>
    </row>
    <row r="169" spans="1:9" x14ac:dyDescent="0.25">
      <c r="A169" s="2" t="s">
        <v>87</v>
      </c>
      <c r="B169" s="2" t="s">
        <v>66</v>
      </c>
      <c r="C169" s="4">
        <v>2.6849999999999999E-5</v>
      </c>
      <c r="D169" s="4">
        <v>1.9020000000000001E-5</v>
      </c>
      <c r="E169" s="4">
        <v>2.6849999999999999E-5</v>
      </c>
      <c r="F169" s="4">
        <v>1.9020000000000001E-5</v>
      </c>
      <c r="G169" s="2" t="str">
        <f t="shared" si="5"/>
        <v>livecoin</v>
      </c>
      <c r="I169" s="3"/>
    </row>
    <row r="170" spans="1:9" x14ac:dyDescent="0.25">
      <c r="A170" s="2" t="s">
        <v>87</v>
      </c>
      <c r="B170" s="2" t="s">
        <v>122</v>
      </c>
      <c r="C170" s="4">
        <v>1.0000000000000001E-5</v>
      </c>
      <c r="D170" s="4">
        <v>0</v>
      </c>
      <c r="E170" s="4">
        <v>1.0000000000000001E-5</v>
      </c>
      <c r="F170" s="4">
        <v>0</v>
      </c>
      <c r="G170" s="2" t="str">
        <f t="shared" si="5"/>
        <v>livecoin</v>
      </c>
      <c r="I170" s="3"/>
    </row>
    <row r="171" spans="1:9" x14ac:dyDescent="0.25">
      <c r="A171" s="2" t="s">
        <v>87</v>
      </c>
      <c r="B171" s="2" t="s">
        <v>120</v>
      </c>
      <c r="C171" s="4">
        <v>1.0000000000000001E-5</v>
      </c>
      <c r="D171" s="4">
        <v>0</v>
      </c>
      <c r="E171" s="4">
        <v>1.0000000000000001E-5</v>
      </c>
      <c r="F171" s="4">
        <v>0</v>
      </c>
      <c r="G171" s="2" t="str">
        <f t="shared" si="5"/>
        <v>livecoin</v>
      </c>
      <c r="I171" s="3"/>
    </row>
    <row r="172" spans="1:9" x14ac:dyDescent="0.25">
      <c r="A172" s="2" t="s">
        <v>87</v>
      </c>
      <c r="B172" s="2" t="s">
        <v>119</v>
      </c>
      <c r="C172" s="4">
        <v>1E-8</v>
      </c>
      <c r="D172" s="4">
        <v>0</v>
      </c>
      <c r="E172" s="4">
        <v>1E-8</v>
      </c>
      <c r="F172" s="4">
        <v>0</v>
      </c>
      <c r="G172" s="2" t="str">
        <f t="shared" si="5"/>
        <v>livecoin</v>
      </c>
      <c r="I172" s="3"/>
    </row>
    <row r="173" spans="1:9" x14ac:dyDescent="0.25">
      <c r="A173" s="2" t="s">
        <v>87</v>
      </c>
      <c r="B173" s="2" t="s">
        <v>121</v>
      </c>
      <c r="C173" s="4">
        <v>1E-4</v>
      </c>
      <c r="D173" s="4">
        <v>8.0000000000000007E-5</v>
      </c>
      <c r="E173" s="4">
        <v>1E-4</v>
      </c>
      <c r="F173" s="4">
        <v>8.0000000000000007E-5</v>
      </c>
      <c r="G173" s="2" t="str">
        <f t="shared" si="5"/>
        <v>livecoin</v>
      </c>
      <c r="I173" s="3"/>
    </row>
    <row r="174" spans="1:9" x14ac:dyDescent="0.25">
      <c r="A174" s="2" t="s">
        <v>87</v>
      </c>
      <c r="B174" s="2" t="s">
        <v>77</v>
      </c>
      <c r="C174" s="4">
        <v>1.5406300000000001E-3</v>
      </c>
      <c r="D174" s="4">
        <v>1.4499999999999999E-3</v>
      </c>
      <c r="E174" s="4">
        <v>1.5406300000000001E-3</v>
      </c>
      <c r="F174" s="4">
        <v>1.4499999999999999E-3</v>
      </c>
      <c r="G174" s="2" t="str">
        <f t="shared" si="5"/>
        <v>livecoin</v>
      </c>
      <c r="I174" s="3"/>
    </row>
    <row r="175" spans="1:9" x14ac:dyDescent="0.25">
      <c r="A175" s="2" t="s">
        <v>87</v>
      </c>
      <c r="B175" s="2" t="s">
        <v>53</v>
      </c>
      <c r="C175" s="4">
        <v>1.79E-6</v>
      </c>
      <c r="D175" s="4">
        <v>1.7799999999999999E-6</v>
      </c>
      <c r="E175" s="4">
        <v>1.79E-6</v>
      </c>
      <c r="F175" s="4">
        <v>1.7799999999999999E-6</v>
      </c>
      <c r="G175" s="2" t="str">
        <f t="shared" si="5"/>
        <v>livecoin</v>
      </c>
      <c r="I175" s="3"/>
    </row>
    <row r="176" spans="1:9" x14ac:dyDescent="0.25">
      <c r="A176" s="2" t="s">
        <v>87</v>
      </c>
      <c r="B176" s="2" t="s">
        <v>248</v>
      </c>
      <c r="C176" s="4">
        <v>0.17730000000000001</v>
      </c>
      <c r="D176" s="4">
        <v>0.13100999999999999</v>
      </c>
      <c r="E176" s="4">
        <v>0.17730000000000001</v>
      </c>
      <c r="F176" s="4">
        <v>0.13100999999999999</v>
      </c>
      <c r="G176" s="2" t="str">
        <f t="shared" si="5"/>
        <v>livecoin</v>
      </c>
      <c r="I176" s="3"/>
    </row>
    <row r="177" spans="1:9" x14ac:dyDescent="0.25">
      <c r="A177" s="2" t="s">
        <v>87</v>
      </c>
      <c r="B177" s="2" t="s">
        <v>246</v>
      </c>
      <c r="C177" s="4">
        <v>0.32900000000000001</v>
      </c>
      <c r="D177" s="4">
        <v>3.5009999999999999E-2</v>
      </c>
      <c r="E177" s="4">
        <v>0.32900000000000001</v>
      </c>
      <c r="F177" s="4">
        <v>3.5009999999999999E-2</v>
      </c>
      <c r="G177" s="2" t="str">
        <f t="shared" si="5"/>
        <v>livecoin</v>
      </c>
      <c r="I177" s="3"/>
    </row>
    <row r="178" spans="1:9" x14ac:dyDescent="0.25">
      <c r="A178" s="2" t="s">
        <v>87</v>
      </c>
      <c r="B178" s="2" t="s">
        <v>244</v>
      </c>
      <c r="C178" s="4">
        <v>5.8999999999999998E-5</v>
      </c>
      <c r="D178" s="4">
        <v>4.8340000000000001E-5</v>
      </c>
      <c r="E178" s="4">
        <v>5.8999999999999998E-5</v>
      </c>
      <c r="F178" s="4">
        <v>4.8340000000000001E-5</v>
      </c>
      <c r="G178" s="2" t="str">
        <f t="shared" si="5"/>
        <v>livecoin</v>
      </c>
      <c r="I178" s="3"/>
    </row>
    <row r="179" spans="1:9" x14ac:dyDescent="0.25">
      <c r="A179" s="2" t="s">
        <v>87</v>
      </c>
      <c r="B179" s="2" t="s">
        <v>247</v>
      </c>
      <c r="C179" s="4">
        <v>18.95</v>
      </c>
      <c r="D179" s="4">
        <v>5</v>
      </c>
      <c r="E179" s="4">
        <v>18.95</v>
      </c>
      <c r="F179" s="4">
        <v>5</v>
      </c>
      <c r="G179" s="2" t="str">
        <f t="shared" si="5"/>
        <v>livecoin</v>
      </c>
      <c r="I179" s="3"/>
    </row>
    <row r="180" spans="1:9" x14ac:dyDescent="0.25">
      <c r="A180" s="2" t="s">
        <v>87</v>
      </c>
      <c r="B180" s="2" t="s">
        <v>245</v>
      </c>
      <c r="C180" s="4">
        <v>8.5994999999999995E-4</v>
      </c>
      <c r="D180" s="4">
        <v>2.9999999999999997E-4</v>
      </c>
      <c r="E180" s="4">
        <v>8.5994999999999995E-4</v>
      </c>
      <c r="F180" s="4">
        <v>2.9999999999999997E-4</v>
      </c>
      <c r="G180" s="2" t="str">
        <f t="shared" si="5"/>
        <v>livecoin</v>
      </c>
      <c r="I180" s="3"/>
    </row>
    <row r="181" spans="1:9" x14ac:dyDescent="0.25">
      <c r="A181" s="2" t="s">
        <v>87</v>
      </c>
      <c r="B181" s="2" t="s">
        <v>249</v>
      </c>
      <c r="C181" s="4">
        <v>6.8555899999999999E-3</v>
      </c>
      <c r="D181" s="4">
        <v>9.1003000000000004E-4</v>
      </c>
      <c r="E181" s="4">
        <v>6.8555899999999999E-3</v>
      </c>
      <c r="F181" s="4">
        <v>9.1003000000000004E-4</v>
      </c>
      <c r="G181" s="2" t="str">
        <f t="shared" si="5"/>
        <v>livecoin</v>
      </c>
      <c r="I181" s="3"/>
    </row>
    <row r="182" spans="1:9" x14ac:dyDescent="0.25">
      <c r="A182" s="2" t="s">
        <v>87</v>
      </c>
      <c r="B182" s="2" t="s">
        <v>118</v>
      </c>
      <c r="C182" s="4">
        <v>5.21E-2</v>
      </c>
      <c r="D182" s="4">
        <v>5.1999999999999998E-2</v>
      </c>
      <c r="E182" s="4">
        <v>5.21E-2</v>
      </c>
      <c r="F182" s="4">
        <v>5.1999999999999998E-2</v>
      </c>
      <c r="G182" s="2" t="str">
        <f t="shared" si="5"/>
        <v>livecoin</v>
      </c>
      <c r="I182" s="3"/>
    </row>
    <row r="183" spans="1:9" x14ac:dyDescent="0.25">
      <c r="A183" s="2" t="s">
        <v>87</v>
      </c>
      <c r="B183" s="2" t="s">
        <v>116</v>
      </c>
      <c r="C183" s="4">
        <v>2.2840000000000002E-5</v>
      </c>
      <c r="D183" s="4">
        <v>1.95E-5</v>
      </c>
      <c r="E183" s="4">
        <v>2.2840000000000002E-5</v>
      </c>
      <c r="F183" s="4">
        <v>1.95E-5</v>
      </c>
      <c r="G183" s="2"/>
      <c r="I183" s="3"/>
    </row>
    <row r="184" spans="1:9" x14ac:dyDescent="0.25">
      <c r="A184" s="2" t="s">
        <v>87</v>
      </c>
      <c r="B184" s="2" t="s">
        <v>117</v>
      </c>
      <c r="C184" s="4">
        <v>3.4988E-4</v>
      </c>
      <c r="D184" s="4">
        <v>9.8339999999999997E-5</v>
      </c>
      <c r="E184" s="4">
        <v>3.4988E-4</v>
      </c>
      <c r="F184" s="4">
        <v>9.8339999999999997E-5</v>
      </c>
      <c r="G184" s="2" t="str">
        <f t="shared" ref="G184:G247" si="6">A184</f>
        <v>livecoin</v>
      </c>
      <c r="I184" s="3"/>
    </row>
    <row r="185" spans="1:9" x14ac:dyDescent="0.25">
      <c r="A185" s="2" t="s">
        <v>87</v>
      </c>
      <c r="B185" s="2" t="s">
        <v>88</v>
      </c>
      <c r="C185" s="4">
        <v>9.8469999999999997E-5</v>
      </c>
      <c r="D185" s="4">
        <v>8.0000000000000007E-5</v>
      </c>
      <c r="E185" s="4">
        <v>9.8469999999999997E-5</v>
      </c>
      <c r="F185" s="4">
        <v>8.0000000000000007E-5</v>
      </c>
      <c r="G185" s="2" t="str">
        <f t="shared" si="6"/>
        <v>livecoin</v>
      </c>
      <c r="I185" s="3"/>
    </row>
    <row r="186" spans="1:9" x14ac:dyDescent="0.25">
      <c r="A186" s="2" t="s">
        <v>87</v>
      </c>
      <c r="B186" s="2" t="s">
        <v>169</v>
      </c>
      <c r="C186" s="4">
        <v>1.0000000000000001E-5</v>
      </c>
      <c r="D186" s="4">
        <v>8.8799999999999997E-6</v>
      </c>
      <c r="E186" s="4">
        <v>1.0000000000000001E-5</v>
      </c>
      <c r="F186" s="4">
        <v>8.8799999999999997E-6</v>
      </c>
      <c r="G186" s="2" t="str">
        <f t="shared" si="6"/>
        <v>livecoin</v>
      </c>
      <c r="I186" s="3"/>
    </row>
    <row r="187" spans="1:9" x14ac:dyDescent="0.25">
      <c r="A187" s="2" t="s">
        <v>87</v>
      </c>
      <c r="B187" s="2" t="s">
        <v>1</v>
      </c>
      <c r="C187" s="4">
        <v>2.0960199999999998E-2</v>
      </c>
      <c r="D187" s="4">
        <v>2.0290519999999999E-2</v>
      </c>
      <c r="E187" s="4">
        <v>2.0960199999999998E-2</v>
      </c>
      <c r="F187" s="4">
        <v>2.0290512506800001E-2</v>
      </c>
      <c r="G187" s="2" t="str">
        <f t="shared" si="6"/>
        <v>livecoin</v>
      </c>
      <c r="I187" s="3"/>
    </row>
    <row r="188" spans="1:9" x14ac:dyDescent="0.25">
      <c r="A188" s="2" t="s">
        <v>87</v>
      </c>
      <c r="B188" s="2" t="s">
        <v>25</v>
      </c>
      <c r="C188" s="4">
        <v>1.9599999999999999E-3</v>
      </c>
      <c r="D188" s="4">
        <v>1.8400000000000001E-3</v>
      </c>
      <c r="E188" s="4">
        <v>1.9599999999999999E-3</v>
      </c>
      <c r="F188" s="4">
        <v>1.8400000000000001E-3</v>
      </c>
      <c r="G188" s="2" t="str">
        <f t="shared" si="6"/>
        <v>livecoin</v>
      </c>
      <c r="I188" s="3"/>
    </row>
    <row r="189" spans="1:9" x14ac:dyDescent="0.25">
      <c r="A189" s="2" t="s">
        <v>87</v>
      </c>
      <c r="B189" s="2" t="s">
        <v>65</v>
      </c>
      <c r="C189" s="4">
        <v>1.76E-4</v>
      </c>
      <c r="D189" s="4">
        <v>1.75E-4</v>
      </c>
      <c r="E189" s="4">
        <v>1.76E-4</v>
      </c>
      <c r="F189" s="4">
        <v>1.75E-4</v>
      </c>
      <c r="G189" s="2" t="str">
        <f t="shared" si="6"/>
        <v>livecoin</v>
      </c>
      <c r="I189" s="3"/>
    </row>
    <row r="190" spans="1:9" x14ac:dyDescent="0.25">
      <c r="A190" s="2" t="s">
        <v>87</v>
      </c>
      <c r="B190" s="2" t="s">
        <v>89</v>
      </c>
      <c r="C190" s="4">
        <v>1.37E-6</v>
      </c>
      <c r="D190" s="4">
        <v>1.3E-6</v>
      </c>
      <c r="E190" s="4">
        <v>1.37E-6</v>
      </c>
      <c r="F190" s="4">
        <v>1.3E-6</v>
      </c>
      <c r="G190" s="2" t="str">
        <f t="shared" si="6"/>
        <v>livecoin</v>
      </c>
      <c r="I190" s="3"/>
    </row>
    <row r="191" spans="1:9" x14ac:dyDescent="0.25">
      <c r="A191" s="2" t="s">
        <v>87</v>
      </c>
      <c r="B191" s="2" t="s">
        <v>165</v>
      </c>
      <c r="C191" s="4">
        <v>5.5899999999999997E-5</v>
      </c>
      <c r="D191" s="4">
        <v>3.5290000000000003E-5</v>
      </c>
      <c r="E191" s="4">
        <v>5.5899999999999997E-5</v>
      </c>
      <c r="F191" s="4">
        <v>3.5290000000000003E-5</v>
      </c>
      <c r="G191" s="2" t="str">
        <f t="shared" si="6"/>
        <v>livecoin</v>
      </c>
      <c r="I191" s="3"/>
    </row>
    <row r="192" spans="1:9" x14ac:dyDescent="0.25">
      <c r="A192" s="2" t="s">
        <v>87</v>
      </c>
      <c r="B192" s="2" t="s">
        <v>45</v>
      </c>
      <c r="C192" s="4">
        <v>2.4E-2</v>
      </c>
      <c r="D192" s="4">
        <v>2.3189999999999999E-2</v>
      </c>
      <c r="E192" s="4">
        <v>2.4E-2</v>
      </c>
      <c r="F192" s="4">
        <v>2.3189999999999999E-2</v>
      </c>
      <c r="G192" s="2" t="str">
        <f t="shared" si="6"/>
        <v>livecoin</v>
      </c>
      <c r="I192" s="3"/>
    </row>
    <row r="193" spans="1:9" x14ac:dyDescent="0.25">
      <c r="A193" s="2" t="s">
        <v>87</v>
      </c>
      <c r="B193" s="2" t="s">
        <v>175</v>
      </c>
      <c r="C193" s="4">
        <v>6.9989999999999997E-2</v>
      </c>
      <c r="D193" s="4">
        <v>6.9800000000000001E-3</v>
      </c>
      <c r="E193" s="4">
        <v>6.9989999999999997E-2</v>
      </c>
      <c r="F193" s="4">
        <v>6.9800000000000001E-3</v>
      </c>
      <c r="G193" s="2" t="str">
        <f t="shared" si="6"/>
        <v>livecoin</v>
      </c>
      <c r="I193" s="3"/>
    </row>
    <row r="194" spans="1:9" x14ac:dyDescent="0.25">
      <c r="A194" s="2" t="s">
        <v>87</v>
      </c>
      <c r="B194" s="2" t="s">
        <v>44</v>
      </c>
      <c r="C194" s="4">
        <v>8.8000000000000004E-6</v>
      </c>
      <c r="D194" s="4">
        <v>8.4500000000000004E-6</v>
      </c>
      <c r="E194" s="4">
        <v>8.8000000000000004E-6</v>
      </c>
      <c r="F194" s="4">
        <v>8.4500000000000004E-6</v>
      </c>
      <c r="G194" s="2" t="str">
        <f t="shared" si="6"/>
        <v>livecoin</v>
      </c>
      <c r="I194" s="3"/>
    </row>
    <row r="195" spans="1:9" x14ac:dyDescent="0.25">
      <c r="A195" s="2" t="s">
        <v>87</v>
      </c>
      <c r="B195" s="2" t="s">
        <v>176</v>
      </c>
      <c r="C195" s="4">
        <v>1.69</v>
      </c>
      <c r="D195" s="4">
        <v>1.2</v>
      </c>
      <c r="E195" s="4">
        <v>1.69</v>
      </c>
      <c r="F195" s="4">
        <v>1.2</v>
      </c>
      <c r="G195" s="2" t="str">
        <f t="shared" si="6"/>
        <v>livecoin</v>
      </c>
      <c r="I195" s="3"/>
    </row>
    <row r="196" spans="1:9" x14ac:dyDescent="0.25">
      <c r="A196" s="2" t="s">
        <v>87</v>
      </c>
      <c r="B196" s="2" t="s">
        <v>174</v>
      </c>
      <c r="C196" s="4">
        <v>9.9809999999999995E-5</v>
      </c>
      <c r="D196" s="4">
        <v>3.1130000000000002E-5</v>
      </c>
      <c r="E196" s="4">
        <v>9.9809999999999995E-5</v>
      </c>
      <c r="F196" s="4">
        <v>3.1130000000000002E-5</v>
      </c>
      <c r="G196" s="2" t="str">
        <f t="shared" si="6"/>
        <v>livecoin</v>
      </c>
      <c r="I196" s="3"/>
    </row>
    <row r="197" spans="1:9" x14ac:dyDescent="0.25">
      <c r="A197" s="2" t="s">
        <v>87</v>
      </c>
      <c r="B197" s="2" t="s">
        <v>52</v>
      </c>
      <c r="C197" s="4">
        <v>6.4949999999999994E-2</v>
      </c>
      <c r="D197" s="4">
        <v>4.6030000000000001E-2</v>
      </c>
      <c r="E197" s="4">
        <v>6.4949999999999994E-2</v>
      </c>
      <c r="F197" s="4">
        <v>4.6030000000000001E-2</v>
      </c>
      <c r="G197" s="2" t="str">
        <f t="shared" si="6"/>
        <v>livecoin</v>
      </c>
      <c r="I197" s="3"/>
    </row>
    <row r="198" spans="1:9" x14ac:dyDescent="0.25">
      <c r="A198" s="2" t="s">
        <v>87</v>
      </c>
      <c r="B198" s="2" t="s">
        <v>195</v>
      </c>
      <c r="C198" s="4">
        <v>0.33977000000000002</v>
      </c>
      <c r="D198" s="4">
        <v>1.15E-2</v>
      </c>
      <c r="E198" s="4">
        <v>0.33977000000000002</v>
      </c>
      <c r="F198" s="4">
        <v>1.15E-2</v>
      </c>
      <c r="G198" s="2" t="str">
        <f t="shared" si="6"/>
        <v>livecoin</v>
      </c>
      <c r="I198" s="3"/>
    </row>
    <row r="199" spans="1:9" x14ac:dyDescent="0.25">
      <c r="A199" s="2" t="s">
        <v>87</v>
      </c>
      <c r="B199" s="2" t="s">
        <v>50</v>
      </c>
      <c r="C199" s="4">
        <v>2.1849999999999999E-5</v>
      </c>
      <c r="D199" s="4">
        <v>2.1250000000000002E-5</v>
      </c>
      <c r="E199" s="4">
        <v>2.1849999999999999E-5</v>
      </c>
      <c r="F199" s="4">
        <v>2.1250000000000002E-5</v>
      </c>
      <c r="G199" s="2" t="str">
        <f t="shared" si="6"/>
        <v>livecoin</v>
      </c>
      <c r="I199" s="3"/>
    </row>
    <row r="200" spans="1:9" x14ac:dyDescent="0.25">
      <c r="A200" s="2" t="s">
        <v>87</v>
      </c>
      <c r="B200" s="2" t="s">
        <v>51</v>
      </c>
      <c r="C200" s="4">
        <v>4.9998999999999998E-3</v>
      </c>
      <c r="D200" s="4">
        <v>1E-3</v>
      </c>
      <c r="E200" s="4">
        <v>4.9998999999999998E-3</v>
      </c>
      <c r="F200" s="4">
        <v>1E-3</v>
      </c>
      <c r="G200" s="2" t="str">
        <f t="shared" si="6"/>
        <v>livecoin</v>
      </c>
      <c r="I200" s="3"/>
    </row>
    <row r="201" spans="1:9" x14ac:dyDescent="0.25">
      <c r="A201" s="2" t="s">
        <v>87</v>
      </c>
      <c r="B201" s="2" t="s">
        <v>197</v>
      </c>
      <c r="C201" s="4">
        <v>8.98996</v>
      </c>
      <c r="D201" s="4">
        <v>0.7056</v>
      </c>
      <c r="E201" s="4">
        <v>8.98996</v>
      </c>
      <c r="F201" s="4">
        <v>0.7056</v>
      </c>
      <c r="G201" s="2" t="str">
        <f t="shared" si="6"/>
        <v>livecoin</v>
      </c>
      <c r="I201" s="3"/>
    </row>
    <row r="202" spans="1:9" x14ac:dyDescent="0.25">
      <c r="A202" s="2" t="s">
        <v>87</v>
      </c>
      <c r="B202" s="2" t="s">
        <v>193</v>
      </c>
      <c r="C202" s="4">
        <v>9.999099999999999E-4</v>
      </c>
      <c r="D202" s="4">
        <v>9.9900000000000002E-5</v>
      </c>
      <c r="E202" s="4">
        <v>9.999099999999999E-4</v>
      </c>
      <c r="F202" s="4">
        <v>9.9900000000000002E-5</v>
      </c>
      <c r="G202" s="2" t="str">
        <f t="shared" si="6"/>
        <v>livecoin</v>
      </c>
      <c r="I202" s="3"/>
    </row>
    <row r="203" spans="1:9" x14ac:dyDescent="0.25">
      <c r="A203" s="2" t="s">
        <v>87</v>
      </c>
      <c r="B203" s="2" t="s">
        <v>194</v>
      </c>
      <c r="C203" s="4">
        <v>3.4394999999999998E-4</v>
      </c>
      <c r="D203" s="4">
        <v>1.2066999999999999E-4</v>
      </c>
      <c r="E203" s="4">
        <v>3.4394999999999998E-4</v>
      </c>
      <c r="F203" s="4">
        <v>1.2066999999999999E-4</v>
      </c>
      <c r="G203" s="2" t="str">
        <f t="shared" si="6"/>
        <v>livecoin</v>
      </c>
      <c r="I203" s="3"/>
    </row>
    <row r="204" spans="1:9" x14ac:dyDescent="0.25">
      <c r="A204" s="2" t="s">
        <v>87</v>
      </c>
      <c r="B204" s="2" t="s">
        <v>192</v>
      </c>
      <c r="C204" s="4">
        <v>0.20979998999999999</v>
      </c>
      <c r="D204" s="4">
        <v>1.000002E-2</v>
      </c>
      <c r="E204" s="4">
        <v>0.20979998999999999</v>
      </c>
      <c r="F204" s="4">
        <v>1.000002E-2</v>
      </c>
      <c r="G204" s="2" t="str">
        <f t="shared" si="6"/>
        <v>livecoin</v>
      </c>
      <c r="I204" s="3"/>
    </row>
    <row r="205" spans="1:9" x14ac:dyDescent="0.25">
      <c r="A205" s="2" t="s">
        <v>87</v>
      </c>
      <c r="B205" s="2" t="s">
        <v>198</v>
      </c>
      <c r="C205" s="4">
        <v>4.49951E-3</v>
      </c>
      <c r="D205" s="4">
        <v>4.4799999999999999E-4</v>
      </c>
      <c r="E205" s="4">
        <v>4.49951E-3</v>
      </c>
      <c r="F205" s="4">
        <v>4.4799999999999999E-4</v>
      </c>
      <c r="G205" s="2" t="str">
        <f t="shared" si="6"/>
        <v>livecoin</v>
      </c>
      <c r="I205" s="3"/>
    </row>
    <row r="206" spans="1:9" x14ac:dyDescent="0.25">
      <c r="A206" s="2" t="s">
        <v>87</v>
      </c>
      <c r="B206" s="2" t="s">
        <v>196</v>
      </c>
      <c r="C206" s="4">
        <v>0.51554999999999995</v>
      </c>
      <c r="D206" s="4">
        <v>9.9899999999999992E-6</v>
      </c>
      <c r="E206" s="4">
        <v>0.51554999999999995</v>
      </c>
      <c r="F206" s="4">
        <v>9.9899999999999992E-6</v>
      </c>
      <c r="G206" s="2" t="str">
        <f t="shared" si="6"/>
        <v>livecoin</v>
      </c>
      <c r="I206" s="3"/>
    </row>
    <row r="207" spans="1:9" x14ac:dyDescent="0.25">
      <c r="A207" s="2" t="s">
        <v>87</v>
      </c>
      <c r="B207" s="2" t="s">
        <v>181</v>
      </c>
      <c r="C207" s="4">
        <v>2.1999999899999998</v>
      </c>
      <c r="D207" s="4">
        <v>1.92062</v>
      </c>
      <c r="E207" s="4">
        <v>2.1999999899999998</v>
      </c>
      <c r="F207" s="4">
        <v>1.92062</v>
      </c>
      <c r="G207" s="2" t="str">
        <f t="shared" si="6"/>
        <v>livecoin</v>
      </c>
      <c r="I207" s="3"/>
    </row>
    <row r="208" spans="1:9" x14ac:dyDescent="0.25">
      <c r="A208" s="2" t="s">
        <v>87</v>
      </c>
      <c r="B208" s="2" t="s">
        <v>180</v>
      </c>
      <c r="C208" s="4">
        <v>2.9950000000000001</v>
      </c>
      <c r="D208" s="4">
        <v>1.5</v>
      </c>
      <c r="E208" s="4">
        <v>2.9950000000000001</v>
      </c>
      <c r="F208" s="4">
        <v>1.5</v>
      </c>
      <c r="G208" s="2" t="str">
        <f t="shared" si="6"/>
        <v>livecoin</v>
      </c>
      <c r="I208" s="3"/>
    </row>
    <row r="209" spans="1:9" x14ac:dyDescent="0.25">
      <c r="A209" s="2" t="s">
        <v>87</v>
      </c>
      <c r="B209" s="2" t="s">
        <v>177</v>
      </c>
      <c r="C209" s="4">
        <v>7.7099999999999998E-4</v>
      </c>
      <c r="D209" s="4">
        <v>7.6999999999999996E-4</v>
      </c>
      <c r="E209" s="4">
        <v>7.7100460400000002E-4</v>
      </c>
      <c r="F209" s="4">
        <v>7.6999999999999996E-4</v>
      </c>
      <c r="G209" s="2" t="str">
        <f t="shared" si="6"/>
        <v>livecoin</v>
      </c>
      <c r="I209" s="3"/>
    </row>
    <row r="210" spans="1:9" x14ac:dyDescent="0.25">
      <c r="A210" s="2" t="s">
        <v>87</v>
      </c>
      <c r="B210" s="2" t="s">
        <v>179</v>
      </c>
      <c r="C210" s="4">
        <v>8.9999899999999994E-3</v>
      </c>
      <c r="D210" s="4">
        <v>2.3000099999999999E-3</v>
      </c>
      <c r="E210" s="4">
        <v>8.9999899999999994E-3</v>
      </c>
      <c r="F210" s="4">
        <v>2.3000099999999999E-3</v>
      </c>
      <c r="G210" s="2" t="str">
        <f t="shared" si="6"/>
        <v>livecoin</v>
      </c>
      <c r="I210" s="3"/>
    </row>
    <row r="211" spans="1:9" x14ac:dyDescent="0.25">
      <c r="A211" s="2" t="s">
        <v>87</v>
      </c>
      <c r="B211" s="2" t="s">
        <v>178</v>
      </c>
      <c r="C211" s="4">
        <v>11.999999989999999</v>
      </c>
      <c r="D211" s="4">
        <v>4</v>
      </c>
      <c r="E211" s="4">
        <v>11.999999989999999</v>
      </c>
      <c r="F211" s="4">
        <v>4</v>
      </c>
      <c r="G211" s="2" t="str">
        <f t="shared" si="6"/>
        <v>livecoin</v>
      </c>
      <c r="I211" s="3"/>
    </row>
    <row r="212" spans="1:9" x14ac:dyDescent="0.25">
      <c r="A212" s="2" t="s">
        <v>87</v>
      </c>
      <c r="B212" s="2" t="s">
        <v>83</v>
      </c>
      <c r="C212" s="4">
        <v>8.3599999999999994E-3</v>
      </c>
      <c r="D212" s="4">
        <v>8.3599899999999994E-3</v>
      </c>
      <c r="E212" s="4">
        <v>8.3599999999999994E-3</v>
      </c>
      <c r="F212" s="4">
        <v>8.2912381150699998E-3</v>
      </c>
      <c r="G212" s="2" t="str">
        <f t="shared" si="6"/>
        <v>livecoin</v>
      </c>
      <c r="I212" s="3"/>
    </row>
    <row r="213" spans="1:9" x14ac:dyDescent="0.25">
      <c r="A213" s="2" t="s">
        <v>87</v>
      </c>
      <c r="B213" s="2" t="s">
        <v>84</v>
      </c>
      <c r="C213" s="4">
        <v>2.0149999999999999E-3</v>
      </c>
      <c r="D213" s="4">
        <v>1.9304999999999999E-3</v>
      </c>
      <c r="E213" s="4">
        <v>2.0149999999999999E-3</v>
      </c>
      <c r="F213" s="4">
        <v>1.9304999999999999E-3</v>
      </c>
      <c r="G213" s="2" t="str">
        <f t="shared" si="6"/>
        <v>livecoin</v>
      </c>
      <c r="I213" s="3"/>
    </row>
    <row r="214" spans="1:9" x14ac:dyDescent="0.25">
      <c r="A214" s="2" t="s">
        <v>87</v>
      </c>
      <c r="B214" s="2" t="s">
        <v>155</v>
      </c>
      <c r="C214" s="4">
        <v>1.1033E-4</v>
      </c>
      <c r="D214" s="4">
        <v>1.0014999999999999E-4</v>
      </c>
      <c r="E214" s="4">
        <v>1.1033E-4</v>
      </c>
      <c r="F214" s="4">
        <v>1.0014999999999999E-4</v>
      </c>
      <c r="G214" s="2" t="str">
        <f t="shared" si="6"/>
        <v>livecoin</v>
      </c>
      <c r="I214" s="3"/>
    </row>
    <row r="215" spans="1:9" x14ac:dyDescent="0.25">
      <c r="A215" s="2" t="s">
        <v>87</v>
      </c>
      <c r="B215" s="2" t="s">
        <v>112</v>
      </c>
      <c r="C215" s="4">
        <v>0.25098999999999999</v>
      </c>
      <c r="D215" s="4">
        <v>0.1021</v>
      </c>
      <c r="E215" s="4">
        <v>0.25098999999999999</v>
      </c>
      <c r="F215" s="4">
        <v>0.1021</v>
      </c>
      <c r="G215" s="2" t="str">
        <f t="shared" si="6"/>
        <v>livecoin</v>
      </c>
      <c r="I215" s="3"/>
    </row>
    <row r="216" spans="1:9" x14ac:dyDescent="0.25">
      <c r="A216" s="2" t="s">
        <v>87</v>
      </c>
      <c r="B216" s="2" t="s">
        <v>111</v>
      </c>
      <c r="C216" s="4">
        <v>5.6900000000000001E-5</v>
      </c>
      <c r="D216" s="4">
        <v>4.3999999999999999E-5</v>
      </c>
      <c r="E216" s="4">
        <v>5.6900000000000001E-5</v>
      </c>
      <c r="F216" s="4">
        <v>4.3999999999999999E-5</v>
      </c>
      <c r="G216" s="2" t="str">
        <f t="shared" si="6"/>
        <v>livecoin</v>
      </c>
      <c r="I216" s="3"/>
    </row>
    <row r="217" spans="1:9" x14ac:dyDescent="0.25">
      <c r="A217" s="2" t="s">
        <v>87</v>
      </c>
      <c r="B217" s="2" t="s">
        <v>113</v>
      </c>
      <c r="C217" s="4">
        <v>5</v>
      </c>
      <c r="D217" s="4">
        <v>2.85000001</v>
      </c>
      <c r="E217" s="4">
        <v>5</v>
      </c>
      <c r="F217" s="4">
        <v>2.85000001</v>
      </c>
      <c r="G217" s="2" t="str">
        <f t="shared" si="6"/>
        <v>livecoin</v>
      </c>
      <c r="I217" s="3"/>
    </row>
    <row r="218" spans="1:9" x14ac:dyDescent="0.25">
      <c r="A218" s="2" t="s">
        <v>87</v>
      </c>
      <c r="B218" s="2" t="s">
        <v>114</v>
      </c>
      <c r="C218" s="4">
        <v>3.1879E-3</v>
      </c>
      <c r="D218" s="4">
        <v>3.00118E-3</v>
      </c>
      <c r="E218" s="4">
        <v>3.1879E-3</v>
      </c>
      <c r="F218" s="4">
        <v>3.00118E-3</v>
      </c>
      <c r="G218" s="2" t="str">
        <f t="shared" si="6"/>
        <v>livecoin</v>
      </c>
      <c r="I218" s="3"/>
    </row>
    <row r="219" spans="1:9" x14ac:dyDescent="0.25">
      <c r="A219" s="2" t="s">
        <v>87</v>
      </c>
      <c r="B219" s="2" t="s">
        <v>219</v>
      </c>
      <c r="C219" s="4">
        <v>3.4399899999999999</v>
      </c>
      <c r="D219" s="4">
        <v>2.6</v>
      </c>
      <c r="E219" s="4">
        <v>3.4399899999999999</v>
      </c>
      <c r="F219" s="4">
        <v>2.6</v>
      </c>
      <c r="G219" s="2" t="str">
        <f t="shared" si="6"/>
        <v>livecoin</v>
      </c>
      <c r="I219" s="3"/>
    </row>
    <row r="220" spans="1:9" x14ac:dyDescent="0.25">
      <c r="A220" s="2" t="s">
        <v>87</v>
      </c>
      <c r="B220" s="2" t="s">
        <v>82</v>
      </c>
      <c r="C220" s="4">
        <v>1.1297600000000001E-3</v>
      </c>
      <c r="D220" s="4">
        <v>1E-3</v>
      </c>
      <c r="E220" s="4">
        <v>1.1297600000000001E-3</v>
      </c>
      <c r="F220" s="4">
        <v>1E-3</v>
      </c>
      <c r="G220" s="2" t="str">
        <f t="shared" si="6"/>
        <v>livecoin</v>
      </c>
      <c r="I220" s="3"/>
    </row>
    <row r="221" spans="1:9" x14ac:dyDescent="0.25">
      <c r="A221" s="2" t="s">
        <v>87</v>
      </c>
      <c r="B221" s="2" t="s">
        <v>240</v>
      </c>
      <c r="C221" s="4">
        <v>6.9999999999999997E-7</v>
      </c>
      <c r="D221" s="4">
        <v>6.3E-7</v>
      </c>
      <c r="E221" s="4">
        <v>6.9999999999999997E-7</v>
      </c>
      <c r="F221" s="4">
        <v>6.3E-7</v>
      </c>
      <c r="G221" s="2" t="str">
        <f t="shared" si="6"/>
        <v>livecoin</v>
      </c>
      <c r="I221" s="3"/>
    </row>
    <row r="222" spans="1:9" x14ac:dyDescent="0.25">
      <c r="A222" s="2" t="s">
        <v>87</v>
      </c>
      <c r="B222" s="2" t="s">
        <v>56</v>
      </c>
      <c r="C222" s="4">
        <v>5.1900000000000003E-6</v>
      </c>
      <c r="D222" s="4">
        <v>5.1200000000000001E-6</v>
      </c>
      <c r="E222" s="4">
        <v>5.1900000000000003E-6</v>
      </c>
      <c r="F222" s="4">
        <v>5.1200000000000001E-6</v>
      </c>
      <c r="G222" s="2" t="str">
        <f t="shared" si="6"/>
        <v>livecoin</v>
      </c>
      <c r="I222" s="3"/>
    </row>
    <row r="223" spans="1:9" x14ac:dyDescent="0.25">
      <c r="A223" s="2" t="s">
        <v>87</v>
      </c>
      <c r="B223" s="2" t="s">
        <v>149</v>
      </c>
      <c r="C223" s="4">
        <v>0.22500000000000001</v>
      </c>
      <c r="D223" s="4">
        <v>0.17100000000000001</v>
      </c>
      <c r="E223" s="4">
        <v>0.22500000000000001</v>
      </c>
      <c r="F223" s="4">
        <v>0.17100000000000001</v>
      </c>
      <c r="G223" s="2" t="str">
        <f t="shared" si="6"/>
        <v>livecoin</v>
      </c>
      <c r="I223" s="3"/>
    </row>
    <row r="224" spans="1:9" x14ac:dyDescent="0.25">
      <c r="A224" s="2" t="s">
        <v>87</v>
      </c>
      <c r="B224" s="2" t="s">
        <v>147</v>
      </c>
      <c r="C224" s="4">
        <v>8.3449999999999996E-5</v>
      </c>
      <c r="D224" s="4">
        <v>8.0610000000000002E-5</v>
      </c>
      <c r="E224" s="4">
        <v>8.3449999999999996E-5</v>
      </c>
      <c r="F224" s="4">
        <v>8.0610000000000002E-5</v>
      </c>
      <c r="G224" s="2" t="str">
        <f t="shared" si="6"/>
        <v>livecoin</v>
      </c>
      <c r="I224" s="3"/>
    </row>
    <row r="225" spans="1:9" x14ac:dyDescent="0.25">
      <c r="A225" s="2" t="s">
        <v>87</v>
      </c>
      <c r="B225" s="2" t="s">
        <v>148</v>
      </c>
      <c r="C225" s="4">
        <v>6.9948000000000005E-4</v>
      </c>
      <c r="D225" s="4">
        <v>5.7832999999999995E-4</v>
      </c>
      <c r="E225" s="4">
        <v>6.9948000000000005E-4</v>
      </c>
      <c r="F225" s="4">
        <v>5.7832999999999995E-4</v>
      </c>
      <c r="G225" s="2" t="str">
        <f t="shared" si="6"/>
        <v>livecoin</v>
      </c>
      <c r="I225" s="3"/>
    </row>
    <row r="226" spans="1:9" x14ac:dyDescent="0.25">
      <c r="A226" s="2" t="s">
        <v>87</v>
      </c>
      <c r="B226" s="2" t="s">
        <v>188</v>
      </c>
      <c r="C226" s="4">
        <v>2.4</v>
      </c>
      <c r="D226" s="4">
        <v>1.61</v>
      </c>
      <c r="E226" s="4">
        <v>2.4</v>
      </c>
      <c r="F226" s="4">
        <v>1.61</v>
      </c>
      <c r="G226" s="2" t="str">
        <f t="shared" si="6"/>
        <v>livecoin</v>
      </c>
      <c r="I226" s="3"/>
    </row>
    <row r="227" spans="1:9" x14ac:dyDescent="0.25">
      <c r="A227" s="2" t="s">
        <v>87</v>
      </c>
      <c r="B227" s="2" t="s">
        <v>186</v>
      </c>
      <c r="C227" s="4">
        <v>2.9990000000000001</v>
      </c>
      <c r="D227" s="4">
        <v>2.4080000000000001E-2</v>
      </c>
      <c r="E227" s="4">
        <v>2.9990000000000001</v>
      </c>
      <c r="F227" s="4">
        <v>2.4080000000000001E-2</v>
      </c>
      <c r="G227" s="2" t="str">
        <f t="shared" si="6"/>
        <v>livecoin</v>
      </c>
      <c r="I227" s="3"/>
    </row>
    <row r="228" spans="1:9" x14ac:dyDescent="0.25">
      <c r="A228" s="2" t="s">
        <v>87</v>
      </c>
      <c r="B228" s="2" t="s">
        <v>183</v>
      </c>
      <c r="C228" s="4">
        <v>7.8658999999999999E-4</v>
      </c>
      <c r="D228" s="4">
        <v>6.4092000000000001E-4</v>
      </c>
      <c r="E228" s="4">
        <v>7.8658999999999999E-4</v>
      </c>
      <c r="F228" s="4">
        <v>6.4092000000000001E-4</v>
      </c>
      <c r="G228" s="2" t="str">
        <f t="shared" si="6"/>
        <v>livecoin</v>
      </c>
      <c r="I228" s="3"/>
    </row>
    <row r="229" spans="1:9" x14ac:dyDescent="0.25">
      <c r="A229" s="2" t="s">
        <v>87</v>
      </c>
      <c r="B229" s="2" t="s">
        <v>187</v>
      </c>
      <c r="C229" s="4">
        <v>340.995</v>
      </c>
      <c r="D229" s="4">
        <v>26.001000000000001</v>
      </c>
      <c r="E229" s="4">
        <v>340.995</v>
      </c>
      <c r="F229" s="4">
        <v>26.001000000000001</v>
      </c>
      <c r="G229" s="2" t="str">
        <f t="shared" si="6"/>
        <v>livecoin</v>
      </c>
      <c r="I229" s="3"/>
    </row>
    <row r="230" spans="1:9" x14ac:dyDescent="0.25">
      <c r="A230" s="2" t="s">
        <v>87</v>
      </c>
      <c r="B230" s="2" t="s">
        <v>184</v>
      </c>
      <c r="C230" s="4">
        <v>2.4989850000000001E-2</v>
      </c>
      <c r="D230" s="4">
        <v>2.5000000000000001E-3</v>
      </c>
      <c r="E230" s="4">
        <v>2.4989850000000001E-2</v>
      </c>
      <c r="F230" s="4">
        <v>2.5000000000000001E-3</v>
      </c>
      <c r="G230" s="2" t="str">
        <f t="shared" si="6"/>
        <v>livecoin</v>
      </c>
      <c r="I230" s="3"/>
    </row>
    <row r="231" spans="1:9" x14ac:dyDescent="0.25">
      <c r="A231" s="2" t="s">
        <v>87</v>
      </c>
      <c r="B231" s="2" t="s">
        <v>185</v>
      </c>
      <c r="C231" s="4">
        <v>6.8998499999999999E-3</v>
      </c>
      <c r="D231" s="4">
        <v>2.0002399999999999E-3</v>
      </c>
      <c r="E231" s="4">
        <v>6.8998499999999999E-3</v>
      </c>
      <c r="F231" s="4">
        <v>2.0002399999999999E-3</v>
      </c>
      <c r="G231" s="2" t="str">
        <f t="shared" si="6"/>
        <v>livecoin</v>
      </c>
      <c r="I231" s="3"/>
    </row>
    <row r="232" spans="1:9" x14ac:dyDescent="0.25">
      <c r="A232" s="2" t="s">
        <v>87</v>
      </c>
      <c r="B232" s="2" t="s">
        <v>189</v>
      </c>
      <c r="C232" s="4">
        <v>0.16999987</v>
      </c>
      <c r="D232" s="4">
        <v>1.7001099999999999E-3</v>
      </c>
      <c r="E232" s="4">
        <v>0.16999987</v>
      </c>
      <c r="F232" s="4">
        <v>1.7001099999999999E-3</v>
      </c>
      <c r="G232" s="2" t="str">
        <f t="shared" si="6"/>
        <v>livecoin</v>
      </c>
      <c r="I232" s="3"/>
    </row>
    <row r="233" spans="1:9" x14ac:dyDescent="0.25">
      <c r="A233" s="2" t="s">
        <v>87</v>
      </c>
      <c r="B233" s="2" t="s">
        <v>160</v>
      </c>
      <c r="C233" s="4">
        <v>25</v>
      </c>
      <c r="D233" s="4">
        <v>2.5000000000000001E-2</v>
      </c>
      <c r="E233" s="4">
        <v>25</v>
      </c>
      <c r="F233" s="4">
        <v>2.5000000000000001E-2</v>
      </c>
      <c r="G233" s="2" t="str">
        <f t="shared" si="6"/>
        <v>livecoin</v>
      </c>
      <c r="I233" s="3"/>
    </row>
    <row r="234" spans="1:9" x14ac:dyDescent="0.25">
      <c r="A234" s="2" t="s">
        <v>87</v>
      </c>
      <c r="B234" s="2" t="s">
        <v>40</v>
      </c>
      <c r="C234" s="4">
        <v>7.4888000000000003E-3</v>
      </c>
      <c r="D234" s="4">
        <v>6.5677699999999997E-3</v>
      </c>
      <c r="E234" s="4">
        <v>7.4888000000000003E-3</v>
      </c>
      <c r="F234" s="4">
        <v>6.5677699999999997E-3</v>
      </c>
      <c r="G234" s="2" t="str">
        <f t="shared" si="6"/>
        <v>livecoin</v>
      </c>
      <c r="I234" s="3"/>
    </row>
    <row r="235" spans="1:9" x14ac:dyDescent="0.25">
      <c r="A235" s="2" t="s">
        <v>87</v>
      </c>
      <c r="B235" s="2" t="s">
        <v>161</v>
      </c>
      <c r="C235" s="4">
        <v>1299</v>
      </c>
      <c r="D235" s="4">
        <v>750</v>
      </c>
      <c r="E235" s="4">
        <v>1299</v>
      </c>
      <c r="F235" s="4">
        <v>750</v>
      </c>
      <c r="G235" s="2" t="str">
        <f t="shared" si="6"/>
        <v>livecoin</v>
      </c>
      <c r="I235" s="3"/>
    </row>
    <row r="236" spans="1:9" x14ac:dyDescent="0.25">
      <c r="A236" s="2" t="s">
        <v>87</v>
      </c>
      <c r="B236" s="2" t="s">
        <v>159</v>
      </c>
      <c r="C236" s="4">
        <v>7.4999999999999997E-2</v>
      </c>
      <c r="D236" s="4">
        <v>7.5001499999999997E-3</v>
      </c>
      <c r="E236" s="4">
        <v>7.4999999999999997E-2</v>
      </c>
      <c r="F236" s="4">
        <v>7.5001499999999997E-3</v>
      </c>
      <c r="G236" s="2" t="str">
        <f t="shared" si="6"/>
        <v>livecoin</v>
      </c>
      <c r="I236" s="3"/>
    </row>
    <row r="237" spans="1:9" x14ac:dyDescent="0.25">
      <c r="A237" s="2" t="s">
        <v>87</v>
      </c>
      <c r="B237" s="2" t="s">
        <v>201</v>
      </c>
      <c r="C237" s="4">
        <v>3.1960000000000002E-2</v>
      </c>
      <c r="D237" s="4">
        <v>1.9099999999999999E-2</v>
      </c>
      <c r="E237" s="4">
        <v>3.1960000000000002E-2</v>
      </c>
      <c r="F237" s="4">
        <v>1.9099999999999999E-2</v>
      </c>
      <c r="G237" s="2" t="str">
        <f t="shared" si="6"/>
        <v>livecoin</v>
      </c>
      <c r="I237" s="3"/>
    </row>
    <row r="238" spans="1:9" x14ac:dyDescent="0.25">
      <c r="A238" s="2" t="s">
        <v>87</v>
      </c>
      <c r="B238" s="2" t="s">
        <v>199</v>
      </c>
      <c r="C238" s="4">
        <v>8.9299999999999992E-6</v>
      </c>
      <c r="D238" s="4">
        <v>8.0199999999999994E-6</v>
      </c>
      <c r="E238" s="4">
        <v>8.9299999999999992E-6</v>
      </c>
      <c r="F238" s="4">
        <v>8.0199999999999994E-6</v>
      </c>
      <c r="G238" s="2" t="str">
        <f t="shared" si="6"/>
        <v>livecoin</v>
      </c>
      <c r="I238" s="3"/>
    </row>
    <row r="239" spans="1:9" x14ac:dyDescent="0.25">
      <c r="A239" s="2" t="s">
        <v>87</v>
      </c>
      <c r="B239" s="2" t="s">
        <v>200</v>
      </c>
      <c r="C239" s="4">
        <v>8.6769999999999998E-5</v>
      </c>
      <c r="D239" s="4">
        <v>4.8999999999999998E-5</v>
      </c>
      <c r="E239" s="4">
        <v>8.6769999999999998E-5</v>
      </c>
      <c r="F239" s="4">
        <v>4.8999999999999998E-5</v>
      </c>
      <c r="G239" s="2" t="str">
        <f t="shared" si="6"/>
        <v>livecoin</v>
      </c>
      <c r="I239" s="3"/>
    </row>
    <row r="240" spans="1:9" x14ac:dyDescent="0.25">
      <c r="A240" s="2" t="s">
        <v>87</v>
      </c>
      <c r="B240" s="2" t="s">
        <v>76</v>
      </c>
      <c r="C240" s="4">
        <v>1.4996000000000001E-4</v>
      </c>
      <c r="D240" s="4">
        <v>1.1459999999999999E-4</v>
      </c>
      <c r="E240" s="4">
        <v>1.4996000000000001E-4</v>
      </c>
      <c r="F240" s="4">
        <v>1.1459999999999999E-4</v>
      </c>
      <c r="G240" s="2" t="str">
        <f t="shared" si="6"/>
        <v>livecoin</v>
      </c>
      <c r="I240" s="3"/>
    </row>
    <row r="241" spans="1:9" x14ac:dyDescent="0.25">
      <c r="A241" s="2" t="s">
        <v>87</v>
      </c>
      <c r="B241" s="2" t="s">
        <v>152</v>
      </c>
      <c r="C241" s="4">
        <v>1.1984999999999999E-3</v>
      </c>
      <c r="D241" s="4">
        <v>6.5558999999999995E-4</v>
      </c>
      <c r="E241" s="4">
        <v>1.1984999999999999E-3</v>
      </c>
      <c r="F241" s="4">
        <v>6.5558999999999995E-4</v>
      </c>
      <c r="G241" s="2" t="str">
        <f t="shared" si="6"/>
        <v>livecoin</v>
      </c>
      <c r="I241" s="3"/>
    </row>
    <row r="242" spans="1:9" x14ac:dyDescent="0.25">
      <c r="A242" s="2" t="s">
        <v>87</v>
      </c>
      <c r="B242" s="2" t="s">
        <v>170</v>
      </c>
      <c r="C242" s="4">
        <v>2.5100399999999998E-3</v>
      </c>
      <c r="D242" s="4">
        <v>2.3900000000000002E-3</v>
      </c>
      <c r="E242" s="4">
        <v>2.9698797458399999E-3</v>
      </c>
      <c r="F242" s="4">
        <v>2.3900000000000002E-3</v>
      </c>
      <c r="G242" s="2" t="str">
        <f t="shared" si="6"/>
        <v>livecoin</v>
      </c>
      <c r="I242" s="3"/>
    </row>
    <row r="243" spans="1:9" x14ac:dyDescent="0.25">
      <c r="A243" s="2" t="s">
        <v>87</v>
      </c>
      <c r="B243" s="2" t="s">
        <v>171</v>
      </c>
      <c r="C243" s="4">
        <v>2.4008999999999999E-2</v>
      </c>
      <c r="D243" s="4">
        <v>2.4E-2</v>
      </c>
      <c r="E243" s="4">
        <v>2.4008999999999999E-2</v>
      </c>
      <c r="F243" s="4">
        <v>2.4E-2</v>
      </c>
      <c r="G243" s="2" t="str">
        <f t="shared" si="6"/>
        <v>livecoin</v>
      </c>
      <c r="I243" s="3"/>
    </row>
    <row r="244" spans="1:9" x14ac:dyDescent="0.25">
      <c r="A244" s="2" t="s">
        <v>87</v>
      </c>
      <c r="B244" s="2" t="s">
        <v>85</v>
      </c>
      <c r="C244" s="4">
        <v>2.6397999999999998E-4</v>
      </c>
      <c r="D244" s="4">
        <v>2.4000000000000001E-4</v>
      </c>
      <c r="E244" s="4">
        <v>2.6397999999999998E-4</v>
      </c>
      <c r="F244" s="4">
        <v>2.4000000000000001E-4</v>
      </c>
      <c r="G244" s="2" t="str">
        <f t="shared" si="6"/>
        <v>livecoin</v>
      </c>
      <c r="I244" s="3"/>
    </row>
    <row r="245" spans="1:9" x14ac:dyDescent="0.25">
      <c r="A245" s="2" t="s">
        <v>87</v>
      </c>
      <c r="B245" s="2" t="s">
        <v>239</v>
      </c>
      <c r="C245" s="4">
        <v>2.5996399999999999E-3</v>
      </c>
      <c r="D245" s="4">
        <v>1.30021E-3</v>
      </c>
      <c r="E245" s="4">
        <v>2.5996399999999999E-3</v>
      </c>
      <c r="F245" s="4">
        <v>1.30021E-3</v>
      </c>
      <c r="G245" s="2" t="str">
        <f t="shared" si="6"/>
        <v>livecoin</v>
      </c>
      <c r="I245" s="3"/>
    </row>
    <row r="246" spans="1:9" x14ac:dyDescent="0.25">
      <c r="A246" s="2" t="s">
        <v>87</v>
      </c>
      <c r="B246" s="2" t="s">
        <v>226</v>
      </c>
      <c r="C246" s="4">
        <v>4.3990000000000001E-2</v>
      </c>
      <c r="D246" s="4">
        <v>1.01E-3</v>
      </c>
      <c r="E246" s="4">
        <v>4.3990000000000001E-2</v>
      </c>
      <c r="F246" s="4">
        <v>1.01E-3</v>
      </c>
      <c r="G246" s="2" t="str">
        <f t="shared" si="6"/>
        <v>livecoin</v>
      </c>
      <c r="I246" s="3"/>
    </row>
    <row r="247" spans="1:9" x14ac:dyDescent="0.25">
      <c r="A247" s="2" t="s">
        <v>87</v>
      </c>
      <c r="B247" s="2" t="s">
        <v>225</v>
      </c>
      <c r="C247" s="4">
        <v>8.3999999999999992E-6</v>
      </c>
      <c r="D247" s="4">
        <v>6.4999999999999996E-6</v>
      </c>
      <c r="E247" s="4">
        <v>8.3999999999999992E-6</v>
      </c>
      <c r="F247" s="4">
        <v>6.4999999999999996E-6</v>
      </c>
      <c r="G247" s="2" t="str">
        <f t="shared" si="6"/>
        <v>livecoin</v>
      </c>
      <c r="I247" s="3"/>
    </row>
    <row r="248" spans="1:9" x14ac:dyDescent="0.25">
      <c r="A248" s="2" t="s">
        <v>87</v>
      </c>
      <c r="B248" s="2" t="s">
        <v>209</v>
      </c>
      <c r="C248" s="4">
        <v>0.65</v>
      </c>
      <c r="D248" s="4">
        <v>0.50009999999999999</v>
      </c>
      <c r="E248" s="4">
        <v>0.65</v>
      </c>
      <c r="F248" s="4">
        <v>0.50009999999999999</v>
      </c>
      <c r="G248" s="2" t="str">
        <f t="shared" ref="G248:G311" si="7">A248</f>
        <v>livecoin</v>
      </c>
      <c r="I248" s="3"/>
    </row>
    <row r="249" spans="1:9" x14ac:dyDescent="0.25">
      <c r="A249" s="2" t="s">
        <v>87</v>
      </c>
      <c r="B249" s="2" t="s">
        <v>206</v>
      </c>
      <c r="C249" s="4">
        <v>1.9709E-4</v>
      </c>
      <c r="D249" s="4">
        <v>1.95E-4</v>
      </c>
      <c r="E249" s="4">
        <v>1.9709E-4</v>
      </c>
      <c r="F249" s="4">
        <v>1.95E-4</v>
      </c>
      <c r="G249" s="2" t="str">
        <f t="shared" si="7"/>
        <v>livecoin</v>
      </c>
      <c r="I249" s="3"/>
    </row>
    <row r="250" spans="1:9" x14ac:dyDescent="0.25">
      <c r="A250" s="2" t="s">
        <v>87</v>
      </c>
      <c r="B250" s="2" t="s">
        <v>208</v>
      </c>
      <c r="C250" s="4">
        <v>148</v>
      </c>
      <c r="D250" s="4">
        <v>7.3601900000000002</v>
      </c>
      <c r="E250" s="4">
        <v>148</v>
      </c>
      <c r="F250" s="4">
        <v>7.3601900000000002</v>
      </c>
      <c r="G250" s="2" t="str">
        <f t="shared" si="7"/>
        <v>livecoin</v>
      </c>
      <c r="I250" s="3"/>
    </row>
    <row r="251" spans="1:9" x14ac:dyDescent="0.25">
      <c r="A251" s="2" t="s">
        <v>87</v>
      </c>
      <c r="B251" s="2" t="s">
        <v>207</v>
      </c>
      <c r="C251" s="4">
        <v>2E-3</v>
      </c>
      <c r="D251" s="4">
        <v>1.1239100000000001E-3</v>
      </c>
      <c r="E251" s="4">
        <v>2E-3</v>
      </c>
      <c r="F251" s="4">
        <v>1.1239100000000001E-3</v>
      </c>
      <c r="G251" s="2" t="str">
        <f t="shared" si="7"/>
        <v>livecoin</v>
      </c>
      <c r="I251" s="3"/>
    </row>
    <row r="252" spans="1:9" x14ac:dyDescent="0.25">
      <c r="A252" s="2" t="s">
        <v>87</v>
      </c>
      <c r="B252" s="2" t="s">
        <v>61</v>
      </c>
      <c r="C252" s="4">
        <v>9.3960000000000002E-2</v>
      </c>
      <c r="D252" s="4">
        <v>8.0500000000000002E-2</v>
      </c>
      <c r="E252" s="4">
        <v>9.3960000000000002E-2</v>
      </c>
      <c r="F252" s="4">
        <v>8.0500000000000002E-2</v>
      </c>
      <c r="G252" s="2" t="str">
        <f t="shared" si="7"/>
        <v>livecoin</v>
      </c>
      <c r="I252" s="3"/>
    </row>
    <row r="253" spans="1:9" x14ac:dyDescent="0.25">
      <c r="A253" s="2" t="s">
        <v>87</v>
      </c>
      <c r="B253" s="2" t="s">
        <v>59</v>
      </c>
      <c r="C253" s="4">
        <v>3.362E-5</v>
      </c>
      <c r="D253" s="4">
        <v>3.3470000000000003E-5</v>
      </c>
      <c r="E253" s="4">
        <v>3.3629999236E-5</v>
      </c>
      <c r="F253" s="4">
        <v>3.3470000000000003E-5</v>
      </c>
      <c r="G253" s="2" t="str">
        <f t="shared" si="7"/>
        <v>livecoin</v>
      </c>
      <c r="I253" s="3"/>
    </row>
    <row r="254" spans="1:9" x14ac:dyDescent="0.25">
      <c r="A254" s="2" t="s">
        <v>87</v>
      </c>
      <c r="B254" s="2" t="s">
        <v>60</v>
      </c>
      <c r="C254" s="4">
        <v>2.9998999999999998E-3</v>
      </c>
      <c r="D254" s="4">
        <v>6.1003000000000001E-4</v>
      </c>
      <c r="E254" s="4">
        <v>2.9998999999999998E-3</v>
      </c>
      <c r="F254" s="4">
        <v>6.1003000000000001E-4</v>
      </c>
      <c r="G254" s="2" t="str">
        <f t="shared" si="7"/>
        <v>livecoin</v>
      </c>
      <c r="I254" s="3"/>
    </row>
    <row r="255" spans="1:9" x14ac:dyDescent="0.25">
      <c r="A255" s="2" t="s">
        <v>87</v>
      </c>
      <c r="B255" s="2" t="s">
        <v>227</v>
      </c>
      <c r="C255" s="4">
        <v>2.7E-4</v>
      </c>
      <c r="D255" s="4">
        <v>2.1001E-4</v>
      </c>
      <c r="E255" s="4">
        <v>2.7E-4</v>
      </c>
      <c r="F255" s="4">
        <v>2.1001E-4</v>
      </c>
      <c r="G255" s="2" t="str">
        <f t="shared" si="7"/>
        <v>livecoin</v>
      </c>
      <c r="I255" s="3"/>
    </row>
    <row r="256" spans="1:9" x14ac:dyDescent="0.25">
      <c r="A256" s="2" t="s">
        <v>87</v>
      </c>
      <c r="B256" s="2" t="s">
        <v>216</v>
      </c>
      <c r="C256" s="4">
        <v>8.9700000000000006</v>
      </c>
      <c r="D256" s="4">
        <v>7.5</v>
      </c>
      <c r="E256" s="4">
        <v>8.9700000000000006</v>
      </c>
      <c r="F256" s="4">
        <v>7.5</v>
      </c>
      <c r="G256" s="2" t="str">
        <f t="shared" si="7"/>
        <v>livecoin</v>
      </c>
      <c r="I256" s="3"/>
    </row>
    <row r="257" spans="1:9" x14ac:dyDescent="0.25">
      <c r="A257" s="2" t="s">
        <v>87</v>
      </c>
      <c r="B257" s="2" t="s">
        <v>214</v>
      </c>
      <c r="C257" s="4">
        <v>3.1499700000000002E-3</v>
      </c>
      <c r="D257" s="4">
        <v>2.7097800000000002E-3</v>
      </c>
      <c r="E257" s="4">
        <v>3.1499700000000002E-3</v>
      </c>
      <c r="F257" s="4">
        <v>2.7097800000000002E-3</v>
      </c>
      <c r="G257" s="2" t="str">
        <f t="shared" si="7"/>
        <v>livecoin</v>
      </c>
      <c r="I257" s="3"/>
    </row>
    <row r="258" spans="1:9" x14ac:dyDescent="0.25">
      <c r="A258" s="2" t="s">
        <v>87</v>
      </c>
      <c r="B258" s="2" t="s">
        <v>215</v>
      </c>
      <c r="C258" s="4">
        <v>2.6998000000000001E-2</v>
      </c>
      <c r="D258" s="4">
        <v>1.37001E-2</v>
      </c>
      <c r="E258" s="4">
        <v>2.6998000000000001E-2</v>
      </c>
      <c r="F258" s="4">
        <v>1.37001E-2</v>
      </c>
      <c r="G258" s="2" t="str">
        <f t="shared" si="7"/>
        <v>livecoin</v>
      </c>
      <c r="I258" s="3"/>
    </row>
    <row r="259" spans="1:9" x14ac:dyDescent="0.25">
      <c r="A259" s="2" t="s">
        <v>87</v>
      </c>
      <c r="B259" s="2" t="s">
        <v>49</v>
      </c>
      <c r="C259" s="4">
        <v>8.5000000000000006E-2</v>
      </c>
      <c r="D259" s="4">
        <v>0.08</v>
      </c>
      <c r="E259" s="4">
        <v>8.5000000000000006E-2</v>
      </c>
      <c r="F259" s="4">
        <v>0.08</v>
      </c>
      <c r="G259" s="2" t="str">
        <f t="shared" si="7"/>
        <v>livecoin</v>
      </c>
      <c r="I259" s="3"/>
    </row>
    <row r="260" spans="1:9" x14ac:dyDescent="0.25">
      <c r="A260" s="2" t="s">
        <v>87</v>
      </c>
      <c r="B260" s="2" t="s">
        <v>48</v>
      </c>
      <c r="C260" s="4">
        <v>3.0000000000000001E-5</v>
      </c>
      <c r="D260" s="4">
        <v>2.8E-5</v>
      </c>
      <c r="E260" s="4">
        <v>3.0000000000000001E-5</v>
      </c>
      <c r="F260" s="4">
        <v>2.8E-5</v>
      </c>
      <c r="G260" s="2" t="str">
        <f t="shared" si="7"/>
        <v>livecoin</v>
      </c>
      <c r="I260" s="3"/>
    </row>
    <row r="261" spans="1:9" x14ac:dyDescent="0.25">
      <c r="A261" s="2" t="s">
        <v>87</v>
      </c>
      <c r="B261" s="2" t="s">
        <v>182</v>
      </c>
      <c r="C261" s="4">
        <v>4.0000000000000002E-4</v>
      </c>
      <c r="D261" s="4">
        <v>2.5000000000000001E-4</v>
      </c>
      <c r="E261" s="4">
        <v>4.0000000000000002E-4</v>
      </c>
      <c r="F261" s="4">
        <v>2.5000000000000001E-4</v>
      </c>
      <c r="G261" s="2" t="str">
        <f t="shared" si="7"/>
        <v>livecoin</v>
      </c>
      <c r="I261" s="3"/>
    </row>
    <row r="262" spans="1:9" x14ac:dyDescent="0.25">
      <c r="A262" s="2" t="s">
        <v>87</v>
      </c>
      <c r="B262" s="2" t="s">
        <v>143</v>
      </c>
      <c r="C262" s="4">
        <v>19500</v>
      </c>
      <c r="D262" s="4">
        <v>15600</v>
      </c>
      <c r="E262" s="4">
        <v>19500</v>
      </c>
      <c r="F262" s="4">
        <v>15600</v>
      </c>
      <c r="G262" s="2" t="str">
        <f t="shared" si="7"/>
        <v>livecoin</v>
      </c>
      <c r="I262" s="3"/>
    </row>
    <row r="263" spans="1:9" x14ac:dyDescent="0.25">
      <c r="A263" s="2" t="s">
        <v>87</v>
      </c>
      <c r="B263" s="2" t="s">
        <v>141</v>
      </c>
      <c r="C263" s="4">
        <v>6.1999999299999997</v>
      </c>
      <c r="D263" s="4">
        <v>5.7500000599999996</v>
      </c>
      <c r="E263" s="4">
        <v>6.1999999299999997</v>
      </c>
      <c r="F263" s="4">
        <v>5.7500000599999996</v>
      </c>
      <c r="G263" s="2" t="str">
        <f t="shared" si="7"/>
        <v>livecoin</v>
      </c>
      <c r="I263" s="3"/>
    </row>
    <row r="264" spans="1:9" x14ac:dyDescent="0.25">
      <c r="A264" s="2" t="s">
        <v>87</v>
      </c>
      <c r="B264" s="2" t="s">
        <v>142</v>
      </c>
      <c r="C264" s="4">
        <v>52.77</v>
      </c>
      <c r="D264" s="4">
        <v>38.781457039999999</v>
      </c>
      <c r="E264" s="4">
        <v>52.77</v>
      </c>
      <c r="F264" s="4">
        <v>5.7326180897299999</v>
      </c>
      <c r="G264" s="2" t="str">
        <f t="shared" si="7"/>
        <v>livecoin</v>
      </c>
      <c r="I264" s="3"/>
    </row>
    <row r="265" spans="1:9" x14ac:dyDescent="0.25">
      <c r="A265" s="2" t="s">
        <v>87</v>
      </c>
      <c r="B265" s="2" t="s">
        <v>158</v>
      </c>
      <c r="C265" s="4">
        <v>8.5000000000000006E-2</v>
      </c>
      <c r="D265" s="4">
        <v>7.0000000000000007E-2</v>
      </c>
      <c r="E265" s="4">
        <v>8.5000000000000006E-2</v>
      </c>
      <c r="F265" s="4">
        <v>7.0000000000000007E-2</v>
      </c>
      <c r="G265" s="2" t="str">
        <f t="shared" si="7"/>
        <v>livecoin</v>
      </c>
      <c r="I265" s="3"/>
    </row>
    <row r="266" spans="1:9" x14ac:dyDescent="0.25">
      <c r="A266" s="2" t="s">
        <v>87</v>
      </c>
      <c r="B266" s="2" t="s">
        <v>156</v>
      </c>
      <c r="C266" s="4">
        <v>2.885E-5</v>
      </c>
      <c r="D266" s="4">
        <v>2.09E-5</v>
      </c>
      <c r="E266" s="4">
        <v>2.885E-5</v>
      </c>
      <c r="F266" s="4">
        <v>2.09E-5</v>
      </c>
      <c r="G266" s="2" t="str">
        <f t="shared" si="7"/>
        <v>livecoin</v>
      </c>
      <c r="I266" s="3"/>
    </row>
    <row r="267" spans="1:9" x14ac:dyDescent="0.25">
      <c r="A267" s="2" t="s">
        <v>87</v>
      </c>
      <c r="B267" s="2" t="s">
        <v>157</v>
      </c>
      <c r="C267" s="4">
        <v>2.4999000000000001E-4</v>
      </c>
      <c r="D267" s="4">
        <v>1.9002999999999999E-4</v>
      </c>
      <c r="E267" s="4">
        <v>2.4999000000000001E-4</v>
      </c>
      <c r="F267" s="4">
        <v>1.9002999999999999E-4</v>
      </c>
      <c r="G267" s="2" t="str">
        <f t="shared" si="7"/>
        <v>livecoin</v>
      </c>
      <c r="I267" s="3"/>
    </row>
    <row r="268" spans="1:9" x14ac:dyDescent="0.25">
      <c r="A268" s="2" t="s">
        <v>87</v>
      </c>
      <c r="B268" s="2" t="s">
        <v>204</v>
      </c>
      <c r="C268" s="4">
        <v>0.29996</v>
      </c>
      <c r="D268" s="4">
        <v>0.22514000000000001</v>
      </c>
      <c r="E268" s="4">
        <v>0.29996</v>
      </c>
      <c r="F268" s="4">
        <v>0.22514000000000001</v>
      </c>
      <c r="G268" s="2" t="str">
        <f t="shared" si="7"/>
        <v>livecoin</v>
      </c>
      <c r="I268" s="3"/>
    </row>
    <row r="269" spans="1:9" x14ac:dyDescent="0.25">
      <c r="A269" s="2" t="s">
        <v>87</v>
      </c>
      <c r="B269" s="2" t="s">
        <v>202</v>
      </c>
      <c r="C269" s="4">
        <v>1.0098999999999999E-4</v>
      </c>
      <c r="D269" s="4">
        <v>9.0019999999999995E-5</v>
      </c>
      <c r="E269" s="4">
        <v>1.0098999999999999E-4</v>
      </c>
      <c r="F269" s="4">
        <v>9.0019999999999995E-5</v>
      </c>
      <c r="G269" s="2" t="str">
        <f t="shared" si="7"/>
        <v>livecoin</v>
      </c>
      <c r="I269" s="3"/>
    </row>
    <row r="270" spans="1:9" x14ac:dyDescent="0.25">
      <c r="A270" s="2" t="s">
        <v>87</v>
      </c>
      <c r="B270" s="2" t="s">
        <v>203</v>
      </c>
      <c r="C270" s="4">
        <v>8.6499999999999999E-4</v>
      </c>
      <c r="D270" s="4">
        <v>5.0000999999999995E-4</v>
      </c>
      <c r="E270" s="4">
        <v>8.6499999999999999E-4</v>
      </c>
      <c r="F270" s="4">
        <v>5.0000999999999995E-4</v>
      </c>
      <c r="G270" s="2" t="str">
        <f t="shared" si="7"/>
        <v>livecoin</v>
      </c>
      <c r="I270" s="3"/>
    </row>
    <row r="271" spans="1:9" x14ac:dyDescent="0.25">
      <c r="A271" s="2" t="s">
        <v>87</v>
      </c>
      <c r="B271" s="2" t="s">
        <v>57</v>
      </c>
      <c r="C271" s="4">
        <v>2.83E-5</v>
      </c>
      <c r="D271" s="4">
        <v>2.667E-5</v>
      </c>
      <c r="E271" s="4">
        <v>2.83E-5</v>
      </c>
      <c r="F271" s="4">
        <v>2.667E-5</v>
      </c>
      <c r="G271" s="2" t="str">
        <f t="shared" si="7"/>
        <v>livecoin</v>
      </c>
      <c r="I271" s="3"/>
    </row>
    <row r="272" spans="1:9" x14ac:dyDescent="0.25">
      <c r="A272" s="2" t="s">
        <v>87</v>
      </c>
      <c r="B272" s="2" t="s">
        <v>223</v>
      </c>
      <c r="C272" s="4">
        <v>3.1990000000000002E-4</v>
      </c>
      <c r="D272" s="4">
        <v>1.2149E-4</v>
      </c>
      <c r="E272" s="4">
        <v>3.1990000000000002E-4</v>
      </c>
      <c r="F272" s="4">
        <v>1.2149E-4</v>
      </c>
      <c r="G272" s="2" t="str">
        <f t="shared" si="7"/>
        <v>livecoin</v>
      </c>
      <c r="I272" s="3"/>
    </row>
    <row r="273" spans="1:9" x14ac:dyDescent="0.25">
      <c r="A273" s="2" t="s">
        <v>87</v>
      </c>
      <c r="B273" s="2" t="s">
        <v>140</v>
      </c>
      <c r="C273" s="4">
        <v>0.11</v>
      </c>
      <c r="D273" s="4">
        <v>5.8119999999999998E-2</v>
      </c>
      <c r="E273" s="4">
        <v>0.11</v>
      </c>
      <c r="F273" s="4">
        <v>5.8119999999999998E-2</v>
      </c>
      <c r="G273" s="2" t="str">
        <f t="shared" si="7"/>
        <v>livecoin</v>
      </c>
      <c r="I273" s="3"/>
    </row>
    <row r="274" spans="1:9" x14ac:dyDescent="0.25">
      <c r="A274" s="2" t="s">
        <v>87</v>
      </c>
      <c r="B274" s="2" t="s">
        <v>138</v>
      </c>
      <c r="C274" s="4">
        <v>3.6300000000000001E-5</v>
      </c>
      <c r="D274" s="4">
        <v>3.6269999999999997E-5</v>
      </c>
      <c r="E274" s="4">
        <v>3.6300000000000001E-5</v>
      </c>
      <c r="F274" s="4">
        <v>3.6269999999999997E-5</v>
      </c>
      <c r="G274" s="2" t="str">
        <f t="shared" si="7"/>
        <v>livecoin</v>
      </c>
      <c r="I274" s="3"/>
    </row>
    <row r="275" spans="1:9" x14ac:dyDescent="0.25">
      <c r="A275" s="2" t="s">
        <v>87</v>
      </c>
      <c r="B275" s="2" t="s">
        <v>139</v>
      </c>
      <c r="C275" s="4">
        <v>3.4998999999999998E-3</v>
      </c>
      <c r="D275" s="4">
        <v>1.2799999999999999E-5</v>
      </c>
      <c r="E275" s="4">
        <v>3.4998999999999998E-3</v>
      </c>
      <c r="F275" s="4">
        <v>1.2799999999999999E-5</v>
      </c>
      <c r="G275" s="2" t="str">
        <f t="shared" si="7"/>
        <v>livecoin</v>
      </c>
      <c r="I275" s="3"/>
    </row>
    <row r="276" spans="1:9" x14ac:dyDescent="0.25">
      <c r="A276" s="2" t="s">
        <v>87</v>
      </c>
      <c r="B276" s="2" t="s">
        <v>238</v>
      </c>
      <c r="C276" s="4">
        <v>0.8</v>
      </c>
      <c r="D276" s="4">
        <v>0.60001000000000004</v>
      </c>
      <c r="E276" s="4">
        <v>0.8</v>
      </c>
      <c r="F276" s="4">
        <v>0.60001000000000004</v>
      </c>
      <c r="G276" s="2" t="str">
        <f t="shared" si="7"/>
        <v>livecoin</v>
      </c>
      <c r="I276" s="3"/>
    </row>
    <row r="277" spans="1:9" x14ac:dyDescent="0.25">
      <c r="A277" s="2" t="s">
        <v>87</v>
      </c>
      <c r="B277" s="2" t="s">
        <v>237</v>
      </c>
      <c r="C277" s="4">
        <v>0.7</v>
      </c>
      <c r="D277" s="4">
        <v>0.25</v>
      </c>
      <c r="E277" s="4">
        <v>0.7</v>
      </c>
      <c r="F277" s="4">
        <v>0.25</v>
      </c>
      <c r="G277" s="2" t="str">
        <f t="shared" si="7"/>
        <v>livecoin</v>
      </c>
      <c r="I277" s="3"/>
    </row>
    <row r="278" spans="1:9" x14ac:dyDescent="0.25">
      <c r="A278" s="2" t="s">
        <v>87</v>
      </c>
      <c r="B278" s="2" t="s">
        <v>235</v>
      </c>
      <c r="C278" s="4">
        <v>2.4992999999999999E-4</v>
      </c>
      <c r="D278" s="4">
        <v>2.0101E-4</v>
      </c>
      <c r="E278" s="4">
        <v>2.4992999999999999E-4</v>
      </c>
      <c r="F278" s="4">
        <v>2.0101E-4</v>
      </c>
      <c r="G278" s="2" t="str">
        <f t="shared" si="7"/>
        <v>livecoin</v>
      </c>
      <c r="I278" s="3"/>
    </row>
    <row r="279" spans="1:9" x14ac:dyDescent="0.25">
      <c r="A279" s="2" t="s">
        <v>87</v>
      </c>
      <c r="B279" s="2" t="s">
        <v>236</v>
      </c>
      <c r="C279" s="4">
        <v>3.8999899999999999E-3</v>
      </c>
      <c r="D279" s="4">
        <v>1.00066E-3</v>
      </c>
      <c r="E279" s="4">
        <v>3.8999899999999999E-3</v>
      </c>
      <c r="F279" s="4">
        <v>1.00066E-3</v>
      </c>
      <c r="G279" s="2" t="str">
        <f t="shared" si="7"/>
        <v>livecoin</v>
      </c>
      <c r="I279" s="3"/>
    </row>
    <row r="280" spans="1:9" x14ac:dyDescent="0.25">
      <c r="A280" s="2"/>
      <c r="B280" s="2"/>
      <c r="C280" s="4"/>
      <c r="D280" s="4"/>
      <c r="E280" s="4"/>
      <c r="F280" s="4"/>
      <c r="G280" s="2">
        <f t="shared" si="7"/>
        <v>0</v>
      </c>
      <c r="I280" s="3"/>
    </row>
    <row r="281" spans="1:9" x14ac:dyDescent="0.25">
      <c r="A281" s="2"/>
      <c r="B281" s="2"/>
      <c r="C281" s="4"/>
      <c r="D281" s="4"/>
      <c r="E281" s="4"/>
      <c r="F281" s="4"/>
      <c r="G281" s="2">
        <f t="shared" si="7"/>
        <v>0</v>
      </c>
      <c r="I281" s="3"/>
    </row>
    <row r="282" spans="1:9" x14ac:dyDescent="0.25">
      <c r="A282" s="2"/>
      <c r="B282" s="2"/>
      <c r="C282" s="4"/>
      <c r="D282" s="4"/>
      <c r="E282" s="4"/>
      <c r="F282" s="4"/>
      <c r="G282" s="2">
        <f t="shared" si="7"/>
        <v>0</v>
      </c>
      <c r="I282" s="3"/>
    </row>
    <row r="283" spans="1:9" x14ac:dyDescent="0.25">
      <c r="A283" s="2"/>
      <c r="B283" s="2"/>
      <c r="C283" s="4"/>
      <c r="D283" s="4"/>
      <c r="E283" s="4"/>
      <c r="F283" s="4"/>
      <c r="G283" s="2">
        <f t="shared" si="7"/>
        <v>0</v>
      </c>
      <c r="I283" s="3"/>
    </row>
    <row r="284" spans="1:9" x14ac:dyDescent="0.25">
      <c r="A284" s="2"/>
      <c r="B284" s="2"/>
      <c r="C284" s="4"/>
      <c r="D284" s="4"/>
      <c r="E284" s="4"/>
      <c r="F284" s="4"/>
      <c r="G284" s="2">
        <f t="shared" si="7"/>
        <v>0</v>
      </c>
      <c r="I284" s="3"/>
    </row>
    <row r="285" spans="1:9" x14ac:dyDescent="0.25">
      <c r="A285" s="2"/>
      <c r="B285" s="2"/>
      <c r="C285" s="4"/>
      <c r="D285" s="4"/>
      <c r="E285" s="4"/>
      <c r="F285" s="4"/>
      <c r="G285" s="2">
        <f t="shared" si="7"/>
        <v>0</v>
      </c>
      <c r="I285" s="3"/>
    </row>
    <row r="286" spans="1:9" x14ac:dyDescent="0.25">
      <c r="A286" s="2"/>
      <c r="B286" s="2"/>
      <c r="C286" s="4"/>
      <c r="D286" s="4"/>
      <c r="E286" s="4"/>
      <c r="F286" s="4"/>
      <c r="G286" s="2">
        <f t="shared" si="7"/>
        <v>0</v>
      </c>
      <c r="I286" s="3"/>
    </row>
    <row r="287" spans="1:9" x14ac:dyDescent="0.25">
      <c r="A287" s="2"/>
      <c r="B287" s="2"/>
      <c r="C287" s="4"/>
      <c r="D287" s="4"/>
      <c r="E287" s="4"/>
      <c r="F287" s="4"/>
      <c r="G287" s="2">
        <f t="shared" si="7"/>
        <v>0</v>
      </c>
      <c r="I287" s="3"/>
    </row>
    <row r="288" spans="1:9" x14ac:dyDescent="0.25">
      <c r="A288" s="2"/>
      <c r="B288" s="2"/>
      <c r="C288" s="4"/>
      <c r="D288" s="4"/>
      <c r="E288" s="4"/>
      <c r="F288" s="4"/>
      <c r="G288" s="2">
        <f t="shared" si="7"/>
        <v>0</v>
      </c>
      <c r="I288" s="3"/>
    </row>
    <row r="289" spans="1:9" x14ac:dyDescent="0.25">
      <c r="A289" s="2"/>
      <c r="B289" s="2"/>
      <c r="C289" s="4"/>
      <c r="D289" s="4"/>
      <c r="E289" s="4"/>
      <c r="F289" s="4"/>
      <c r="G289" s="2">
        <f t="shared" si="7"/>
        <v>0</v>
      </c>
      <c r="I289" s="3"/>
    </row>
    <row r="290" spans="1:9" x14ac:dyDescent="0.25">
      <c r="A290" s="2"/>
      <c r="B290" s="2"/>
      <c r="C290" s="4"/>
      <c r="D290" s="4"/>
      <c r="E290" s="4"/>
      <c r="F290" s="4"/>
      <c r="G290" s="2">
        <f t="shared" si="7"/>
        <v>0</v>
      </c>
      <c r="I290" s="3"/>
    </row>
    <row r="291" spans="1:9" x14ac:dyDescent="0.25">
      <c r="A291" s="2"/>
      <c r="B291" s="2"/>
      <c r="C291" s="4"/>
      <c r="D291" s="4"/>
      <c r="E291" s="4"/>
      <c r="F291" s="4"/>
      <c r="G291" s="2">
        <f t="shared" si="7"/>
        <v>0</v>
      </c>
      <c r="I291" s="3"/>
    </row>
    <row r="292" spans="1:9" x14ac:dyDescent="0.25">
      <c r="A292" s="2"/>
      <c r="B292" s="2"/>
      <c r="C292" s="4"/>
      <c r="D292" s="4"/>
      <c r="E292" s="4"/>
      <c r="F292" s="4"/>
      <c r="G292" s="2">
        <f t="shared" si="7"/>
        <v>0</v>
      </c>
      <c r="I292" s="3"/>
    </row>
    <row r="293" spans="1:9" x14ac:dyDescent="0.25">
      <c r="A293" s="2"/>
      <c r="B293" s="2"/>
      <c r="C293" s="4"/>
      <c r="D293" s="4"/>
      <c r="E293" s="4"/>
      <c r="F293" s="4"/>
      <c r="G293" s="2">
        <f t="shared" si="7"/>
        <v>0</v>
      </c>
      <c r="I293" s="3"/>
    </row>
    <row r="294" spans="1:9" x14ac:dyDescent="0.25">
      <c r="A294" s="2"/>
      <c r="B294" s="2"/>
      <c r="C294" s="4"/>
      <c r="D294" s="4"/>
      <c r="E294" s="4"/>
      <c r="F294" s="4"/>
      <c r="G294" s="2">
        <f t="shared" si="7"/>
        <v>0</v>
      </c>
      <c r="I294" s="3"/>
    </row>
    <row r="295" spans="1:9" x14ac:dyDescent="0.25">
      <c r="A295" s="2"/>
      <c r="B295" s="2"/>
      <c r="C295" s="4"/>
      <c r="D295" s="4"/>
      <c r="E295" s="4"/>
      <c r="F295" s="4"/>
      <c r="G295" s="2">
        <f t="shared" si="7"/>
        <v>0</v>
      </c>
      <c r="I295" s="3"/>
    </row>
    <row r="296" spans="1:9" x14ac:dyDescent="0.25">
      <c r="A296" s="2"/>
      <c r="B296" s="2"/>
      <c r="C296" s="4"/>
      <c r="D296" s="4"/>
      <c r="E296" s="4"/>
      <c r="F296" s="4"/>
      <c r="G296" s="2">
        <f t="shared" si="7"/>
        <v>0</v>
      </c>
      <c r="I296" s="3"/>
    </row>
    <row r="297" spans="1:9" x14ac:dyDescent="0.25">
      <c r="A297" s="2"/>
      <c r="B297" s="2"/>
      <c r="C297" s="4"/>
      <c r="D297" s="4"/>
      <c r="E297" s="4"/>
      <c r="F297" s="4"/>
      <c r="G297" s="2">
        <f t="shared" si="7"/>
        <v>0</v>
      </c>
      <c r="I297" s="3"/>
    </row>
    <row r="298" spans="1:9" x14ac:dyDescent="0.25">
      <c r="A298" s="2"/>
      <c r="B298" s="2"/>
      <c r="C298" s="4"/>
      <c r="D298" s="4"/>
      <c r="E298" s="4"/>
      <c r="F298" s="4"/>
      <c r="G298" s="2">
        <f t="shared" si="7"/>
        <v>0</v>
      </c>
      <c r="I298" s="3"/>
    </row>
    <row r="299" spans="1:9" x14ac:dyDescent="0.25">
      <c r="A299" s="2"/>
      <c r="B299" s="2"/>
      <c r="C299" s="4"/>
      <c r="D299" s="4"/>
      <c r="E299" s="4"/>
      <c r="F299" s="4"/>
      <c r="G299" s="2">
        <f t="shared" si="7"/>
        <v>0</v>
      </c>
      <c r="I299" s="3"/>
    </row>
    <row r="300" spans="1:9" x14ac:dyDescent="0.25">
      <c r="A300" s="2"/>
      <c r="B300" s="2"/>
      <c r="C300" s="4"/>
      <c r="D300" s="4"/>
      <c r="E300" s="4"/>
      <c r="F300" s="4"/>
      <c r="G300" s="2">
        <f t="shared" si="7"/>
        <v>0</v>
      </c>
      <c r="I300" s="3"/>
    </row>
    <row r="301" spans="1:9" x14ac:dyDescent="0.25">
      <c r="A301" s="2"/>
      <c r="B301" s="2"/>
      <c r="C301" s="4"/>
      <c r="D301" s="4"/>
      <c r="E301" s="4"/>
      <c r="F301" s="4"/>
      <c r="G301" s="2">
        <f t="shared" si="7"/>
        <v>0</v>
      </c>
      <c r="I301" s="3"/>
    </row>
    <row r="302" spans="1:9" x14ac:dyDescent="0.25">
      <c r="A302" s="2"/>
      <c r="B302" s="2"/>
      <c r="C302" s="4"/>
      <c r="D302" s="4"/>
      <c r="E302" s="4"/>
      <c r="F302" s="4"/>
      <c r="G302" s="2">
        <f t="shared" si="7"/>
        <v>0</v>
      </c>
      <c r="I302" s="3"/>
    </row>
    <row r="303" spans="1:9" x14ac:dyDescent="0.25">
      <c r="A303" s="2"/>
      <c r="B303" s="2"/>
      <c r="C303" s="4"/>
      <c r="D303" s="4"/>
      <c r="E303" s="4"/>
      <c r="F303" s="4"/>
      <c r="G303" s="2">
        <f t="shared" si="7"/>
        <v>0</v>
      </c>
      <c r="I303" s="3"/>
    </row>
    <row r="304" spans="1:9" x14ac:dyDescent="0.25">
      <c r="A304" s="2"/>
      <c r="B304" s="2"/>
      <c r="C304" s="4"/>
      <c r="D304" s="4"/>
      <c r="E304" s="4"/>
      <c r="F304" s="4"/>
      <c r="G304" s="2">
        <f t="shared" si="7"/>
        <v>0</v>
      </c>
      <c r="I304" s="3"/>
    </row>
    <row r="305" spans="1:9" x14ac:dyDescent="0.25">
      <c r="A305" s="2"/>
      <c r="B305" s="2"/>
      <c r="C305" s="4"/>
      <c r="D305" s="4"/>
      <c r="E305" s="4"/>
      <c r="F305" s="4"/>
      <c r="G305" s="2">
        <f t="shared" si="7"/>
        <v>0</v>
      </c>
      <c r="I305" s="3"/>
    </row>
    <row r="306" spans="1:9" x14ac:dyDescent="0.25">
      <c r="A306" s="2"/>
      <c r="B306" s="2"/>
      <c r="C306" s="4"/>
      <c r="D306" s="4"/>
      <c r="E306" s="4"/>
      <c r="F306" s="4"/>
      <c r="G306" s="2">
        <f t="shared" si="7"/>
        <v>0</v>
      </c>
      <c r="I306" s="3"/>
    </row>
    <row r="307" spans="1:9" x14ac:dyDescent="0.25">
      <c r="A307" s="2"/>
      <c r="B307" s="2"/>
      <c r="C307" s="4"/>
      <c r="D307" s="4"/>
      <c r="E307" s="4"/>
      <c r="F307" s="4"/>
      <c r="G307" s="2">
        <f t="shared" si="7"/>
        <v>0</v>
      </c>
      <c r="I307" s="3"/>
    </row>
    <row r="308" spans="1:9" x14ac:dyDescent="0.25">
      <c r="A308" s="2"/>
      <c r="B308" s="2"/>
      <c r="C308" s="4"/>
      <c r="D308" s="4"/>
      <c r="E308" s="4"/>
      <c r="F308" s="4"/>
      <c r="G308" s="2">
        <f t="shared" si="7"/>
        <v>0</v>
      </c>
      <c r="I308" s="3"/>
    </row>
    <row r="309" spans="1:9" x14ac:dyDescent="0.25">
      <c r="A309" s="2"/>
      <c r="B309" s="2"/>
      <c r="C309" s="4"/>
      <c r="D309" s="4"/>
      <c r="E309" s="4"/>
      <c r="F309" s="4"/>
      <c r="G309" s="2">
        <f t="shared" si="7"/>
        <v>0</v>
      </c>
      <c r="I309" s="3"/>
    </row>
    <row r="310" spans="1:9" x14ac:dyDescent="0.25">
      <c r="A310" s="2"/>
      <c r="B310" s="2"/>
      <c r="C310" s="4"/>
      <c r="D310" s="4"/>
      <c r="E310" s="4"/>
      <c r="F310" s="4"/>
      <c r="G310" s="2">
        <f t="shared" si="7"/>
        <v>0</v>
      </c>
      <c r="I310" s="3"/>
    </row>
    <row r="311" spans="1:9" x14ac:dyDescent="0.25">
      <c r="A311" s="2"/>
      <c r="B311" s="2"/>
      <c r="C311" s="4"/>
      <c r="D311" s="4"/>
      <c r="E311" s="4"/>
      <c r="F311" s="4"/>
      <c r="G311" s="2">
        <f t="shared" si="7"/>
        <v>0</v>
      </c>
      <c r="I311" s="3"/>
    </row>
    <row r="312" spans="1:9" x14ac:dyDescent="0.25">
      <c r="A312" s="2"/>
      <c r="B312" s="2"/>
      <c r="C312" s="4"/>
      <c r="D312" s="4"/>
      <c r="E312" s="4"/>
      <c r="F312" s="4"/>
      <c r="G312" s="2">
        <f t="shared" ref="G312:G375" si="8">A312</f>
        <v>0</v>
      </c>
      <c r="I312" s="3"/>
    </row>
    <row r="313" spans="1:9" x14ac:dyDescent="0.25">
      <c r="A313" s="2"/>
      <c r="B313" s="2"/>
      <c r="C313" s="4"/>
      <c r="D313" s="4"/>
      <c r="E313" s="4"/>
      <c r="F313" s="4"/>
      <c r="G313" s="2">
        <f t="shared" si="8"/>
        <v>0</v>
      </c>
      <c r="I313" s="3"/>
    </row>
    <row r="314" spans="1:9" x14ac:dyDescent="0.25">
      <c r="A314" s="2"/>
      <c r="B314" s="2"/>
      <c r="C314" s="4"/>
      <c r="D314" s="4"/>
      <c r="E314" s="4"/>
      <c r="F314" s="4"/>
      <c r="G314" s="2">
        <f t="shared" si="8"/>
        <v>0</v>
      </c>
      <c r="I314" s="3"/>
    </row>
    <row r="315" spans="1:9" x14ac:dyDescent="0.25">
      <c r="A315" s="2"/>
      <c r="B315" s="2"/>
      <c r="C315" s="4"/>
      <c r="D315" s="4"/>
      <c r="E315" s="4"/>
      <c r="F315" s="4"/>
      <c r="G315" s="2">
        <f t="shared" si="8"/>
        <v>0</v>
      </c>
      <c r="I315" s="3"/>
    </row>
    <row r="316" spans="1:9" x14ac:dyDescent="0.25">
      <c r="A316" s="2"/>
      <c r="B316" s="2"/>
      <c r="C316" s="4"/>
      <c r="D316" s="4"/>
      <c r="E316" s="4"/>
      <c r="F316" s="4"/>
      <c r="G316" s="2">
        <f t="shared" si="8"/>
        <v>0</v>
      </c>
      <c r="I316" s="3"/>
    </row>
    <row r="317" spans="1:9" x14ac:dyDescent="0.25">
      <c r="A317" s="2"/>
      <c r="B317" s="2"/>
      <c r="C317" s="4"/>
      <c r="D317" s="4"/>
      <c r="E317" s="4"/>
      <c r="F317" s="4"/>
      <c r="G317" s="2">
        <f t="shared" si="8"/>
        <v>0</v>
      </c>
      <c r="I317" s="3"/>
    </row>
    <row r="318" spans="1:9" x14ac:dyDescent="0.25">
      <c r="A318" s="2"/>
      <c r="B318" s="2"/>
      <c r="C318" s="4"/>
      <c r="D318" s="4"/>
      <c r="E318" s="4"/>
      <c r="F318" s="4"/>
      <c r="G318" s="2">
        <f t="shared" si="8"/>
        <v>0</v>
      </c>
      <c r="I318" s="3"/>
    </row>
    <row r="319" spans="1:9" x14ac:dyDescent="0.25">
      <c r="A319" s="2"/>
      <c r="B319" s="2"/>
      <c r="C319" s="4"/>
      <c r="D319" s="4"/>
      <c r="E319" s="4"/>
      <c r="F319" s="4"/>
      <c r="G319" s="2">
        <f t="shared" si="8"/>
        <v>0</v>
      </c>
      <c r="I319" s="3"/>
    </row>
    <row r="320" spans="1:9" x14ac:dyDescent="0.25">
      <c r="A320" s="2"/>
      <c r="B320" s="2"/>
      <c r="C320" s="4"/>
      <c r="D320" s="4"/>
      <c r="E320" s="4"/>
      <c r="F320" s="4"/>
      <c r="G320" s="2">
        <f t="shared" si="8"/>
        <v>0</v>
      </c>
      <c r="I320" s="3"/>
    </row>
    <row r="321" spans="1:9" x14ac:dyDescent="0.25">
      <c r="A321" s="2"/>
      <c r="B321" s="2"/>
      <c r="C321" s="4"/>
      <c r="D321" s="4"/>
      <c r="E321" s="4"/>
      <c r="F321" s="4"/>
      <c r="G321" s="2">
        <f t="shared" si="8"/>
        <v>0</v>
      </c>
      <c r="I321" s="3"/>
    </row>
    <row r="322" spans="1:9" x14ac:dyDescent="0.25">
      <c r="A322" s="2"/>
      <c r="B322" s="2"/>
      <c r="C322" s="4"/>
      <c r="D322" s="4"/>
      <c r="E322" s="4"/>
      <c r="F322" s="4"/>
      <c r="G322" s="2">
        <f t="shared" si="8"/>
        <v>0</v>
      </c>
      <c r="I322" s="3"/>
    </row>
    <row r="323" spans="1:9" x14ac:dyDescent="0.25">
      <c r="A323" s="2"/>
      <c r="B323" s="2"/>
      <c r="C323" s="4"/>
      <c r="D323" s="4"/>
      <c r="E323" s="4"/>
      <c r="F323" s="4"/>
      <c r="G323" s="2">
        <f t="shared" si="8"/>
        <v>0</v>
      </c>
      <c r="I323" s="3"/>
    </row>
    <row r="324" spans="1:9" x14ac:dyDescent="0.25">
      <c r="A324" s="2"/>
      <c r="B324" s="2"/>
      <c r="C324" s="4"/>
      <c r="D324" s="4"/>
      <c r="E324" s="4"/>
      <c r="F324" s="4"/>
      <c r="G324" s="2">
        <f t="shared" si="8"/>
        <v>0</v>
      </c>
      <c r="I324" s="3"/>
    </row>
    <row r="325" spans="1:9" x14ac:dyDescent="0.25">
      <c r="A325" s="2"/>
      <c r="B325" s="2"/>
      <c r="C325" s="4"/>
      <c r="D325" s="4"/>
      <c r="E325" s="4"/>
      <c r="F325" s="4"/>
      <c r="G325" s="2">
        <f t="shared" si="8"/>
        <v>0</v>
      </c>
      <c r="I325" s="3"/>
    </row>
    <row r="326" spans="1:9" x14ac:dyDescent="0.25">
      <c r="A326" s="2"/>
      <c r="B326" s="2"/>
      <c r="C326" s="4"/>
      <c r="D326" s="4"/>
      <c r="E326" s="4"/>
      <c r="F326" s="4"/>
      <c r="G326" s="2">
        <f t="shared" si="8"/>
        <v>0</v>
      </c>
      <c r="I326" s="3"/>
    </row>
    <row r="327" spans="1:9" x14ac:dyDescent="0.25">
      <c r="A327" s="2"/>
      <c r="B327" s="2"/>
      <c r="C327" s="4"/>
      <c r="D327" s="4"/>
      <c r="E327" s="4"/>
      <c r="F327" s="4"/>
      <c r="G327" s="2">
        <f t="shared" si="8"/>
        <v>0</v>
      </c>
      <c r="I327" s="3"/>
    </row>
    <row r="328" spans="1:9" x14ac:dyDescent="0.25">
      <c r="A328" s="2"/>
      <c r="B328" s="2"/>
      <c r="C328" s="4"/>
      <c r="D328" s="4"/>
      <c r="E328" s="4"/>
      <c r="F328" s="4"/>
      <c r="G328" s="2">
        <f t="shared" si="8"/>
        <v>0</v>
      </c>
      <c r="I328" s="3"/>
    </row>
    <row r="329" spans="1:9" x14ac:dyDescent="0.25">
      <c r="A329" s="2"/>
      <c r="B329" s="2"/>
      <c r="C329" s="4"/>
      <c r="D329" s="4"/>
      <c r="E329" s="4"/>
      <c r="F329" s="4"/>
      <c r="G329" s="2">
        <f t="shared" si="8"/>
        <v>0</v>
      </c>
      <c r="I329" s="3"/>
    </row>
    <row r="330" spans="1:9" x14ac:dyDescent="0.25">
      <c r="A330" s="2"/>
      <c r="B330" s="2"/>
      <c r="C330" s="4"/>
      <c r="D330" s="4"/>
      <c r="E330" s="4"/>
      <c r="F330" s="4"/>
      <c r="G330" s="2">
        <f t="shared" si="8"/>
        <v>0</v>
      </c>
      <c r="I330" s="3"/>
    </row>
    <row r="331" spans="1:9" x14ac:dyDescent="0.25">
      <c r="A331" s="2"/>
      <c r="B331" s="2"/>
      <c r="C331" s="4"/>
      <c r="D331" s="4"/>
      <c r="E331" s="4"/>
      <c r="F331" s="4"/>
      <c r="G331" s="2">
        <f t="shared" si="8"/>
        <v>0</v>
      </c>
      <c r="I331" s="3"/>
    </row>
    <row r="332" spans="1:9" x14ac:dyDescent="0.25">
      <c r="A332" s="2"/>
      <c r="B332" s="2"/>
      <c r="C332" s="4"/>
      <c r="D332" s="4"/>
      <c r="E332" s="4"/>
      <c r="F332" s="4"/>
      <c r="G332" s="2">
        <f t="shared" si="8"/>
        <v>0</v>
      </c>
      <c r="I332" s="3"/>
    </row>
    <row r="333" spans="1:9" x14ac:dyDescent="0.25">
      <c r="A333" s="2"/>
      <c r="B333" s="2"/>
      <c r="C333" s="4"/>
      <c r="D333" s="4"/>
      <c r="E333" s="4"/>
      <c r="F333" s="4"/>
      <c r="G333" s="2">
        <f t="shared" si="8"/>
        <v>0</v>
      </c>
      <c r="I333" s="3"/>
    </row>
    <row r="334" spans="1:9" x14ac:dyDescent="0.25">
      <c r="A334" s="2"/>
      <c r="B334" s="2"/>
      <c r="C334" s="4"/>
      <c r="D334" s="4"/>
      <c r="E334" s="4"/>
      <c r="F334" s="4"/>
      <c r="G334" s="2">
        <f t="shared" si="8"/>
        <v>0</v>
      </c>
      <c r="I334" s="3"/>
    </row>
    <row r="335" spans="1:9" x14ac:dyDescent="0.25">
      <c r="A335" s="2"/>
      <c r="B335" s="2"/>
      <c r="C335" s="4"/>
      <c r="D335" s="4"/>
      <c r="E335" s="4"/>
      <c r="F335" s="4"/>
      <c r="G335" s="2">
        <f t="shared" si="8"/>
        <v>0</v>
      </c>
      <c r="I335" s="3"/>
    </row>
    <row r="336" spans="1:9" x14ac:dyDescent="0.25">
      <c r="A336" s="2"/>
      <c r="B336" s="2"/>
      <c r="C336" s="4"/>
      <c r="D336" s="4"/>
      <c r="E336" s="4"/>
      <c r="F336" s="4"/>
      <c r="G336" s="2">
        <f t="shared" si="8"/>
        <v>0</v>
      </c>
      <c r="I336" s="3"/>
    </row>
    <row r="337" spans="1:9" x14ac:dyDescent="0.25">
      <c r="A337" s="2"/>
      <c r="B337" s="2"/>
      <c r="C337" s="4"/>
      <c r="D337" s="4"/>
      <c r="E337" s="4"/>
      <c r="F337" s="4"/>
      <c r="G337" s="2">
        <f t="shared" si="8"/>
        <v>0</v>
      </c>
      <c r="I337" s="3"/>
    </row>
    <row r="338" spans="1:9" x14ac:dyDescent="0.25">
      <c r="A338" s="2"/>
      <c r="B338" s="2"/>
      <c r="C338" s="4"/>
      <c r="D338" s="4"/>
      <c r="E338" s="4"/>
      <c r="F338" s="4"/>
      <c r="G338" s="2">
        <f t="shared" si="8"/>
        <v>0</v>
      </c>
      <c r="I338" s="3"/>
    </row>
    <row r="339" spans="1:9" x14ac:dyDescent="0.25">
      <c r="A339" s="2"/>
      <c r="B339" s="2"/>
      <c r="C339" s="4"/>
      <c r="D339" s="4"/>
      <c r="E339" s="4"/>
      <c r="F339" s="4"/>
      <c r="G339" s="2">
        <f t="shared" si="8"/>
        <v>0</v>
      </c>
      <c r="I339" s="3"/>
    </row>
    <row r="340" spans="1:9" x14ac:dyDescent="0.25">
      <c r="A340" s="2"/>
      <c r="B340" s="2"/>
      <c r="C340" s="4"/>
      <c r="D340" s="4"/>
      <c r="E340" s="4"/>
      <c r="F340" s="4"/>
      <c r="G340" s="2">
        <f t="shared" si="8"/>
        <v>0</v>
      </c>
      <c r="I340" s="3"/>
    </row>
    <row r="341" spans="1:9" x14ac:dyDescent="0.25">
      <c r="A341" s="2"/>
      <c r="B341" s="2"/>
      <c r="C341" s="4"/>
      <c r="D341" s="4"/>
      <c r="E341" s="4"/>
      <c r="F341" s="4"/>
      <c r="G341" s="2">
        <f t="shared" si="8"/>
        <v>0</v>
      </c>
      <c r="I341" s="3"/>
    </row>
    <row r="342" spans="1:9" x14ac:dyDescent="0.25">
      <c r="A342" s="2"/>
      <c r="B342" s="2"/>
      <c r="C342" s="4"/>
      <c r="D342" s="4"/>
      <c r="E342" s="4"/>
      <c r="F342" s="4"/>
      <c r="G342" s="2">
        <f t="shared" si="8"/>
        <v>0</v>
      </c>
      <c r="I342" s="3"/>
    </row>
    <row r="343" spans="1:9" x14ac:dyDescent="0.25">
      <c r="A343" s="2"/>
      <c r="B343" s="2"/>
      <c r="C343" s="4"/>
      <c r="D343" s="4"/>
      <c r="E343" s="4"/>
      <c r="F343" s="4"/>
      <c r="G343" s="2">
        <f t="shared" si="8"/>
        <v>0</v>
      </c>
      <c r="I343" s="3"/>
    </row>
    <row r="344" spans="1:9" x14ac:dyDescent="0.25">
      <c r="A344" s="2"/>
      <c r="B344" s="2"/>
      <c r="C344" s="4"/>
      <c r="D344" s="4"/>
      <c r="E344" s="4"/>
      <c r="F344" s="4"/>
      <c r="G344" s="2">
        <f t="shared" si="8"/>
        <v>0</v>
      </c>
      <c r="I344" s="3"/>
    </row>
    <row r="345" spans="1:9" x14ac:dyDescent="0.25">
      <c r="A345" s="2"/>
      <c r="B345" s="2"/>
      <c r="C345" s="4"/>
      <c r="D345" s="4"/>
      <c r="E345" s="4"/>
      <c r="F345" s="4"/>
      <c r="G345" s="2">
        <f t="shared" si="8"/>
        <v>0</v>
      </c>
      <c r="I345" s="3"/>
    </row>
    <row r="346" spans="1:9" x14ac:dyDescent="0.25">
      <c r="A346" s="2"/>
      <c r="B346" s="2"/>
      <c r="C346" s="4"/>
      <c r="D346" s="4"/>
      <c r="E346" s="4"/>
      <c r="F346" s="4"/>
      <c r="G346" s="2">
        <f t="shared" si="8"/>
        <v>0</v>
      </c>
      <c r="I346" s="3"/>
    </row>
    <row r="347" spans="1:9" x14ac:dyDescent="0.25">
      <c r="A347" s="2"/>
      <c r="B347" s="2"/>
      <c r="C347" s="4"/>
      <c r="D347" s="4"/>
      <c r="E347" s="4"/>
      <c r="F347" s="4"/>
      <c r="G347" s="2">
        <f t="shared" si="8"/>
        <v>0</v>
      </c>
      <c r="I347" s="3"/>
    </row>
    <row r="348" spans="1:9" x14ac:dyDescent="0.25">
      <c r="A348" s="2"/>
      <c r="B348" s="2"/>
      <c r="C348" s="4"/>
      <c r="D348" s="4"/>
      <c r="E348" s="4"/>
      <c r="F348" s="4"/>
      <c r="G348" s="2">
        <f t="shared" si="8"/>
        <v>0</v>
      </c>
      <c r="I348" s="3"/>
    </row>
    <row r="349" spans="1:9" x14ac:dyDescent="0.25">
      <c r="A349" s="2"/>
      <c r="B349" s="2"/>
      <c r="C349" s="4"/>
      <c r="D349" s="4"/>
      <c r="E349" s="4"/>
      <c r="F349" s="4"/>
      <c r="G349" s="2">
        <f t="shared" si="8"/>
        <v>0</v>
      </c>
      <c r="I349" s="3"/>
    </row>
    <row r="350" spans="1:9" x14ac:dyDescent="0.25">
      <c r="A350" s="2"/>
      <c r="B350" s="2"/>
      <c r="C350" s="4"/>
      <c r="D350" s="4"/>
      <c r="E350" s="4"/>
      <c r="F350" s="4"/>
      <c r="G350" s="2">
        <f t="shared" si="8"/>
        <v>0</v>
      </c>
      <c r="I350" s="3"/>
    </row>
    <row r="351" spans="1:9" x14ac:dyDescent="0.25">
      <c r="A351" s="2"/>
      <c r="B351" s="2"/>
      <c r="C351" s="4"/>
      <c r="D351" s="4"/>
      <c r="E351" s="4"/>
      <c r="F351" s="4"/>
      <c r="G351" s="2">
        <f t="shared" si="8"/>
        <v>0</v>
      </c>
      <c r="I351" s="3"/>
    </row>
    <row r="352" spans="1:9" x14ac:dyDescent="0.25">
      <c r="A352" s="2"/>
      <c r="B352" s="2"/>
      <c r="C352" s="4"/>
      <c r="D352" s="4"/>
      <c r="E352" s="4"/>
      <c r="F352" s="4"/>
      <c r="G352" s="2">
        <f t="shared" si="8"/>
        <v>0</v>
      </c>
      <c r="I352" s="3"/>
    </row>
    <row r="353" spans="1:9" x14ac:dyDescent="0.25">
      <c r="A353" s="2"/>
      <c r="B353" s="2"/>
      <c r="C353" s="4"/>
      <c r="D353" s="4"/>
      <c r="E353" s="4"/>
      <c r="F353" s="4"/>
      <c r="G353" s="2">
        <f t="shared" si="8"/>
        <v>0</v>
      </c>
      <c r="I353" s="3"/>
    </row>
    <row r="354" spans="1:9" x14ac:dyDescent="0.25">
      <c r="A354" s="2"/>
      <c r="B354" s="2"/>
      <c r="C354" s="4"/>
      <c r="D354" s="4"/>
      <c r="E354" s="4"/>
      <c r="F354" s="4"/>
      <c r="G354" s="2">
        <f t="shared" si="8"/>
        <v>0</v>
      </c>
      <c r="I354" s="3"/>
    </row>
    <row r="355" spans="1:9" x14ac:dyDescent="0.25">
      <c r="A355" s="2"/>
      <c r="B355" s="2"/>
      <c r="C355" s="4"/>
      <c r="D355" s="4"/>
      <c r="E355" s="4"/>
      <c r="F355" s="4"/>
      <c r="G355" s="2">
        <f t="shared" si="8"/>
        <v>0</v>
      </c>
      <c r="I355" s="3"/>
    </row>
    <row r="356" spans="1:9" x14ac:dyDescent="0.25">
      <c r="A356" s="2"/>
      <c r="B356" s="2"/>
      <c r="C356" s="4"/>
      <c r="D356" s="4"/>
      <c r="E356" s="4"/>
      <c r="F356" s="4"/>
      <c r="G356" s="2">
        <f t="shared" si="8"/>
        <v>0</v>
      </c>
      <c r="I356" s="3"/>
    </row>
    <row r="357" spans="1:9" x14ac:dyDescent="0.25">
      <c r="A357" s="2"/>
      <c r="B357" s="2"/>
      <c r="C357" s="4"/>
      <c r="D357" s="4"/>
      <c r="E357" s="4"/>
      <c r="F357" s="4"/>
      <c r="G357" s="2">
        <f t="shared" si="8"/>
        <v>0</v>
      </c>
      <c r="I357" s="3"/>
    </row>
    <row r="358" spans="1:9" x14ac:dyDescent="0.25">
      <c r="A358" s="2"/>
      <c r="B358" s="2"/>
      <c r="C358" s="4"/>
      <c r="D358" s="4"/>
      <c r="E358" s="4"/>
      <c r="F358" s="4"/>
      <c r="G358" s="2">
        <f t="shared" si="8"/>
        <v>0</v>
      </c>
      <c r="I358" s="3"/>
    </row>
    <row r="359" spans="1:9" x14ac:dyDescent="0.25">
      <c r="A359" s="2"/>
      <c r="B359" s="2"/>
      <c r="C359" s="4"/>
      <c r="D359" s="4"/>
      <c r="E359" s="4"/>
      <c r="F359" s="4"/>
      <c r="G359" s="2">
        <f t="shared" si="8"/>
        <v>0</v>
      </c>
      <c r="I359" s="3"/>
    </row>
    <row r="360" spans="1:9" x14ac:dyDescent="0.25">
      <c r="A360" s="2"/>
      <c r="B360" s="2"/>
      <c r="C360" s="4"/>
      <c r="D360" s="4"/>
      <c r="E360" s="4"/>
      <c r="F360" s="4"/>
      <c r="G360" s="2">
        <f t="shared" si="8"/>
        <v>0</v>
      </c>
      <c r="I360" s="3"/>
    </row>
    <row r="361" spans="1:9" x14ac:dyDescent="0.25">
      <c r="A361" s="2"/>
      <c r="B361" s="2"/>
      <c r="C361" s="4"/>
      <c r="D361" s="4"/>
      <c r="E361" s="4"/>
      <c r="F361" s="4"/>
      <c r="G361" s="2">
        <f t="shared" si="8"/>
        <v>0</v>
      </c>
      <c r="I361" s="3"/>
    </row>
    <row r="362" spans="1:9" x14ac:dyDescent="0.25">
      <c r="A362" s="2"/>
      <c r="B362" s="2"/>
      <c r="C362" s="4"/>
      <c r="D362" s="4"/>
      <c r="E362" s="4"/>
      <c r="F362" s="4"/>
      <c r="G362" s="2">
        <f t="shared" si="8"/>
        <v>0</v>
      </c>
      <c r="I362" s="3"/>
    </row>
    <row r="363" spans="1:9" x14ac:dyDescent="0.25">
      <c r="A363" s="2"/>
      <c r="B363" s="2"/>
      <c r="C363" s="4"/>
      <c r="D363" s="4"/>
      <c r="E363" s="4"/>
      <c r="F363" s="4"/>
      <c r="G363" s="2">
        <f t="shared" si="8"/>
        <v>0</v>
      </c>
      <c r="I363" s="3"/>
    </row>
    <row r="364" spans="1:9" x14ac:dyDescent="0.25">
      <c r="A364" s="2"/>
      <c r="B364" s="2"/>
      <c r="C364" s="4"/>
      <c r="D364" s="4"/>
      <c r="E364" s="4"/>
      <c r="F364" s="4"/>
      <c r="G364" s="2">
        <f t="shared" si="8"/>
        <v>0</v>
      </c>
      <c r="I364" s="3"/>
    </row>
    <row r="365" spans="1:9" x14ac:dyDescent="0.25">
      <c r="A365" s="2"/>
      <c r="B365" s="2"/>
      <c r="C365" s="4"/>
      <c r="D365" s="4"/>
      <c r="E365" s="4"/>
      <c r="F365" s="4"/>
      <c r="G365" s="2">
        <f t="shared" si="8"/>
        <v>0</v>
      </c>
      <c r="I365" s="3"/>
    </row>
    <row r="366" spans="1:9" x14ac:dyDescent="0.25">
      <c r="A366" s="2"/>
      <c r="B366" s="2"/>
      <c r="C366" s="4"/>
      <c r="D366" s="4"/>
      <c r="E366" s="4"/>
      <c r="F366" s="4"/>
      <c r="G366" s="2">
        <f t="shared" si="8"/>
        <v>0</v>
      </c>
      <c r="I366" s="3"/>
    </row>
    <row r="367" spans="1:9" x14ac:dyDescent="0.25">
      <c r="A367" s="2"/>
      <c r="B367" s="2"/>
      <c r="C367" s="4"/>
      <c r="D367" s="4"/>
      <c r="E367" s="4"/>
      <c r="F367" s="4"/>
      <c r="G367" s="2">
        <f t="shared" si="8"/>
        <v>0</v>
      </c>
      <c r="I367" s="3"/>
    </row>
    <row r="368" spans="1:9" x14ac:dyDescent="0.25">
      <c r="A368" s="2"/>
      <c r="B368" s="2"/>
      <c r="C368" s="4"/>
      <c r="D368" s="4"/>
      <c r="E368" s="4"/>
      <c r="F368" s="4"/>
      <c r="G368" s="2">
        <f t="shared" si="8"/>
        <v>0</v>
      </c>
      <c r="I368" s="3"/>
    </row>
    <row r="369" spans="1:9" x14ac:dyDescent="0.25">
      <c r="A369" s="2"/>
      <c r="B369" s="2"/>
      <c r="C369" s="4"/>
      <c r="D369" s="4"/>
      <c r="E369" s="4"/>
      <c r="F369" s="4"/>
      <c r="G369" s="2">
        <f t="shared" si="8"/>
        <v>0</v>
      </c>
      <c r="I369" s="3"/>
    </row>
    <row r="370" spans="1:9" x14ac:dyDescent="0.25">
      <c r="A370" s="2"/>
      <c r="B370" s="2"/>
      <c r="C370" s="4"/>
      <c r="D370" s="4"/>
      <c r="E370" s="4"/>
      <c r="F370" s="4"/>
      <c r="G370" s="2">
        <f t="shared" si="8"/>
        <v>0</v>
      </c>
      <c r="I370" s="3"/>
    </row>
    <row r="371" spans="1:9" x14ac:dyDescent="0.25">
      <c r="A371" s="2"/>
      <c r="B371" s="2"/>
      <c r="C371" s="4"/>
      <c r="D371" s="4"/>
      <c r="E371" s="4"/>
      <c r="F371" s="4"/>
      <c r="G371" s="2">
        <f t="shared" si="8"/>
        <v>0</v>
      </c>
      <c r="I371" s="3"/>
    </row>
    <row r="372" spans="1:9" x14ac:dyDescent="0.25">
      <c r="A372" s="2"/>
      <c r="B372" s="2"/>
      <c r="C372" s="4"/>
      <c r="D372" s="4"/>
      <c r="E372" s="4"/>
      <c r="F372" s="4"/>
      <c r="G372" s="2">
        <f t="shared" si="8"/>
        <v>0</v>
      </c>
      <c r="I372" s="3"/>
    </row>
    <row r="373" spans="1:9" x14ac:dyDescent="0.25">
      <c r="A373" s="2"/>
      <c r="B373" s="2"/>
      <c r="C373" s="4"/>
      <c r="D373" s="4"/>
      <c r="E373" s="4"/>
      <c r="F373" s="4"/>
      <c r="G373" s="2">
        <f t="shared" si="8"/>
        <v>0</v>
      </c>
      <c r="I373" s="3"/>
    </row>
    <row r="374" spans="1:9" x14ac:dyDescent="0.25">
      <c r="A374" s="2"/>
      <c r="B374" s="2"/>
      <c r="C374" s="4"/>
      <c r="D374" s="4"/>
      <c r="E374" s="4"/>
      <c r="F374" s="4"/>
      <c r="G374" s="2">
        <f t="shared" si="8"/>
        <v>0</v>
      </c>
      <c r="I374" s="3"/>
    </row>
    <row r="375" spans="1:9" x14ac:dyDescent="0.25">
      <c r="A375" s="2"/>
      <c r="B375" s="2"/>
      <c r="C375" s="4"/>
      <c r="D375" s="4"/>
      <c r="E375" s="4"/>
      <c r="F375" s="4"/>
      <c r="G375" s="2">
        <f t="shared" si="8"/>
        <v>0</v>
      </c>
      <c r="I375" s="3"/>
    </row>
    <row r="376" spans="1:9" x14ac:dyDescent="0.25">
      <c r="A376" s="2"/>
      <c r="B376" s="2"/>
      <c r="C376" s="4"/>
      <c r="D376" s="4"/>
      <c r="E376" s="4"/>
      <c r="F376" s="4"/>
      <c r="G376" s="2">
        <f t="shared" ref="G376:G392" si="9">A376</f>
        <v>0</v>
      </c>
      <c r="I376" s="3"/>
    </row>
    <row r="377" spans="1:9" x14ac:dyDescent="0.25">
      <c r="A377" s="2"/>
      <c r="B377" s="2"/>
      <c r="C377" s="4"/>
      <c r="D377" s="4"/>
      <c r="E377" s="4"/>
      <c r="F377" s="4"/>
      <c r="G377" s="2">
        <f t="shared" si="9"/>
        <v>0</v>
      </c>
      <c r="I377" s="3"/>
    </row>
    <row r="378" spans="1:9" x14ac:dyDescent="0.25">
      <c r="A378" s="2"/>
      <c r="B378" s="2"/>
      <c r="C378" s="4"/>
      <c r="D378" s="4"/>
      <c r="E378" s="4"/>
      <c r="F378" s="4"/>
      <c r="G378" s="2">
        <f t="shared" si="9"/>
        <v>0</v>
      </c>
      <c r="I378" s="3"/>
    </row>
    <row r="379" spans="1:9" x14ac:dyDescent="0.25">
      <c r="A379" s="2"/>
      <c r="B379" s="2"/>
      <c r="C379" s="4"/>
      <c r="D379" s="4"/>
      <c r="E379" s="4"/>
      <c r="F379" s="4"/>
      <c r="G379" s="2">
        <f t="shared" si="9"/>
        <v>0</v>
      </c>
      <c r="I379" s="3"/>
    </row>
    <row r="380" spans="1:9" x14ac:dyDescent="0.25">
      <c r="A380" s="2"/>
      <c r="B380" s="2"/>
      <c r="C380" s="4"/>
      <c r="D380" s="4"/>
      <c r="E380" s="4"/>
      <c r="F380" s="4"/>
      <c r="G380" s="2">
        <f t="shared" si="9"/>
        <v>0</v>
      </c>
      <c r="I380" s="3"/>
    </row>
    <row r="381" spans="1:9" x14ac:dyDescent="0.25">
      <c r="A381" s="2"/>
      <c r="B381" s="2"/>
      <c r="C381" s="4"/>
      <c r="D381" s="4"/>
      <c r="E381" s="4"/>
      <c r="F381" s="4"/>
      <c r="G381" s="2">
        <f t="shared" si="9"/>
        <v>0</v>
      </c>
      <c r="I381" s="3"/>
    </row>
    <row r="382" spans="1:9" x14ac:dyDescent="0.25">
      <c r="A382" s="2"/>
      <c r="B382" s="2"/>
      <c r="C382" s="4"/>
      <c r="D382" s="4"/>
      <c r="E382" s="4"/>
      <c r="F382" s="4"/>
      <c r="G382" s="2">
        <f t="shared" si="9"/>
        <v>0</v>
      </c>
      <c r="I382" s="3"/>
    </row>
    <row r="383" spans="1:9" x14ac:dyDescent="0.25">
      <c r="A383" s="2"/>
      <c r="B383" s="2"/>
      <c r="C383" s="4"/>
      <c r="D383" s="4"/>
      <c r="E383" s="4"/>
      <c r="F383" s="4"/>
      <c r="G383" s="2">
        <f t="shared" si="9"/>
        <v>0</v>
      </c>
      <c r="I383" s="3"/>
    </row>
    <row r="384" spans="1:9" x14ac:dyDescent="0.25">
      <c r="A384" s="2"/>
      <c r="B384" s="2"/>
      <c r="C384" s="4"/>
      <c r="D384" s="4"/>
      <c r="E384" s="4"/>
      <c r="F384" s="4"/>
      <c r="G384" s="2">
        <f t="shared" si="9"/>
        <v>0</v>
      </c>
      <c r="I384" s="3"/>
    </row>
    <row r="385" spans="1:9" x14ac:dyDescent="0.25">
      <c r="A385" s="2"/>
      <c r="B385" s="2"/>
      <c r="C385" s="4"/>
      <c r="D385" s="4"/>
      <c r="E385" s="4"/>
      <c r="F385" s="4"/>
      <c r="G385" s="2">
        <f t="shared" si="9"/>
        <v>0</v>
      </c>
      <c r="I385" s="3"/>
    </row>
    <row r="386" spans="1:9" x14ac:dyDescent="0.25">
      <c r="A386" s="2"/>
      <c r="B386" s="2"/>
      <c r="C386" s="4"/>
      <c r="D386" s="4"/>
      <c r="E386" s="4"/>
      <c r="F386" s="4"/>
      <c r="G386" s="2">
        <f t="shared" si="9"/>
        <v>0</v>
      </c>
      <c r="I386" s="3"/>
    </row>
    <row r="387" spans="1:9" x14ac:dyDescent="0.25">
      <c r="A387" s="2"/>
      <c r="B387" s="2"/>
      <c r="C387" s="4"/>
      <c r="D387" s="4"/>
      <c r="E387" s="4"/>
      <c r="F387" s="4"/>
      <c r="G387" s="2">
        <f t="shared" si="9"/>
        <v>0</v>
      </c>
      <c r="I387" s="3"/>
    </row>
    <row r="388" spans="1:9" x14ac:dyDescent="0.25">
      <c r="A388" s="2"/>
      <c r="B388" s="2"/>
      <c r="C388" s="4"/>
      <c r="D388" s="4"/>
      <c r="E388" s="4"/>
      <c r="F388" s="4"/>
      <c r="G388" s="2">
        <f t="shared" si="9"/>
        <v>0</v>
      </c>
      <c r="I388" s="3"/>
    </row>
    <row r="389" spans="1:9" x14ac:dyDescent="0.25">
      <c r="A389" s="2"/>
      <c r="B389" s="2"/>
      <c r="C389" s="4"/>
      <c r="D389" s="4"/>
      <c r="E389" s="4"/>
      <c r="F389" s="4"/>
      <c r="G389" s="2">
        <f t="shared" si="9"/>
        <v>0</v>
      </c>
      <c r="I389" s="3"/>
    </row>
    <row r="390" spans="1:9" x14ac:dyDescent="0.25">
      <c r="A390" s="2"/>
      <c r="B390" s="2"/>
      <c r="C390" s="4"/>
      <c r="D390" s="4"/>
      <c r="E390" s="4"/>
      <c r="F390" s="4"/>
      <c r="G390" s="2">
        <f t="shared" si="9"/>
        <v>0</v>
      </c>
      <c r="I390" s="3"/>
    </row>
    <row r="391" spans="1:9" x14ac:dyDescent="0.25">
      <c r="A391" s="2"/>
      <c r="B391" s="2"/>
      <c r="C391" s="4"/>
      <c r="D391" s="4"/>
      <c r="E391" s="4"/>
      <c r="F391" s="4"/>
      <c r="G391" s="2">
        <f t="shared" si="9"/>
        <v>0</v>
      </c>
      <c r="I391" s="3"/>
    </row>
    <row r="392" spans="1:9" x14ac:dyDescent="0.25">
      <c r="A392" s="2"/>
      <c r="B392" s="2"/>
      <c r="C392" s="4"/>
      <c r="D392" s="4"/>
      <c r="E392" s="4"/>
      <c r="F392" s="4"/>
      <c r="G392" s="2">
        <f t="shared" si="9"/>
        <v>0</v>
      </c>
      <c r="I392" s="3"/>
    </row>
    <row r="393" spans="1:9" x14ac:dyDescent="0.25">
      <c r="A393" s="2"/>
      <c r="B393" s="2"/>
      <c r="C393" s="4"/>
      <c r="D393" s="4"/>
      <c r="E393" s="4"/>
      <c r="F393" s="4"/>
      <c r="G393" s="2">
        <f t="shared" ref="G393:G456" si="10">A393</f>
        <v>0</v>
      </c>
      <c r="I393" s="3"/>
    </row>
    <row r="394" spans="1:9" x14ac:dyDescent="0.25">
      <c r="A394" s="2"/>
      <c r="B394" s="2"/>
      <c r="C394" s="4"/>
      <c r="D394" s="4"/>
      <c r="E394" s="4"/>
      <c r="F394" s="4"/>
      <c r="G394" s="2">
        <f t="shared" si="10"/>
        <v>0</v>
      </c>
      <c r="I394" s="3"/>
    </row>
    <row r="395" spans="1:9" x14ac:dyDescent="0.25">
      <c r="A395" s="2"/>
      <c r="B395" s="2"/>
      <c r="C395" s="4"/>
      <c r="D395" s="4"/>
      <c r="E395" s="4"/>
      <c r="F395" s="4"/>
      <c r="G395" s="2">
        <f t="shared" si="10"/>
        <v>0</v>
      </c>
      <c r="I395" s="3"/>
    </row>
    <row r="396" spans="1:9" x14ac:dyDescent="0.25">
      <c r="A396" s="2"/>
      <c r="B396" s="2"/>
      <c r="C396" s="4"/>
      <c r="D396" s="4"/>
      <c r="E396" s="4"/>
      <c r="F396" s="4"/>
      <c r="G396" s="2">
        <f t="shared" si="10"/>
        <v>0</v>
      </c>
      <c r="I396" s="3"/>
    </row>
    <row r="397" spans="1:9" x14ac:dyDescent="0.25">
      <c r="A397" s="2"/>
      <c r="B397" s="2"/>
      <c r="C397" s="4"/>
      <c r="D397" s="4"/>
      <c r="E397" s="4"/>
      <c r="F397" s="4"/>
      <c r="G397" s="2">
        <f t="shared" si="10"/>
        <v>0</v>
      </c>
      <c r="I397" s="3"/>
    </row>
    <row r="398" spans="1:9" x14ac:dyDescent="0.25">
      <c r="A398" s="2"/>
      <c r="B398" s="2"/>
      <c r="C398" s="4"/>
      <c r="D398" s="4"/>
      <c r="E398" s="4"/>
      <c r="F398" s="4"/>
      <c r="G398" s="2">
        <f t="shared" si="10"/>
        <v>0</v>
      </c>
      <c r="I398" s="3"/>
    </row>
    <row r="399" spans="1:9" x14ac:dyDescent="0.25">
      <c r="A399" s="2"/>
      <c r="B399" s="2"/>
      <c r="C399" s="4"/>
      <c r="D399" s="4"/>
      <c r="E399" s="4"/>
      <c r="F399" s="4"/>
      <c r="G399" s="2">
        <f t="shared" si="10"/>
        <v>0</v>
      </c>
      <c r="I399" s="3"/>
    </row>
    <row r="400" spans="1:9" x14ac:dyDescent="0.25">
      <c r="A400" s="2"/>
      <c r="B400" s="2"/>
      <c r="C400" s="4"/>
      <c r="D400" s="4"/>
      <c r="E400" s="4"/>
      <c r="F400" s="4"/>
      <c r="G400" s="2">
        <f t="shared" si="10"/>
        <v>0</v>
      </c>
      <c r="I400" s="3"/>
    </row>
    <row r="401" spans="1:9" x14ac:dyDescent="0.25">
      <c r="A401" s="2"/>
      <c r="B401" s="2"/>
      <c r="C401" s="4"/>
      <c r="D401" s="4"/>
      <c r="E401" s="4"/>
      <c r="F401" s="4"/>
      <c r="G401" s="2">
        <f t="shared" si="10"/>
        <v>0</v>
      </c>
      <c r="I401" s="3"/>
    </row>
    <row r="402" spans="1:9" x14ac:dyDescent="0.25">
      <c r="A402" s="2"/>
      <c r="B402" s="2"/>
      <c r="C402" s="4"/>
      <c r="D402" s="4"/>
      <c r="E402" s="4"/>
      <c r="F402" s="4"/>
      <c r="G402" s="2">
        <f t="shared" si="10"/>
        <v>0</v>
      </c>
      <c r="I402" s="3"/>
    </row>
    <row r="403" spans="1:9" x14ac:dyDescent="0.25">
      <c r="A403" s="2"/>
      <c r="B403" s="2"/>
      <c r="C403" s="4"/>
      <c r="D403" s="4"/>
      <c r="E403" s="4"/>
      <c r="F403" s="4"/>
      <c r="G403" s="2">
        <f t="shared" si="10"/>
        <v>0</v>
      </c>
      <c r="I403" s="3"/>
    </row>
    <row r="404" spans="1:9" x14ac:dyDescent="0.25">
      <c r="A404" s="2"/>
      <c r="B404" s="2"/>
      <c r="C404" s="4"/>
      <c r="D404" s="4"/>
      <c r="E404" s="4"/>
      <c r="F404" s="4"/>
      <c r="G404" s="2">
        <f t="shared" si="10"/>
        <v>0</v>
      </c>
      <c r="I404" s="3"/>
    </row>
    <row r="405" spans="1:9" x14ac:dyDescent="0.25">
      <c r="A405" s="2"/>
      <c r="B405" s="2"/>
      <c r="C405" s="4"/>
      <c r="D405" s="4"/>
      <c r="E405" s="4"/>
      <c r="F405" s="4"/>
      <c r="G405" s="2">
        <f t="shared" si="10"/>
        <v>0</v>
      </c>
      <c r="I405" s="3"/>
    </row>
    <row r="406" spans="1:9" x14ac:dyDescent="0.25">
      <c r="A406" s="2"/>
      <c r="B406" s="2"/>
      <c r="C406" s="4"/>
      <c r="D406" s="4"/>
      <c r="E406" s="4"/>
      <c r="F406" s="4"/>
      <c r="G406" s="2">
        <f t="shared" si="10"/>
        <v>0</v>
      </c>
      <c r="I406" s="3"/>
    </row>
    <row r="407" spans="1:9" x14ac:dyDescent="0.25">
      <c r="A407" s="2"/>
      <c r="B407" s="2"/>
      <c r="C407" s="4"/>
      <c r="D407" s="4"/>
      <c r="E407" s="4"/>
      <c r="F407" s="4"/>
      <c r="G407" s="2">
        <f t="shared" si="10"/>
        <v>0</v>
      </c>
      <c r="I407" s="3"/>
    </row>
    <row r="408" spans="1:9" x14ac:dyDescent="0.25">
      <c r="A408" s="2"/>
      <c r="B408" s="2"/>
      <c r="C408" s="4"/>
      <c r="D408" s="4"/>
      <c r="E408" s="4"/>
      <c r="F408" s="4"/>
      <c r="G408" s="2">
        <f t="shared" si="10"/>
        <v>0</v>
      </c>
      <c r="I408" s="3"/>
    </row>
    <row r="409" spans="1:9" x14ac:dyDescent="0.25">
      <c r="A409" s="2"/>
      <c r="B409" s="2"/>
      <c r="C409" s="4"/>
      <c r="D409" s="4"/>
      <c r="E409" s="4"/>
      <c r="F409" s="4"/>
      <c r="G409" s="2">
        <f t="shared" si="10"/>
        <v>0</v>
      </c>
      <c r="I409" s="3"/>
    </row>
    <row r="410" spans="1:9" x14ac:dyDescent="0.25">
      <c r="A410" s="2"/>
      <c r="B410" s="2"/>
      <c r="C410" s="4"/>
      <c r="D410" s="4"/>
      <c r="E410" s="4"/>
      <c r="F410" s="4"/>
      <c r="G410" s="2">
        <f t="shared" si="10"/>
        <v>0</v>
      </c>
      <c r="I410" s="3"/>
    </row>
    <row r="411" spans="1:9" x14ac:dyDescent="0.25">
      <c r="A411" s="2"/>
      <c r="B411" s="2"/>
      <c r="C411" s="4"/>
      <c r="D411" s="4"/>
      <c r="E411" s="4"/>
      <c r="F411" s="4"/>
      <c r="G411" s="2">
        <f t="shared" si="10"/>
        <v>0</v>
      </c>
      <c r="I411" s="3"/>
    </row>
    <row r="412" spans="1:9" x14ac:dyDescent="0.25">
      <c r="A412" s="2"/>
      <c r="B412" s="2"/>
      <c r="C412" s="4"/>
      <c r="D412" s="4"/>
      <c r="E412" s="4"/>
      <c r="F412" s="4"/>
      <c r="G412" s="2">
        <f t="shared" si="10"/>
        <v>0</v>
      </c>
      <c r="I412" s="3"/>
    </row>
    <row r="413" spans="1:9" x14ac:dyDescent="0.25">
      <c r="A413" s="2"/>
      <c r="B413" s="2"/>
      <c r="C413" s="4"/>
      <c r="D413" s="4"/>
      <c r="E413" s="4"/>
      <c r="F413" s="4"/>
      <c r="G413" s="2">
        <f t="shared" si="10"/>
        <v>0</v>
      </c>
      <c r="I413" s="3"/>
    </row>
    <row r="414" spans="1:9" x14ac:dyDescent="0.25">
      <c r="A414" s="2"/>
      <c r="B414" s="2"/>
      <c r="C414" s="4"/>
      <c r="D414" s="4"/>
      <c r="E414" s="4"/>
      <c r="F414" s="4"/>
      <c r="G414" s="2">
        <f t="shared" si="10"/>
        <v>0</v>
      </c>
      <c r="I414" s="3"/>
    </row>
    <row r="415" spans="1:9" x14ac:dyDescent="0.25">
      <c r="A415" s="2"/>
      <c r="B415" s="2"/>
      <c r="C415" s="4"/>
      <c r="D415" s="4"/>
      <c r="E415" s="4"/>
      <c r="F415" s="4"/>
      <c r="G415" s="2">
        <f t="shared" si="10"/>
        <v>0</v>
      </c>
      <c r="I415" s="3"/>
    </row>
    <row r="416" spans="1:9" x14ac:dyDescent="0.25">
      <c r="A416" s="2"/>
      <c r="B416" s="2"/>
      <c r="C416" s="4"/>
      <c r="D416" s="4"/>
      <c r="E416" s="4"/>
      <c r="F416" s="4"/>
      <c r="G416" s="2">
        <f t="shared" si="10"/>
        <v>0</v>
      </c>
      <c r="I416" s="3"/>
    </row>
    <row r="417" spans="1:9" x14ac:dyDescent="0.25">
      <c r="A417" s="2"/>
      <c r="B417" s="2"/>
      <c r="C417" s="4"/>
      <c r="D417" s="4"/>
      <c r="E417" s="4"/>
      <c r="F417" s="4"/>
      <c r="G417" s="2">
        <f t="shared" si="10"/>
        <v>0</v>
      </c>
      <c r="I417" s="3"/>
    </row>
    <row r="418" spans="1:9" x14ac:dyDescent="0.25">
      <c r="A418" s="2"/>
      <c r="B418" s="2"/>
      <c r="C418" s="4"/>
      <c r="D418" s="4"/>
      <c r="E418" s="4"/>
      <c r="F418" s="4"/>
      <c r="G418" s="2">
        <f t="shared" si="10"/>
        <v>0</v>
      </c>
      <c r="I418" s="3"/>
    </row>
    <row r="419" spans="1:9" x14ac:dyDescent="0.25">
      <c r="A419" s="2"/>
      <c r="B419" s="2"/>
      <c r="C419" s="4"/>
      <c r="D419" s="4"/>
      <c r="E419" s="4"/>
      <c r="F419" s="4"/>
      <c r="G419" s="2">
        <f t="shared" si="10"/>
        <v>0</v>
      </c>
      <c r="I419" s="3"/>
    </row>
    <row r="420" spans="1:9" x14ac:dyDescent="0.25">
      <c r="A420" s="2"/>
      <c r="B420" s="2"/>
      <c r="C420" s="4"/>
      <c r="D420" s="4"/>
      <c r="E420" s="4"/>
      <c r="F420" s="4"/>
      <c r="G420" s="2">
        <f t="shared" si="10"/>
        <v>0</v>
      </c>
      <c r="I420" s="3"/>
    </row>
    <row r="421" spans="1:9" x14ac:dyDescent="0.25">
      <c r="A421" s="2"/>
      <c r="B421" s="2"/>
      <c r="C421" s="4"/>
      <c r="D421" s="4"/>
      <c r="E421" s="4"/>
      <c r="F421" s="4"/>
      <c r="G421" s="2">
        <f t="shared" si="10"/>
        <v>0</v>
      </c>
      <c r="I421" s="3"/>
    </row>
    <row r="422" spans="1:9" x14ac:dyDescent="0.25">
      <c r="A422" s="2"/>
      <c r="B422" s="2"/>
      <c r="C422" s="4"/>
      <c r="D422" s="4"/>
      <c r="E422" s="4"/>
      <c r="F422" s="4"/>
      <c r="G422" s="2">
        <f t="shared" si="10"/>
        <v>0</v>
      </c>
      <c r="I422" s="3"/>
    </row>
    <row r="423" spans="1:9" x14ac:dyDescent="0.25">
      <c r="A423" s="2"/>
      <c r="B423" s="2"/>
      <c r="C423" s="4"/>
      <c r="D423" s="4"/>
      <c r="E423" s="4"/>
      <c r="F423" s="4"/>
      <c r="G423" s="2">
        <f t="shared" si="10"/>
        <v>0</v>
      </c>
      <c r="I423" s="3"/>
    </row>
    <row r="424" spans="1:9" x14ac:dyDescent="0.25">
      <c r="A424" s="2"/>
      <c r="B424" s="2"/>
      <c r="C424" s="4"/>
      <c r="D424" s="4"/>
      <c r="E424" s="4"/>
      <c r="F424" s="4"/>
      <c r="G424" s="2">
        <f t="shared" si="10"/>
        <v>0</v>
      </c>
      <c r="I424" s="3"/>
    </row>
    <row r="425" spans="1:9" x14ac:dyDescent="0.25">
      <c r="A425" s="2"/>
      <c r="B425" s="2"/>
      <c r="C425" s="4"/>
      <c r="D425" s="4"/>
      <c r="E425" s="4"/>
      <c r="F425" s="4"/>
      <c r="G425" s="2">
        <f t="shared" si="10"/>
        <v>0</v>
      </c>
      <c r="I425" s="3"/>
    </row>
    <row r="426" spans="1:9" x14ac:dyDescent="0.25">
      <c r="A426" s="2"/>
      <c r="B426" s="2"/>
      <c r="C426" s="4"/>
      <c r="D426" s="4"/>
      <c r="E426" s="4"/>
      <c r="F426" s="4"/>
      <c r="G426" s="2">
        <f t="shared" si="10"/>
        <v>0</v>
      </c>
      <c r="I426" s="3"/>
    </row>
    <row r="427" spans="1:9" x14ac:dyDescent="0.25">
      <c r="A427" s="2"/>
      <c r="B427" s="2"/>
      <c r="C427" s="4"/>
      <c r="D427" s="4"/>
      <c r="E427" s="4"/>
      <c r="F427" s="4"/>
      <c r="G427" s="2">
        <f t="shared" si="10"/>
        <v>0</v>
      </c>
      <c r="I427" s="3"/>
    </row>
    <row r="428" spans="1:9" x14ac:dyDescent="0.25">
      <c r="A428" s="2"/>
      <c r="B428" s="2"/>
      <c r="C428" s="4"/>
      <c r="D428" s="4"/>
      <c r="E428" s="4"/>
      <c r="F428" s="4"/>
      <c r="G428" s="2">
        <f t="shared" si="10"/>
        <v>0</v>
      </c>
      <c r="I428" s="3"/>
    </row>
    <row r="429" spans="1:9" x14ac:dyDescent="0.25">
      <c r="A429" s="2"/>
      <c r="B429" s="2"/>
      <c r="C429" s="4"/>
      <c r="D429" s="4"/>
      <c r="E429" s="4"/>
      <c r="F429" s="4"/>
      <c r="G429" s="2">
        <f t="shared" si="10"/>
        <v>0</v>
      </c>
      <c r="I429" s="3"/>
    </row>
    <row r="430" spans="1:9" x14ac:dyDescent="0.25">
      <c r="A430" s="2"/>
      <c r="B430" s="2"/>
      <c r="C430" s="4"/>
      <c r="D430" s="4"/>
      <c r="E430" s="4"/>
      <c r="F430" s="4"/>
      <c r="G430" s="2">
        <f t="shared" si="10"/>
        <v>0</v>
      </c>
      <c r="I430" s="3"/>
    </row>
    <row r="431" spans="1:9" x14ac:dyDescent="0.25">
      <c r="A431" s="2"/>
      <c r="B431" s="2"/>
      <c r="C431" s="4"/>
      <c r="D431" s="4"/>
      <c r="E431" s="4"/>
      <c r="F431" s="4"/>
      <c r="G431" s="2">
        <f t="shared" si="10"/>
        <v>0</v>
      </c>
      <c r="I431" s="3"/>
    </row>
    <row r="432" spans="1:9" x14ac:dyDescent="0.25">
      <c r="A432" s="2"/>
      <c r="B432" s="2"/>
      <c r="C432" s="4"/>
      <c r="D432" s="4"/>
      <c r="E432" s="4"/>
      <c r="F432" s="4"/>
      <c r="G432" s="2">
        <f t="shared" si="10"/>
        <v>0</v>
      </c>
      <c r="I432" s="3"/>
    </row>
    <row r="433" spans="1:9" x14ac:dyDescent="0.25">
      <c r="A433" s="2"/>
      <c r="B433" s="2"/>
      <c r="C433" s="4"/>
      <c r="D433" s="4"/>
      <c r="E433" s="4"/>
      <c r="F433" s="4"/>
      <c r="G433" s="2">
        <f t="shared" si="10"/>
        <v>0</v>
      </c>
      <c r="I433" s="3"/>
    </row>
    <row r="434" spans="1:9" x14ac:dyDescent="0.25">
      <c r="A434" s="2"/>
      <c r="B434" s="2"/>
      <c r="C434" s="4"/>
      <c r="D434" s="4"/>
      <c r="E434" s="4"/>
      <c r="F434" s="4"/>
      <c r="G434" s="2">
        <f t="shared" si="10"/>
        <v>0</v>
      </c>
      <c r="I434" s="3"/>
    </row>
    <row r="435" spans="1:9" x14ac:dyDescent="0.25">
      <c r="A435" s="2"/>
      <c r="B435" s="2"/>
      <c r="C435" s="4"/>
      <c r="D435" s="4"/>
      <c r="E435" s="4"/>
      <c r="F435" s="4"/>
      <c r="G435" s="2">
        <f t="shared" si="10"/>
        <v>0</v>
      </c>
      <c r="I435" s="3"/>
    </row>
    <row r="436" spans="1:9" x14ac:dyDescent="0.25">
      <c r="A436" s="2"/>
      <c r="B436" s="2"/>
      <c r="C436" s="4"/>
      <c r="D436" s="4"/>
      <c r="E436" s="4"/>
      <c r="F436" s="4"/>
      <c r="G436" s="2">
        <f t="shared" si="10"/>
        <v>0</v>
      </c>
      <c r="I436" s="3"/>
    </row>
    <row r="437" spans="1:9" x14ac:dyDescent="0.25">
      <c r="A437" s="2"/>
      <c r="B437" s="2"/>
      <c r="C437" s="4"/>
      <c r="D437" s="4"/>
      <c r="E437" s="4"/>
      <c r="F437" s="4"/>
      <c r="G437" s="2">
        <f t="shared" si="10"/>
        <v>0</v>
      </c>
      <c r="I437" s="3"/>
    </row>
    <row r="438" spans="1:9" x14ac:dyDescent="0.25">
      <c r="A438" s="2"/>
      <c r="B438" s="2"/>
      <c r="C438" s="4"/>
      <c r="D438" s="4"/>
      <c r="E438" s="4"/>
      <c r="F438" s="4"/>
      <c r="G438" s="2">
        <f t="shared" si="10"/>
        <v>0</v>
      </c>
      <c r="I438" s="3"/>
    </row>
    <row r="439" spans="1:9" x14ac:dyDescent="0.25">
      <c r="A439" s="2"/>
      <c r="B439" s="2"/>
      <c r="C439" s="4"/>
      <c r="D439" s="4"/>
      <c r="E439" s="4"/>
      <c r="F439" s="4"/>
      <c r="G439" s="2">
        <f t="shared" si="10"/>
        <v>0</v>
      </c>
      <c r="I439" s="3"/>
    </row>
    <row r="440" spans="1:9" x14ac:dyDescent="0.25">
      <c r="A440" s="2"/>
      <c r="B440" s="2"/>
      <c r="C440" s="4"/>
      <c r="D440" s="4"/>
      <c r="E440" s="4"/>
      <c r="F440" s="4"/>
      <c r="G440" s="2">
        <f t="shared" si="10"/>
        <v>0</v>
      </c>
      <c r="I440" s="3"/>
    </row>
    <row r="441" spans="1:9" x14ac:dyDescent="0.25">
      <c r="A441" s="2"/>
      <c r="B441" s="2"/>
      <c r="C441" s="4"/>
      <c r="D441" s="4"/>
      <c r="E441" s="4"/>
      <c r="F441" s="4"/>
      <c r="G441" s="2">
        <f t="shared" si="10"/>
        <v>0</v>
      </c>
      <c r="I441" s="3"/>
    </row>
    <row r="442" spans="1:9" x14ac:dyDescent="0.25">
      <c r="A442" s="2"/>
      <c r="B442" s="2"/>
      <c r="C442" s="4"/>
      <c r="D442" s="4"/>
      <c r="E442" s="4"/>
      <c r="F442" s="4"/>
      <c r="G442" s="2">
        <f t="shared" si="10"/>
        <v>0</v>
      </c>
      <c r="I442" s="3"/>
    </row>
    <row r="443" spans="1:9" x14ac:dyDescent="0.25">
      <c r="A443" s="2"/>
      <c r="B443" s="2"/>
      <c r="C443" s="4"/>
      <c r="D443" s="4"/>
      <c r="E443" s="4"/>
      <c r="F443" s="4"/>
      <c r="G443" s="2">
        <f t="shared" si="10"/>
        <v>0</v>
      </c>
      <c r="I443" s="3"/>
    </row>
    <row r="444" spans="1:9" x14ac:dyDescent="0.25">
      <c r="A444" s="2"/>
      <c r="B444" s="2"/>
      <c r="C444" s="4"/>
      <c r="D444" s="4"/>
      <c r="E444" s="4"/>
      <c r="F444" s="4"/>
      <c r="G444" s="2">
        <f t="shared" si="10"/>
        <v>0</v>
      </c>
      <c r="I444" s="3"/>
    </row>
    <row r="445" spans="1:9" x14ac:dyDescent="0.25">
      <c r="A445" s="2"/>
      <c r="B445" s="2"/>
      <c r="C445" s="4"/>
      <c r="D445" s="4"/>
      <c r="E445" s="4"/>
      <c r="F445" s="4"/>
      <c r="G445" s="2">
        <f t="shared" si="10"/>
        <v>0</v>
      </c>
      <c r="I445" s="3"/>
    </row>
    <row r="446" spans="1:9" x14ac:dyDescent="0.25">
      <c r="A446" s="2"/>
      <c r="B446" s="2"/>
      <c r="C446" s="4"/>
      <c r="D446" s="4"/>
      <c r="E446" s="4"/>
      <c r="F446" s="4"/>
      <c r="G446" s="2">
        <f t="shared" si="10"/>
        <v>0</v>
      </c>
      <c r="I446" s="3"/>
    </row>
    <row r="447" spans="1:9" x14ac:dyDescent="0.25">
      <c r="A447" s="2"/>
      <c r="B447" s="2"/>
      <c r="C447" s="4"/>
      <c r="D447" s="4"/>
      <c r="E447" s="4"/>
      <c r="F447" s="4"/>
      <c r="G447" s="2">
        <f t="shared" si="10"/>
        <v>0</v>
      </c>
      <c r="I447" s="3"/>
    </row>
    <row r="448" spans="1:9" x14ac:dyDescent="0.25">
      <c r="A448" s="2"/>
      <c r="B448" s="2"/>
      <c r="C448" s="4"/>
      <c r="D448" s="4"/>
      <c r="E448" s="4"/>
      <c r="F448" s="4"/>
      <c r="G448" s="2">
        <f t="shared" si="10"/>
        <v>0</v>
      </c>
      <c r="I448" s="3"/>
    </row>
    <row r="449" spans="1:9" x14ac:dyDescent="0.25">
      <c r="A449" s="2"/>
      <c r="B449" s="2"/>
      <c r="C449" s="4"/>
      <c r="D449" s="4"/>
      <c r="E449" s="4"/>
      <c r="F449" s="4"/>
      <c r="G449" s="2">
        <f t="shared" si="10"/>
        <v>0</v>
      </c>
      <c r="I449" s="3"/>
    </row>
    <row r="450" spans="1:9" x14ac:dyDescent="0.25">
      <c r="A450" s="2"/>
      <c r="B450" s="2"/>
      <c r="C450" s="4"/>
      <c r="D450" s="4"/>
      <c r="E450" s="4"/>
      <c r="F450" s="4"/>
      <c r="G450" s="2">
        <f t="shared" si="10"/>
        <v>0</v>
      </c>
      <c r="I450" s="3"/>
    </row>
    <row r="451" spans="1:9" x14ac:dyDescent="0.25">
      <c r="A451" s="2"/>
      <c r="B451" s="2"/>
      <c r="C451" s="4"/>
      <c r="D451" s="4"/>
      <c r="E451" s="4"/>
      <c r="F451" s="4"/>
      <c r="G451" s="2">
        <f t="shared" si="10"/>
        <v>0</v>
      </c>
      <c r="I451" s="3"/>
    </row>
    <row r="452" spans="1:9" x14ac:dyDescent="0.25">
      <c r="A452" s="2"/>
      <c r="B452" s="2"/>
      <c r="C452" s="4"/>
      <c r="D452" s="4"/>
      <c r="E452" s="4"/>
      <c r="F452" s="4"/>
      <c r="G452" s="2">
        <f t="shared" si="10"/>
        <v>0</v>
      </c>
      <c r="I452" s="3"/>
    </row>
    <row r="453" spans="1:9" x14ac:dyDescent="0.25">
      <c r="A453" s="2"/>
      <c r="B453" s="2"/>
      <c r="C453" s="4"/>
      <c r="D453" s="4"/>
      <c r="E453" s="4"/>
      <c r="F453" s="4"/>
      <c r="G453" s="2">
        <f t="shared" si="10"/>
        <v>0</v>
      </c>
      <c r="I453" s="3"/>
    </row>
    <row r="454" spans="1:9" x14ac:dyDescent="0.25">
      <c r="A454" s="2"/>
      <c r="B454" s="2"/>
      <c r="C454" s="4"/>
      <c r="D454" s="4"/>
      <c r="E454" s="4"/>
      <c r="F454" s="4"/>
      <c r="G454" s="2">
        <f t="shared" si="10"/>
        <v>0</v>
      </c>
      <c r="I454" s="3"/>
    </row>
    <row r="455" spans="1:9" x14ac:dyDescent="0.25">
      <c r="A455" s="2"/>
      <c r="B455" s="2"/>
      <c r="C455" s="4"/>
      <c r="D455" s="4"/>
      <c r="E455" s="4"/>
      <c r="F455" s="4"/>
      <c r="G455" s="2">
        <f t="shared" si="10"/>
        <v>0</v>
      </c>
      <c r="I455" s="3"/>
    </row>
    <row r="456" spans="1:9" x14ac:dyDescent="0.25">
      <c r="A456" s="2"/>
      <c r="B456" s="2"/>
      <c r="C456" s="4"/>
      <c r="D456" s="4"/>
      <c r="E456" s="4"/>
      <c r="F456" s="4"/>
      <c r="G456" s="2">
        <f t="shared" si="10"/>
        <v>0</v>
      </c>
      <c r="I456" s="3"/>
    </row>
    <row r="457" spans="1:9" x14ac:dyDescent="0.25">
      <c r="A457" s="2"/>
      <c r="B457" s="2"/>
      <c r="C457" s="4"/>
      <c r="D457" s="4"/>
      <c r="E457" s="4"/>
      <c r="F457" s="4"/>
      <c r="G457" s="2">
        <f t="shared" ref="G457:G520" si="11">A457</f>
        <v>0</v>
      </c>
      <c r="I457" s="3"/>
    </row>
    <row r="458" spans="1:9" x14ac:dyDescent="0.25">
      <c r="A458" s="2"/>
      <c r="B458" s="2"/>
      <c r="C458" s="4"/>
      <c r="D458" s="4"/>
      <c r="E458" s="4"/>
      <c r="F458" s="4"/>
      <c r="G458" s="2">
        <f t="shared" si="11"/>
        <v>0</v>
      </c>
      <c r="I458" s="3"/>
    </row>
    <row r="459" spans="1:9" x14ac:dyDescent="0.25">
      <c r="A459" s="2"/>
      <c r="B459" s="2"/>
      <c r="C459" s="4"/>
      <c r="D459" s="4"/>
      <c r="E459" s="4"/>
      <c r="F459" s="4"/>
      <c r="G459" s="2">
        <f t="shared" si="11"/>
        <v>0</v>
      </c>
      <c r="I459" s="3"/>
    </row>
    <row r="460" spans="1:9" x14ac:dyDescent="0.25">
      <c r="A460" s="2"/>
      <c r="B460" s="2"/>
      <c r="C460" s="4"/>
      <c r="D460" s="4"/>
      <c r="E460" s="4"/>
      <c r="F460" s="4"/>
      <c r="G460" s="2">
        <f t="shared" si="11"/>
        <v>0</v>
      </c>
      <c r="I460" s="3"/>
    </row>
    <row r="461" spans="1:9" x14ac:dyDescent="0.25">
      <c r="A461" s="2"/>
      <c r="B461" s="2"/>
      <c r="C461" s="4"/>
      <c r="D461" s="4"/>
      <c r="E461" s="4"/>
      <c r="F461" s="4"/>
      <c r="G461" s="2">
        <f t="shared" si="11"/>
        <v>0</v>
      </c>
      <c r="I461" s="3"/>
    </row>
    <row r="462" spans="1:9" x14ac:dyDescent="0.25">
      <c r="A462" s="2"/>
      <c r="B462" s="2"/>
      <c r="C462" s="4"/>
      <c r="D462" s="4"/>
      <c r="E462" s="4"/>
      <c r="F462" s="4"/>
      <c r="G462" s="2">
        <f t="shared" si="11"/>
        <v>0</v>
      </c>
      <c r="I462" s="3"/>
    </row>
    <row r="463" spans="1:9" x14ac:dyDescent="0.25">
      <c r="A463" s="2"/>
      <c r="B463" s="2"/>
      <c r="C463" s="4"/>
      <c r="D463" s="4"/>
      <c r="E463" s="4"/>
      <c r="F463" s="4"/>
      <c r="G463" s="2">
        <f t="shared" si="11"/>
        <v>0</v>
      </c>
      <c r="I463" s="3"/>
    </row>
    <row r="464" spans="1:9" x14ac:dyDescent="0.25">
      <c r="A464" s="2"/>
      <c r="B464" s="2"/>
      <c r="C464" s="4"/>
      <c r="D464" s="4"/>
      <c r="E464" s="4"/>
      <c r="F464" s="4"/>
      <c r="G464" s="2">
        <f t="shared" si="11"/>
        <v>0</v>
      </c>
      <c r="I464" s="3"/>
    </row>
    <row r="465" spans="1:9" x14ac:dyDescent="0.25">
      <c r="A465" s="2"/>
      <c r="B465" s="2"/>
      <c r="C465" s="4"/>
      <c r="D465" s="4"/>
      <c r="E465" s="4"/>
      <c r="F465" s="4"/>
      <c r="G465" s="2">
        <f t="shared" si="11"/>
        <v>0</v>
      </c>
      <c r="I465" s="3"/>
    </row>
    <row r="466" spans="1:9" x14ac:dyDescent="0.25">
      <c r="A466" s="2"/>
      <c r="B466" s="2"/>
      <c r="C466" s="4"/>
      <c r="D466" s="4"/>
      <c r="E466" s="4"/>
      <c r="F466" s="4"/>
      <c r="G466" s="2">
        <f t="shared" si="11"/>
        <v>0</v>
      </c>
      <c r="I466" s="3"/>
    </row>
    <row r="467" spans="1:9" x14ac:dyDescent="0.25">
      <c r="A467" s="2"/>
      <c r="B467" s="2"/>
      <c r="C467" s="4"/>
      <c r="D467" s="4"/>
      <c r="E467" s="4"/>
      <c r="F467" s="4"/>
      <c r="G467" s="2">
        <f t="shared" si="11"/>
        <v>0</v>
      </c>
      <c r="I467" s="3"/>
    </row>
    <row r="468" spans="1:9" x14ac:dyDescent="0.25">
      <c r="A468" s="2"/>
      <c r="B468" s="2"/>
      <c r="C468" s="4"/>
      <c r="D468" s="4"/>
      <c r="E468" s="4"/>
      <c r="F468" s="4"/>
      <c r="G468" s="2">
        <f t="shared" si="11"/>
        <v>0</v>
      </c>
      <c r="I468" s="3"/>
    </row>
    <row r="469" spans="1:9" x14ac:dyDescent="0.25">
      <c r="A469" s="2"/>
      <c r="B469" s="2"/>
      <c r="C469" s="4"/>
      <c r="D469" s="4"/>
      <c r="E469" s="4"/>
      <c r="F469" s="4"/>
      <c r="G469" s="2">
        <f t="shared" si="11"/>
        <v>0</v>
      </c>
      <c r="I469" s="3"/>
    </row>
    <row r="470" spans="1:9" x14ac:dyDescent="0.25">
      <c r="A470" s="2"/>
      <c r="B470" s="2"/>
      <c r="C470" s="4"/>
      <c r="D470" s="4"/>
      <c r="E470" s="4"/>
      <c r="F470" s="4"/>
      <c r="G470" s="2">
        <f t="shared" si="11"/>
        <v>0</v>
      </c>
      <c r="I470" s="3"/>
    </row>
    <row r="471" spans="1:9" x14ac:dyDescent="0.25">
      <c r="A471" s="2"/>
      <c r="B471" s="2"/>
      <c r="C471" s="4"/>
      <c r="D471" s="4"/>
      <c r="E471" s="4"/>
      <c r="F471" s="4"/>
      <c r="G471" s="2">
        <f t="shared" si="11"/>
        <v>0</v>
      </c>
      <c r="I471" s="3"/>
    </row>
    <row r="472" spans="1:9" x14ac:dyDescent="0.25">
      <c r="A472" s="2"/>
      <c r="B472" s="2"/>
      <c r="C472" s="4"/>
      <c r="D472" s="4"/>
      <c r="E472" s="4"/>
      <c r="F472" s="4"/>
      <c r="G472" s="2">
        <f t="shared" si="11"/>
        <v>0</v>
      </c>
      <c r="I472" s="3"/>
    </row>
    <row r="473" spans="1:9" x14ac:dyDescent="0.25">
      <c r="A473" s="2"/>
      <c r="B473" s="2"/>
      <c r="C473" s="4"/>
      <c r="D473" s="4"/>
      <c r="E473" s="4"/>
      <c r="F473" s="4"/>
      <c r="G473" s="2">
        <f t="shared" si="11"/>
        <v>0</v>
      </c>
      <c r="I473" s="3"/>
    </row>
    <row r="474" spans="1:9" x14ac:dyDescent="0.25">
      <c r="A474" s="2"/>
      <c r="B474" s="2"/>
      <c r="C474" s="4"/>
      <c r="D474" s="4"/>
      <c r="E474" s="4"/>
      <c r="F474" s="4"/>
      <c r="G474" s="2">
        <f t="shared" si="11"/>
        <v>0</v>
      </c>
      <c r="I474" s="3"/>
    </row>
    <row r="475" spans="1:9" x14ac:dyDescent="0.25">
      <c r="A475" s="2"/>
      <c r="B475" s="2"/>
      <c r="C475" s="4"/>
      <c r="D475" s="4"/>
      <c r="E475" s="4"/>
      <c r="F475" s="4"/>
      <c r="G475" s="2">
        <f t="shared" si="11"/>
        <v>0</v>
      </c>
      <c r="I475" s="3"/>
    </row>
    <row r="476" spans="1:9" x14ac:dyDescent="0.25">
      <c r="A476" s="2"/>
      <c r="B476" s="2"/>
      <c r="C476" s="4"/>
      <c r="D476" s="4"/>
      <c r="E476" s="4"/>
      <c r="F476" s="4"/>
      <c r="G476" s="2">
        <f t="shared" si="11"/>
        <v>0</v>
      </c>
      <c r="I476" s="3"/>
    </row>
    <row r="477" spans="1:9" x14ac:dyDescent="0.25">
      <c r="A477" s="2"/>
      <c r="B477" s="2"/>
      <c r="C477" s="4"/>
      <c r="D477" s="4"/>
      <c r="E477" s="4"/>
      <c r="F477" s="4"/>
      <c r="G477" s="2">
        <f t="shared" si="11"/>
        <v>0</v>
      </c>
      <c r="I477" s="3"/>
    </row>
    <row r="478" spans="1:9" x14ac:dyDescent="0.25">
      <c r="A478" s="2"/>
      <c r="B478" s="2"/>
      <c r="C478" s="4"/>
      <c r="D478" s="4"/>
      <c r="E478" s="4"/>
      <c r="F478" s="4"/>
      <c r="G478" s="2">
        <f t="shared" si="11"/>
        <v>0</v>
      </c>
      <c r="I478" s="3"/>
    </row>
    <row r="479" spans="1:9" x14ac:dyDescent="0.25">
      <c r="A479" s="2"/>
      <c r="B479" s="2"/>
      <c r="C479" s="4"/>
      <c r="D479" s="4"/>
      <c r="E479" s="4"/>
      <c r="F479" s="4"/>
      <c r="G479" s="2">
        <f t="shared" si="11"/>
        <v>0</v>
      </c>
      <c r="I479" s="3"/>
    </row>
    <row r="480" spans="1:9" x14ac:dyDescent="0.25">
      <c r="A480" s="2"/>
      <c r="B480" s="2"/>
      <c r="C480" s="4"/>
      <c r="D480" s="4"/>
      <c r="E480" s="4"/>
      <c r="F480" s="4"/>
      <c r="G480" s="2">
        <f t="shared" si="11"/>
        <v>0</v>
      </c>
      <c r="I480" s="3"/>
    </row>
    <row r="481" spans="1:9" x14ac:dyDescent="0.25">
      <c r="A481" s="2"/>
      <c r="B481" s="2"/>
      <c r="C481" s="4"/>
      <c r="D481" s="4"/>
      <c r="E481" s="4"/>
      <c r="F481" s="4"/>
      <c r="G481" s="2">
        <f t="shared" si="11"/>
        <v>0</v>
      </c>
      <c r="I481" s="3"/>
    </row>
    <row r="482" spans="1:9" x14ac:dyDescent="0.25">
      <c r="A482" s="2"/>
      <c r="B482" s="2"/>
      <c r="C482" s="4"/>
      <c r="D482" s="4"/>
      <c r="E482" s="4"/>
      <c r="F482" s="4"/>
      <c r="G482" s="2">
        <f t="shared" si="11"/>
        <v>0</v>
      </c>
      <c r="I482" s="3"/>
    </row>
    <row r="483" spans="1:9" x14ac:dyDescent="0.25">
      <c r="A483" s="2"/>
      <c r="B483" s="2"/>
      <c r="C483" s="4"/>
      <c r="D483" s="4"/>
      <c r="E483" s="4"/>
      <c r="F483" s="4"/>
      <c r="G483" s="2">
        <f t="shared" si="11"/>
        <v>0</v>
      </c>
      <c r="I483" s="3"/>
    </row>
    <row r="484" spans="1:9" x14ac:dyDescent="0.25">
      <c r="A484" s="2"/>
      <c r="B484" s="2"/>
      <c r="C484" s="4"/>
      <c r="D484" s="4"/>
      <c r="E484" s="4"/>
      <c r="F484" s="4"/>
      <c r="G484" s="2">
        <f t="shared" si="11"/>
        <v>0</v>
      </c>
      <c r="I484" s="3"/>
    </row>
    <row r="485" spans="1:9" x14ac:dyDescent="0.25">
      <c r="A485" s="2"/>
      <c r="B485" s="2"/>
      <c r="C485" s="4"/>
      <c r="D485" s="4"/>
      <c r="E485" s="4"/>
      <c r="F485" s="4"/>
      <c r="G485" s="2">
        <f t="shared" si="11"/>
        <v>0</v>
      </c>
      <c r="I485" s="3"/>
    </row>
    <row r="486" spans="1:9" x14ac:dyDescent="0.25">
      <c r="A486" s="2"/>
      <c r="B486" s="2"/>
      <c r="C486" s="4"/>
      <c r="D486" s="4"/>
      <c r="E486" s="4"/>
      <c r="F486" s="4"/>
      <c r="G486" s="2">
        <f t="shared" si="11"/>
        <v>0</v>
      </c>
      <c r="I486" s="3"/>
    </row>
    <row r="487" spans="1:9" x14ac:dyDescent="0.25">
      <c r="A487" s="2"/>
      <c r="B487" s="2"/>
      <c r="C487" s="4"/>
      <c r="D487" s="4"/>
      <c r="E487" s="4"/>
      <c r="F487" s="4"/>
      <c r="G487" s="2">
        <f t="shared" si="11"/>
        <v>0</v>
      </c>
      <c r="I487" s="3"/>
    </row>
    <row r="488" spans="1:9" x14ac:dyDescent="0.25">
      <c r="A488" s="2"/>
      <c r="B488" s="2"/>
      <c r="C488" s="4"/>
      <c r="D488" s="4"/>
      <c r="E488" s="4"/>
      <c r="F488" s="4"/>
      <c r="G488" s="2">
        <f t="shared" si="11"/>
        <v>0</v>
      </c>
      <c r="I488" s="3"/>
    </row>
    <row r="489" spans="1:9" x14ac:dyDescent="0.25">
      <c r="A489" s="2"/>
      <c r="B489" s="2"/>
      <c r="C489" s="4"/>
      <c r="D489" s="4"/>
      <c r="E489" s="4"/>
      <c r="F489" s="4"/>
      <c r="G489" s="2">
        <f t="shared" si="11"/>
        <v>0</v>
      </c>
      <c r="I489" s="3"/>
    </row>
    <row r="490" spans="1:9" x14ac:dyDescent="0.25">
      <c r="A490" s="2"/>
      <c r="B490" s="2"/>
      <c r="C490" s="4"/>
      <c r="D490" s="4"/>
      <c r="E490" s="4"/>
      <c r="F490" s="4"/>
      <c r="G490" s="2">
        <f t="shared" si="11"/>
        <v>0</v>
      </c>
      <c r="I490" s="3"/>
    </row>
    <row r="491" spans="1:9" x14ac:dyDescent="0.25">
      <c r="A491" s="2"/>
      <c r="B491" s="2"/>
      <c r="C491" s="4"/>
      <c r="D491" s="4"/>
      <c r="E491" s="4"/>
      <c r="F491" s="4"/>
      <c r="G491" s="2">
        <f t="shared" si="11"/>
        <v>0</v>
      </c>
      <c r="I491" s="3"/>
    </row>
    <row r="492" spans="1:9" x14ac:dyDescent="0.25">
      <c r="A492" s="2"/>
      <c r="B492" s="2"/>
      <c r="C492" s="4"/>
      <c r="D492" s="4"/>
      <c r="E492" s="4"/>
      <c r="F492" s="4"/>
      <c r="G492" s="2">
        <f t="shared" si="11"/>
        <v>0</v>
      </c>
      <c r="I492" s="3"/>
    </row>
    <row r="493" spans="1:9" x14ac:dyDescent="0.25">
      <c r="A493" s="2"/>
      <c r="B493" s="2"/>
      <c r="C493" s="4"/>
      <c r="D493" s="4"/>
      <c r="E493" s="4"/>
      <c r="F493" s="4"/>
      <c r="G493" s="2">
        <f t="shared" si="11"/>
        <v>0</v>
      </c>
      <c r="I493" s="3"/>
    </row>
    <row r="494" spans="1:9" x14ac:dyDescent="0.25">
      <c r="A494" s="2"/>
      <c r="B494" s="2"/>
      <c r="C494" s="4"/>
      <c r="D494" s="4"/>
      <c r="E494" s="4"/>
      <c r="F494" s="4"/>
      <c r="G494" s="2">
        <f t="shared" si="11"/>
        <v>0</v>
      </c>
      <c r="I494" s="3"/>
    </row>
    <row r="495" spans="1:9" x14ac:dyDescent="0.25">
      <c r="A495" s="2"/>
      <c r="B495" s="2"/>
      <c r="C495" s="4"/>
      <c r="D495" s="4"/>
      <c r="E495" s="4"/>
      <c r="F495" s="4"/>
      <c r="G495" s="2">
        <f t="shared" si="11"/>
        <v>0</v>
      </c>
      <c r="I495" s="3"/>
    </row>
    <row r="496" spans="1:9" x14ac:dyDescent="0.25">
      <c r="A496" s="2"/>
      <c r="B496" s="2"/>
      <c r="C496" s="4"/>
      <c r="D496" s="4"/>
      <c r="E496" s="4"/>
      <c r="F496" s="4"/>
      <c r="G496" s="2">
        <f t="shared" si="11"/>
        <v>0</v>
      </c>
      <c r="I496" s="3"/>
    </row>
    <row r="497" spans="1:9" x14ac:dyDescent="0.25">
      <c r="A497" s="2"/>
      <c r="B497" s="2"/>
      <c r="C497" s="4"/>
      <c r="D497" s="4"/>
      <c r="E497" s="4"/>
      <c r="F497" s="4"/>
      <c r="G497" s="2">
        <f t="shared" si="11"/>
        <v>0</v>
      </c>
      <c r="I497" s="3"/>
    </row>
    <row r="498" spans="1:9" x14ac:dyDescent="0.25">
      <c r="A498" s="2"/>
      <c r="B498" s="2"/>
      <c r="C498" s="4"/>
      <c r="D498" s="4"/>
      <c r="E498" s="4"/>
      <c r="F498" s="4"/>
      <c r="G498" s="2">
        <f t="shared" si="11"/>
        <v>0</v>
      </c>
      <c r="I498" s="3"/>
    </row>
    <row r="499" spans="1:9" x14ac:dyDescent="0.25">
      <c r="A499" s="2"/>
      <c r="B499" s="2"/>
      <c r="C499" s="4"/>
      <c r="D499" s="4"/>
      <c r="E499" s="4"/>
      <c r="F499" s="4"/>
      <c r="G499" s="2">
        <f t="shared" si="11"/>
        <v>0</v>
      </c>
      <c r="I499" s="3"/>
    </row>
    <row r="500" spans="1:9" x14ac:dyDescent="0.25">
      <c r="A500" s="2"/>
      <c r="B500" s="2"/>
      <c r="C500" s="4"/>
      <c r="D500" s="4"/>
      <c r="E500" s="4"/>
      <c r="F500" s="4"/>
      <c r="G500" s="2">
        <f t="shared" si="11"/>
        <v>0</v>
      </c>
      <c r="I500" s="3"/>
    </row>
    <row r="501" spans="1:9" x14ac:dyDescent="0.25">
      <c r="A501" s="2"/>
      <c r="B501" s="2"/>
      <c r="C501" s="4"/>
      <c r="D501" s="4"/>
      <c r="E501" s="4"/>
      <c r="F501" s="4"/>
      <c r="G501" s="2">
        <f t="shared" si="11"/>
        <v>0</v>
      </c>
      <c r="I501" s="3"/>
    </row>
    <row r="502" spans="1:9" x14ac:dyDescent="0.25">
      <c r="A502" s="2"/>
      <c r="B502" s="2"/>
      <c r="C502" s="4"/>
      <c r="D502" s="4"/>
      <c r="E502" s="4"/>
      <c r="F502" s="4"/>
      <c r="G502" s="2">
        <f t="shared" si="11"/>
        <v>0</v>
      </c>
      <c r="I502" s="3"/>
    </row>
    <row r="503" spans="1:9" x14ac:dyDescent="0.25">
      <c r="A503" s="2"/>
      <c r="B503" s="2"/>
      <c r="C503" s="4"/>
      <c r="D503" s="4"/>
      <c r="E503" s="4"/>
      <c r="F503" s="4"/>
      <c r="G503" s="2">
        <f t="shared" si="11"/>
        <v>0</v>
      </c>
      <c r="I503" s="3"/>
    </row>
    <row r="504" spans="1:9" x14ac:dyDescent="0.25">
      <c r="A504" s="2"/>
      <c r="B504" s="2"/>
      <c r="C504" s="4"/>
      <c r="D504" s="4"/>
      <c r="E504" s="4"/>
      <c r="F504" s="4"/>
      <c r="G504" s="2">
        <f t="shared" si="11"/>
        <v>0</v>
      </c>
      <c r="I504" s="3"/>
    </row>
    <row r="505" spans="1:9" x14ac:dyDescent="0.25">
      <c r="A505" s="2"/>
      <c r="B505" s="2"/>
      <c r="C505" s="4"/>
      <c r="D505" s="4"/>
      <c r="E505" s="4"/>
      <c r="F505" s="4"/>
      <c r="G505" s="2">
        <f t="shared" si="11"/>
        <v>0</v>
      </c>
      <c r="I505" s="3"/>
    </row>
    <row r="506" spans="1:9" x14ac:dyDescent="0.25">
      <c r="A506" s="2"/>
      <c r="B506" s="2"/>
      <c r="C506" s="4"/>
      <c r="D506" s="4"/>
      <c r="E506" s="4"/>
      <c r="F506" s="4"/>
      <c r="G506" s="2">
        <f t="shared" si="11"/>
        <v>0</v>
      </c>
      <c r="I506" s="3"/>
    </row>
    <row r="507" spans="1:9" x14ac:dyDescent="0.25">
      <c r="A507" s="2"/>
      <c r="B507" s="2"/>
      <c r="C507" s="4"/>
      <c r="D507" s="4"/>
      <c r="E507" s="4"/>
      <c r="F507" s="4"/>
      <c r="G507" s="2">
        <f t="shared" si="11"/>
        <v>0</v>
      </c>
      <c r="I507" s="3"/>
    </row>
    <row r="508" spans="1:9" x14ac:dyDescent="0.25">
      <c r="A508" s="2"/>
      <c r="B508" s="2"/>
      <c r="C508" s="4"/>
      <c r="D508" s="4"/>
      <c r="E508" s="4"/>
      <c r="F508" s="4"/>
      <c r="G508" s="2">
        <f t="shared" si="11"/>
        <v>0</v>
      </c>
      <c r="I508" s="3"/>
    </row>
    <row r="509" spans="1:9" x14ac:dyDescent="0.25">
      <c r="A509" s="2"/>
      <c r="B509" s="2"/>
      <c r="C509" s="4"/>
      <c r="D509" s="4"/>
      <c r="E509" s="4"/>
      <c r="F509" s="4"/>
      <c r="G509" s="2">
        <f t="shared" si="11"/>
        <v>0</v>
      </c>
      <c r="I509" s="3"/>
    </row>
    <row r="510" spans="1:9" x14ac:dyDescent="0.25">
      <c r="A510" s="2"/>
      <c r="B510" s="2"/>
      <c r="C510" s="4"/>
      <c r="D510" s="4"/>
      <c r="E510" s="4"/>
      <c r="F510" s="4"/>
      <c r="G510" s="2">
        <f t="shared" si="11"/>
        <v>0</v>
      </c>
      <c r="I510" s="3"/>
    </row>
    <row r="511" spans="1:9" x14ac:dyDescent="0.25">
      <c r="A511" s="2"/>
      <c r="B511" s="2"/>
      <c r="C511" s="4"/>
      <c r="D511" s="4"/>
      <c r="E511" s="4"/>
      <c r="F511" s="4"/>
      <c r="G511" s="2">
        <f t="shared" si="11"/>
        <v>0</v>
      </c>
      <c r="I511" s="3"/>
    </row>
    <row r="512" spans="1:9" x14ac:dyDescent="0.25">
      <c r="A512" s="2"/>
      <c r="B512" s="2"/>
      <c r="C512" s="4"/>
      <c r="D512" s="4"/>
      <c r="E512" s="4"/>
      <c r="F512" s="4"/>
      <c r="G512" s="2">
        <f t="shared" si="11"/>
        <v>0</v>
      </c>
      <c r="I512" s="3"/>
    </row>
    <row r="513" spans="1:9" x14ac:dyDescent="0.25">
      <c r="A513" s="2"/>
      <c r="B513" s="2"/>
      <c r="C513" s="4"/>
      <c r="D513" s="4"/>
      <c r="E513" s="4"/>
      <c r="F513" s="4"/>
      <c r="G513" s="2">
        <f t="shared" si="11"/>
        <v>0</v>
      </c>
      <c r="I513" s="3"/>
    </row>
    <row r="514" spans="1:9" x14ac:dyDescent="0.25">
      <c r="A514" s="2"/>
      <c r="B514" s="2"/>
      <c r="C514" s="4"/>
      <c r="D514" s="4"/>
      <c r="E514" s="4"/>
      <c r="F514" s="4"/>
      <c r="G514" s="2">
        <f t="shared" si="11"/>
        <v>0</v>
      </c>
      <c r="I514" s="3"/>
    </row>
    <row r="515" spans="1:9" x14ac:dyDescent="0.25">
      <c r="A515" s="2"/>
      <c r="B515" s="2"/>
      <c r="C515" s="4"/>
      <c r="D515" s="4"/>
      <c r="E515" s="4"/>
      <c r="F515" s="4"/>
      <c r="G515" s="2">
        <f t="shared" si="11"/>
        <v>0</v>
      </c>
      <c r="I515" s="3"/>
    </row>
    <row r="516" spans="1:9" x14ac:dyDescent="0.25">
      <c r="A516" s="2"/>
      <c r="B516" s="2"/>
      <c r="C516" s="4"/>
      <c r="D516" s="4"/>
      <c r="E516" s="4"/>
      <c r="F516" s="4"/>
      <c r="G516" s="2">
        <f t="shared" si="11"/>
        <v>0</v>
      </c>
      <c r="I516" s="3"/>
    </row>
    <row r="517" spans="1:9" x14ac:dyDescent="0.25">
      <c r="A517" s="2"/>
      <c r="B517" s="2"/>
      <c r="C517" s="4"/>
      <c r="D517" s="4"/>
      <c r="E517" s="4"/>
      <c r="F517" s="4"/>
      <c r="G517" s="2">
        <f t="shared" si="11"/>
        <v>0</v>
      </c>
      <c r="I517" s="3"/>
    </row>
    <row r="518" spans="1:9" x14ac:dyDescent="0.25">
      <c r="A518" s="2"/>
      <c r="B518" s="2"/>
      <c r="C518" s="4"/>
      <c r="D518" s="4"/>
      <c r="E518" s="4"/>
      <c r="F518" s="4"/>
      <c r="G518" s="2">
        <f t="shared" si="11"/>
        <v>0</v>
      </c>
      <c r="I518" s="3"/>
    </row>
    <row r="519" spans="1:9" x14ac:dyDescent="0.25">
      <c r="A519" s="2"/>
      <c r="B519" s="2"/>
      <c r="C519" s="4"/>
      <c r="D519" s="4"/>
      <c r="E519" s="4"/>
      <c r="F519" s="4"/>
      <c r="G519" s="2">
        <f t="shared" si="11"/>
        <v>0</v>
      </c>
      <c r="I519" s="3"/>
    </row>
    <row r="520" spans="1:9" x14ac:dyDescent="0.25">
      <c r="A520" s="2"/>
      <c r="B520" s="2"/>
      <c r="C520" s="4"/>
      <c r="D520" s="4"/>
      <c r="E520" s="4"/>
      <c r="F520" s="4"/>
      <c r="G520" s="2">
        <f t="shared" si="11"/>
        <v>0</v>
      </c>
      <c r="I520" s="3"/>
    </row>
    <row r="521" spans="1:9" x14ac:dyDescent="0.25">
      <c r="A521" s="2"/>
      <c r="B521" s="2"/>
      <c r="C521" s="4"/>
      <c r="D521" s="4"/>
      <c r="E521" s="4"/>
      <c r="F521" s="4"/>
      <c r="G521" s="2">
        <f t="shared" ref="G521:G584" si="12">A521</f>
        <v>0</v>
      </c>
      <c r="I521" s="3"/>
    </row>
    <row r="522" spans="1:9" x14ac:dyDescent="0.25">
      <c r="A522" s="2"/>
      <c r="B522" s="2"/>
      <c r="C522" s="4"/>
      <c r="D522" s="4"/>
      <c r="E522" s="4"/>
      <c r="F522" s="4"/>
      <c r="G522" s="2">
        <f t="shared" si="12"/>
        <v>0</v>
      </c>
      <c r="I522" s="3"/>
    </row>
    <row r="523" spans="1:9" x14ac:dyDescent="0.25">
      <c r="A523" s="2"/>
      <c r="B523" s="2"/>
      <c r="C523" s="4"/>
      <c r="D523" s="4"/>
      <c r="E523" s="4"/>
      <c r="F523" s="4"/>
      <c r="G523" s="2">
        <f t="shared" si="12"/>
        <v>0</v>
      </c>
      <c r="I523" s="3"/>
    </row>
    <row r="524" spans="1:9" x14ac:dyDescent="0.25">
      <c r="A524" s="2"/>
      <c r="B524" s="2"/>
      <c r="C524" s="4"/>
      <c r="D524" s="4"/>
      <c r="E524" s="4"/>
      <c r="F524" s="4"/>
      <c r="G524" s="2">
        <f t="shared" si="12"/>
        <v>0</v>
      </c>
      <c r="I524" s="3"/>
    </row>
    <row r="525" spans="1:9" x14ac:dyDescent="0.25">
      <c r="A525" s="2"/>
      <c r="B525" s="2"/>
      <c r="C525" s="4"/>
      <c r="D525" s="4"/>
      <c r="E525" s="4"/>
      <c r="F525" s="4"/>
      <c r="G525" s="2">
        <f t="shared" si="12"/>
        <v>0</v>
      </c>
      <c r="I525" s="3"/>
    </row>
    <row r="526" spans="1:9" x14ac:dyDescent="0.25">
      <c r="A526" s="2"/>
      <c r="B526" s="2"/>
      <c r="C526" s="4"/>
      <c r="D526" s="4"/>
      <c r="E526" s="4"/>
      <c r="F526" s="4"/>
      <c r="G526" s="2">
        <f t="shared" si="12"/>
        <v>0</v>
      </c>
      <c r="I526" s="3"/>
    </row>
    <row r="527" spans="1:9" x14ac:dyDescent="0.25">
      <c r="A527" s="2"/>
      <c r="B527" s="2"/>
      <c r="C527" s="4"/>
      <c r="D527" s="4"/>
      <c r="E527" s="4"/>
      <c r="F527" s="4"/>
      <c r="G527" s="2">
        <f t="shared" si="12"/>
        <v>0</v>
      </c>
      <c r="I527" s="3"/>
    </row>
    <row r="528" spans="1:9" x14ac:dyDescent="0.25">
      <c r="A528" s="2"/>
      <c r="B528" s="2"/>
      <c r="C528" s="4"/>
      <c r="D528" s="4"/>
      <c r="E528" s="4"/>
      <c r="F528" s="4"/>
      <c r="G528" s="2">
        <f t="shared" si="12"/>
        <v>0</v>
      </c>
      <c r="I528" s="3"/>
    </row>
    <row r="529" spans="1:9" x14ac:dyDescent="0.25">
      <c r="A529" s="2"/>
      <c r="B529" s="2"/>
      <c r="C529" s="4"/>
      <c r="D529" s="4"/>
      <c r="E529" s="4"/>
      <c r="F529" s="4"/>
      <c r="G529" s="2">
        <f t="shared" si="12"/>
        <v>0</v>
      </c>
      <c r="I529" s="3"/>
    </row>
    <row r="530" spans="1:9" x14ac:dyDescent="0.25">
      <c r="A530" s="2"/>
      <c r="B530" s="2"/>
      <c r="C530" s="4"/>
      <c r="D530" s="4"/>
      <c r="E530" s="4"/>
      <c r="F530" s="4"/>
      <c r="G530" s="2">
        <f t="shared" si="12"/>
        <v>0</v>
      </c>
      <c r="I530" s="3"/>
    </row>
    <row r="531" spans="1:9" x14ac:dyDescent="0.25">
      <c r="A531" s="2"/>
      <c r="B531" s="2"/>
      <c r="C531" s="4"/>
      <c r="D531" s="4"/>
      <c r="E531" s="4"/>
      <c r="F531" s="4"/>
      <c r="G531" s="2">
        <f t="shared" si="12"/>
        <v>0</v>
      </c>
      <c r="I531" s="3"/>
    </row>
    <row r="532" spans="1:9" x14ac:dyDescent="0.25">
      <c r="A532" s="2"/>
      <c r="B532" s="2"/>
      <c r="C532" s="4"/>
      <c r="D532" s="4"/>
      <c r="E532" s="4"/>
      <c r="F532" s="4"/>
      <c r="G532" s="2">
        <f t="shared" si="12"/>
        <v>0</v>
      </c>
      <c r="I532" s="3"/>
    </row>
    <row r="533" spans="1:9" x14ac:dyDescent="0.25">
      <c r="A533" s="2"/>
      <c r="B533" s="2"/>
      <c r="C533" s="4"/>
      <c r="D533" s="4"/>
      <c r="E533" s="4"/>
      <c r="F533" s="4"/>
      <c r="G533" s="2">
        <f t="shared" si="12"/>
        <v>0</v>
      </c>
      <c r="I533" s="3"/>
    </row>
    <row r="534" spans="1:9" x14ac:dyDescent="0.25">
      <c r="A534" s="2"/>
      <c r="B534" s="2"/>
      <c r="C534" s="4"/>
      <c r="D534" s="4"/>
      <c r="E534" s="4"/>
      <c r="F534" s="4"/>
      <c r="G534" s="2">
        <f t="shared" si="12"/>
        <v>0</v>
      </c>
      <c r="I534" s="3"/>
    </row>
    <row r="535" spans="1:9" x14ac:dyDescent="0.25">
      <c r="A535" s="2"/>
      <c r="B535" s="2"/>
      <c r="C535" s="4"/>
      <c r="D535" s="4"/>
      <c r="E535" s="4"/>
      <c r="F535" s="4"/>
      <c r="G535" s="2">
        <f t="shared" si="12"/>
        <v>0</v>
      </c>
      <c r="I535" s="3"/>
    </row>
    <row r="536" spans="1:9" x14ac:dyDescent="0.25">
      <c r="A536" s="2"/>
      <c r="B536" s="2"/>
      <c r="C536" s="4"/>
      <c r="D536" s="4"/>
      <c r="E536" s="4"/>
      <c r="F536" s="4"/>
      <c r="G536" s="2">
        <f t="shared" si="12"/>
        <v>0</v>
      </c>
      <c r="I536" s="3"/>
    </row>
    <row r="537" spans="1:9" x14ac:dyDescent="0.25">
      <c r="A537" s="2"/>
      <c r="B537" s="2"/>
      <c r="C537" s="4"/>
      <c r="D537" s="4"/>
      <c r="E537" s="4"/>
      <c r="F537" s="4"/>
      <c r="G537" s="2">
        <f t="shared" si="12"/>
        <v>0</v>
      </c>
      <c r="I537" s="3"/>
    </row>
    <row r="538" spans="1:9" x14ac:dyDescent="0.25">
      <c r="A538" s="2"/>
      <c r="B538" s="2"/>
      <c r="C538" s="4"/>
      <c r="D538" s="4"/>
      <c r="E538" s="4"/>
      <c r="F538" s="4"/>
      <c r="G538" s="2">
        <f t="shared" si="12"/>
        <v>0</v>
      </c>
      <c r="I538" s="3"/>
    </row>
    <row r="539" spans="1:9" x14ac:dyDescent="0.25">
      <c r="A539" s="2"/>
      <c r="B539" s="2"/>
      <c r="C539" s="4"/>
      <c r="D539" s="4"/>
      <c r="E539" s="4"/>
      <c r="F539" s="4"/>
      <c r="G539" s="2">
        <f t="shared" si="12"/>
        <v>0</v>
      </c>
      <c r="I539" s="3"/>
    </row>
    <row r="540" spans="1:9" x14ac:dyDescent="0.25">
      <c r="A540" s="2"/>
      <c r="B540" s="2"/>
      <c r="C540" s="4"/>
      <c r="D540" s="4"/>
      <c r="E540" s="4"/>
      <c r="F540" s="4"/>
      <c r="G540" s="2">
        <f t="shared" si="12"/>
        <v>0</v>
      </c>
      <c r="I540" s="3"/>
    </row>
    <row r="541" spans="1:9" x14ac:dyDescent="0.25">
      <c r="A541" s="2"/>
      <c r="B541" s="2"/>
      <c r="C541" s="4"/>
      <c r="D541" s="4"/>
      <c r="E541" s="4"/>
      <c r="F541" s="4"/>
      <c r="G541" s="2">
        <f t="shared" si="12"/>
        <v>0</v>
      </c>
      <c r="I541" s="3"/>
    </row>
    <row r="542" spans="1:9" x14ac:dyDescent="0.25">
      <c r="A542" s="2"/>
      <c r="B542" s="2"/>
      <c r="C542" s="4"/>
      <c r="D542" s="4"/>
      <c r="E542" s="4"/>
      <c r="F542" s="4"/>
      <c r="G542" s="2">
        <f t="shared" si="12"/>
        <v>0</v>
      </c>
      <c r="I542" s="3"/>
    </row>
    <row r="543" spans="1:9" x14ac:dyDescent="0.25">
      <c r="A543" s="2"/>
      <c r="B543" s="2"/>
      <c r="C543" s="4"/>
      <c r="D543" s="4"/>
      <c r="E543" s="4"/>
      <c r="F543" s="4"/>
      <c r="G543" s="2">
        <f t="shared" si="12"/>
        <v>0</v>
      </c>
      <c r="I543" s="3"/>
    </row>
    <row r="544" spans="1:9" x14ac:dyDescent="0.25">
      <c r="A544" s="2"/>
      <c r="B544" s="2"/>
      <c r="C544" s="4"/>
      <c r="D544" s="4"/>
      <c r="E544" s="4"/>
      <c r="F544" s="4"/>
      <c r="G544" s="2">
        <f t="shared" si="12"/>
        <v>0</v>
      </c>
      <c r="I544" s="3"/>
    </row>
    <row r="545" spans="1:9" x14ac:dyDescent="0.25">
      <c r="A545" s="2"/>
      <c r="B545" s="2"/>
      <c r="C545" s="4"/>
      <c r="D545" s="4"/>
      <c r="E545" s="4"/>
      <c r="F545" s="4"/>
      <c r="G545" s="2">
        <f t="shared" si="12"/>
        <v>0</v>
      </c>
      <c r="I545" s="3"/>
    </row>
    <row r="546" spans="1:9" x14ac:dyDescent="0.25">
      <c r="A546" s="2"/>
      <c r="B546" s="2"/>
      <c r="C546" s="4"/>
      <c r="D546" s="4"/>
      <c r="E546" s="4"/>
      <c r="F546" s="4"/>
      <c r="G546" s="2">
        <f t="shared" si="12"/>
        <v>0</v>
      </c>
      <c r="I546" s="3"/>
    </row>
    <row r="547" spans="1:9" x14ac:dyDescent="0.25">
      <c r="A547" s="2"/>
      <c r="B547" s="2"/>
      <c r="C547" s="4"/>
      <c r="D547" s="4"/>
      <c r="E547" s="4"/>
      <c r="F547" s="4"/>
      <c r="G547" s="2">
        <f t="shared" si="12"/>
        <v>0</v>
      </c>
      <c r="I547" s="3"/>
    </row>
    <row r="548" spans="1:9" x14ac:dyDescent="0.25">
      <c r="A548" s="2"/>
      <c r="B548" s="2"/>
      <c r="C548" s="4"/>
      <c r="D548" s="4"/>
      <c r="E548" s="4"/>
      <c r="F548" s="4"/>
      <c r="G548" s="2">
        <f t="shared" si="12"/>
        <v>0</v>
      </c>
      <c r="I548" s="3"/>
    </row>
    <row r="549" spans="1:9" x14ac:dyDescent="0.25">
      <c r="A549" s="2"/>
      <c r="B549" s="2"/>
      <c r="C549" s="4"/>
      <c r="D549" s="4"/>
      <c r="E549" s="4"/>
      <c r="F549" s="4"/>
      <c r="G549" s="2">
        <f t="shared" si="12"/>
        <v>0</v>
      </c>
      <c r="I549" s="3"/>
    </row>
    <row r="550" spans="1:9" x14ac:dyDescent="0.25">
      <c r="A550" s="2"/>
      <c r="B550" s="2"/>
      <c r="C550" s="4"/>
      <c r="D550" s="4"/>
      <c r="E550" s="4"/>
      <c r="F550" s="4"/>
      <c r="G550" s="2">
        <f t="shared" si="12"/>
        <v>0</v>
      </c>
      <c r="I550" s="3"/>
    </row>
    <row r="551" spans="1:9" x14ac:dyDescent="0.25">
      <c r="A551" s="2"/>
      <c r="B551" s="2"/>
      <c r="C551" s="4"/>
      <c r="D551" s="4"/>
      <c r="E551" s="4"/>
      <c r="F551" s="4"/>
      <c r="G551" s="2">
        <f t="shared" si="12"/>
        <v>0</v>
      </c>
      <c r="I551" s="3"/>
    </row>
    <row r="552" spans="1:9" x14ac:dyDescent="0.25">
      <c r="A552" s="2"/>
      <c r="B552" s="2"/>
      <c r="C552" s="4"/>
      <c r="D552" s="4"/>
      <c r="E552" s="4"/>
      <c r="F552" s="4"/>
      <c r="G552" s="2">
        <f t="shared" si="12"/>
        <v>0</v>
      </c>
      <c r="I552" s="3"/>
    </row>
    <row r="553" spans="1:9" x14ac:dyDescent="0.25">
      <c r="A553" s="2"/>
      <c r="B553" s="2"/>
      <c r="C553" s="4"/>
      <c r="D553" s="4"/>
      <c r="E553" s="4"/>
      <c r="F553" s="4"/>
      <c r="G553" s="2">
        <f t="shared" si="12"/>
        <v>0</v>
      </c>
      <c r="I553" s="3"/>
    </row>
    <row r="554" spans="1:9" x14ac:dyDescent="0.25">
      <c r="A554" s="2"/>
      <c r="B554" s="2"/>
      <c r="C554" s="4"/>
      <c r="D554" s="4"/>
      <c r="E554" s="4"/>
      <c r="F554" s="4"/>
      <c r="G554" s="2">
        <f t="shared" si="12"/>
        <v>0</v>
      </c>
      <c r="I554" s="3"/>
    </row>
    <row r="555" spans="1:9" x14ac:dyDescent="0.25">
      <c r="A555" s="2"/>
      <c r="B555" s="2"/>
      <c r="C555" s="4"/>
      <c r="D555" s="4"/>
      <c r="E555" s="4"/>
      <c r="F555" s="4"/>
      <c r="G555" s="2">
        <f t="shared" si="12"/>
        <v>0</v>
      </c>
      <c r="I555" s="3"/>
    </row>
    <row r="556" spans="1:9" x14ac:dyDescent="0.25">
      <c r="A556" s="2"/>
      <c r="B556" s="2"/>
      <c r="C556" s="4"/>
      <c r="D556" s="4"/>
      <c r="E556" s="4"/>
      <c r="F556" s="4"/>
      <c r="G556" s="2">
        <f t="shared" si="12"/>
        <v>0</v>
      </c>
      <c r="I556" s="3"/>
    </row>
    <row r="557" spans="1:9" x14ac:dyDescent="0.25">
      <c r="A557" s="2"/>
      <c r="B557" s="2"/>
      <c r="C557" s="4"/>
      <c r="D557" s="4"/>
      <c r="E557" s="4"/>
      <c r="F557" s="4"/>
      <c r="G557" s="2">
        <f t="shared" si="12"/>
        <v>0</v>
      </c>
      <c r="I557" s="3"/>
    </row>
    <row r="558" spans="1:9" x14ac:dyDescent="0.25">
      <c r="A558" s="2"/>
      <c r="B558" s="2"/>
      <c r="C558" s="4"/>
      <c r="D558" s="4"/>
      <c r="E558" s="4"/>
      <c r="F558" s="4"/>
      <c r="G558" s="2">
        <f t="shared" si="12"/>
        <v>0</v>
      </c>
      <c r="I558" s="3"/>
    </row>
    <row r="559" spans="1:9" x14ac:dyDescent="0.25">
      <c r="A559" s="2"/>
      <c r="B559" s="2"/>
      <c r="C559" s="4"/>
      <c r="D559" s="4"/>
      <c r="E559" s="4"/>
      <c r="F559" s="4"/>
      <c r="G559" s="2">
        <f t="shared" si="12"/>
        <v>0</v>
      </c>
      <c r="I559" s="3"/>
    </row>
    <row r="560" spans="1:9" x14ac:dyDescent="0.25">
      <c r="A560" s="2"/>
      <c r="B560" s="2"/>
      <c r="C560" s="4"/>
      <c r="D560" s="4"/>
      <c r="E560" s="4"/>
      <c r="F560" s="4"/>
      <c r="G560" s="2">
        <f t="shared" si="12"/>
        <v>0</v>
      </c>
      <c r="I560" s="3"/>
    </row>
    <row r="561" spans="1:9" x14ac:dyDescent="0.25">
      <c r="A561" s="2"/>
      <c r="B561" s="2"/>
      <c r="C561" s="4"/>
      <c r="D561" s="4"/>
      <c r="E561" s="4"/>
      <c r="F561" s="4"/>
      <c r="G561" s="2">
        <f t="shared" si="12"/>
        <v>0</v>
      </c>
      <c r="I561" s="3"/>
    </row>
    <row r="562" spans="1:9" x14ac:dyDescent="0.25">
      <c r="A562" s="2"/>
      <c r="B562" s="2"/>
      <c r="C562" s="4"/>
      <c r="D562" s="4"/>
      <c r="E562" s="4"/>
      <c r="F562" s="4"/>
      <c r="G562" s="2">
        <f t="shared" si="12"/>
        <v>0</v>
      </c>
      <c r="I562" s="3"/>
    </row>
    <row r="563" spans="1:9" x14ac:dyDescent="0.25">
      <c r="A563" s="2"/>
      <c r="B563" s="2"/>
      <c r="C563" s="4"/>
      <c r="D563" s="4"/>
      <c r="E563" s="4"/>
      <c r="F563" s="4"/>
      <c r="G563" s="2">
        <f t="shared" si="12"/>
        <v>0</v>
      </c>
      <c r="I563" s="3"/>
    </row>
    <row r="564" spans="1:9" x14ac:dyDescent="0.25">
      <c r="A564" s="2"/>
      <c r="B564" s="2"/>
      <c r="C564" s="4"/>
      <c r="D564" s="4"/>
      <c r="E564" s="4"/>
      <c r="F564" s="4"/>
      <c r="G564" s="2">
        <f t="shared" si="12"/>
        <v>0</v>
      </c>
      <c r="I564" s="3"/>
    </row>
    <row r="565" spans="1:9" x14ac:dyDescent="0.25">
      <c r="A565" s="2"/>
      <c r="B565" s="2"/>
      <c r="C565" s="4"/>
      <c r="D565" s="4"/>
      <c r="E565" s="4"/>
      <c r="F565" s="4"/>
      <c r="G565" s="2">
        <f t="shared" si="12"/>
        <v>0</v>
      </c>
      <c r="I565" s="3"/>
    </row>
    <row r="566" spans="1:9" x14ac:dyDescent="0.25">
      <c r="A566" s="2"/>
      <c r="B566" s="2"/>
      <c r="C566" s="4"/>
      <c r="D566" s="4"/>
      <c r="E566" s="4"/>
      <c r="F566" s="4"/>
      <c r="G566" s="2">
        <f t="shared" si="12"/>
        <v>0</v>
      </c>
      <c r="I566" s="3"/>
    </row>
    <row r="567" spans="1:9" x14ac:dyDescent="0.25">
      <c r="A567" s="2"/>
      <c r="B567" s="2"/>
      <c r="C567" s="4"/>
      <c r="D567" s="4"/>
      <c r="E567" s="4"/>
      <c r="F567" s="4"/>
      <c r="G567" s="2">
        <f t="shared" si="12"/>
        <v>0</v>
      </c>
      <c r="I567" s="3"/>
    </row>
    <row r="568" spans="1:9" x14ac:dyDescent="0.25">
      <c r="A568" s="2"/>
      <c r="B568" s="2"/>
      <c r="C568" s="4"/>
      <c r="D568" s="4"/>
      <c r="E568" s="4"/>
      <c r="F568" s="4"/>
      <c r="G568" s="2">
        <f t="shared" si="12"/>
        <v>0</v>
      </c>
      <c r="I568" s="3"/>
    </row>
    <row r="569" spans="1:9" x14ac:dyDescent="0.25">
      <c r="A569" s="2"/>
      <c r="B569" s="2"/>
      <c r="C569" s="4"/>
      <c r="D569" s="4"/>
      <c r="E569" s="4"/>
      <c r="F569" s="4"/>
      <c r="G569" s="2">
        <f t="shared" si="12"/>
        <v>0</v>
      </c>
      <c r="I569" s="3"/>
    </row>
    <row r="570" spans="1:9" x14ac:dyDescent="0.25">
      <c r="A570" s="2"/>
      <c r="B570" s="2"/>
      <c r="C570" s="4"/>
      <c r="D570" s="4"/>
      <c r="E570" s="4"/>
      <c r="F570" s="4"/>
      <c r="G570" s="2">
        <f t="shared" si="12"/>
        <v>0</v>
      </c>
      <c r="I570" s="3"/>
    </row>
    <row r="571" spans="1:9" x14ac:dyDescent="0.25">
      <c r="A571" s="2"/>
      <c r="B571" s="2"/>
      <c r="C571" s="4"/>
      <c r="D571" s="4"/>
      <c r="E571" s="4"/>
      <c r="F571" s="4"/>
      <c r="G571" s="2">
        <f t="shared" si="12"/>
        <v>0</v>
      </c>
      <c r="I571" s="3"/>
    </row>
    <row r="572" spans="1:9" x14ac:dyDescent="0.25">
      <c r="A572" s="2"/>
      <c r="B572" s="2"/>
      <c r="C572" s="4"/>
      <c r="D572" s="4"/>
      <c r="E572" s="4"/>
      <c r="F572" s="4"/>
      <c r="G572" s="2">
        <f t="shared" si="12"/>
        <v>0</v>
      </c>
      <c r="I572" s="3"/>
    </row>
    <row r="573" spans="1:9" x14ac:dyDescent="0.25">
      <c r="A573" s="2"/>
      <c r="B573" s="2"/>
      <c r="C573" s="4"/>
      <c r="D573" s="4"/>
      <c r="E573" s="4"/>
      <c r="F573" s="4"/>
      <c r="G573" s="2">
        <f t="shared" si="12"/>
        <v>0</v>
      </c>
      <c r="I573" s="3"/>
    </row>
    <row r="574" spans="1:9" x14ac:dyDescent="0.25">
      <c r="A574" s="2"/>
      <c r="B574" s="2"/>
      <c r="C574" s="4"/>
      <c r="D574" s="4"/>
      <c r="E574" s="4"/>
      <c r="F574" s="4"/>
      <c r="G574" s="2">
        <f t="shared" si="12"/>
        <v>0</v>
      </c>
      <c r="I574" s="3"/>
    </row>
    <row r="575" spans="1:9" x14ac:dyDescent="0.25">
      <c r="A575" s="2"/>
      <c r="B575" s="2"/>
      <c r="C575" s="4"/>
      <c r="D575" s="4"/>
      <c r="E575" s="4"/>
      <c r="F575" s="4"/>
      <c r="G575" s="2">
        <f t="shared" si="12"/>
        <v>0</v>
      </c>
      <c r="I575" s="3"/>
    </row>
    <row r="576" spans="1:9" x14ac:dyDescent="0.25">
      <c r="A576" s="2"/>
      <c r="B576" s="2"/>
      <c r="C576" s="4"/>
      <c r="D576" s="4"/>
      <c r="E576" s="4"/>
      <c r="F576" s="4"/>
      <c r="G576" s="2">
        <f t="shared" si="12"/>
        <v>0</v>
      </c>
      <c r="I576" s="3"/>
    </row>
    <row r="577" spans="1:9" x14ac:dyDescent="0.25">
      <c r="A577" s="2"/>
      <c r="B577" s="2"/>
      <c r="C577" s="4"/>
      <c r="D577" s="4"/>
      <c r="E577" s="4"/>
      <c r="F577" s="4"/>
      <c r="G577" s="2">
        <f t="shared" si="12"/>
        <v>0</v>
      </c>
      <c r="I577" s="3"/>
    </row>
    <row r="578" spans="1:9" x14ac:dyDescent="0.25">
      <c r="A578" s="2"/>
      <c r="B578" s="2"/>
      <c r="C578" s="4"/>
      <c r="D578" s="4"/>
      <c r="E578" s="4"/>
      <c r="F578" s="4"/>
      <c r="G578" s="2">
        <f t="shared" si="12"/>
        <v>0</v>
      </c>
      <c r="I578" s="3"/>
    </row>
    <row r="579" spans="1:9" x14ac:dyDescent="0.25">
      <c r="A579" s="2"/>
      <c r="B579" s="2"/>
      <c r="C579" s="4"/>
      <c r="D579" s="4"/>
      <c r="E579" s="4"/>
      <c r="F579" s="4"/>
      <c r="G579" s="2">
        <f t="shared" si="12"/>
        <v>0</v>
      </c>
      <c r="I579" s="3"/>
    </row>
    <row r="580" spans="1:9" x14ac:dyDescent="0.25">
      <c r="A580" s="2"/>
      <c r="B580" s="2"/>
      <c r="C580" s="4"/>
      <c r="D580" s="4"/>
      <c r="E580" s="4"/>
      <c r="F580" s="4"/>
      <c r="G580" s="2">
        <f t="shared" si="12"/>
        <v>0</v>
      </c>
      <c r="I580" s="3"/>
    </row>
    <row r="581" spans="1:9" x14ac:dyDescent="0.25">
      <c r="A581" s="2"/>
      <c r="B581" s="2"/>
      <c r="C581" s="4"/>
      <c r="D581" s="4"/>
      <c r="E581" s="4"/>
      <c r="F581" s="4"/>
      <c r="G581" s="2">
        <f t="shared" si="12"/>
        <v>0</v>
      </c>
      <c r="I581" s="3"/>
    </row>
    <row r="582" spans="1:9" x14ac:dyDescent="0.25">
      <c r="A582" s="2"/>
      <c r="B582" s="2"/>
      <c r="C582" s="4"/>
      <c r="D582" s="4"/>
      <c r="E582" s="4"/>
      <c r="F582" s="4"/>
      <c r="G582" s="2">
        <f t="shared" si="12"/>
        <v>0</v>
      </c>
      <c r="I582" s="3"/>
    </row>
    <row r="583" spans="1:9" x14ac:dyDescent="0.25">
      <c r="A583" s="2"/>
      <c r="B583" s="2"/>
      <c r="C583" s="4"/>
      <c r="D583" s="4"/>
      <c r="E583" s="4"/>
      <c r="F583" s="4"/>
      <c r="G583" s="2">
        <f t="shared" si="12"/>
        <v>0</v>
      </c>
      <c r="I583" s="3"/>
    </row>
    <row r="584" spans="1:9" x14ac:dyDescent="0.25">
      <c r="A584" s="2"/>
      <c r="B584" s="2"/>
      <c r="C584" s="4"/>
      <c r="D584" s="4"/>
      <c r="E584" s="4"/>
      <c r="F584" s="4"/>
      <c r="G584" s="2">
        <f t="shared" si="12"/>
        <v>0</v>
      </c>
      <c r="I584" s="3"/>
    </row>
    <row r="585" spans="1:9" x14ac:dyDescent="0.25">
      <c r="A585" s="2"/>
      <c r="B585" s="2"/>
      <c r="C585" s="4"/>
      <c r="D585" s="4"/>
      <c r="E585" s="4"/>
      <c r="F585" s="4"/>
      <c r="G585" s="2">
        <f t="shared" ref="G585:G597" si="13">A585</f>
        <v>0</v>
      </c>
      <c r="I585" s="3"/>
    </row>
    <row r="586" spans="1:9" x14ac:dyDescent="0.25">
      <c r="A586" s="2"/>
      <c r="B586" s="2"/>
      <c r="C586" s="4"/>
      <c r="D586" s="4"/>
      <c r="E586" s="4"/>
      <c r="F586" s="4"/>
      <c r="G586" s="2">
        <f t="shared" si="13"/>
        <v>0</v>
      </c>
      <c r="I586" s="3"/>
    </row>
    <row r="587" spans="1:9" x14ac:dyDescent="0.25">
      <c r="A587" s="2"/>
      <c r="B587" s="2"/>
      <c r="C587" s="4"/>
      <c r="D587" s="4"/>
      <c r="E587" s="4"/>
      <c r="F587" s="4"/>
      <c r="G587" s="2">
        <f t="shared" si="13"/>
        <v>0</v>
      </c>
      <c r="I587" s="3"/>
    </row>
    <row r="588" spans="1:9" x14ac:dyDescent="0.25">
      <c r="A588" s="2"/>
      <c r="B588" s="2"/>
      <c r="C588" s="4"/>
      <c r="D588" s="4"/>
      <c r="E588" s="4"/>
      <c r="F588" s="4"/>
      <c r="G588" s="2">
        <f t="shared" si="13"/>
        <v>0</v>
      </c>
      <c r="I588" s="3"/>
    </row>
    <row r="589" spans="1:9" x14ac:dyDescent="0.25">
      <c r="A589" s="2"/>
      <c r="B589" s="2"/>
      <c r="C589" s="4"/>
      <c r="D589" s="4"/>
      <c r="E589" s="4"/>
      <c r="F589" s="4"/>
      <c r="G589" s="2">
        <f t="shared" si="13"/>
        <v>0</v>
      </c>
      <c r="I589" s="3"/>
    </row>
    <row r="590" spans="1:9" x14ac:dyDescent="0.25">
      <c r="A590" s="2"/>
      <c r="B590" s="2"/>
      <c r="C590" s="4"/>
      <c r="D590" s="4"/>
      <c r="E590" s="4"/>
      <c r="F590" s="4"/>
      <c r="G590" s="2">
        <f t="shared" si="13"/>
        <v>0</v>
      </c>
      <c r="I590" s="3"/>
    </row>
    <row r="591" spans="1:9" x14ac:dyDescent="0.25">
      <c r="A591" s="2"/>
      <c r="B591" s="2"/>
      <c r="C591" s="4"/>
      <c r="D591" s="4"/>
      <c r="E591" s="4"/>
      <c r="F591" s="4"/>
      <c r="G591" s="2">
        <f t="shared" si="13"/>
        <v>0</v>
      </c>
      <c r="I591" s="3"/>
    </row>
    <row r="592" spans="1:9" x14ac:dyDescent="0.25">
      <c r="A592" s="2"/>
      <c r="B592" s="2"/>
      <c r="C592" s="4"/>
      <c r="D592" s="4"/>
      <c r="E592" s="4"/>
      <c r="F592" s="4"/>
      <c r="G592" s="2">
        <f t="shared" si="13"/>
        <v>0</v>
      </c>
      <c r="I592" s="3"/>
    </row>
    <row r="593" spans="1:9" x14ac:dyDescent="0.25">
      <c r="A593" s="2"/>
      <c r="B593" s="2"/>
      <c r="C593" s="4"/>
      <c r="D593" s="4"/>
      <c r="E593" s="4"/>
      <c r="F593" s="4"/>
      <c r="G593" s="2">
        <f t="shared" si="13"/>
        <v>0</v>
      </c>
      <c r="I593" s="3"/>
    </row>
    <row r="594" spans="1:9" x14ac:dyDescent="0.25">
      <c r="A594" s="2"/>
      <c r="B594" s="2"/>
      <c r="C594" s="4"/>
      <c r="D594" s="4"/>
      <c r="E594" s="4"/>
      <c r="F594" s="4"/>
      <c r="G594" s="2">
        <f t="shared" si="13"/>
        <v>0</v>
      </c>
      <c r="I594" s="3"/>
    </row>
    <row r="595" spans="1:9" x14ac:dyDescent="0.25">
      <c r="A595" s="2"/>
      <c r="B595" s="2"/>
      <c r="C595" s="4"/>
      <c r="D595" s="4"/>
      <c r="E595" s="4"/>
      <c r="F595" s="4"/>
      <c r="G595" s="2">
        <f t="shared" si="13"/>
        <v>0</v>
      </c>
      <c r="I595" s="3"/>
    </row>
    <row r="596" spans="1:9" x14ac:dyDescent="0.25">
      <c r="A596" s="2"/>
      <c r="B596" s="2"/>
      <c r="C596" s="4"/>
      <c r="D596" s="4"/>
      <c r="E596" s="4"/>
      <c r="F596" s="4"/>
      <c r="G596" s="2">
        <f t="shared" si="13"/>
        <v>0</v>
      </c>
      <c r="I596" s="3"/>
    </row>
    <row r="597" spans="1:9" x14ac:dyDescent="0.25">
      <c r="A597" s="2"/>
      <c r="B597" s="2"/>
      <c r="C597" s="4"/>
      <c r="D597" s="4"/>
      <c r="E597" s="4"/>
      <c r="F597" s="4"/>
      <c r="G597" s="2">
        <f t="shared" si="13"/>
        <v>0</v>
      </c>
      <c r="I597" s="3"/>
    </row>
    <row r="598" spans="1:9" x14ac:dyDescent="0.25">
      <c r="G598" s="2"/>
      <c r="I598" s="3"/>
    </row>
    <row r="599" spans="1:9" x14ac:dyDescent="0.25">
      <c r="A599" s="2"/>
      <c r="C599" s="1"/>
      <c r="D599" s="1"/>
      <c r="E599" s="1"/>
      <c r="F599" s="1"/>
      <c r="G599" s="2"/>
      <c r="I599" s="3"/>
    </row>
    <row r="600" spans="1:9" x14ac:dyDescent="0.25">
      <c r="G600" s="2"/>
      <c r="I600" s="3"/>
    </row>
    <row r="601" spans="1:9" x14ac:dyDescent="0.25">
      <c r="A601" s="2"/>
      <c r="C601" s="2"/>
      <c r="D601" s="2"/>
      <c r="E601" s="2"/>
      <c r="F601" s="2"/>
      <c r="G601" s="2"/>
      <c r="I601" s="3"/>
    </row>
    <row r="602" spans="1:9" x14ac:dyDescent="0.25">
      <c r="C602" s="2"/>
      <c r="D602" s="2"/>
      <c r="E602" s="2"/>
      <c r="F602" s="2"/>
      <c r="G602" s="2"/>
      <c r="I602" s="3"/>
    </row>
    <row r="603" spans="1:9" x14ac:dyDescent="0.25">
      <c r="A603" s="2"/>
      <c r="C603" s="2"/>
      <c r="D603" s="2"/>
      <c r="E603" s="2"/>
      <c r="F603" s="2"/>
      <c r="G603" s="2"/>
      <c r="I603" s="3"/>
    </row>
    <row r="604" spans="1:9" x14ac:dyDescent="0.25">
      <c r="C604" s="1"/>
      <c r="D604" s="1"/>
      <c r="E604" s="1"/>
      <c r="F604" s="1"/>
      <c r="G604" s="2"/>
      <c r="I604" s="3"/>
    </row>
    <row r="605" spans="1:9" x14ac:dyDescent="0.25">
      <c r="A605" s="2"/>
      <c r="G605" s="2"/>
      <c r="I605" s="3"/>
    </row>
    <row r="606" spans="1:9" x14ac:dyDescent="0.25">
      <c r="C606" s="2"/>
      <c r="F606" s="2"/>
      <c r="G606" s="2"/>
      <c r="I606" s="3"/>
    </row>
    <row r="607" spans="1:9" x14ac:dyDescent="0.25">
      <c r="A607" s="2"/>
      <c r="C607" s="2"/>
      <c r="D607" s="2"/>
      <c r="E607" s="2"/>
      <c r="F607" s="2"/>
      <c r="G607" s="2"/>
      <c r="I607" s="3"/>
    </row>
    <row r="608" spans="1:9" x14ac:dyDescent="0.25">
      <c r="C608" s="2"/>
      <c r="D608" s="2"/>
      <c r="E608" s="2"/>
      <c r="F608" s="2"/>
      <c r="G608" s="2"/>
      <c r="I608" s="3"/>
    </row>
    <row r="609" spans="1:9" x14ac:dyDescent="0.25">
      <c r="A609" s="2"/>
      <c r="C609" s="2"/>
      <c r="D609" s="1"/>
      <c r="E609" s="2"/>
      <c r="F609" s="1"/>
      <c r="G609" s="2"/>
      <c r="I609" s="3"/>
    </row>
    <row r="610" spans="1:9" x14ac:dyDescent="0.25">
      <c r="C610" s="1"/>
      <c r="D610" s="1"/>
      <c r="E610" s="1"/>
      <c r="F610" s="1"/>
      <c r="G610" s="2"/>
      <c r="I610" s="3"/>
    </row>
    <row r="611" spans="1:9" x14ac:dyDescent="0.25">
      <c r="A611" s="2"/>
      <c r="C611" s="1"/>
      <c r="D611" s="1"/>
      <c r="E611" s="1"/>
      <c r="F611" s="1"/>
      <c r="G611" s="2"/>
      <c r="I611" s="3"/>
    </row>
    <row r="612" spans="1:9" x14ac:dyDescent="0.25">
      <c r="C612" s="2"/>
      <c r="D612" s="2"/>
      <c r="E612" s="2"/>
      <c r="F612" s="2"/>
      <c r="G612" s="2"/>
      <c r="I612" s="3"/>
    </row>
    <row r="613" spans="1:9" x14ac:dyDescent="0.25">
      <c r="A613" s="2"/>
      <c r="C613" s="2"/>
      <c r="D613" s="2"/>
      <c r="E613" s="2"/>
      <c r="F613" s="2"/>
      <c r="G613" s="2"/>
      <c r="I613" s="3"/>
    </row>
    <row r="614" spans="1:9" x14ac:dyDescent="0.25">
      <c r="G614" s="2"/>
      <c r="I614" s="3"/>
    </row>
    <row r="615" spans="1:9" x14ac:dyDescent="0.25">
      <c r="A615" s="2"/>
      <c r="G615" s="2"/>
      <c r="I615" s="3"/>
    </row>
    <row r="616" spans="1:9" x14ac:dyDescent="0.25">
      <c r="G616" s="2"/>
      <c r="I616" s="3"/>
    </row>
    <row r="617" spans="1:9" x14ac:dyDescent="0.25">
      <c r="A617" s="2"/>
      <c r="C617" s="2"/>
      <c r="D617" s="2"/>
      <c r="E617" s="2"/>
      <c r="F617" s="2"/>
      <c r="G617" s="2"/>
      <c r="I617" s="3"/>
    </row>
    <row r="618" spans="1:9" x14ac:dyDescent="0.25">
      <c r="C618" s="2"/>
      <c r="D618" s="2"/>
      <c r="E618" s="2"/>
      <c r="F618" s="2"/>
      <c r="G618" s="2"/>
      <c r="I618" s="3"/>
    </row>
    <row r="619" spans="1:9" x14ac:dyDescent="0.25">
      <c r="A619" s="2"/>
      <c r="C619" s="2"/>
      <c r="D619" s="2"/>
      <c r="E619" s="2"/>
      <c r="F619" s="2"/>
      <c r="G619" s="2"/>
      <c r="I619" s="3"/>
    </row>
    <row r="620" spans="1:9" x14ac:dyDescent="0.25">
      <c r="C620" s="2"/>
      <c r="D620" s="2"/>
      <c r="E620" s="2"/>
      <c r="F620" s="2"/>
      <c r="G620" s="2"/>
      <c r="I620" s="3"/>
    </row>
    <row r="621" spans="1:9" x14ac:dyDescent="0.25">
      <c r="A621" s="2"/>
      <c r="C621" s="2"/>
      <c r="D621" s="2"/>
      <c r="E621" s="2"/>
      <c r="F621" s="2"/>
      <c r="G621" s="2"/>
      <c r="I621" s="3"/>
    </row>
    <row r="622" spans="1:9" x14ac:dyDescent="0.25">
      <c r="E622" s="2"/>
      <c r="F622" s="2"/>
      <c r="G622" s="2"/>
      <c r="I622" s="3"/>
    </row>
    <row r="623" spans="1:9" x14ac:dyDescent="0.25">
      <c r="A623" s="2"/>
      <c r="C623" s="2"/>
      <c r="D623" s="2"/>
      <c r="E623" s="2"/>
      <c r="F623" s="2"/>
      <c r="G623" s="2"/>
      <c r="I623" s="3"/>
    </row>
    <row r="624" spans="1:9" x14ac:dyDescent="0.25">
      <c r="G624" s="2"/>
      <c r="I624" s="3"/>
    </row>
    <row r="625" spans="1:9" x14ac:dyDescent="0.25">
      <c r="A625" s="2"/>
      <c r="C625" s="2"/>
      <c r="D625" s="2"/>
      <c r="E625" s="2"/>
      <c r="F625" s="2"/>
      <c r="G625" s="2"/>
      <c r="I625" s="3"/>
    </row>
    <row r="626" spans="1:9" x14ac:dyDescent="0.25">
      <c r="C626" s="2"/>
      <c r="D626" s="2"/>
      <c r="E626" s="2"/>
      <c r="F626" s="2"/>
      <c r="G626" s="2"/>
      <c r="I626" s="3"/>
    </row>
    <row r="627" spans="1:9" x14ac:dyDescent="0.25">
      <c r="A627" s="2"/>
      <c r="C627" s="1"/>
      <c r="D627" s="1"/>
      <c r="E627" s="1"/>
      <c r="F627" s="1"/>
      <c r="G627" s="2"/>
      <c r="I627" s="3"/>
    </row>
    <row r="628" spans="1:9" x14ac:dyDescent="0.25">
      <c r="C628" s="2"/>
      <c r="D628" s="2"/>
      <c r="E628" s="2"/>
      <c r="F628" s="2"/>
      <c r="G628" s="2"/>
      <c r="I628" s="3"/>
    </row>
    <row r="629" spans="1:9" x14ac:dyDescent="0.25">
      <c r="A629" s="2"/>
      <c r="C629" s="1"/>
      <c r="D629" s="1"/>
      <c r="E629" s="1"/>
      <c r="F629" s="1"/>
      <c r="G629" s="2"/>
      <c r="I629" s="3"/>
    </row>
    <row r="630" spans="1:9" x14ac:dyDescent="0.25">
      <c r="C630" s="2"/>
      <c r="D630" s="2"/>
      <c r="E630" s="2"/>
      <c r="F630" s="2"/>
      <c r="G630" s="2"/>
      <c r="I630" s="3"/>
    </row>
    <row r="631" spans="1:9" x14ac:dyDescent="0.25">
      <c r="A631" s="2"/>
      <c r="C631" s="1"/>
      <c r="D631" s="1"/>
      <c r="E631" s="1"/>
      <c r="F631" s="1"/>
      <c r="G631" s="2"/>
      <c r="I631" s="3"/>
    </row>
    <row r="632" spans="1:9" x14ac:dyDescent="0.25">
      <c r="C632" s="1"/>
      <c r="D632" s="1"/>
      <c r="E632" s="1"/>
      <c r="F632" s="1"/>
      <c r="G632" s="2"/>
      <c r="I632" s="3"/>
    </row>
    <row r="633" spans="1:9" x14ac:dyDescent="0.25">
      <c r="A633" s="2"/>
      <c r="C633" s="1"/>
      <c r="D633" s="1"/>
      <c r="E633" s="1"/>
      <c r="F633" s="1"/>
      <c r="G633" s="2"/>
      <c r="I633" s="3"/>
    </row>
    <row r="634" spans="1:9" x14ac:dyDescent="0.25">
      <c r="C634" s="1"/>
      <c r="D634" s="1"/>
      <c r="E634" s="1"/>
      <c r="F634" s="1"/>
      <c r="G634" s="2"/>
      <c r="I634" s="3"/>
    </row>
    <row r="635" spans="1:9" x14ac:dyDescent="0.25">
      <c r="A635" s="2"/>
      <c r="C635" s="1"/>
      <c r="D635" s="1"/>
      <c r="E635" s="1"/>
      <c r="F635" s="1"/>
      <c r="G635" s="2"/>
      <c r="I635" s="3"/>
    </row>
    <row r="636" spans="1:9" x14ac:dyDescent="0.25">
      <c r="C636" s="1"/>
      <c r="D636" s="1"/>
      <c r="E636" s="1"/>
      <c r="F636" s="1"/>
      <c r="G636" s="2"/>
      <c r="I636" s="3"/>
    </row>
    <row r="637" spans="1:9" x14ac:dyDescent="0.25">
      <c r="A637" s="2"/>
      <c r="C637" s="1"/>
      <c r="D637" s="1"/>
      <c r="E637" s="1"/>
      <c r="F637" s="1"/>
      <c r="G637" s="2"/>
      <c r="I637" s="3"/>
    </row>
    <row r="638" spans="1:9" x14ac:dyDescent="0.25">
      <c r="C638" s="2"/>
      <c r="D638" s="2"/>
      <c r="E638" s="2"/>
      <c r="F638" s="2"/>
      <c r="G638" s="2"/>
      <c r="I638" s="3"/>
    </row>
    <row r="639" spans="1:9" x14ac:dyDescent="0.25">
      <c r="A639" s="2"/>
      <c r="C639" s="2"/>
      <c r="D639" s="2"/>
      <c r="E639" s="2"/>
      <c r="F639" s="2"/>
      <c r="G639" s="2"/>
      <c r="I639" s="3"/>
    </row>
    <row r="640" spans="1:9" x14ac:dyDescent="0.25">
      <c r="C640" s="1"/>
      <c r="D640" s="1"/>
      <c r="E640" s="1"/>
      <c r="F640" s="1"/>
      <c r="G640" s="2"/>
      <c r="I640" s="3"/>
    </row>
    <row r="641" spans="1:9" x14ac:dyDescent="0.25">
      <c r="A641" s="2"/>
      <c r="C641" s="1"/>
      <c r="D641" s="1"/>
      <c r="E641" s="1"/>
      <c r="F641" s="1"/>
      <c r="G641" s="2"/>
      <c r="I641" s="3"/>
    </row>
    <row r="642" spans="1:9" x14ac:dyDescent="0.25">
      <c r="F642" s="2"/>
      <c r="G642" s="2"/>
      <c r="I642" s="3"/>
    </row>
    <row r="643" spans="1:9" x14ac:dyDescent="0.25">
      <c r="A643" s="2"/>
      <c r="C643" s="2"/>
      <c r="D643" s="2"/>
      <c r="E643" s="2"/>
      <c r="F643" s="2"/>
      <c r="G643" s="2"/>
      <c r="I643" s="3"/>
    </row>
    <row r="644" spans="1:9" x14ac:dyDescent="0.25">
      <c r="F644" s="2"/>
      <c r="G644" s="2"/>
      <c r="I644" s="3"/>
    </row>
    <row r="645" spans="1:9" x14ac:dyDescent="0.25">
      <c r="A645" s="2"/>
      <c r="G645" s="2"/>
      <c r="I645" s="3"/>
    </row>
    <row r="646" spans="1:9" x14ac:dyDescent="0.25">
      <c r="C646" s="2"/>
      <c r="D646" s="2"/>
      <c r="E646" s="2"/>
      <c r="F646" s="2"/>
      <c r="G646" s="2"/>
      <c r="I646" s="3"/>
    </row>
    <row r="647" spans="1:9" x14ac:dyDescent="0.25">
      <c r="A647" s="2"/>
      <c r="C647" s="2"/>
      <c r="D647" s="2"/>
      <c r="E647" s="2"/>
      <c r="F647" s="2"/>
      <c r="G647" s="2"/>
      <c r="I647" s="3"/>
    </row>
    <row r="648" spans="1:9" x14ac:dyDescent="0.25">
      <c r="C648" s="2"/>
      <c r="D648" s="2"/>
      <c r="E648" s="2"/>
      <c r="F648" s="2"/>
      <c r="G648" s="2"/>
      <c r="I648" s="3"/>
    </row>
    <row r="649" spans="1:9" x14ac:dyDescent="0.25">
      <c r="A649" s="2"/>
      <c r="C649" s="2"/>
      <c r="D649" s="2"/>
      <c r="E649" s="2"/>
      <c r="F649" s="1"/>
      <c r="G649" s="2"/>
      <c r="I649" s="3"/>
    </row>
    <row r="650" spans="1:9" x14ac:dyDescent="0.25">
      <c r="C650" s="2"/>
      <c r="D650" s="2"/>
      <c r="E650" s="2"/>
      <c r="F650" s="2"/>
      <c r="G650" s="2"/>
      <c r="I650" s="3"/>
    </row>
    <row r="651" spans="1:9" x14ac:dyDescent="0.25">
      <c r="A651" s="2"/>
      <c r="C651" s="1"/>
      <c r="E651" s="1"/>
      <c r="F651" s="2"/>
      <c r="G651" s="2"/>
      <c r="I651" s="3"/>
    </row>
    <row r="652" spans="1:9" x14ac:dyDescent="0.25">
      <c r="C652" s="1"/>
      <c r="E652" s="1"/>
      <c r="G652" s="2"/>
      <c r="I652" s="3"/>
    </row>
    <row r="653" spans="1:9" x14ac:dyDescent="0.25">
      <c r="A653" s="2"/>
      <c r="C653" s="2"/>
      <c r="D653" s="2"/>
      <c r="E653" s="2"/>
      <c r="F653" s="2"/>
      <c r="G653" s="2"/>
      <c r="I653" s="3"/>
    </row>
    <row r="654" spans="1:9" x14ac:dyDescent="0.25">
      <c r="C654" s="1"/>
      <c r="D654" s="2"/>
      <c r="E654" s="1"/>
      <c r="F654" s="2"/>
      <c r="G654" s="2"/>
      <c r="I654" s="3"/>
    </row>
    <row r="655" spans="1:9" x14ac:dyDescent="0.25">
      <c r="A655" s="2"/>
      <c r="C655" s="2"/>
      <c r="D655" s="1"/>
      <c r="E655" s="2"/>
      <c r="F655" s="1"/>
      <c r="G655" s="2"/>
      <c r="I655" s="3"/>
    </row>
    <row r="656" spans="1:9" x14ac:dyDescent="0.25">
      <c r="C656" s="2"/>
      <c r="D656" s="1"/>
      <c r="E656" s="2"/>
      <c r="F656" s="1"/>
      <c r="G656" s="2"/>
      <c r="I656" s="3"/>
    </row>
    <row r="657" spans="1:9" x14ac:dyDescent="0.25">
      <c r="A657" s="2"/>
      <c r="C657" s="1"/>
      <c r="D657" s="1"/>
      <c r="E657" s="1"/>
      <c r="F657" s="1"/>
      <c r="G657" s="2"/>
      <c r="I657" s="3"/>
    </row>
    <row r="658" spans="1:9" x14ac:dyDescent="0.25">
      <c r="C658" s="1"/>
      <c r="D658" s="2"/>
      <c r="E658" s="1"/>
      <c r="F658" s="2"/>
      <c r="G658" s="2"/>
      <c r="I658" s="3"/>
    </row>
    <row r="659" spans="1:9" x14ac:dyDescent="0.25">
      <c r="A659" s="2"/>
      <c r="C659" s="2"/>
      <c r="D659" s="2"/>
      <c r="E659" s="2"/>
      <c r="F659" s="2"/>
      <c r="G659" s="2"/>
      <c r="I659" s="3"/>
    </row>
    <row r="660" spans="1:9" x14ac:dyDescent="0.25">
      <c r="C660" s="1"/>
      <c r="D660" s="1"/>
      <c r="E660" s="1"/>
      <c r="F660" s="1"/>
      <c r="G660" s="2"/>
      <c r="I660" s="3"/>
    </row>
    <row r="661" spans="1:9" x14ac:dyDescent="0.25">
      <c r="A661" s="2"/>
      <c r="F661" s="2"/>
      <c r="G661" s="2"/>
      <c r="I661" s="3"/>
    </row>
    <row r="662" spans="1:9" x14ac:dyDescent="0.25">
      <c r="C662" s="2"/>
      <c r="D662" s="2"/>
      <c r="E662" s="2"/>
      <c r="F662" s="2"/>
      <c r="G662" s="2"/>
      <c r="I662" s="3"/>
    </row>
    <row r="663" spans="1:9" x14ac:dyDescent="0.25">
      <c r="A663" s="2"/>
      <c r="C663" s="2"/>
      <c r="D663" s="2"/>
      <c r="E663" s="2"/>
      <c r="F663" s="2"/>
      <c r="G663" s="2"/>
      <c r="I663" s="3"/>
    </row>
    <row r="664" spans="1:9" x14ac:dyDescent="0.25">
      <c r="C664" s="2"/>
      <c r="D664" s="2"/>
      <c r="E664" s="2"/>
      <c r="F664" s="2"/>
      <c r="G664" s="2"/>
      <c r="I664" s="3"/>
    </row>
    <row r="665" spans="1:9" x14ac:dyDescent="0.25">
      <c r="A665" s="2"/>
      <c r="C665" s="1"/>
      <c r="D665" s="1"/>
      <c r="E665" s="1"/>
      <c r="F665" s="1"/>
      <c r="G665" s="2"/>
      <c r="I665" s="3"/>
    </row>
    <row r="666" spans="1:9" x14ac:dyDescent="0.25">
      <c r="E666" s="1"/>
      <c r="F666" s="1"/>
      <c r="G666" s="2"/>
      <c r="I666" s="3"/>
    </row>
    <row r="667" spans="1:9" x14ac:dyDescent="0.25">
      <c r="A667" s="2"/>
      <c r="E667" s="1"/>
      <c r="F667" s="1"/>
      <c r="G667" s="2"/>
      <c r="I667" s="3"/>
    </row>
    <row r="668" spans="1:9" x14ac:dyDescent="0.25">
      <c r="C668" s="2"/>
      <c r="D668" s="2"/>
      <c r="E668" s="2"/>
      <c r="F668" s="2"/>
      <c r="G668" s="2"/>
      <c r="I668" s="3"/>
    </row>
    <row r="669" spans="1:9" x14ac:dyDescent="0.25">
      <c r="A669" s="2"/>
      <c r="C669" s="2"/>
      <c r="D669" s="1"/>
      <c r="E669" s="2"/>
      <c r="F669" s="1"/>
      <c r="G669" s="2"/>
      <c r="I669" s="3"/>
    </row>
    <row r="670" spans="1:9" x14ac:dyDescent="0.25">
      <c r="C670" s="2"/>
      <c r="D670" s="2"/>
      <c r="E670" s="2"/>
      <c r="F670" s="2"/>
      <c r="G670" s="2"/>
      <c r="I670" s="3"/>
    </row>
    <row r="671" spans="1:9" x14ac:dyDescent="0.25">
      <c r="A671" s="2"/>
      <c r="C671" s="2"/>
      <c r="D671" s="2"/>
      <c r="E671" s="2"/>
      <c r="F671" s="2"/>
      <c r="G671" s="2"/>
      <c r="I671" s="3"/>
    </row>
    <row r="672" spans="1:9" x14ac:dyDescent="0.25">
      <c r="C672" s="2"/>
      <c r="D672" s="2"/>
      <c r="E672" s="2"/>
      <c r="F672" s="2"/>
      <c r="G672" s="2"/>
      <c r="I672" s="3"/>
    </row>
    <row r="673" spans="1:9" x14ac:dyDescent="0.25">
      <c r="A673" s="2"/>
      <c r="C673" s="2"/>
      <c r="D673" s="2"/>
      <c r="E673" s="2"/>
      <c r="F673" s="2"/>
      <c r="G673" s="2"/>
      <c r="I673" s="3"/>
    </row>
    <row r="674" spans="1:9" x14ac:dyDescent="0.25">
      <c r="C674" s="1"/>
      <c r="D674" s="1"/>
      <c r="E674" s="1"/>
      <c r="F674" s="1"/>
      <c r="G674" s="2"/>
      <c r="I674" s="3"/>
    </row>
    <row r="675" spans="1:9" x14ac:dyDescent="0.25">
      <c r="A675" s="2"/>
      <c r="C675" s="2"/>
      <c r="D675" s="2"/>
      <c r="E675" s="2"/>
      <c r="F675" s="2"/>
      <c r="G675" s="2"/>
      <c r="I675" s="3"/>
    </row>
    <row r="676" spans="1:9" x14ac:dyDescent="0.25">
      <c r="C676" s="1"/>
      <c r="D676" s="1"/>
      <c r="E676" s="1"/>
      <c r="F676" s="1"/>
      <c r="G676" s="2"/>
      <c r="I676" s="3"/>
    </row>
    <row r="677" spans="1:9" x14ac:dyDescent="0.25">
      <c r="A677" s="2"/>
      <c r="C677" s="1"/>
      <c r="D677" s="1"/>
      <c r="E677" s="1"/>
      <c r="F677" s="1"/>
      <c r="G677" s="2"/>
      <c r="I677" s="3"/>
    </row>
    <row r="678" spans="1:9" x14ac:dyDescent="0.25">
      <c r="C678" s="2"/>
      <c r="E678" s="2"/>
      <c r="F678" s="2"/>
      <c r="G678" s="2"/>
      <c r="I678" s="3"/>
    </row>
    <row r="679" spans="1:9" x14ac:dyDescent="0.25">
      <c r="A679" s="2"/>
      <c r="C679" s="2"/>
      <c r="D679" s="2"/>
      <c r="E679" s="2"/>
      <c r="F679" s="2"/>
      <c r="G679" s="2"/>
      <c r="I679" s="3"/>
    </row>
    <row r="680" spans="1:9" x14ac:dyDescent="0.25">
      <c r="C680" s="2"/>
      <c r="D680" s="2"/>
      <c r="E680" s="2"/>
      <c r="F680" s="2"/>
      <c r="G680" s="2"/>
      <c r="I680" s="3"/>
    </row>
    <row r="681" spans="1:9" x14ac:dyDescent="0.25">
      <c r="A681" s="2"/>
      <c r="C681" s="2"/>
      <c r="D681" s="2"/>
      <c r="E681" s="2"/>
      <c r="F681" s="2"/>
      <c r="G681" s="2"/>
      <c r="I681" s="3"/>
    </row>
    <row r="682" spans="1:9" x14ac:dyDescent="0.25">
      <c r="C682" s="2"/>
      <c r="E682" s="2"/>
      <c r="G682" s="2"/>
      <c r="I682" s="3"/>
    </row>
    <row r="683" spans="1:9" x14ac:dyDescent="0.25">
      <c r="A683" s="2"/>
      <c r="C683" s="2"/>
      <c r="D683" s="2"/>
      <c r="E683" s="2"/>
      <c r="F683" s="2"/>
      <c r="G683" s="2"/>
      <c r="I683" s="3"/>
    </row>
    <row r="684" spans="1:9" x14ac:dyDescent="0.25">
      <c r="C684" s="1"/>
      <c r="D684" s="1"/>
      <c r="E684" s="1"/>
      <c r="F684" s="1"/>
      <c r="G684" s="2"/>
      <c r="I684" s="3"/>
    </row>
    <row r="685" spans="1:9" x14ac:dyDescent="0.25">
      <c r="A685" s="2"/>
      <c r="C685" s="2"/>
      <c r="D685" s="2"/>
      <c r="E685" s="2"/>
      <c r="F685" s="2"/>
      <c r="G685" s="2"/>
      <c r="I685" s="3"/>
    </row>
    <row r="686" spans="1:9" x14ac:dyDescent="0.25">
      <c r="C686" s="1"/>
      <c r="D686" s="1"/>
      <c r="E686" s="1"/>
      <c r="F686" s="1"/>
      <c r="G686" s="2"/>
      <c r="I686" s="3"/>
    </row>
    <row r="687" spans="1:9" x14ac:dyDescent="0.25">
      <c r="A687" s="2"/>
      <c r="C687" s="2"/>
      <c r="D687" s="2"/>
      <c r="E687" s="2"/>
      <c r="F687" s="2"/>
      <c r="G687" s="2"/>
      <c r="I687" s="3"/>
    </row>
    <row r="688" spans="1:9" x14ac:dyDescent="0.25">
      <c r="C688" s="1"/>
      <c r="D688" s="1"/>
      <c r="E688" s="1"/>
      <c r="F688" s="1"/>
      <c r="G688" s="2"/>
      <c r="I688" s="3"/>
    </row>
    <row r="689" spans="1:9" x14ac:dyDescent="0.25">
      <c r="A689" s="2"/>
      <c r="C689" s="2"/>
      <c r="D689" s="2"/>
      <c r="E689" s="2"/>
      <c r="F689" s="2"/>
      <c r="G689" s="2"/>
      <c r="I689" s="3"/>
    </row>
    <row r="690" spans="1:9" x14ac:dyDescent="0.25">
      <c r="C690" s="2"/>
      <c r="D690" s="2"/>
      <c r="E690" s="2"/>
      <c r="F690" s="2"/>
      <c r="G690" s="2"/>
      <c r="I690" s="3"/>
    </row>
    <row r="691" spans="1:9" x14ac:dyDescent="0.25">
      <c r="A691" s="2"/>
      <c r="C691" s="2"/>
      <c r="D691" s="2"/>
      <c r="E691" s="2"/>
      <c r="F691" s="2"/>
      <c r="G691" s="2"/>
      <c r="I691" s="3"/>
    </row>
    <row r="692" spans="1:9" x14ac:dyDescent="0.25">
      <c r="C692" s="2"/>
      <c r="D692" s="2"/>
      <c r="E692" s="2"/>
      <c r="F692" s="1"/>
      <c r="G692" s="2"/>
      <c r="I692" s="3"/>
    </row>
    <row r="693" spans="1:9" x14ac:dyDescent="0.25">
      <c r="A693" s="2"/>
      <c r="C693" s="2"/>
      <c r="E693" s="2"/>
      <c r="G693" s="2"/>
      <c r="I693" s="3"/>
    </row>
    <row r="694" spans="1:9" x14ac:dyDescent="0.25">
      <c r="C694" s="2"/>
      <c r="D694" s="2"/>
      <c r="E694" s="2"/>
      <c r="F694" s="2"/>
      <c r="G694" s="2"/>
      <c r="I694" s="3"/>
    </row>
    <row r="695" spans="1:9" x14ac:dyDescent="0.25">
      <c r="A695" s="2"/>
      <c r="C695" s="2"/>
      <c r="D695" s="2"/>
      <c r="E695" s="2"/>
      <c r="F695" s="2"/>
      <c r="G695" s="2"/>
      <c r="I695" s="3"/>
    </row>
    <row r="696" spans="1:9" x14ac:dyDescent="0.25">
      <c r="C696" s="1"/>
      <c r="D696" s="1"/>
      <c r="E696" s="1"/>
      <c r="F696" s="1"/>
      <c r="G696" s="2"/>
      <c r="I696" s="3"/>
    </row>
    <row r="697" spans="1:9" x14ac:dyDescent="0.25">
      <c r="A697" s="2"/>
      <c r="C697" s="1"/>
      <c r="D697" s="1"/>
      <c r="E697" s="1"/>
      <c r="F697" s="1"/>
      <c r="G697" s="2"/>
      <c r="I697" s="3"/>
    </row>
    <row r="698" spans="1:9" x14ac:dyDescent="0.25">
      <c r="C698" s="2"/>
      <c r="D698" s="2"/>
      <c r="E698" s="2"/>
      <c r="F698" s="1"/>
      <c r="G698" s="2"/>
      <c r="I698" s="3"/>
    </row>
    <row r="699" spans="1:9" x14ac:dyDescent="0.25">
      <c r="A699" s="2"/>
      <c r="C699" s="2"/>
      <c r="D699" s="2"/>
      <c r="E699" s="2"/>
      <c r="F699" s="2"/>
      <c r="G699" s="2"/>
      <c r="I699" s="3"/>
    </row>
    <row r="700" spans="1:9" x14ac:dyDescent="0.25">
      <c r="C700" s="2"/>
      <c r="D700" s="2"/>
      <c r="E700" s="2"/>
      <c r="F700" s="1"/>
      <c r="G700" s="2"/>
      <c r="I700" s="3"/>
    </row>
    <row r="701" spans="1:9" x14ac:dyDescent="0.25">
      <c r="A701" s="2"/>
      <c r="C701" s="1"/>
      <c r="D701" s="1"/>
      <c r="E701" s="1"/>
      <c r="F701" s="1"/>
      <c r="G701" s="2"/>
      <c r="I701" s="3"/>
    </row>
    <row r="702" spans="1:9" x14ac:dyDescent="0.25">
      <c r="C702" s="2"/>
      <c r="D702" s="2"/>
      <c r="E702" s="2"/>
      <c r="F702" s="1"/>
      <c r="G702" s="2"/>
      <c r="I702" s="3"/>
    </row>
    <row r="703" spans="1:9" x14ac:dyDescent="0.25">
      <c r="A703" s="2"/>
      <c r="C703" s="2"/>
      <c r="D703" s="2"/>
      <c r="E703" s="2"/>
      <c r="F703" s="1"/>
      <c r="G703" s="2"/>
      <c r="I703" s="3"/>
    </row>
    <row r="704" spans="1:9" x14ac:dyDescent="0.25">
      <c r="C704" s="1"/>
      <c r="D704" s="1"/>
      <c r="E704" s="1"/>
      <c r="F704" s="1"/>
      <c r="G704" s="2"/>
      <c r="I704" s="3"/>
    </row>
    <row r="705" spans="1:9" x14ac:dyDescent="0.25">
      <c r="A705" s="2"/>
      <c r="C705" s="2"/>
      <c r="D705" s="2"/>
      <c r="E705" s="2"/>
      <c r="F705" s="2"/>
      <c r="G705" s="2"/>
      <c r="I705" s="3"/>
    </row>
    <row r="706" spans="1:9" x14ac:dyDescent="0.25">
      <c r="C706" s="2"/>
      <c r="D706" s="2"/>
      <c r="E706" s="2"/>
      <c r="F706" s="2"/>
      <c r="G706" s="2"/>
      <c r="I706" s="3"/>
    </row>
    <row r="707" spans="1:9" x14ac:dyDescent="0.25">
      <c r="A707" s="2"/>
      <c r="D707" s="2"/>
      <c r="F707" s="2"/>
      <c r="G707" s="2"/>
      <c r="I707" s="3"/>
    </row>
    <row r="708" spans="1:9" x14ac:dyDescent="0.25">
      <c r="C708" s="2"/>
      <c r="D708" s="2"/>
      <c r="F708" s="1"/>
      <c r="G708" s="2"/>
      <c r="I708" s="3"/>
    </row>
    <row r="709" spans="1:9" x14ac:dyDescent="0.25">
      <c r="A709" s="2"/>
      <c r="C709" s="2"/>
      <c r="D709" s="2"/>
      <c r="E709" s="2"/>
      <c r="F709" s="1"/>
      <c r="G709" s="2"/>
      <c r="I709" s="3"/>
    </row>
    <row r="710" spans="1:9" x14ac:dyDescent="0.25">
      <c r="C710" s="2"/>
      <c r="D710" s="2"/>
      <c r="E710" s="2"/>
      <c r="F710" s="2"/>
      <c r="G710" s="2"/>
      <c r="I710" s="3"/>
    </row>
    <row r="711" spans="1:9" x14ac:dyDescent="0.25">
      <c r="A711" s="2"/>
      <c r="C711" s="1"/>
      <c r="D711" s="1"/>
      <c r="E711" s="1"/>
      <c r="F711" s="1"/>
      <c r="G711" s="2"/>
      <c r="I711" s="3"/>
    </row>
    <row r="712" spans="1:9" x14ac:dyDescent="0.25">
      <c r="C712" s="1"/>
      <c r="D712" s="1"/>
      <c r="E712" s="1"/>
      <c r="F712" s="1"/>
      <c r="G712" s="2"/>
      <c r="I712" s="3"/>
    </row>
    <row r="713" spans="1:9" x14ac:dyDescent="0.25">
      <c r="A713" s="2"/>
      <c r="C713" s="1"/>
      <c r="D713" s="1"/>
      <c r="E713" s="1"/>
      <c r="F713" s="1"/>
      <c r="G713" s="2"/>
      <c r="I713" s="3"/>
    </row>
    <row r="714" spans="1:9" x14ac:dyDescent="0.25">
      <c r="C714" s="2"/>
      <c r="D714" s="2"/>
      <c r="E714" s="2"/>
      <c r="F714" s="2"/>
      <c r="G714" s="2"/>
      <c r="I714" s="3"/>
    </row>
    <row r="715" spans="1:9" x14ac:dyDescent="0.25">
      <c r="A715" s="2"/>
      <c r="C715" s="1"/>
      <c r="D715" s="1"/>
      <c r="E715" s="1"/>
      <c r="F715" s="1"/>
      <c r="G715" s="2"/>
      <c r="I715" s="3"/>
    </row>
    <row r="716" spans="1:9" x14ac:dyDescent="0.25">
      <c r="C716" s="2"/>
      <c r="D716" s="2"/>
      <c r="E716" s="2"/>
      <c r="F716" s="2"/>
      <c r="G716" s="2"/>
      <c r="I716" s="3"/>
    </row>
    <row r="717" spans="1:9" x14ac:dyDescent="0.25">
      <c r="A717" s="2"/>
      <c r="G717" s="2"/>
      <c r="I717" s="3"/>
    </row>
    <row r="718" spans="1:9" x14ac:dyDescent="0.25">
      <c r="G718" s="2"/>
      <c r="I718" s="3"/>
    </row>
    <row r="719" spans="1:9" x14ac:dyDescent="0.25">
      <c r="A719" s="2"/>
      <c r="C719" s="1"/>
      <c r="D719" s="1"/>
      <c r="E719" s="1"/>
      <c r="F719" s="1"/>
      <c r="G719" s="2"/>
      <c r="I719" s="3"/>
    </row>
    <row r="720" spans="1:9" x14ac:dyDescent="0.25">
      <c r="C720" s="2"/>
      <c r="D720" s="2"/>
      <c r="E720" s="2"/>
      <c r="F720" s="1"/>
      <c r="G720" s="2"/>
      <c r="I720" s="3"/>
    </row>
    <row r="721" spans="1:9" x14ac:dyDescent="0.25">
      <c r="A721" s="2"/>
      <c r="C721" s="2"/>
      <c r="D721" s="2"/>
      <c r="E721" s="2"/>
      <c r="F721" s="2"/>
      <c r="G721" s="2"/>
      <c r="I721" s="3"/>
    </row>
    <row r="722" spans="1:9" x14ac:dyDescent="0.25">
      <c r="C722" s="2"/>
      <c r="D722" s="2"/>
      <c r="E722" s="2"/>
      <c r="F722" s="2"/>
      <c r="G722" s="2"/>
      <c r="I722" s="3"/>
    </row>
    <row r="723" spans="1:9" x14ac:dyDescent="0.25">
      <c r="A723" s="2"/>
      <c r="C723" s="1"/>
      <c r="D723" s="1"/>
      <c r="E723" s="1"/>
      <c r="F723" s="1"/>
      <c r="G723" s="2"/>
      <c r="I723" s="3"/>
    </row>
    <row r="724" spans="1:9" x14ac:dyDescent="0.25">
      <c r="C724" s="2"/>
      <c r="F724" s="1"/>
      <c r="G724" s="2"/>
      <c r="I724" s="3"/>
    </row>
    <row r="725" spans="1:9" x14ac:dyDescent="0.25">
      <c r="A725" s="2"/>
      <c r="F725" s="2"/>
      <c r="G725" s="2"/>
      <c r="I725" s="3"/>
    </row>
    <row r="726" spans="1:9" x14ac:dyDescent="0.25">
      <c r="C726" s="2"/>
      <c r="D726" s="2"/>
      <c r="E726" s="2"/>
      <c r="F726" s="2"/>
      <c r="G726" s="2"/>
      <c r="I726" s="3"/>
    </row>
    <row r="727" spans="1:9" x14ac:dyDescent="0.25">
      <c r="A727" s="2"/>
      <c r="C727" s="2"/>
      <c r="D727" s="2"/>
      <c r="E727" s="2"/>
      <c r="F727" s="2"/>
      <c r="G727" s="2"/>
      <c r="I727" s="3"/>
    </row>
    <row r="728" spans="1:9" x14ac:dyDescent="0.25">
      <c r="C728" s="2"/>
      <c r="D728" s="2"/>
      <c r="E728" s="2"/>
      <c r="F728" s="2"/>
      <c r="G728" s="2"/>
      <c r="I728" s="3"/>
    </row>
    <row r="729" spans="1:9" x14ac:dyDescent="0.25">
      <c r="A729" s="2"/>
      <c r="C729" s="2"/>
      <c r="D729" s="2"/>
      <c r="E729" s="1"/>
      <c r="F729" s="1"/>
      <c r="G729" s="2"/>
      <c r="I729" s="3"/>
    </row>
    <row r="730" spans="1:9" x14ac:dyDescent="0.25">
      <c r="C730" s="2"/>
      <c r="D730" s="2"/>
      <c r="E730" s="2"/>
      <c r="F730" s="2"/>
      <c r="G730" s="2"/>
      <c r="I730" s="3"/>
    </row>
    <row r="731" spans="1:9" x14ac:dyDescent="0.25">
      <c r="A731" s="2"/>
      <c r="D731" s="2"/>
      <c r="E731" s="2"/>
      <c r="F731" s="2"/>
      <c r="G731" s="2"/>
      <c r="I731" s="3"/>
    </row>
    <row r="732" spans="1:9" x14ac:dyDescent="0.25">
      <c r="C732" s="2"/>
      <c r="D732" s="2"/>
      <c r="E732" s="2"/>
      <c r="F732" s="2"/>
      <c r="G732" s="2"/>
      <c r="I732" s="3"/>
    </row>
    <row r="733" spans="1:9" x14ac:dyDescent="0.25">
      <c r="A733" s="2"/>
      <c r="C733" s="1"/>
      <c r="D733" s="1"/>
      <c r="E733" s="1"/>
      <c r="F733" s="1"/>
      <c r="G733" s="2"/>
      <c r="I733" s="3"/>
    </row>
    <row r="734" spans="1:9" x14ac:dyDescent="0.25">
      <c r="C734" s="2"/>
      <c r="D734" s="2"/>
      <c r="E734" s="2"/>
      <c r="F734" s="2"/>
      <c r="G734" s="2"/>
      <c r="I734" s="3"/>
    </row>
    <row r="735" spans="1:9" x14ac:dyDescent="0.25">
      <c r="A735" s="2"/>
      <c r="C735" s="2"/>
      <c r="D735" s="2"/>
      <c r="E735" s="2"/>
      <c r="F735" s="2"/>
      <c r="G735" s="2"/>
      <c r="I735" s="3"/>
    </row>
    <row r="736" spans="1:9" x14ac:dyDescent="0.25">
      <c r="D736" s="2"/>
      <c r="F736" s="2"/>
      <c r="G736" s="2"/>
      <c r="I736" s="3"/>
    </row>
    <row r="737" spans="1:9" x14ac:dyDescent="0.25">
      <c r="A737" s="2"/>
      <c r="C737" s="2"/>
      <c r="D737" s="2"/>
      <c r="E737" s="2"/>
      <c r="F737" s="2"/>
      <c r="G737" s="2"/>
      <c r="I737" s="3"/>
    </row>
    <row r="738" spans="1:9" x14ac:dyDescent="0.25">
      <c r="C738" s="2"/>
      <c r="D738" s="2"/>
      <c r="E738" s="2"/>
      <c r="F738" s="2"/>
      <c r="G738" s="2"/>
      <c r="I738" s="3"/>
    </row>
    <row r="739" spans="1:9" x14ac:dyDescent="0.25">
      <c r="A739" s="2"/>
      <c r="C739" s="2"/>
      <c r="D739" s="2"/>
      <c r="E739" s="2"/>
      <c r="F739" s="2"/>
      <c r="G739" s="2"/>
      <c r="I739" s="3"/>
    </row>
    <row r="740" spans="1:9" x14ac:dyDescent="0.25">
      <c r="C740" s="2"/>
      <c r="D740" s="2"/>
      <c r="E740" s="2"/>
      <c r="F740" s="2"/>
      <c r="G740" s="2"/>
      <c r="I740" s="3"/>
    </row>
    <row r="741" spans="1:9" x14ac:dyDescent="0.25">
      <c r="A741" s="2"/>
      <c r="C741" s="1"/>
      <c r="D741" s="1"/>
      <c r="E741" s="1"/>
      <c r="F741" s="1"/>
      <c r="G741" s="2"/>
      <c r="I741" s="3"/>
    </row>
    <row r="742" spans="1:9" x14ac:dyDescent="0.25">
      <c r="C742" s="1"/>
      <c r="D742" s="1"/>
      <c r="E742" s="1"/>
      <c r="F742" s="1"/>
      <c r="G742" s="2"/>
      <c r="I742" s="3"/>
    </row>
    <row r="743" spans="1:9" x14ac:dyDescent="0.25">
      <c r="A743" s="2"/>
      <c r="C743" s="2"/>
      <c r="D743" s="2"/>
      <c r="E743" s="2"/>
      <c r="F743" s="2"/>
      <c r="G743" s="2"/>
      <c r="I743" s="3"/>
    </row>
    <row r="744" spans="1:9" x14ac:dyDescent="0.25">
      <c r="C744" s="1"/>
      <c r="D744" s="1"/>
      <c r="E744" s="1"/>
      <c r="F744" s="1"/>
      <c r="G744" s="2"/>
      <c r="I744" s="3"/>
    </row>
    <row r="745" spans="1:9" x14ac:dyDescent="0.25">
      <c r="A745" s="2"/>
      <c r="C745" s="1"/>
      <c r="D745" s="1"/>
      <c r="E745" s="1"/>
      <c r="F745" s="1"/>
      <c r="G745" s="2"/>
      <c r="I745" s="3"/>
    </row>
    <row r="746" spans="1:9" x14ac:dyDescent="0.25">
      <c r="C746" s="2"/>
      <c r="D746" s="2"/>
      <c r="E746" s="2"/>
      <c r="F746" s="2"/>
      <c r="G746" s="2"/>
      <c r="I746" s="3"/>
    </row>
    <row r="747" spans="1:9" x14ac:dyDescent="0.25">
      <c r="A747" s="2"/>
      <c r="C747" s="2"/>
      <c r="D747" s="2"/>
      <c r="E747" s="2"/>
      <c r="F747" s="2"/>
      <c r="G747" s="2"/>
      <c r="I747" s="3"/>
    </row>
    <row r="748" spans="1:9" x14ac:dyDescent="0.25">
      <c r="C748" s="1"/>
      <c r="D748" s="1"/>
      <c r="E748" s="1"/>
      <c r="F748" s="1"/>
      <c r="G748" s="2"/>
      <c r="I748" s="3"/>
    </row>
    <row r="749" spans="1:9" x14ac:dyDescent="0.25">
      <c r="A749" s="2"/>
      <c r="C749" s="2"/>
      <c r="D749" s="2"/>
      <c r="E749" s="2"/>
      <c r="F749" s="2"/>
      <c r="G749" s="2"/>
      <c r="I749" s="3"/>
    </row>
    <row r="750" spans="1:9" x14ac:dyDescent="0.25">
      <c r="C750" s="2"/>
      <c r="D750" s="2"/>
      <c r="E750" s="2"/>
      <c r="F750" s="2"/>
      <c r="G750" s="2"/>
      <c r="I750" s="3"/>
    </row>
    <row r="751" spans="1:9" x14ac:dyDescent="0.25">
      <c r="A751" s="2"/>
      <c r="C751" s="1"/>
      <c r="D751" s="2"/>
      <c r="E751" s="2"/>
      <c r="F751" s="1"/>
      <c r="G751" s="2"/>
      <c r="I751" s="3"/>
    </row>
    <row r="752" spans="1:9" x14ac:dyDescent="0.25">
      <c r="C752" s="2"/>
      <c r="D752" s="2"/>
      <c r="E752" s="2"/>
      <c r="F752" s="2"/>
      <c r="G752" s="2"/>
      <c r="I752" s="3"/>
    </row>
    <row r="753" spans="1:9" x14ac:dyDescent="0.25">
      <c r="A753" s="2"/>
      <c r="C753" s="1"/>
      <c r="D753" s="1"/>
      <c r="E753" s="1"/>
      <c r="F753" s="1"/>
      <c r="G753" s="2"/>
      <c r="I753" s="3"/>
    </row>
    <row r="754" spans="1:9" x14ac:dyDescent="0.25">
      <c r="C754" s="1"/>
      <c r="D754" s="2"/>
      <c r="E754" s="2"/>
      <c r="F754" s="2"/>
      <c r="G754" s="2"/>
      <c r="I754" s="3"/>
    </row>
    <row r="755" spans="1:9" x14ac:dyDescent="0.25">
      <c r="A755" s="2"/>
      <c r="C755" s="1"/>
      <c r="D755" s="1"/>
      <c r="E755" s="1"/>
      <c r="F755" s="1"/>
      <c r="G755" s="2"/>
      <c r="I755" s="3"/>
    </row>
    <row r="756" spans="1:9" x14ac:dyDescent="0.25">
      <c r="C756" s="2"/>
      <c r="D756" s="2"/>
      <c r="E756" s="2"/>
      <c r="F756" s="2"/>
      <c r="G756" s="2"/>
      <c r="I756" s="3"/>
    </row>
    <row r="757" spans="1:9" x14ac:dyDescent="0.25">
      <c r="A757" s="2"/>
      <c r="C757" s="2"/>
      <c r="D757" s="2"/>
      <c r="E757" s="1"/>
      <c r="F757" s="1"/>
      <c r="G757" s="2"/>
      <c r="I757" s="3"/>
    </row>
    <row r="758" spans="1:9" x14ac:dyDescent="0.25">
      <c r="C758" s="2"/>
      <c r="D758" s="2"/>
      <c r="E758" s="2"/>
      <c r="F758" s="2"/>
      <c r="G758" s="2"/>
      <c r="I758" s="3"/>
    </row>
    <row r="759" spans="1:9" x14ac:dyDescent="0.25">
      <c r="A759" s="2"/>
      <c r="C759" s="1"/>
      <c r="D759" s="1"/>
      <c r="E759" s="1"/>
      <c r="F759" s="1"/>
      <c r="G759" s="2"/>
      <c r="I759" s="3"/>
    </row>
    <row r="760" spans="1:9" x14ac:dyDescent="0.25">
      <c r="G760" s="2"/>
      <c r="I760" s="3"/>
    </row>
    <row r="761" spans="1:9" x14ac:dyDescent="0.25">
      <c r="A761" s="2"/>
      <c r="C761" s="1"/>
      <c r="D761" s="1"/>
      <c r="E761" s="1"/>
      <c r="F761" s="1"/>
      <c r="G761" s="2"/>
      <c r="I761" s="3"/>
    </row>
    <row r="762" spans="1:9" x14ac:dyDescent="0.25">
      <c r="C762" s="1"/>
      <c r="D762" s="1"/>
      <c r="E762" s="1"/>
      <c r="F762" s="1"/>
      <c r="G762" s="2"/>
      <c r="I762" s="3"/>
    </row>
    <row r="763" spans="1:9" x14ac:dyDescent="0.25">
      <c r="A763" s="2"/>
      <c r="C763" s="1"/>
      <c r="D763" s="1"/>
      <c r="E763" s="1"/>
      <c r="F763" s="1"/>
      <c r="G763" s="2"/>
      <c r="I763" s="3"/>
    </row>
    <row r="764" spans="1:9" x14ac:dyDescent="0.25">
      <c r="C764" s="1"/>
      <c r="D764" s="1"/>
      <c r="E764" s="1"/>
      <c r="F764" s="1"/>
      <c r="G764" s="2"/>
      <c r="I764" s="3"/>
    </row>
    <row r="765" spans="1:9" x14ac:dyDescent="0.25">
      <c r="A765" s="2"/>
      <c r="C765" s="2"/>
      <c r="D765" s="2"/>
      <c r="E765" s="2"/>
      <c r="F765" s="2"/>
      <c r="G765" s="2"/>
      <c r="I765" s="3"/>
    </row>
    <row r="766" spans="1:9" x14ac:dyDescent="0.25">
      <c r="C766" s="2"/>
      <c r="D766" s="2"/>
      <c r="E766" s="2"/>
      <c r="F766" s="2"/>
      <c r="G766" s="2"/>
      <c r="I766" s="3"/>
    </row>
    <row r="767" spans="1:9" x14ac:dyDescent="0.25">
      <c r="A767" s="2"/>
      <c r="C767" s="1"/>
      <c r="D767" s="1"/>
      <c r="E767" s="1"/>
      <c r="F767" s="1"/>
      <c r="G767" s="2"/>
      <c r="I767" s="3"/>
    </row>
    <row r="768" spans="1:9" x14ac:dyDescent="0.25">
      <c r="C768" s="1"/>
      <c r="D768" s="1"/>
      <c r="E768" s="1"/>
      <c r="F768" s="1"/>
      <c r="G768" s="2"/>
      <c r="I768" s="3"/>
    </row>
    <row r="769" spans="1:9" x14ac:dyDescent="0.25">
      <c r="A769" s="2"/>
      <c r="C769" s="2"/>
      <c r="D769" s="2"/>
      <c r="E769" s="2"/>
      <c r="F769" s="2"/>
      <c r="G769" s="2"/>
      <c r="I769" s="3"/>
    </row>
    <row r="770" spans="1:9" x14ac:dyDescent="0.25">
      <c r="C770" s="2"/>
      <c r="D770" s="2"/>
      <c r="E770" s="2"/>
      <c r="F770" s="2"/>
      <c r="G770" s="2"/>
      <c r="I770" s="3"/>
    </row>
    <row r="771" spans="1:9" x14ac:dyDescent="0.25">
      <c r="A771" s="2"/>
      <c r="C771" s="2"/>
      <c r="D771" s="2"/>
      <c r="E771" s="2"/>
      <c r="F771" s="2"/>
      <c r="G771" s="2"/>
      <c r="I771" s="3"/>
    </row>
    <row r="772" spans="1:9" x14ac:dyDescent="0.25">
      <c r="C772" s="2"/>
      <c r="D772" s="2"/>
      <c r="E772" s="2"/>
      <c r="F772" s="2"/>
      <c r="G772" s="2"/>
      <c r="I772" s="3"/>
    </row>
    <row r="773" spans="1:9" x14ac:dyDescent="0.25">
      <c r="A773" s="2"/>
      <c r="C773" s="1"/>
      <c r="D773" s="1"/>
      <c r="E773" s="1"/>
      <c r="F773" s="1"/>
      <c r="G773" s="2"/>
      <c r="I773" s="3"/>
    </row>
    <row r="774" spans="1:9" x14ac:dyDescent="0.25">
      <c r="C774" s="1"/>
      <c r="D774" s="1"/>
      <c r="E774" s="1"/>
      <c r="F774" s="1"/>
      <c r="G774" s="2"/>
      <c r="I774" s="3"/>
    </row>
    <row r="775" spans="1:9" x14ac:dyDescent="0.25">
      <c r="A775" s="2"/>
      <c r="G775" s="2"/>
      <c r="I775" s="3"/>
    </row>
    <row r="776" spans="1:9" x14ac:dyDescent="0.25">
      <c r="C776" s="2"/>
      <c r="D776" s="2"/>
      <c r="E776" s="2"/>
      <c r="F776" s="2"/>
      <c r="G776" s="2"/>
      <c r="I776" s="3"/>
    </row>
    <row r="777" spans="1:9" x14ac:dyDescent="0.25">
      <c r="A777" s="2"/>
      <c r="C777" s="2"/>
      <c r="D777" s="2"/>
      <c r="E777" s="2"/>
      <c r="F777" s="2"/>
      <c r="G777" s="2"/>
      <c r="I777" s="3"/>
    </row>
    <row r="778" spans="1:9" x14ac:dyDescent="0.25">
      <c r="C778" s="1"/>
      <c r="D778" s="1"/>
      <c r="E778" s="1"/>
      <c r="F778" s="1"/>
      <c r="G778" s="2"/>
      <c r="I778" s="3"/>
    </row>
    <row r="779" spans="1:9" x14ac:dyDescent="0.25">
      <c r="A779" s="2"/>
      <c r="G779" s="2"/>
      <c r="I779" s="3"/>
    </row>
    <row r="780" spans="1:9" x14ac:dyDescent="0.25">
      <c r="C780" s="1"/>
      <c r="D780" s="1"/>
      <c r="F780" s="1"/>
      <c r="G780" s="2"/>
      <c r="I780" s="3"/>
    </row>
    <row r="781" spans="1:9" x14ac:dyDescent="0.25">
      <c r="A781" s="2"/>
      <c r="C781" s="2"/>
      <c r="D781" s="2"/>
      <c r="E781" s="2"/>
      <c r="F781" s="2"/>
      <c r="G781" s="2"/>
      <c r="I781" s="3"/>
    </row>
    <row r="782" spans="1:9" x14ac:dyDescent="0.25">
      <c r="C782" s="1"/>
      <c r="D782" s="1"/>
      <c r="E782" s="1"/>
      <c r="F782" s="1"/>
      <c r="G782" s="2"/>
      <c r="I782" s="3"/>
    </row>
    <row r="783" spans="1:9" x14ac:dyDescent="0.25">
      <c r="A783" s="2"/>
      <c r="C783" s="1"/>
      <c r="D783" s="1"/>
      <c r="E783" s="1"/>
      <c r="F783" s="1"/>
      <c r="G783" s="2"/>
      <c r="I783" s="3"/>
    </row>
    <row r="784" spans="1:9" x14ac:dyDescent="0.25">
      <c r="C784" s="2"/>
      <c r="D784" s="2"/>
      <c r="E784" s="2"/>
      <c r="F784" s="2"/>
      <c r="G784" s="2"/>
      <c r="I784" s="3"/>
    </row>
    <row r="785" spans="1:9" x14ac:dyDescent="0.25">
      <c r="A785" s="2"/>
      <c r="C785" s="1"/>
      <c r="D785" s="1"/>
      <c r="E785" s="1"/>
      <c r="F785" s="1"/>
      <c r="G785" s="2"/>
      <c r="I785" s="3"/>
    </row>
    <row r="786" spans="1:9" x14ac:dyDescent="0.25">
      <c r="C786" s="2"/>
      <c r="D786" s="2"/>
      <c r="E786" s="2"/>
      <c r="F786" s="2"/>
      <c r="G786" s="2"/>
      <c r="I786" s="3"/>
    </row>
    <row r="787" spans="1:9" x14ac:dyDescent="0.25">
      <c r="A787" s="2"/>
      <c r="F787" s="2"/>
      <c r="G787" s="2"/>
      <c r="I787" s="3"/>
    </row>
    <row r="788" spans="1:9" x14ac:dyDescent="0.25">
      <c r="E788" s="2"/>
      <c r="F788" s="2"/>
      <c r="G788" s="2"/>
      <c r="I788" s="3"/>
    </row>
    <row r="789" spans="1:9" x14ac:dyDescent="0.25">
      <c r="A789" s="2"/>
      <c r="C789" s="2"/>
      <c r="D789" s="2"/>
      <c r="E789" s="2"/>
      <c r="F789" s="2"/>
      <c r="G789" s="2"/>
      <c r="I789" s="3"/>
    </row>
    <row r="790" spans="1:9" x14ac:dyDescent="0.25">
      <c r="C790" s="2"/>
      <c r="D790" s="2"/>
      <c r="E790" s="2"/>
      <c r="F790" s="2"/>
      <c r="G790" s="2"/>
      <c r="I790" s="3"/>
    </row>
    <row r="791" spans="1:9" x14ac:dyDescent="0.25">
      <c r="A791" s="2"/>
      <c r="C791" s="2"/>
      <c r="D791" s="2"/>
      <c r="E791" s="2"/>
      <c r="F791" s="2"/>
      <c r="G791" s="2"/>
      <c r="I791" s="3"/>
    </row>
    <row r="792" spans="1:9" x14ac:dyDescent="0.25">
      <c r="E792" s="2"/>
      <c r="F792" s="1"/>
      <c r="G792" s="2"/>
      <c r="I792" s="3"/>
    </row>
    <row r="793" spans="1:9" x14ac:dyDescent="0.25">
      <c r="A793" s="2"/>
      <c r="F793" s="2"/>
      <c r="G793" s="2"/>
      <c r="I793" s="3"/>
    </row>
    <row r="794" spans="1:9" x14ac:dyDescent="0.25">
      <c r="C794" s="2"/>
      <c r="D794" s="2"/>
      <c r="E794" s="2"/>
      <c r="F794" s="1"/>
      <c r="G794" s="2"/>
      <c r="I794" s="3"/>
    </row>
    <row r="795" spans="1:9" x14ac:dyDescent="0.25">
      <c r="A795" s="2"/>
      <c r="C795" s="2"/>
      <c r="D795" s="2"/>
      <c r="E795" s="2"/>
      <c r="F795" s="2"/>
      <c r="G795" s="2"/>
      <c r="I795" s="3"/>
    </row>
    <row r="796" spans="1:9" x14ac:dyDescent="0.25">
      <c r="C796" s="1"/>
      <c r="D796" s="1"/>
      <c r="E796" s="1"/>
      <c r="F796" s="1"/>
      <c r="G796" s="2"/>
      <c r="I796" s="3"/>
    </row>
    <row r="797" spans="1:9" x14ac:dyDescent="0.25">
      <c r="A797" s="2"/>
      <c r="F797" s="2"/>
      <c r="G797" s="2"/>
      <c r="I797" s="3"/>
    </row>
    <row r="798" spans="1:9" x14ac:dyDescent="0.25">
      <c r="C798" s="2"/>
      <c r="D798" s="2"/>
      <c r="E798" s="2"/>
      <c r="F798" s="2"/>
      <c r="G798" s="2"/>
      <c r="I798" s="3"/>
    </row>
    <row r="799" spans="1:9" x14ac:dyDescent="0.25">
      <c r="A799" s="2"/>
      <c r="C799" s="2"/>
      <c r="D799" s="2"/>
      <c r="E799" s="2"/>
      <c r="F799" s="2"/>
      <c r="G799" s="2"/>
      <c r="I799" s="3"/>
    </row>
    <row r="800" spans="1:9" x14ac:dyDescent="0.25">
      <c r="C800" s="2"/>
      <c r="D800" s="2"/>
      <c r="E800" s="2"/>
      <c r="F800" s="2"/>
      <c r="G800" s="2"/>
      <c r="I800" s="3"/>
    </row>
    <row r="801" spans="1:9" x14ac:dyDescent="0.25">
      <c r="A801" s="2"/>
      <c r="C801" s="2"/>
      <c r="D801" s="2"/>
      <c r="E801" s="2"/>
      <c r="F801" s="2"/>
      <c r="G801" s="2"/>
      <c r="I801" s="3"/>
    </row>
    <row r="802" spans="1:9" x14ac:dyDescent="0.25">
      <c r="C802" s="1"/>
      <c r="D802" s="1"/>
      <c r="E802" s="1"/>
      <c r="F802" s="1"/>
      <c r="G802" s="2"/>
      <c r="I802" s="3"/>
    </row>
    <row r="803" spans="1:9" x14ac:dyDescent="0.25">
      <c r="A803" s="2"/>
      <c r="C803" s="2"/>
      <c r="D803" s="2"/>
      <c r="E803" s="2"/>
      <c r="F803" s="2"/>
      <c r="G803" s="2"/>
      <c r="I803" s="3"/>
    </row>
    <row r="804" spans="1:9" x14ac:dyDescent="0.25">
      <c r="G804" s="2"/>
      <c r="I804" s="3"/>
    </row>
    <row r="805" spans="1:9" x14ac:dyDescent="0.25">
      <c r="A805" s="2"/>
      <c r="C805" s="1"/>
      <c r="D805" s="1"/>
      <c r="E805" s="1"/>
      <c r="F805" s="1"/>
      <c r="G805" s="2"/>
      <c r="I805" s="3"/>
    </row>
    <row r="806" spans="1:9" x14ac:dyDescent="0.25">
      <c r="C806" s="1"/>
      <c r="D806" s="1"/>
      <c r="E806" s="1"/>
      <c r="F806" s="1"/>
      <c r="G806" s="2"/>
      <c r="I806" s="3"/>
    </row>
    <row r="807" spans="1:9" x14ac:dyDescent="0.25">
      <c r="A807" s="2"/>
      <c r="C807" s="2"/>
      <c r="D807" s="2"/>
      <c r="E807" s="2"/>
      <c r="F807" s="2"/>
      <c r="G807" s="2"/>
      <c r="I807" s="3"/>
    </row>
    <row r="808" spans="1:9" x14ac:dyDescent="0.25">
      <c r="G808" s="2"/>
      <c r="I808" s="3"/>
    </row>
    <row r="809" spans="1:9" x14ac:dyDescent="0.25">
      <c r="A809" s="2"/>
      <c r="C809" s="1"/>
      <c r="D809" s="1"/>
      <c r="E809" s="2"/>
      <c r="F809" s="1"/>
      <c r="G809" s="2"/>
      <c r="I809" s="3"/>
    </row>
    <row r="810" spans="1:9" x14ac:dyDescent="0.25">
      <c r="C810" s="2"/>
      <c r="D810" s="2"/>
      <c r="E810" s="2"/>
      <c r="F810" s="2"/>
      <c r="G810" s="2"/>
      <c r="I810" s="3"/>
    </row>
    <row r="811" spans="1:9" x14ac:dyDescent="0.25">
      <c r="A811" s="2"/>
      <c r="C811" s="2"/>
      <c r="D811" s="2"/>
      <c r="E811" s="2"/>
      <c r="F811" s="2"/>
      <c r="G811" s="2"/>
      <c r="I811" s="3"/>
    </row>
    <row r="812" spans="1:9" x14ac:dyDescent="0.25">
      <c r="C812" s="2"/>
      <c r="D812" s="2"/>
      <c r="E812" s="2"/>
      <c r="F812" s="1"/>
      <c r="G812" s="2"/>
      <c r="I812" s="3"/>
    </row>
    <row r="813" spans="1:9" x14ac:dyDescent="0.25">
      <c r="A813" s="2"/>
      <c r="C813" s="2"/>
      <c r="D813" s="2"/>
      <c r="E813" s="2"/>
      <c r="F813" s="2"/>
      <c r="G813" s="2"/>
      <c r="I813" s="3"/>
    </row>
    <row r="814" spans="1:9" x14ac:dyDescent="0.25">
      <c r="C814" s="2"/>
      <c r="D814" s="2"/>
      <c r="E814" s="2"/>
      <c r="F814" s="2"/>
      <c r="G814" s="2"/>
      <c r="I814" s="3"/>
    </row>
    <row r="815" spans="1:9" x14ac:dyDescent="0.25">
      <c r="A815" s="2"/>
      <c r="C815" s="1"/>
      <c r="D815" s="1"/>
      <c r="E815" s="1"/>
      <c r="F815" s="1"/>
      <c r="G815" s="2"/>
      <c r="I815" s="3"/>
    </row>
    <row r="816" spans="1:9" x14ac:dyDescent="0.25">
      <c r="G816" s="2"/>
      <c r="I816" s="3"/>
    </row>
    <row r="817" spans="1:9" x14ac:dyDescent="0.25">
      <c r="A817" s="2"/>
      <c r="G817" s="2"/>
      <c r="I817" s="3"/>
    </row>
    <row r="818" spans="1:9" x14ac:dyDescent="0.25">
      <c r="G818" s="2"/>
      <c r="I818" s="3"/>
    </row>
    <row r="819" spans="1:9" x14ac:dyDescent="0.25">
      <c r="A819" s="2"/>
      <c r="E819" s="2"/>
      <c r="F819" s="2"/>
      <c r="G819" s="2"/>
      <c r="I819" s="3"/>
    </row>
    <row r="820" spans="1:9" x14ac:dyDescent="0.25">
      <c r="C820" s="2"/>
      <c r="D820" s="2"/>
      <c r="E820" s="2"/>
      <c r="F820" s="2"/>
      <c r="G820" s="2"/>
      <c r="I820" s="3"/>
    </row>
    <row r="821" spans="1:9" x14ac:dyDescent="0.25">
      <c r="A821" s="2"/>
      <c r="G821" s="2"/>
      <c r="I821" s="3"/>
    </row>
    <row r="822" spans="1:9" x14ac:dyDescent="0.25">
      <c r="G822" s="2"/>
      <c r="I822" s="3"/>
    </row>
    <row r="823" spans="1:9" x14ac:dyDescent="0.25">
      <c r="A823" s="2"/>
      <c r="C823" s="2"/>
      <c r="D823" s="2"/>
      <c r="E823" s="2"/>
      <c r="F823" s="2"/>
      <c r="G823" s="2"/>
      <c r="I823" s="3"/>
    </row>
    <row r="824" spans="1:9" x14ac:dyDescent="0.25">
      <c r="C824" s="2"/>
      <c r="D824" s="2"/>
      <c r="E824" s="2"/>
      <c r="F824" s="2"/>
      <c r="G824" s="2"/>
      <c r="I824" s="3"/>
    </row>
    <row r="825" spans="1:9" x14ac:dyDescent="0.25">
      <c r="A825" s="2"/>
      <c r="C825" s="2"/>
      <c r="D825" s="2"/>
      <c r="E825" s="2"/>
      <c r="F825" s="2"/>
      <c r="G825" s="2"/>
      <c r="I825" s="3"/>
    </row>
    <row r="826" spans="1:9" x14ac:dyDescent="0.25">
      <c r="G826" s="2"/>
      <c r="I826" s="3"/>
    </row>
    <row r="827" spans="1:9" x14ac:dyDescent="0.25">
      <c r="A827" s="2"/>
      <c r="C827" s="2"/>
      <c r="D827" s="2"/>
      <c r="E827" s="2"/>
      <c r="F827" s="2"/>
      <c r="G827" s="2"/>
      <c r="I827" s="3"/>
    </row>
    <row r="828" spans="1:9" x14ac:dyDescent="0.25">
      <c r="C828" s="2"/>
      <c r="D828" s="2"/>
      <c r="E828" s="2"/>
      <c r="F828" s="2"/>
      <c r="G828" s="2"/>
      <c r="I828" s="3"/>
    </row>
    <row r="829" spans="1:9" x14ac:dyDescent="0.25">
      <c r="A829" s="2"/>
      <c r="G829" s="2"/>
      <c r="I829" s="3"/>
    </row>
    <row r="830" spans="1:9" x14ac:dyDescent="0.25">
      <c r="C830" s="2"/>
      <c r="D830" s="2"/>
      <c r="E830" s="2"/>
      <c r="F830" s="2"/>
      <c r="G830" s="2"/>
      <c r="I830" s="3"/>
    </row>
    <row r="831" spans="1:9" x14ac:dyDescent="0.25">
      <c r="A831" s="2"/>
      <c r="C831" s="1"/>
      <c r="D831" s="1"/>
      <c r="E831" s="1"/>
      <c r="F831" s="1"/>
      <c r="G831" s="2"/>
      <c r="I831" s="3"/>
    </row>
    <row r="832" spans="1:9" x14ac:dyDescent="0.25">
      <c r="C832" s="2"/>
      <c r="D832" s="2"/>
      <c r="E832" s="2"/>
      <c r="F832" s="2"/>
      <c r="G832" s="2"/>
      <c r="I832" s="3"/>
    </row>
    <row r="833" spans="1:9" x14ac:dyDescent="0.25">
      <c r="A833" s="2"/>
      <c r="C833" s="2"/>
      <c r="D833" s="2"/>
      <c r="E833" s="2"/>
      <c r="F833" s="2"/>
      <c r="G833" s="2"/>
      <c r="I833" s="3"/>
    </row>
    <row r="834" spans="1:9" x14ac:dyDescent="0.25">
      <c r="C834" s="1"/>
      <c r="D834" s="1"/>
      <c r="E834" s="1"/>
      <c r="F834" s="1"/>
      <c r="G834" s="2"/>
      <c r="I834" s="3"/>
    </row>
    <row r="835" spans="1:9" x14ac:dyDescent="0.25">
      <c r="A835" s="2"/>
      <c r="C835" s="2"/>
      <c r="D835" s="2"/>
      <c r="E835" s="2"/>
      <c r="F835" s="2"/>
      <c r="G835" s="2"/>
      <c r="I835" s="3"/>
    </row>
    <row r="836" spans="1:9" x14ac:dyDescent="0.25">
      <c r="C836" s="1"/>
      <c r="D836" s="1"/>
      <c r="E836" s="1"/>
      <c r="F836" s="1"/>
      <c r="G836" s="2"/>
      <c r="I836" s="3"/>
    </row>
    <row r="837" spans="1:9" x14ac:dyDescent="0.25">
      <c r="A837" s="2"/>
      <c r="C837" s="1"/>
      <c r="D837" s="1"/>
      <c r="E837" s="1"/>
      <c r="F837" s="1"/>
      <c r="G837" s="2"/>
      <c r="I837" s="3"/>
    </row>
    <row r="838" spans="1:9" x14ac:dyDescent="0.25">
      <c r="C838" s="2"/>
      <c r="D838" s="2"/>
      <c r="E838" s="2"/>
      <c r="F838" s="2"/>
      <c r="G838" s="2"/>
      <c r="I838" s="3"/>
    </row>
    <row r="839" spans="1:9" x14ac:dyDescent="0.25">
      <c r="A839" s="2"/>
      <c r="C839" s="2"/>
      <c r="D839" s="2"/>
      <c r="E839" s="2"/>
      <c r="F839" s="2"/>
      <c r="G839" s="2"/>
      <c r="I839" s="3"/>
    </row>
    <row r="840" spans="1:9" x14ac:dyDescent="0.25">
      <c r="E840" s="2"/>
      <c r="F840" s="2"/>
      <c r="G840" s="2"/>
      <c r="I840" s="3"/>
    </row>
    <row r="841" spans="1:9" x14ac:dyDescent="0.25">
      <c r="A841" s="2"/>
      <c r="C841" s="2"/>
      <c r="D841" s="2"/>
      <c r="E841" s="2"/>
      <c r="F841" s="2"/>
      <c r="G841" s="2"/>
      <c r="I841" s="3"/>
    </row>
    <row r="842" spans="1:9" x14ac:dyDescent="0.25">
      <c r="G842" s="2"/>
      <c r="I842" s="3"/>
    </row>
    <row r="843" spans="1:9" x14ac:dyDescent="0.25">
      <c r="A843" s="2"/>
      <c r="E843" s="2"/>
      <c r="F843" s="2"/>
      <c r="G843" s="2"/>
      <c r="I843" s="3"/>
    </row>
    <row r="844" spans="1:9" x14ac:dyDescent="0.25">
      <c r="C844" s="2"/>
      <c r="D844" s="2"/>
      <c r="E844" s="2"/>
      <c r="F844" s="2"/>
      <c r="G844" s="2"/>
      <c r="I844" s="3"/>
    </row>
    <row r="845" spans="1:9" x14ac:dyDescent="0.25">
      <c r="A845" s="2"/>
      <c r="C845" s="2"/>
      <c r="D845" s="2"/>
      <c r="E845" s="2"/>
      <c r="F845" s="2"/>
      <c r="G845" s="2"/>
      <c r="I845" s="3"/>
    </row>
    <row r="846" spans="1:9" x14ac:dyDescent="0.25">
      <c r="C846" s="2"/>
      <c r="D846" s="2"/>
      <c r="E846" s="2"/>
      <c r="F846" s="2"/>
      <c r="G846" s="2"/>
      <c r="I846" s="3"/>
    </row>
    <row r="847" spans="1:9" x14ac:dyDescent="0.25">
      <c r="A847" s="2"/>
      <c r="F847" s="2"/>
      <c r="G847" s="2"/>
      <c r="I847" s="3"/>
    </row>
    <row r="848" spans="1:9" x14ac:dyDescent="0.25">
      <c r="C848" s="2"/>
      <c r="D848" s="2"/>
      <c r="E848" s="2"/>
      <c r="F848" s="2"/>
      <c r="G848" s="2"/>
      <c r="I848" s="3"/>
    </row>
    <row r="849" spans="1:9" x14ac:dyDescent="0.25">
      <c r="A849" s="2"/>
      <c r="C849" s="2"/>
      <c r="D849" s="2"/>
      <c r="E849" s="2"/>
      <c r="F849" s="1"/>
      <c r="G849" s="2"/>
      <c r="I849" s="3"/>
    </row>
    <row r="850" spans="1:9" x14ac:dyDescent="0.25">
      <c r="C850" s="2"/>
      <c r="D850" s="2"/>
      <c r="E850" s="2"/>
      <c r="F850" s="2"/>
      <c r="G850" s="2"/>
      <c r="I850" s="3"/>
    </row>
    <row r="851" spans="1:9" x14ac:dyDescent="0.25">
      <c r="A851" s="2"/>
      <c r="E851" s="2"/>
      <c r="F851" s="2"/>
      <c r="G851" s="2"/>
      <c r="I851" s="3"/>
    </row>
    <row r="852" spans="1:9" x14ac:dyDescent="0.25">
      <c r="F852" s="2"/>
      <c r="G852" s="2"/>
      <c r="I852" s="3"/>
    </row>
    <row r="853" spans="1:9" x14ac:dyDescent="0.25">
      <c r="A853" s="2"/>
      <c r="E853" s="2"/>
      <c r="F853" s="2"/>
      <c r="G853" s="2"/>
      <c r="I853" s="3"/>
    </row>
    <row r="854" spans="1:9" x14ac:dyDescent="0.25">
      <c r="G854" s="2"/>
      <c r="I854" s="3"/>
    </row>
    <row r="855" spans="1:9" x14ac:dyDescent="0.25">
      <c r="A855" s="2"/>
      <c r="C855" s="2"/>
      <c r="D855" s="2"/>
      <c r="E855" s="2"/>
      <c r="F855" s="2"/>
      <c r="G855" s="2"/>
      <c r="I855" s="3"/>
    </row>
    <row r="856" spans="1:9" x14ac:dyDescent="0.25">
      <c r="C856" s="2"/>
      <c r="D856" s="2"/>
      <c r="E856" s="2"/>
      <c r="F856" s="2"/>
      <c r="G856" s="2"/>
      <c r="I856" s="3"/>
    </row>
    <row r="857" spans="1:9" x14ac:dyDescent="0.25">
      <c r="A857" s="2"/>
      <c r="C857" s="2"/>
      <c r="D857" s="2"/>
      <c r="E857" s="2"/>
      <c r="F857" s="2"/>
      <c r="G857" s="2"/>
      <c r="I857" s="3"/>
    </row>
    <row r="858" spans="1:9" x14ac:dyDescent="0.25">
      <c r="C858" s="2"/>
      <c r="D858" s="2"/>
      <c r="E858" s="2"/>
      <c r="F858" s="2"/>
      <c r="G858" s="2"/>
      <c r="I858" s="3"/>
    </row>
    <row r="859" spans="1:9" x14ac:dyDescent="0.25">
      <c r="A859" s="2"/>
      <c r="C859" s="2"/>
      <c r="D859" s="2"/>
      <c r="E859" s="2"/>
      <c r="F859" s="2"/>
      <c r="G859" s="2"/>
      <c r="I859" s="3"/>
    </row>
    <row r="860" spans="1:9" x14ac:dyDescent="0.25">
      <c r="C860" s="2"/>
      <c r="D860" s="2"/>
      <c r="E860" s="2"/>
      <c r="F860" s="2"/>
      <c r="G860" s="2"/>
      <c r="I860" s="3"/>
    </row>
    <row r="861" spans="1:9" x14ac:dyDescent="0.25">
      <c r="A861" s="2"/>
      <c r="G861" s="2"/>
      <c r="I861" s="3"/>
    </row>
    <row r="862" spans="1:9" x14ac:dyDescent="0.25">
      <c r="C862" s="2"/>
      <c r="D862" s="2"/>
      <c r="E862" s="1"/>
      <c r="F862" s="1"/>
      <c r="G862" s="2"/>
      <c r="I862" s="3"/>
    </row>
    <row r="863" spans="1:9" x14ac:dyDescent="0.25">
      <c r="A863" s="2"/>
      <c r="F863" s="2"/>
      <c r="G863" s="2"/>
      <c r="I863" s="3"/>
    </row>
    <row r="864" spans="1:9" x14ac:dyDescent="0.25">
      <c r="C864" s="2"/>
      <c r="D864" s="2"/>
      <c r="E864" s="2"/>
      <c r="F864" s="2"/>
      <c r="G864" s="2"/>
      <c r="I864" s="3"/>
    </row>
    <row r="865" spans="1:9" x14ac:dyDescent="0.25">
      <c r="A865" s="2"/>
      <c r="C865" s="2"/>
      <c r="D865" s="2"/>
      <c r="E865" s="2"/>
      <c r="F865" s="2"/>
      <c r="G865" s="2"/>
      <c r="I865" s="3"/>
    </row>
    <row r="866" spans="1:9" x14ac:dyDescent="0.25">
      <c r="E866" s="2"/>
      <c r="F866" s="2"/>
      <c r="G866" s="2"/>
      <c r="I866" s="3"/>
    </row>
    <row r="867" spans="1:9" x14ac:dyDescent="0.25">
      <c r="A867" s="2"/>
      <c r="C867" s="2"/>
      <c r="D867" s="2"/>
      <c r="E867" s="2"/>
      <c r="F867" s="2"/>
      <c r="G867" s="2"/>
      <c r="I867" s="3"/>
    </row>
    <row r="868" spans="1:9" x14ac:dyDescent="0.25">
      <c r="G868" s="2"/>
      <c r="I868" s="3"/>
    </row>
    <row r="869" spans="1:9" x14ac:dyDescent="0.25">
      <c r="A869" s="2"/>
      <c r="C869" s="2"/>
      <c r="D869" s="2"/>
      <c r="E869" s="2"/>
      <c r="F869" s="2"/>
      <c r="G869" s="2"/>
      <c r="I869" s="3"/>
    </row>
    <row r="870" spans="1:9" x14ac:dyDescent="0.25">
      <c r="E870" s="2"/>
      <c r="F870" s="2"/>
      <c r="G870" s="2"/>
      <c r="I870" s="3"/>
    </row>
    <row r="871" spans="1:9" x14ac:dyDescent="0.25">
      <c r="A871" s="2"/>
      <c r="C871" s="2"/>
      <c r="D871" s="2"/>
      <c r="E871" s="2"/>
      <c r="F871" s="2"/>
      <c r="G871" s="2"/>
      <c r="I871" s="3"/>
    </row>
    <row r="872" spans="1:9" x14ac:dyDescent="0.25">
      <c r="C872" s="2"/>
      <c r="D872" s="2"/>
      <c r="E872" s="2"/>
      <c r="F872" s="2"/>
      <c r="G872" s="2"/>
      <c r="I872" s="3"/>
    </row>
    <row r="873" spans="1:9" x14ac:dyDescent="0.25">
      <c r="A873" s="2"/>
      <c r="G873" s="2"/>
      <c r="I873" s="3"/>
    </row>
    <row r="874" spans="1:9" x14ac:dyDescent="0.25">
      <c r="C874" s="2"/>
      <c r="D874" s="2"/>
      <c r="E874" s="2"/>
      <c r="F874" s="2"/>
      <c r="G874" s="2"/>
      <c r="I874" s="3"/>
    </row>
    <row r="875" spans="1:9" x14ac:dyDescent="0.25">
      <c r="A875" s="2"/>
      <c r="G875" s="2"/>
      <c r="I875" s="3"/>
    </row>
    <row r="876" spans="1:9" x14ac:dyDescent="0.25">
      <c r="C876" s="2"/>
      <c r="D876" s="2"/>
      <c r="E876" s="2"/>
      <c r="F876" s="2"/>
      <c r="G876" s="2"/>
      <c r="I876" s="3"/>
    </row>
    <row r="877" spans="1:9" x14ac:dyDescent="0.25">
      <c r="A877" s="2"/>
      <c r="C877" s="1"/>
      <c r="D877" s="1"/>
      <c r="E877" s="1"/>
      <c r="F877" s="1"/>
      <c r="G877" s="2"/>
      <c r="I877" s="3"/>
    </row>
    <row r="878" spans="1:9" x14ac:dyDescent="0.25">
      <c r="C878" s="2"/>
      <c r="D878" s="2"/>
      <c r="E878" s="2"/>
      <c r="F878" s="2"/>
      <c r="G878" s="2"/>
      <c r="I878" s="3"/>
    </row>
    <row r="879" spans="1:9" x14ac:dyDescent="0.25">
      <c r="A879" s="2"/>
      <c r="E879" s="2"/>
      <c r="F879" s="2"/>
      <c r="G879" s="2"/>
      <c r="I879" s="3"/>
    </row>
    <row r="880" spans="1:9" x14ac:dyDescent="0.25">
      <c r="G880" s="2"/>
      <c r="I880" s="3"/>
    </row>
    <row r="881" spans="1:9" x14ac:dyDescent="0.25">
      <c r="A881" s="2"/>
      <c r="G881" s="2"/>
      <c r="I881" s="3"/>
    </row>
    <row r="882" spans="1:9" x14ac:dyDescent="0.25">
      <c r="G882" s="2"/>
      <c r="I882" s="3"/>
    </row>
    <row r="883" spans="1:9" x14ac:dyDescent="0.25">
      <c r="A883" s="2"/>
      <c r="G883" s="2"/>
      <c r="I883" s="3"/>
    </row>
    <row r="884" spans="1:9" x14ac:dyDescent="0.25">
      <c r="F884" s="1"/>
      <c r="G884" s="2"/>
      <c r="I884" s="3"/>
    </row>
    <row r="885" spans="1:9" x14ac:dyDescent="0.25">
      <c r="A885" s="2"/>
      <c r="G885" s="2"/>
      <c r="I885" s="3"/>
    </row>
    <row r="886" spans="1:9" x14ac:dyDescent="0.25">
      <c r="G886" s="2"/>
      <c r="I886" s="3"/>
    </row>
    <row r="887" spans="1:9" x14ac:dyDescent="0.25">
      <c r="A887" s="2"/>
      <c r="C887" s="2"/>
      <c r="D887" s="2"/>
      <c r="E887" s="2"/>
      <c r="F887" s="2"/>
      <c r="G887" s="2"/>
      <c r="I887" s="3"/>
    </row>
    <row r="888" spans="1:9" x14ac:dyDescent="0.25">
      <c r="G888" s="2"/>
      <c r="I888" s="3"/>
    </row>
    <row r="889" spans="1:9" x14ac:dyDescent="0.25">
      <c r="A889" s="2"/>
      <c r="C889" s="2"/>
      <c r="D889" s="2"/>
      <c r="E889" s="2"/>
      <c r="F889" s="2"/>
      <c r="G889" s="2"/>
      <c r="I889" s="3"/>
    </row>
    <row r="890" spans="1:9" x14ac:dyDescent="0.25">
      <c r="C890" s="2"/>
      <c r="D890" s="2"/>
      <c r="E890" s="2"/>
      <c r="F890" s="2"/>
      <c r="G890" s="2"/>
      <c r="I890" s="3"/>
    </row>
    <row r="891" spans="1:9" x14ac:dyDescent="0.25">
      <c r="A891" s="2"/>
      <c r="C891" s="2"/>
      <c r="D891" s="2"/>
      <c r="E891" s="2"/>
      <c r="F891" s="2"/>
      <c r="G891" s="2"/>
      <c r="I891" s="3"/>
    </row>
    <row r="892" spans="1:9" x14ac:dyDescent="0.25">
      <c r="C892" s="2"/>
      <c r="D892" s="2"/>
      <c r="E892" s="2"/>
      <c r="F892" s="2"/>
      <c r="G892" s="2"/>
      <c r="I892" s="3"/>
    </row>
    <row r="893" spans="1:9" x14ac:dyDescent="0.25">
      <c r="A893" s="2"/>
      <c r="C893" s="2"/>
      <c r="D893" s="2"/>
      <c r="E893" s="2"/>
      <c r="F893" s="2"/>
      <c r="G893" s="2"/>
      <c r="I893" s="3"/>
    </row>
    <row r="894" spans="1:9" x14ac:dyDescent="0.25">
      <c r="C894" s="2"/>
      <c r="D894" s="2"/>
      <c r="E894" s="2"/>
      <c r="F894" s="2"/>
      <c r="G894" s="2"/>
      <c r="I894" s="3"/>
    </row>
    <row r="895" spans="1:9" x14ac:dyDescent="0.25">
      <c r="A895" s="2"/>
      <c r="C895" s="2"/>
      <c r="D895" s="2"/>
      <c r="E895" s="2"/>
      <c r="F895" s="2"/>
      <c r="G895" s="2"/>
      <c r="I895" s="3"/>
    </row>
    <row r="896" spans="1:9" x14ac:dyDescent="0.25">
      <c r="C896" s="2"/>
      <c r="D896" s="2"/>
      <c r="E896" s="2"/>
      <c r="F896" s="2"/>
      <c r="G896" s="2"/>
      <c r="I896" s="3"/>
    </row>
    <row r="897" spans="1:9" x14ac:dyDescent="0.25">
      <c r="A897" s="2"/>
      <c r="C897" s="2"/>
      <c r="D897" s="2"/>
      <c r="E897" s="2"/>
      <c r="F897" s="2"/>
      <c r="G897" s="2"/>
      <c r="I897" s="3"/>
    </row>
    <row r="898" spans="1:9" x14ac:dyDescent="0.25">
      <c r="C898" s="2"/>
      <c r="D898" s="2"/>
      <c r="E898" s="2"/>
      <c r="F898" s="2"/>
      <c r="G898" s="2"/>
      <c r="I898" s="3"/>
    </row>
    <row r="899" spans="1:9" x14ac:dyDescent="0.25">
      <c r="A899" s="2"/>
      <c r="C899" s="2"/>
      <c r="D899" s="2"/>
      <c r="E899" s="2"/>
      <c r="F899" s="2"/>
      <c r="G899" s="2"/>
      <c r="I899" s="3"/>
    </row>
    <row r="900" spans="1:9" x14ac:dyDescent="0.25">
      <c r="C900" s="2"/>
      <c r="D900" s="2"/>
      <c r="E900" s="2"/>
      <c r="F900" s="2"/>
      <c r="G900" s="2"/>
      <c r="I900" s="3"/>
    </row>
    <row r="901" spans="1:9" x14ac:dyDescent="0.25">
      <c r="A901" s="2"/>
      <c r="C901" s="2"/>
      <c r="D901" s="2"/>
      <c r="E901" s="2"/>
      <c r="F901" s="2"/>
      <c r="G901" s="2"/>
      <c r="I901" s="3"/>
    </row>
    <row r="902" spans="1:9" x14ac:dyDescent="0.25">
      <c r="E902" s="2"/>
      <c r="F902" s="2"/>
      <c r="G902" s="2"/>
      <c r="I902" s="3"/>
    </row>
    <row r="903" spans="1:9" x14ac:dyDescent="0.25">
      <c r="A903" s="2"/>
      <c r="C903" s="2"/>
      <c r="D903" s="2"/>
      <c r="E903" s="2"/>
      <c r="F903" s="2"/>
      <c r="G903" s="2"/>
      <c r="I903" s="3"/>
    </row>
    <row r="904" spans="1:9" x14ac:dyDescent="0.25">
      <c r="G904" s="2"/>
      <c r="I904" s="3"/>
    </row>
    <row r="905" spans="1:9" x14ac:dyDescent="0.25">
      <c r="A905" s="2"/>
      <c r="C905" s="1"/>
      <c r="D905" s="1"/>
      <c r="E905" s="1"/>
      <c r="F905" s="1"/>
      <c r="G905" s="2"/>
      <c r="I905" s="3"/>
    </row>
    <row r="906" spans="1:9" x14ac:dyDescent="0.25">
      <c r="C906" s="2"/>
      <c r="D906" s="2"/>
      <c r="E906" s="2"/>
      <c r="F906" s="2"/>
      <c r="G906" s="2"/>
      <c r="I906" s="3"/>
    </row>
    <row r="907" spans="1:9" x14ac:dyDescent="0.25">
      <c r="A907" s="2"/>
      <c r="C907" s="2"/>
      <c r="D907" s="2"/>
      <c r="E907" s="1"/>
      <c r="F907" s="1"/>
      <c r="G907" s="2"/>
      <c r="I907" s="3"/>
    </row>
    <row r="908" spans="1:9" x14ac:dyDescent="0.25">
      <c r="C908" s="2"/>
      <c r="D908" s="2"/>
      <c r="F908" s="2"/>
      <c r="G908" s="2"/>
      <c r="I908" s="3"/>
    </row>
    <row r="909" spans="1:9" x14ac:dyDescent="0.25">
      <c r="A909" s="2"/>
      <c r="C909" s="1"/>
      <c r="D909" s="1"/>
      <c r="E909" s="1"/>
      <c r="F909" s="1"/>
      <c r="G909" s="2"/>
      <c r="I909" s="3"/>
    </row>
    <row r="910" spans="1:9" x14ac:dyDescent="0.25">
      <c r="C910" s="1"/>
      <c r="D910" s="1"/>
      <c r="E910" s="1"/>
      <c r="F910" s="1"/>
      <c r="G910" s="2"/>
      <c r="I910" s="3"/>
    </row>
    <row r="911" spans="1:9" x14ac:dyDescent="0.25">
      <c r="A911" s="2"/>
      <c r="C911" s="2"/>
      <c r="D911" s="2"/>
      <c r="E911" s="2"/>
      <c r="F911" s="2"/>
      <c r="G911" s="2"/>
      <c r="I911" s="3"/>
    </row>
    <row r="912" spans="1:9" x14ac:dyDescent="0.25">
      <c r="G912" s="2"/>
      <c r="I912" s="3"/>
    </row>
    <row r="913" spans="1:9" x14ac:dyDescent="0.25">
      <c r="A913" s="2"/>
      <c r="C913" s="2"/>
      <c r="D913" s="2"/>
      <c r="F913" s="2"/>
      <c r="G913" s="2"/>
      <c r="I913" s="3"/>
    </row>
    <row r="914" spans="1:9" x14ac:dyDescent="0.25">
      <c r="C914" s="2"/>
      <c r="D914" s="2"/>
      <c r="E914" s="2"/>
      <c r="F914" s="2"/>
      <c r="G914" s="2"/>
      <c r="I914" s="3"/>
    </row>
    <row r="915" spans="1:9" x14ac:dyDescent="0.25">
      <c r="A915" s="2"/>
      <c r="E915" s="2"/>
      <c r="F915" s="2"/>
      <c r="G915" s="2"/>
      <c r="I915" s="3"/>
    </row>
    <row r="916" spans="1:9" x14ac:dyDescent="0.25">
      <c r="F916" s="1"/>
      <c r="G916" s="2"/>
      <c r="I916" s="3"/>
    </row>
    <row r="917" spans="1:9" x14ac:dyDescent="0.25">
      <c r="A917" s="2"/>
      <c r="C917" s="2"/>
      <c r="D917" s="2"/>
      <c r="E917" s="2"/>
      <c r="F917" s="2"/>
      <c r="G917" s="2"/>
      <c r="I917" s="3"/>
    </row>
    <row r="918" spans="1:9" x14ac:dyDescent="0.25">
      <c r="C918" s="2"/>
      <c r="D918" s="2"/>
      <c r="E918" s="2"/>
      <c r="F918" s="2"/>
      <c r="G918" s="2"/>
      <c r="I918" s="3"/>
    </row>
    <row r="919" spans="1:9" x14ac:dyDescent="0.25">
      <c r="A919" s="2"/>
      <c r="C919" s="1"/>
      <c r="D919" s="1"/>
      <c r="E919" s="1"/>
      <c r="F919" s="1"/>
      <c r="G919" s="2"/>
      <c r="I919" s="3"/>
    </row>
    <row r="920" spans="1:9" x14ac:dyDescent="0.25">
      <c r="C920" s="1"/>
      <c r="D920" s="1"/>
      <c r="E920" s="1"/>
      <c r="F920" s="1"/>
      <c r="G920" s="2"/>
      <c r="I920" s="3"/>
    </row>
    <row r="921" spans="1:9" x14ac:dyDescent="0.25">
      <c r="A921" s="2"/>
      <c r="C921" s="2"/>
      <c r="D921" s="2"/>
      <c r="E921" s="2"/>
      <c r="F921" s="2"/>
      <c r="G921" s="2"/>
      <c r="I921" s="3"/>
    </row>
    <row r="922" spans="1:9" x14ac:dyDescent="0.25">
      <c r="G922" s="2"/>
      <c r="I922" s="3"/>
    </row>
    <row r="923" spans="1:9" x14ac:dyDescent="0.25">
      <c r="A923" s="2"/>
      <c r="E923" s="2"/>
      <c r="F923" s="2"/>
      <c r="G923" s="2"/>
      <c r="I923" s="3"/>
    </row>
    <row r="924" spans="1:9" x14ac:dyDescent="0.25">
      <c r="C924" s="2"/>
      <c r="D924" s="2"/>
      <c r="E924" s="2"/>
      <c r="F924" s="2"/>
      <c r="G924" s="2"/>
      <c r="I924" s="3"/>
    </row>
    <row r="925" spans="1:9" x14ac:dyDescent="0.25">
      <c r="A925" s="2"/>
      <c r="C925" s="2"/>
      <c r="D925" s="2"/>
      <c r="E925" s="2"/>
      <c r="F925" s="2"/>
      <c r="G925" s="2"/>
      <c r="I925" s="3"/>
    </row>
    <row r="926" spans="1:9" x14ac:dyDescent="0.25">
      <c r="C926" s="2"/>
      <c r="D926" s="2"/>
      <c r="E926" s="2"/>
      <c r="F926" s="2"/>
      <c r="G926" s="2"/>
      <c r="I926" s="3"/>
    </row>
    <row r="927" spans="1:9" x14ac:dyDescent="0.25">
      <c r="A927" s="2"/>
      <c r="C927" s="2"/>
      <c r="D927" s="2"/>
      <c r="E927" s="2"/>
      <c r="F927" s="2"/>
      <c r="G927" s="2"/>
      <c r="I927" s="3"/>
    </row>
    <row r="928" spans="1:9" x14ac:dyDescent="0.25">
      <c r="C928" s="2"/>
      <c r="D928" s="2"/>
      <c r="E928" s="2"/>
      <c r="F928" s="2"/>
      <c r="G928" s="2"/>
      <c r="I928" s="3"/>
    </row>
    <row r="929" spans="1:9" x14ac:dyDescent="0.25">
      <c r="A929" s="2"/>
      <c r="C929" s="1"/>
      <c r="D929" s="1"/>
      <c r="E929" s="1"/>
      <c r="F929" s="1"/>
      <c r="G929" s="2"/>
      <c r="I929" s="3"/>
    </row>
    <row r="930" spans="1:9" x14ac:dyDescent="0.25">
      <c r="C930" s="2"/>
      <c r="D930" s="2"/>
      <c r="E930" s="2"/>
      <c r="F930" s="2"/>
      <c r="G930" s="2"/>
      <c r="I930" s="3"/>
    </row>
    <row r="931" spans="1:9" x14ac:dyDescent="0.25">
      <c r="A931" s="2"/>
      <c r="C931" s="2"/>
      <c r="D931" s="2"/>
      <c r="E931" s="2"/>
      <c r="F931" s="1"/>
      <c r="G931" s="2"/>
      <c r="I931" s="3"/>
    </row>
    <row r="932" spans="1:9" x14ac:dyDescent="0.25">
      <c r="F932" s="2"/>
      <c r="G932" s="2"/>
      <c r="I932" s="3"/>
    </row>
    <row r="933" spans="1:9" x14ac:dyDescent="0.25">
      <c r="A933" s="2"/>
      <c r="C933" s="2"/>
      <c r="D933" s="2"/>
      <c r="E933" s="2"/>
      <c r="F933" s="2"/>
      <c r="G933" s="2"/>
      <c r="I933" s="3"/>
    </row>
    <row r="934" spans="1:9" x14ac:dyDescent="0.25">
      <c r="C934" s="1"/>
      <c r="D934" s="1"/>
      <c r="E934" s="1"/>
      <c r="F934" s="1"/>
      <c r="G934" s="2"/>
      <c r="I934" s="3"/>
    </row>
    <row r="935" spans="1:9" x14ac:dyDescent="0.25">
      <c r="A935" s="2"/>
      <c r="C935" s="2"/>
      <c r="D935" s="2"/>
      <c r="E935" s="2"/>
      <c r="F935" s="2"/>
      <c r="G935" s="2"/>
      <c r="I935" s="3"/>
    </row>
    <row r="936" spans="1:9" x14ac:dyDescent="0.25">
      <c r="C936" s="2"/>
      <c r="D936" s="2"/>
      <c r="E936" s="2"/>
      <c r="F936" s="2"/>
      <c r="G936" s="2"/>
      <c r="I936" s="3"/>
    </row>
    <row r="937" spans="1:9" x14ac:dyDescent="0.25">
      <c r="A937" s="2"/>
      <c r="C937" s="2"/>
      <c r="D937" s="2"/>
      <c r="E937" s="2"/>
      <c r="F937" s="2"/>
      <c r="G937" s="2"/>
      <c r="I937" s="3"/>
    </row>
    <row r="938" spans="1:9" x14ac:dyDescent="0.25">
      <c r="C938" s="2"/>
      <c r="D938" s="2"/>
      <c r="E938" s="2"/>
      <c r="F938" s="2"/>
      <c r="G938" s="2"/>
      <c r="I938" s="3"/>
    </row>
    <row r="939" spans="1:9" x14ac:dyDescent="0.25">
      <c r="A939" s="2"/>
      <c r="C939" s="2"/>
      <c r="D939" s="2"/>
      <c r="E939" s="2"/>
      <c r="F939" s="2"/>
      <c r="G939" s="2"/>
      <c r="I939" s="3"/>
    </row>
    <row r="940" spans="1:9" x14ac:dyDescent="0.25">
      <c r="C940" s="2"/>
      <c r="D940" s="2"/>
      <c r="E940" s="2"/>
      <c r="F940" s="2"/>
      <c r="G940" s="2"/>
      <c r="I940" s="3"/>
    </row>
    <row r="941" spans="1:9" x14ac:dyDescent="0.25">
      <c r="A941" s="2"/>
      <c r="C941" s="2"/>
      <c r="D941" s="2"/>
      <c r="E941" s="2"/>
      <c r="F941" s="2"/>
      <c r="G941" s="2"/>
      <c r="I941" s="3"/>
    </row>
    <row r="942" spans="1:9" x14ac:dyDescent="0.25">
      <c r="C942" s="2"/>
      <c r="D942" s="2"/>
      <c r="E942" s="2"/>
      <c r="F942" s="2"/>
      <c r="G942" s="2"/>
      <c r="I942" s="3"/>
    </row>
    <row r="943" spans="1:9" x14ac:dyDescent="0.25">
      <c r="A943" s="2"/>
      <c r="C943" s="1"/>
      <c r="D943" s="1"/>
      <c r="E943" s="1"/>
      <c r="F943" s="1"/>
      <c r="G943" s="2"/>
      <c r="I943" s="3"/>
    </row>
    <row r="944" spans="1:9" x14ac:dyDescent="0.25">
      <c r="C944" s="2"/>
      <c r="D944" s="2"/>
      <c r="E944" s="2"/>
      <c r="F944" s="2"/>
      <c r="G944" s="2"/>
      <c r="I944" s="3"/>
    </row>
    <row r="945" spans="1:9" x14ac:dyDescent="0.25">
      <c r="A945" s="2"/>
      <c r="C945" s="2"/>
      <c r="D945" s="2"/>
      <c r="E945" s="2"/>
      <c r="F945" s="2"/>
      <c r="G945" s="2"/>
      <c r="I945" s="3"/>
    </row>
    <row r="946" spans="1:9" x14ac:dyDescent="0.25">
      <c r="C946" s="1"/>
      <c r="D946" s="1"/>
      <c r="E946" s="1"/>
      <c r="F946" s="1"/>
      <c r="G946" s="2"/>
      <c r="I946" s="3"/>
    </row>
    <row r="947" spans="1:9" x14ac:dyDescent="0.25">
      <c r="A947" s="2"/>
      <c r="C947" s="2"/>
      <c r="D947" s="2"/>
      <c r="E947" s="2"/>
      <c r="F947" s="2"/>
      <c r="G947" s="2"/>
      <c r="I947" s="3"/>
    </row>
    <row r="948" spans="1:9" x14ac:dyDescent="0.25">
      <c r="C948" s="2"/>
      <c r="D948" s="2"/>
      <c r="E948" s="2"/>
      <c r="F948" s="2"/>
      <c r="G948" s="2"/>
      <c r="I948" s="3"/>
    </row>
    <row r="949" spans="1:9" x14ac:dyDescent="0.25">
      <c r="A949" s="2"/>
      <c r="C949" s="2"/>
      <c r="D949" s="2"/>
      <c r="E949" s="2"/>
      <c r="F949" s="2"/>
      <c r="G949" s="2"/>
      <c r="I949" s="3"/>
    </row>
    <row r="950" spans="1:9" x14ac:dyDescent="0.25">
      <c r="C950" s="2"/>
      <c r="D950" s="2"/>
      <c r="E950" s="2"/>
      <c r="F950" s="2"/>
      <c r="G950" s="2"/>
      <c r="I950" s="3"/>
    </row>
    <row r="951" spans="1:9" x14ac:dyDescent="0.25">
      <c r="A951" s="2"/>
      <c r="C951" s="2"/>
      <c r="D951" s="2"/>
      <c r="E951" s="2"/>
      <c r="F951" s="2"/>
      <c r="G951" s="2"/>
      <c r="I951" s="3"/>
    </row>
    <row r="952" spans="1:9" x14ac:dyDescent="0.25">
      <c r="C952" s="2"/>
      <c r="D952" s="2"/>
      <c r="E952" s="2"/>
      <c r="F952" s="2"/>
      <c r="G952" s="2"/>
      <c r="I952" s="3"/>
    </row>
    <row r="953" spans="1:9" x14ac:dyDescent="0.25">
      <c r="A953" s="2"/>
      <c r="C953" s="1"/>
      <c r="D953" s="1"/>
      <c r="E953" s="1"/>
      <c r="F953" s="1"/>
      <c r="G953" s="2"/>
      <c r="I953" s="3"/>
    </row>
    <row r="954" spans="1:9" x14ac:dyDescent="0.25">
      <c r="C954" s="2"/>
      <c r="D954" s="2"/>
      <c r="E954" s="2"/>
      <c r="F954" s="2"/>
      <c r="G954" s="2"/>
      <c r="I954" s="3"/>
    </row>
    <row r="955" spans="1:9" x14ac:dyDescent="0.25">
      <c r="A955" s="2"/>
      <c r="D955" s="2"/>
      <c r="F955" s="2"/>
      <c r="G955" s="2"/>
      <c r="I955" s="3"/>
    </row>
    <row r="956" spans="1:9" x14ac:dyDescent="0.25">
      <c r="C956" s="2"/>
      <c r="D956" s="2"/>
      <c r="E956" s="2"/>
      <c r="F956" s="1"/>
      <c r="G956" s="2"/>
      <c r="I956" s="3"/>
    </row>
    <row r="957" spans="1:9" x14ac:dyDescent="0.25">
      <c r="A957" s="2"/>
      <c r="C957" s="2"/>
      <c r="D957" s="2"/>
      <c r="E957" s="2"/>
      <c r="F957" s="2"/>
      <c r="G957" s="2"/>
      <c r="I957" s="3"/>
    </row>
    <row r="958" spans="1:9" x14ac:dyDescent="0.25">
      <c r="C958" s="1"/>
      <c r="D958" s="1"/>
      <c r="E958" s="2"/>
      <c r="F958" s="1"/>
      <c r="G958" s="2"/>
      <c r="I958" s="3"/>
    </row>
    <row r="959" spans="1:9" x14ac:dyDescent="0.25">
      <c r="A959" s="2"/>
      <c r="C959" s="1"/>
      <c r="D959" s="1"/>
      <c r="E959" s="1"/>
      <c r="F959" s="1"/>
      <c r="G959" s="2"/>
      <c r="I959" s="3"/>
    </row>
    <row r="960" spans="1:9" x14ac:dyDescent="0.25">
      <c r="C960" s="1"/>
      <c r="D960" s="2"/>
      <c r="E960" s="2"/>
      <c r="F960" s="2"/>
      <c r="G960" s="2"/>
      <c r="I960" s="3"/>
    </row>
    <row r="961" spans="1:9" x14ac:dyDescent="0.25">
      <c r="A961" s="2"/>
      <c r="C961" s="2"/>
      <c r="D961" s="2"/>
      <c r="E961" s="2"/>
      <c r="F961" s="2"/>
      <c r="G961" s="2"/>
      <c r="I961" s="3"/>
    </row>
    <row r="962" spans="1:9" x14ac:dyDescent="0.25">
      <c r="C962" s="2"/>
      <c r="D962" s="2"/>
      <c r="E962" s="2"/>
      <c r="F962" s="2"/>
      <c r="G962" s="2"/>
      <c r="I962" s="3"/>
    </row>
    <row r="963" spans="1:9" x14ac:dyDescent="0.25">
      <c r="A963" s="2"/>
      <c r="C963" s="2"/>
      <c r="D963" s="2"/>
      <c r="E963" s="2"/>
      <c r="F963" s="2"/>
      <c r="G963" s="2"/>
      <c r="I963" s="3"/>
    </row>
    <row r="964" spans="1:9" x14ac:dyDescent="0.25">
      <c r="C964" s="2"/>
      <c r="D964" s="2"/>
      <c r="E964" s="2"/>
      <c r="F964" s="2"/>
      <c r="G964" s="2"/>
      <c r="I964" s="3"/>
    </row>
    <row r="965" spans="1:9" x14ac:dyDescent="0.25">
      <c r="A965" s="2"/>
      <c r="C965" s="2"/>
      <c r="D965" s="2"/>
      <c r="E965" s="2"/>
      <c r="F965" s="2"/>
      <c r="G965" s="2"/>
      <c r="I965" s="3"/>
    </row>
    <row r="966" spans="1:9" x14ac:dyDescent="0.25">
      <c r="C966" s="2"/>
      <c r="D966" s="2"/>
      <c r="E966" s="2"/>
      <c r="F966" s="2"/>
      <c r="G966" s="2"/>
      <c r="I966" s="3"/>
    </row>
    <row r="967" spans="1:9" x14ac:dyDescent="0.25">
      <c r="A967" s="2"/>
      <c r="C967" s="2"/>
      <c r="D967" s="2"/>
      <c r="E967" s="2"/>
      <c r="F967" s="2"/>
      <c r="G967" s="2"/>
      <c r="I967" s="3"/>
    </row>
    <row r="968" spans="1:9" x14ac:dyDescent="0.25">
      <c r="C968" s="1"/>
      <c r="D968" s="1"/>
      <c r="E968" s="1"/>
      <c r="F968" s="1"/>
      <c r="G968" s="2"/>
      <c r="I968" s="3"/>
    </row>
    <row r="969" spans="1:9" x14ac:dyDescent="0.25">
      <c r="A969" s="2"/>
      <c r="G969" s="2"/>
      <c r="I969" s="3"/>
    </row>
    <row r="970" spans="1:9" x14ac:dyDescent="0.25">
      <c r="C970" s="2"/>
      <c r="D970" s="2"/>
      <c r="E970" s="2"/>
      <c r="F970" s="2"/>
      <c r="G970" s="2"/>
      <c r="I970" s="3"/>
    </row>
    <row r="971" spans="1:9" x14ac:dyDescent="0.25">
      <c r="A971" s="2"/>
      <c r="G971" s="2"/>
      <c r="I971" s="3"/>
    </row>
    <row r="972" spans="1:9" x14ac:dyDescent="0.25">
      <c r="C972" s="2"/>
      <c r="D972" s="2"/>
      <c r="E972" s="2"/>
      <c r="F972" s="2"/>
      <c r="G972" s="2"/>
      <c r="I972" s="3"/>
    </row>
    <row r="973" spans="1:9" x14ac:dyDescent="0.25">
      <c r="A973" s="2"/>
      <c r="C973" s="2"/>
      <c r="D973" s="2"/>
      <c r="E973" s="2"/>
      <c r="F973" s="2"/>
      <c r="G973" s="2"/>
      <c r="I973" s="3"/>
    </row>
    <row r="974" spans="1:9" x14ac:dyDescent="0.25">
      <c r="C974" s="2"/>
      <c r="D974" s="2"/>
      <c r="E974" s="2"/>
      <c r="F974" s="2"/>
      <c r="G974" s="2"/>
      <c r="I974" s="3"/>
    </row>
    <row r="975" spans="1:9" x14ac:dyDescent="0.25">
      <c r="A975" s="2"/>
      <c r="C975" s="2"/>
      <c r="D975" s="2"/>
      <c r="E975" s="2"/>
      <c r="F975" s="2"/>
      <c r="G975" s="2"/>
      <c r="I975" s="3"/>
    </row>
    <row r="976" spans="1:9" x14ac:dyDescent="0.25">
      <c r="C976" s="2"/>
      <c r="D976" s="2"/>
      <c r="E976" s="2"/>
      <c r="F976" s="2"/>
      <c r="G976" s="2"/>
      <c r="I976" s="3"/>
    </row>
    <row r="977" spans="1:9" x14ac:dyDescent="0.25">
      <c r="A977" s="2"/>
      <c r="C977" s="2"/>
      <c r="D977" s="2"/>
      <c r="E977" s="2"/>
      <c r="F977" s="2"/>
      <c r="G977" s="2"/>
      <c r="I977" s="3"/>
    </row>
    <row r="978" spans="1:9" x14ac:dyDescent="0.25">
      <c r="C978" s="2"/>
      <c r="D978" s="2"/>
      <c r="E978" s="2"/>
      <c r="F978" s="2"/>
      <c r="G978" s="2"/>
      <c r="I978" s="3"/>
    </row>
    <row r="979" spans="1:9" x14ac:dyDescent="0.25">
      <c r="A979" s="2"/>
      <c r="C979" s="2"/>
      <c r="D979" s="2"/>
      <c r="E979" s="2"/>
      <c r="F979" s="2"/>
      <c r="G979" s="2"/>
      <c r="I979" s="3"/>
    </row>
    <row r="980" spans="1:9" x14ac:dyDescent="0.25">
      <c r="C980" s="2"/>
      <c r="D980" s="2"/>
      <c r="E980" s="2"/>
      <c r="F980" s="2"/>
      <c r="G980" s="2"/>
      <c r="I980" s="3"/>
    </row>
    <row r="981" spans="1:9" x14ac:dyDescent="0.25">
      <c r="A981" s="2"/>
      <c r="C981" s="2"/>
      <c r="D981" s="2"/>
      <c r="E981" s="2"/>
      <c r="F981" s="2"/>
      <c r="G981" s="2"/>
      <c r="I981" s="3"/>
    </row>
    <row r="982" spans="1:9" x14ac:dyDescent="0.25">
      <c r="C982" s="2"/>
      <c r="D982" s="2"/>
      <c r="E982" s="2"/>
      <c r="F982" s="2"/>
      <c r="G982" s="2"/>
      <c r="I982" s="3"/>
    </row>
    <row r="983" spans="1:9" x14ac:dyDescent="0.25">
      <c r="A983" s="2"/>
      <c r="C983" s="2"/>
      <c r="D983" s="2"/>
      <c r="E983" s="2"/>
      <c r="F983" s="2"/>
      <c r="G983" s="2"/>
      <c r="I983" s="3"/>
    </row>
    <row r="984" spans="1:9" x14ac:dyDescent="0.25">
      <c r="C984" s="2"/>
      <c r="D984" s="2"/>
      <c r="E984" s="2"/>
      <c r="F984" s="2"/>
      <c r="G984" s="2"/>
      <c r="I984" s="3"/>
    </row>
    <row r="985" spans="1:9" x14ac:dyDescent="0.25">
      <c r="A985" s="2"/>
      <c r="G985" s="2"/>
      <c r="I985" s="3"/>
    </row>
    <row r="986" spans="1:9" x14ac:dyDescent="0.25">
      <c r="C986" s="2"/>
      <c r="D986" s="2"/>
      <c r="E986" s="2"/>
      <c r="F986" s="2"/>
      <c r="G986" s="2"/>
      <c r="I986" s="3"/>
    </row>
    <row r="987" spans="1:9" x14ac:dyDescent="0.25">
      <c r="A987" s="2"/>
      <c r="C987" s="2"/>
      <c r="D987" s="2"/>
      <c r="E987" s="2"/>
      <c r="F987" s="2"/>
      <c r="G987" s="2"/>
      <c r="I987" s="3"/>
    </row>
    <row r="988" spans="1:9" x14ac:dyDescent="0.25">
      <c r="C988" s="2"/>
      <c r="D988" s="2"/>
      <c r="E988" s="2"/>
      <c r="F988" s="2"/>
      <c r="G988" s="2"/>
      <c r="I988" s="3"/>
    </row>
    <row r="989" spans="1:9" x14ac:dyDescent="0.25">
      <c r="A989" s="2"/>
      <c r="C989" s="2"/>
      <c r="D989" s="2"/>
      <c r="E989" s="2"/>
      <c r="F989" s="2"/>
      <c r="G989" s="2"/>
      <c r="I989" s="3"/>
    </row>
    <row r="990" spans="1:9" x14ac:dyDescent="0.25">
      <c r="C990" s="2"/>
      <c r="D990" s="2"/>
      <c r="E990" s="2"/>
      <c r="F990" s="2"/>
      <c r="G990" s="2"/>
      <c r="I990" s="3"/>
    </row>
    <row r="991" spans="1:9" x14ac:dyDescent="0.25">
      <c r="A991" s="2"/>
      <c r="C991" s="2"/>
      <c r="D991" s="2"/>
      <c r="E991" s="2"/>
      <c r="F991" s="2"/>
      <c r="G991" s="2"/>
      <c r="I991" s="3"/>
    </row>
    <row r="992" spans="1:9" x14ac:dyDescent="0.25">
      <c r="C992" s="1"/>
      <c r="D992" s="1"/>
      <c r="E992" s="1"/>
      <c r="F992" s="1"/>
      <c r="G992" s="2"/>
      <c r="I992" s="3"/>
    </row>
    <row r="993" spans="1:9" x14ac:dyDescent="0.25">
      <c r="A993" s="2"/>
      <c r="C993" s="1"/>
      <c r="D993" s="1"/>
      <c r="E993" s="1"/>
      <c r="F993" s="1"/>
      <c r="G993" s="2"/>
      <c r="I993" s="3"/>
    </row>
    <row r="994" spans="1:9" x14ac:dyDescent="0.25">
      <c r="C994" s="2"/>
      <c r="D994" s="2"/>
      <c r="E994" s="2"/>
      <c r="F994" s="2"/>
      <c r="G994" s="2"/>
      <c r="I994" s="3"/>
    </row>
    <row r="995" spans="1:9" x14ac:dyDescent="0.25">
      <c r="A995" s="2"/>
      <c r="C995" s="2"/>
      <c r="D995" s="2"/>
      <c r="E995" s="2"/>
      <c r="F995" s="2"/>
      <c r="G995" s="2"/>
      <c r="I995" s="3"/>
    </row>
    <row r="996" spans="1:9" x14ac:dyDescent="0.25">
      <c r="C996" s="2"/>
      <c r="D996" s="2"/>
      <c r="E996" s="2"/>
      <c r="F996" s="2"/>
      <c r="G996" s="2"/>
      <c r="I996" s="3"/>
    </row>
    <row r="997" spans="1:9" x14ac:dyDescent="0.25">
      <c r="A997" s="2"/>
      <c r="C997" s="1"/>
      <c r="D997" s="1"/>
      <c r="E997" s="1"/>
      <c r="F997" s="1"/>
      <c r="G997" s="2"/>
      <c r="I997" s="3"/>
    </row>
    <row r="998" spans="1:9" x14ac:dyDescent="0.25">
      <c r="C998" s="2"/>
      <c r="D998" s="2"/>
      <c r="E998" s="2"/>
      <c r="F998" s="2"/>
      <c r="G998" s="2"/>
      <c r="I998" s="3"/>
    </row>
    <row r="999" spans="1:9" x14ac:dyDescent="0.25">
      <c r="A999" s="2"/>
      <c r="C999" s="2"/>
      <c r="D999" s="2"/>
      <c r="E999" s="2"/>
      <c r="F999" s="2"/>
      <c r="G999" s="2"/>
      <c r="I999" s="3"/>
    </row>
    <row r="1000" spans="1:9" x14ac:dyDescent="0.25">
      <c r="C1000" s="2"/>
      <c r="D1000" s="2"/>
      <c r="E1000" s="2"/>
      <c r="F1000" s="2"/>
      <c r="G1000" s="2"/>
      <c r="I1000" s="3"/>
    </row>
    <row r="1001" spans="1:9" x14ac:dyDescent="0.25">
      <c r="A1001" s="2"/>
      <c r="C1001" s="2"/>
      <c r="D1001" s="2"/>
      <c r="E1001" s="2"/>
      <c r="F1001" s="1"/>
      <c r="G1001" s="2"/>
      <c r="I1001" s="3"/>
    </row>
    <row r="1002" spans="1:9" x14ac:dyDescent="0.25">
      <c r="C1002" s="2"/>
      <c r="D1002" s="2"/>
      <c r="E1002" s="2"/>
      <c r="F1002" s="2"/>
      <c r="G1002" s="2"/>
      <c r="I1002" s="3"/>
    </row>
    <row r="1003" spans="1:9" x14ac:dyDescent="0.25">
      <c r="A1003" s="2"/>
      <c r="C1003" s="1"/>
      <c r="D1003" s="1"/>
      <c r="E1003" s="1"/>
      <c r="F1003" s="1"/>
      <c r="G1003" s="2"/>
      <c r="I1003" s="3"/>
    </row>
    <row r="1004" spans="1:9" x14ac:dyDescent="0.25">
      <c r="C1004" s="2"/>
      <c r="D1004" s="2"/>
      <c r="E1004" s="2"/>
      <c r="F1004" s="2"/>
      <c r="G1004" s="2"/>
      <c r="I1004" s="3"/>
    </row>
    <row r="1005" spans="1:9" x14ac:dyDescent="0.25">
      <c r="A1005" s="2"/>
      <c r="C1005" s="2"/>
      <c r="D1005" s="2"/>
      <c r="E1005" s="2"/>
      <c r="F1005" s="2"/>
      <c r="G1005" s="2"/>
      <c r="I1005" s="3"/>
    </row>
    <row r="1006" spans="1:9" x14ac:dyDescent="0.25">
      <c r="C1006" s="1"/>
      <c r="D1006" s="1"/>
      <c r="E1006" s="1"/>
      <c r="F1006" s="1"/>
      <c r="G1006" s="2"/>
      <c r="I1006" s="3"/>
    </row>
    <row r="1007" spans="1:9" x14ac:dyDescent="0.25">
      <c r="A1007" s="2"/>
      <c r="C1007" s="2"/>
      <c r="D1007" s="2"/>
      <c r="E1007" s="2"/>
      <c r="F1007" s="2"/>
      <c r="G1007" s="2"/>
      <c r="I1007" s="3"/>
    </row>
    <row r="1008" spans="1:9" x14ac:dyDescent="0.25">
      <c r="C1008" s="2"/>
      <c r="D1008" s="2"/>
      <c r="E1008" s="2"/>
      <c r="F1008" s="2"/>
      <c r="G1008" s="2"/>
      <c r="I1008" s="3"/>
    </row>
    <row r="1009" spans="1:9" x14ac:dyDescent="0.25">
      <c r="A1009" s="2"/>
      <c r="C1009" s="1"/>
      <c r="D1009" s="2"/>
      <c r="E1009" s="2"/>
      <c r="F1009" s="1"/>
      <c r="G1009" s="2"/>
      <c r="I1009" s="3"/>
    </row>
    <row r="1010" spans="1:9" x14ac:dyDescent="0.25">
      <c r="C1010" s="2"/>
      <c r="D1010" s="2"/>
      <c r="E1010" s="2"/>
      <c r="F1010" s="2"/>
      <c r="G1010" s="2"/>
      <c r="I1010" s="3"/>
    </row>
    <row r="1011" spans="1:9" x14ac:dyDescent="0.25">
      <c r="A1011" s="2"/>
      <c r="C1011" s="2"/>
      <c r="D1011" s="2"/>
      <c r="E1011" s="2"/>
      <c r="F1011" s="2"/>
      <c r="G1011" s="2"/>
    </row>
    <row r="1013" spans="1:9" x14ac:dyDescent="0.25">
      <c r="A1013" s="2"/>
    </row>
    <row r="1015" spans="1:9" x14ac:dyDescent="0.25">
      <c r="A1015" s="2"/>
    </row>
    <row r="1017" spans="1:9" x14ac:dyDescent="0.25">
      <c r="A1017" s="2"/>
    </row>
    <row r="1019" spans="1:9" x14ac:dyDescent="0.25">
      <c r="A1019" s="2"/>
    </row>
    <row r="1021" spans="1:9" x14ac:dyDescent="0.25">
      <c r="A1021" s="2"/>
    </row>
    <row r="1023" spans="1:9" x14ac:dyDescent="0.25">
      <c r="A1023" s="2"/>
    </row>
    <row r="1025" spans="1:1" x14ac:dyDescent="0.25">
      <c r="A1025" s="2"/>
    </row>
    <row r="1027" spans="1:1" x14ac:dyDescent="0.25">
      <c r="A1027" s="2"/>
    </row>
    <row r="1029" spans="1:1" x14ac:dyDescent="0.25">
      <c r="A1029" s="2"/>
    </row>
    <row r="1031" spans="1:1" x14ac:dyDescent="0.25">
      <c r="A1031" s="2"/>
    </row>
    <row r="1033" spans="1:1" x14ac:dyDescent="0.25">
      <c r="A1033" s="2"/>
    </row>
    <row r="1035" spans="1:1" x14ac:dyDescent="0.25">
      <c r="A1035" s="2"/>
    </row>
    <row r="1037" spans="1:1" x14ac:dyDescent="0.25">
      <c r="A1037" s="2"/>
    </row>
    <row r="1039" spans="1:1" x14ac:dyDescent="0.25">
      <c r="A1039" s="2"/>
    </row>
    <row r="1041" spans="1:1" x14ac:dyDescent="0.25">
      <c r="A1041" s="2"/>
    </row>
    <row r="1043" spans="1:1" x14ac:dyDescent="0.25">
      <c r="A1043" s="2"/>
    </row>
    <row r="1045" spans="1:1" x14ac:dyDescent="0.25">
      <c r="A1045" s="2"/>
    </row>
    <row r="1047" spans="1:1" x14ac:dyDescent="0.25">
      <c r="A1047" s="2"/>
    </row>
    <row r="1049" spans="1:1" x14ac:dyDescent="0.25">
      <c r="A1049" s="2"/>
    </row>
    <row r="1051" spans="1:1" x14ac:dyDescent="0.25">
      <c r="A1051" s="2"/>
    </row>
    <row r="1053" spans="1:1" x14ac:dyDescent="0.25">
      <c r="A1053" s="2"/>
    </row>
    <row r="1055" spans="1:1" x14ac:dyDescent="0.25">
      <c r="A1055" s="2"/>
    </row>
    <row r="1057" spans="1:1" x14ac:dyDescent="0.25">
      <c r="A1057" s="2"/>
    </row>
    <row r="1059" spans="1:1" x14ac:dyDescent="0.25">
      <c r="A1059" s="2"/>
    </row>
    <row r="1061" spans="1:1" x14ac:dyDescent="0.25">
      <c r="A1061" s="2"/>
    </row>
    <row r="1063" spans="1:1" x14ac:dyDescent="0.25">
      <c r="A1063" s="2"/>
    </row>
    <row r="1065" spans="1:1" x14ac:dyDescent="0.25">
      <c r="A1065" s="2"/>
    </row>
    <row r="1067" spans="1:1" x14ac:dyDescent="0.25">
      <c r="A1067" s="2"/>
    </row>
    <row r="1069" spans="1:1" x14ac:dyDescent="0.25">
      <c r="A1069" s="2"/>
    </row>
    <row r="1071" spans="1:1" x14ac:dyDescent="0.25">
      <c r="A1071" s="2"/>
    </row>
    <row r="1073" spans="1:1" x14ac:dyDescent="0.25">
      <c r="A1073" s="2"/>
    </row>
    <row r="1075" spans="1:1" x14ac:dyDescent="0.25">
      <c r="A1075" s="2"/>
    </row>
    <row r="1077" spans="1:1" x14ac:dyDescent="0.25">
      <c r="A1077" s="2"/>
    </row>
    <row r="1079" spans="1:1" x14ac:dyDescent="0.25">
      <c r="A1079" s="2"/>
    </row>
    <row r="1081" spans="1:1" x14ac:dyDescent="0.25">
      <c r="A1081" s="2"/>
    </row>
    <row r="1083" spans="1:1" x14ac:dyDescent="0.25">
      <c r="A1083" s="2"/>
    </row>
    <row r="1085" spans="1:1" x14ac:dyDescent="0.25">
      <c r="A1085" s="2"/>
    </row>
    <row r="1087" spans="1:1" x14ac:dyDescent="0.25">
      <c r="A1087" s="2"/>
    </row>
    <row r="1089" spans="1:1" x14ac:dyDescent="0.25">
      <c r="A1089" s="2"/>
    </row>
    <row r="1091" spans="1:1" x14ac:dyDescent="0.25">
      <c r="A1091" s="2"/>
    </row>
    <row r="1093" spans="1:1" x14ac:dyDescent="0.25">
      <c r="A1093" s="2"/>
    </row>
    <row r="1095" spans="1:1" x14ac:dyDescent="0.25">
      <c r="A1095" s="2"/>
    </row>
    <row r="1097" spans="1:1" x14ac:dyDescent="0.25">
      <c r="A1097" s="2"/>
    </row>
    <row r="1099" spans="1:1" x14ac:dyDescent="0.25">
      <c r="A1099" s="2"/>
    </row>
    <row r="1101" spans="1:1" x14ac:dyDescent="0.25">
      <c r="A1101" s="2"/>
    </row>
    <row r="1103" spans="1:1" x14ac:dyDescent="0.25">
      <c r="A1103" s="2"/>
    </row>
    <row r="1105" spans="1:1" x14ac:dyDescent="0.25">
      <c r="A1105" s="2"/>
    </row>
    <row r="1107" spans="1:1" x14ac:dyDescent="0.25">
      <c r="A1107" s="2"/>
    </row>
    <row r="1109" spans="1:1" x14ac:dyDescent="0.25">
      <c r="A1109" s="2"/>
    </row>
    <row r="1111" spans="1:1" x14ac:dyDescent="0.25">
      <c r="A1111" s="2"/>
    </row>
    <row r="1113" spans="1:1" x14ac:dyDescent="0.25">
      <c r="A1113" s="2"/>
    </row>
    <row r="1115" spans="1:1" x14ac:dyDescent="0.25">
      <c r="A1115" s="2"/>
    </row>
    <row r="1117" spans="1:1" x14ac:dyDescent="0.25">
      <c r="A1117" s="2"/>
    </row>
    <row r="1119" spans="1:1" x14ac:dyDescent="0.25">
      <c r="A1119" s="2"/>
    </row>
    <row r="1121" spans="1:1" x14ac:dyDescent="0.25">
      <c r="A1121" s="2"/>
    </row>
    <row r="1123" spans="1:1" x14ac:dyDescent="0.25">
      <c r="A1123" s="2"/>
    </row>
    <row r="1125" spans="1:1" x14ac:dyDescent="0.25">
      <c r="A1125" s="2"/>
    </row>
    <row r="1127" spans="1:1" x14ac:dyDescent="0.25">
      <c r="A1127" s="2"/>
    </row>
    <row r="1129" spans="1:1" x14ac:dyDescent="0.25">
      <c r="A1129" s="2"/>
    </row>
    <row r="1131" spans="1:1" x14ac:dyDescent="0.25">
      <c r="A1131" s="2"/>
    </row>
    <row r="1133" spans="1:1" x14ac:dyDescent="0.25">
      <c r="A1133" s="2"/>
    </row>
    <row r="1135" spans="1:1" x14ac:dyDescent="0.25">
      <c r="A1135" s="2"/>
    </row>
    <row r="1137" spans="1:1" x14ac:dyDescent="0.25">
      <c r="A1137" s="2"/>
    </row>
    <row r="1139" spans="1:1" x14ac:dyDescent="0.25">
      <c r="A1139" s="2"/>
    </row>
    <row r="1141" spans="1:1" x14ac:dyDescent="0.25">
      <c r="A1141" s="2"/>
    </row>
    <row r="1143" spans="1:1" x14ac:dyDescent="0.25">
      <c r="A1143" s="2"/>
    </row>
    <row r="1145" spans="1:1" x14ac:dyDescent="0.25">
      <c r="A1145" s="2"/>
    </row>
    <row r="1147" spans="1:1" x14ac:dyDescent="0.25">
      <c r="A1147" s="2"/>
    </row>
    <row r="1149" spans="1:1" x14ac:dyDescent="0.25">
      <c r="A1149" s="2"/>
    </row>
    <row r="1151" spans="1:1" x14ac:dyDescent="0.25">
      <c r="A1151" s="2"/>
    </row>
    <row r="1153" spans="1:1" x14ac:dyDescent="0.25">
      <c r="A1153" s="2"/>
    </row>
    <row r="1155" spans="1:1" x14ac:dyDescent="0.25">
      <c r="A1155" s="2"/>
    </row>
    <row r="1157" spans="1:1" x14ac:dyDescent="0.25">
      <c r="A1157" s="2"/>
    </row>
    <row r="1159" spans="1:1" x14ac:dyDescent="0.25">
      <c r="A1159" s="2"/>
    </row>
    <row r="1161" spans="1:1" x14ac:dyDescent="0.25">
      <c r="A1161" s="2"/>
    </row>
    <row r="1163" spans="1:1" x14ac:dyDescent="0.25">
      <c r="A1163" s="2"/>
    </row>
    <row r="1165" spans="1:1" x14ac:dyDescent="0.25">
      <c r="A1165" s="2"/>
    </row>
    <row r="1167" spans="1:1" x14ac:dyDescent="0.25">
      <c r="A1167" s="2"/>
    </row>
    <row r="1169" spans="1:1" x14ac:dyDescent="0.25">
      <c r="A1169" s="2"/>
    </row>
    <row r="1171" spans="1:1" x14ac:dyDescent="0.25">
      <c r="A1171" s="2"/>
    </row>
    <row r="1173" spans="1:1" x14ac:dyDescent="0.25">
      <c r="A1173" s="2"/>
    </row>
    <row r="1175" spans="1:1" x14ac:dyDescent="0.25">
      <c r="A1175" s="2"/>
    </row>
    <row r="1177" spans="1:1" x14ac:dyDescent="0.25">
      <c r="A1177" s="2"/>
    </row>
    <row r="1179" spans="1:1" x14ac:dyDescent="0.25">
      <c r="A1179" s="2"/>
    </row>
    <row r="1181" spans="1:1" x14ac:dyDescent="0.25">
      <c r="A1181" s="2"/>
    </row>
    <row r="1183" spans="1:1" x14ac:dyDescent="0.25">
      <c r="A1183" s="2"/>
    </row>
    <row r="1185" spans="1:1" x14ac:dyDescent="0.25">
      <c r="A1185" s="2"/>
    </row>
    <row r="1187" spans="1:1" x14ac:dyDescent="0.25">
      <c r="A1187" s="2"/>
    </row>
    <row r="1189" spans="1:1" x14ac:dyDescent="0.25">
      <c r="A1189" s="2"/>
    </row>
    <row r="1191" spans="1:1" x14ac:dyDescent="0.25">
      <c r="A1191" s="2"/>
    </row>
    <row r="1193" spans="1:1" x14ac:dyDescent="0.25">
      <c r="A1193" s="2"/>
    </row>
    <row r="1195" spans="1:1" x14ac:dyDescent="0.25">
      <c r="A1195" s="2"/>
    </row>
    <row r="1197" spans="1:1" x14ac:dyDescent="0.25">
      <c r="A1197" s="2"/>
    </row>
    <row r="1199" spans="1:1" x14ac:dyDescent="0.25">
      <c r="A1199" s="2"/>
    </row>
    <row r="1201" spans="1:1" x14ac:dyDescent="0.25">
      <c r="A1201" s="2"/>
    </row>
    <row r="1203" spans="1:1" x14ac:dyDescent="0.25">
      <c r="A1203" s="2"/>
    </row>
    <row r="1205" spans="1:1" x14ac:dyDescent="0.25">
      <c r="A1205" s="2"/>
    </row>
    <row r="1207" spans="1:1" x14ac:dyDescent="0.25">
      <c r="A1207" s="2"/>
    </row>
    <row r="1209" spans="1:1" x14ac:dyDescent="0.25">
      <c r="A1209" s="2"/>
    </row>
    <row r="1211" spans="1:1" x14ac:dyDescent="0.25">
      <c r="A1211" s="2"/>
    </row>
    <row r="1213" spans="1:1" x14ac:dyDescent="0.25">
      <c r="A1213" s="2"/>
    </row>
    <row r="1215" spans="1:1" x14ac:dyDescent="0.25">
      <c r="A1215" s="2"/>
    </row>
    <row r="1217" spans="1:1" x14ac:dyDescent="0.25">
      <c r="A1217" s="2"/>
    </row>
    <row r="1219" spans="1:1" x14ac:dyDescent="0.25">
      <c r="A1219" s="2"/>
    </row>
    <row r="1221" spans="1:1" x14ac:dyDescent="0.25">
      <c r="A1221" s="2"/>
    </row>
    <row r="1223" spans="1:1" x14ac:dyDescent="0.25">
      <c r="A1223" s="2"/>
    </row>
    <row r="1225" spans="1:1" x14ac:dyDescent="0.25">
      <c r="A1225" s="2"/>
    </row>
    <row r="1227" spans="1:1" x14ac:dyDescent="0.25">
      <c r="A1227" s="2"/>
    </row>
    <row r="1229" spans="1:1" x14ac:dyDescent="0.25">
      <c r="A1229" s="2"/>
    </row>
    <row r="1231" spans="1:1" x14ac:dyDescent="0.25">
      <c r="A1231" s="2"/>
    </row>
    <row r="1233" spans="1:1" x14ac:dyDescent="0.25">
      <c r="A1233" s="2"/>
    </row>
    <row r="1235" spans="1:1" x14ac:dyDescent="0.25">
      <c r="A1235" s="2"/>
    </row>
    <row r="1237" spans="1:1" x14ac:dyDescent="0.25">
      <c r="A1237" s="2"/>
    </row>
    <row r="1239" spans="1:1" x14ac:dyDescent="0.25">
      <c r="A1239" s="2"/>
    </row>
    <row r="1241" spans="1:1" x14ac:dyDescent="0.25">
      <c r="A1241" s="2"/>
    </row>
    <row r="1243" spans="1:1" x14ac:dyDescent="0.25">
      <c r="A1243" s="2"/>
    </row>
    <row r="1245" spans="1:1" x14ac:dyDescent="0.25">
      <c r="A1245" s="2"/>
    </row>
    <row r="1247" spans="1:1" x14ac:dyDescent="0.25">
      <c r="A1247" s="2"/>
    </row>
    <row r="1249" spans="1:1" x14ac:dyDescent="0.25">
      <c r="A1249" s="2"/>
    </row>
    <row r="1251" spans="1:1" x14ac:dyDescent="0.25">
      <c r="A1251" s="2"/>
    </row>
    <row r="1253" spans="1:1" x14ac:dyDescent="0.25">
      <c r="A1253" s="2"/>
    </row>
    <row r="1255" spans="1:1" x14ac:dyDescent="0.25">
      <c r="A1255" s="2"/>
    </row>
    <row r="1257" spans="1:1" x14ac:dyDescent="0.25">
      <c r="A1257" s="2"/>
    </row>
    <row r="1259" spans="1:1" x14ac:dyDescent="0.25">
      <c r="A1259" s="2"/>
    </row>
    <row r="1261" spans="1:1" x14ac:dyDescent="0.25">
      <c r="A1261" s="2"/>
    </row>
    <row r="1263" spans="1:1" x14ac:dyDescent="0.25">
      <c r="A1263" s="2"/>
    </row>
    <row r="1265" spans="1:1" x14ac:dyDescent="0.25">
      <c r="A1265" s="2"/>
    </row>
    <row r="1267" spans="1:1" x14ac:dyDescent="0.25">
      <c r="A1267" s="2"/>
    </row>
    <row r="1269" spans="1:1" x14ac:dyDescent="0.25">
      <c r="A1269" s="2"/>
    </row>
    <row r="1271" spans="1:1" x14ac:dyDescent="0.25">
      <c r="A1271" s="2"/>
    </row>
    <row r="1273" spans="1:1" x14ac:dyDescent="0.25">
      <c r="A1273" s="2"/>
    </row>
    <row r="1275" spans="1:1" x14ac:dyDescent="0.25">
      <c r="A1275" s="2"/>
    </row>
    <row r="1277" spans="1:1" x14ac:dyDescent="0.25">
      <c r="A1277" s="2"/>
    </row>
    <row r="1279" spans="1:1" x14ac:dyDescent="0.25">
      <c r="A1279" s="2"/>
    </row>
    <row r="1281" spans="1:1" x14ac:dyDescent="0.25">
      <c r="A1281" s="2"/>
    </row>
    <row r="1283" spans="1:1" x14ac:dyDescent="0.25">
      <c r="A1283" s="2"/>
    </row>
    <row r="1285" spans="1:1" x14ac:dyDescent="0.25">
      <c r="A1285" s="2"/>
    </row>
    <row r="1287" spans="1:1" x14ac:dyDescent="0.25">
      <c r="A1287" s="2"/>
    </row>
    <row r="1289" spans="1:1" x14ac:dyDescent="0.25">
      <c r="A1289" s="2"/>
    </row>
    <row r="1291" spans="1:1" x14ac:dyDescent="0.25">
      <c r="A1291" s="2"/>
    </row>
    <row r="1293" spans="1:1" x14ac:dyDescent="0.25">
      <c r="A1293" s="2"/>
    </row>
    <row r="1295" spans="1:1" x14ac:dyDescent="0.25">
      <c r="A1295" s="2"/>
    </row>
    <row r="1297" spans="1:1" x14ac:dyDescent="0.25">
      <c r="A1297" s="2"/>
    </row>
    <row r="1299" spans="1:1" x14ac:dyDescent="0.25">
      <c r="A1299" s="2"/>
    </row>
    <row r="1301" spans="1:1" x14ac:dyDescent="0.25">
      <c r="A1301" s="2"/>
    </row>
    <row r="1303" spans="1:1" x14ac:dyDescent="0.25">
      <c r="A1303" s="2"/>
    </row>
    <row r="1305" spans="1:1" x14ac:dyDescent="0.25">
      <c r="A1305" s="2"/>
    </row>
    <row r="1307" spans="1:1" x14ac:dyDescent="0.25">
      <c r="A1307" s="2"/>
    </row>
    <row r="1309" spans="1:1" x14ac:dyDescent="0.25">
      <c r="A1309" s="2"/>
    </row>
    <row r="1311" spans="1:1" x14ac:dyDescent="0.25">
      <c r="A1311" s="2"/>
    </row>
    <row r="1313" spans="1:1" x14ac:dyDescent="0.25">
      <c r="A1313" s="2"/>
    </row>
    <row r="1315" spans="1:1" x14ac:dyDescent="0.25">
      <c r="A1315" s="2"/>
    </row>
    <row r="1317" spans="1:1" x14ac:dyDescent="0.25">
      <c r="A1317" s="2"/>
    </row>
    <row r="1319" spans="1:1" x14ac:dyDescent="0.25">
      <c r="A1319" s="2"/>
    </row>
    <row r="1321" spans="1:1" x14ac:dyDescent="0.25">
      <c r="A1321" s="2"/>
    </row>
    <row r="1323" spans="1:1" x14ac:dyDescent="0.25">
      <c r="A1323" s="2"/>
    </row>
    <row r="1325" spans="1:1" x14ac:dyDescent="0.25">
      <c r="A1325" s="2"/>
    </row>
    <row r="1327" spans="1:1" x14ac:dyDescent="0.25">
      <c r="A1327" s="2"/>
    </row>
    <row r="1329" spans="1:1" x14ac:dyDescent="0.25">
      <c r="A1329" s="2"/>
    </row>
    <row r="1331" spans="1:1" x14ac:dyDescent="0.25">
      <c r="A1331" s="2"/>
    </row>
    <row r="1333" spans="1:1" x14ac:dyDescent="0.25">
      <c r="A1333" s="2"/>
    </row>
    <row r="1335" spans="1:1" x14ac:dyDescent="0.25">
      <c r="A1335" s="2"/>
    </row>
    <row r="1337" spans="1:1" x14ac:dyDescent="0.25">
      <c r="A1337" s="2"/>
    </row>
    <row r="1339" spans="1:1" x14ac:dyDescent="0.25">
      <c r="A1339" s="2"/>
    </row>
    <row r="1341" spans="1:1" x14ac:dyDescent="0.25">
      <c r="A1341" s="2"/>
    </row>
    <row r="1343" spans="1:1" x14ac:dyDescent="0.25">
      <c r="A1343" s="2"/>
    </row>
    <row r="1345" spans="1:1" x14ac:dyDescent="0.25">
      <c r="A1345" s="2"/>
    </row>
    <row r="1347" spans="1:1" x14ac:dyDescent="0.25">
      <c r="A1347" s="2"/>
    </row>
    <row r="1349" spans="1:1" x14ac:dyDescent="0.25">
      <c r="A1349" s="2"/>
    </row>
    <row r="1351" spans="1:1" x14ac:dyDescent="0.25">
      <c r="A1351" s="2"/>
    </row>
    <row r="1353" spans="1:1" x14ac:dyDescent="0.25">
      <c r="A1353" s="2"/>
    </row>
    <row r="1355" spans="1:1" x14ac:dyDescent="0.25">
      <c r="A1355" s="2"/>
    </row>
    <row r="1357" spans="1:1" x14ac:dyDescent="0.25">
      <c r="A1357" s="2"/>
    </row>
    <row r="1359" spans="1:1" x14ac:dyDescent="0.25">
      <c r="A1359" s="2"/>
    </row>
    <row r="1361" spans="1:1" x14ac:dyDescent="0.25">
      <c r="A1361" s="2"/>
    </row>
    <row r="1363" spans="1:1" x14ac:dyDescent="0.25">
      <c r="A1363" s="2"/>
    </row>
    <row r="1365" spans="1:1" x14ac:dyDescent="0.25">
      <c r="A1365" s="2"/>
    </row>
    <row r="1367" spans="1:1" x14ac:dyDescent="0.25">
      <c r="A1367" s="2"/>
    </row>
    <row r="1369" spans="1:1" x14ac:dyDescent="0.25">
      <c r="A1369" s="2"/>
    </row>
    <row r="1371" spans="1:1" x14ac:dyDescent="0.25">
      <c r="A1371" s="2"/>
    </row>
    <row r="1373" spans="1:1" x14ac:dyDescent="0.25">
      <c r="A1373" s="2"/>
    </row>
    <row r="1375" spans="1:1" x14ac:dyDescent="0.25">
      <c r="A1375" s="2"/>
    </row>
    <row r="1377" spans="1:1" x14ac:dyDescent="0.25">
      <c r="A1377" s="2"/>
    </row>
    <row r="1379" spans="1:1" x14ac:dyDescent="0.25">
      <c r="A1379" s="2"/>
    </row>
    <row r="1381" spans="1:1" x14ac:dyDescent="0.25">
      <c r="A1381" s="2"/>
    </row>
    <row r="1383" spans="1:1" x14ac:dyDescent="0.25">
      <c r="A1383" s="2"/>
    </row>
    <row r="1385" spans="1:1" x14ac:dyDescent="0.25">
      <c r="A1385" s="2"/>
    </row>
    <row r="1387" spans="1:1" x14ac:dyDescent="0.25">
      <c r="A1387" s="2"/>
    </row>
    <row r="1389" spans="1:1" x14ac:dyDescent="0.25">
      <c r="A1389" s="2"/>
    </row>
    <row r="1391" spans="1:1" x14ac:dyDescent="0.25">
      <c r="A1391" s="2"/>
    </row>
    <row r="1393" spans="1:1" x14ac:dyDescent="0.25">
      <c r="A1393" s="2"/>
    </row>
    <row r="1395" spans="1:1" x14ac:dyDescent="0.25">
      <c r="A1395" s="2"/>
    </row>
    <row r="1397" spans="1:1" x14ac:dyDescent="0.25">
      <c r="A1397" s="2"/>
    </row>
    <row r="1399" spans="1:1" x14ac:dyDescent="0.25">
      <c r="A1399" s="2"/>
    </row>
    <row r="1401" spans="1:1" x14ac:dyDescent="0.25">
      <c r="A1401" s="2"/>
    </row>
    <row r="1403" spans="1:1" x14ac:dyDescent="0.25">
      <c r="A1403" s="2"/>
    </row>
    <row r="1405" spans="1:1" x14ac:dyDescent="0.25">
      <c r="A1405" s="2"/>
    </row>
    <row r="1407" spans="1:1" x14ac:dyDescent="0.25">
      <c r="A1407" s="2"/>
    </row>
    <row r="1409" spans="1:1" x14ac:dyDescent="0.25">
      <c r="A1409" s="2"/>
    </row>
    <row r="1411" spans="1:1" x14ac:dyDescent="0.25">
      <c r="A1411" s="2"/>
    </row>
    <row r="1413" spans="1:1" x14ac:dyDescent="0.25">
      <c r="A1413" s="2"/>
    </row>
    <row r="1415" spans="1:1" x14ac:dyDescent="0.25">
      <c r="A1415" s="2"/>
    </row>
    <row r="1417" spans="1:1" x14ac:dyDescent="0.25">
      <c r="A1417" s="2"/>
    </row>
    <row r="1419" spans="1:1" x14ac:dyDescent="0.25">
      <c r="A1419" s="2"/>
    </row>
    <row r="1421" spans="1:1" x14ac:dyDescent="0.25">
      <c r="A1421" s="2"/>
    </row>
    <row r="1423" spans="1:1" x14ac:dyDescent="0.25">
      <c r="A1423" s="2"/>
    </row>
    <row r="1425" spans="1:1" x14ac:dyDescent="0.25">
      <c r="A1425" s="2"/>
    </row>
    <row r="1427" spans="1:1" x14ac:dyDescent="0.25">
      <c r="A1427" s="2"/>
    </row>
    <row r="1429" spans="1:1" x14ac:dyDescent="0.25">
      <c r="A1429" s="2"/>
    </row>
    <row r="1431" spans="1:1" x14ac:dyDescent="0.25">
      <c r="A1431" s="2"/>
    </row>
    <row r="1433" spans="1:1" x14ac:dyDescent="0.25">
      <c r="A1433" s="2"/>
    </row>
    <row r="1435" spans="1:1" x14ac:dyDescent="0.25">
      <c r="A1435" s="2"/>
    </row>
    <row r="1437" spans="1:1" x14ac:dyDescent="0.25">
      <c r="A1437" s="2"/>
    </row>
    <row r="1439" spans="1:1" x14ac:dyDescent="0.25">
      <c r="A1439" s="2"/>
    </row>
    <row r="1441" spans="1:1" x14ac:dyDescent="0.25">
      <c r="A1441" s="2"/>
    </row>
    <row r="1443" spans="1:1" x14ac:dyDescent="0.25">
      <c r="A1443" s="2"/>
    </row>
    <row r="1445" spans="1:1" x14ac:dyDescent="0.25">
      <c r="A1445" s="2"/>
    </row>
    <row r="1447" spans="1:1" x14ac:dyDescent="0.25">
      <c r="A1447" s="2"/>
    </row>
    <row r="1449" spans="1:1" x14ac:dyDescent="0.25">
      <c r="A1449" s="2"/>
    </row>
    <row r="1451" spans="1:1" x14ac:dyDescent="0.25">
      <c r="A1451" s="2"/>
    </row>
    <row r="1453" spans="1:1" x14ac:dyDescent="0.25">
      <c r="A1453" s="2"/>
    </row>
    <row r="1455" spans="1:1" x14ac:dyDescent="0.25">
      <c r="A1455" s="2"/>
    </row>
    <row r="1457" spans="1:1" x14ac:dyDescent="0.25">
      <c r="A1457" s="2"/>
    </row>
    <row r="1459" spans="1:1" x14ac:dyDescent="0.25">
      <c r="A1459" s="2"/>
    </row>
    <row r="1461" spans="1:1" x14ac:dyDescent="0.25">
      <c r="A1461" s="2"/>
    </row>
    <row r="1463" spans="1:1" x14ac:dyDescent="0.25">
      <c r="A1463" s="2"/>
    </row>
    <row r="1465" spans="1:1" x14ac:dyDescent="0.25">
      <c r="A1465" s="2"/>
    </row>
    <row r="1467" spans="1:1" x14ac:dyDescent="0.25">
      <c r="A1467" s="2"/>
    </row>
    <row r="1469" spans="1:1" x14ac:dyDescent="0.25">
      <c r="A1469" s="2"/>
    </row>
    <row r="1471" spans="1:1" x14ac:dyDescent="0.25">
      <c r="A1471" s="2"/>
    </row>
    <row r="1473" spans="1:1" x14ac:dyDescent="0.25">
      <c r="A1473" s="2"/>
    </row>
    <row r="1475" spans="1:1" x14ac:dyDescent="0.25">
      <c r="A1475" s="2"/>
    </row>
    <row r="1477" spans="1:1" x14ac:dyDescent="0.25">
      <c r="A1477" s="2"/>
    </row>
    <row r="1479" spans="1:1" x14ac:dyDescent="0.25">
      <c r="A1479" s="2"/>
    </row>
    <row r="1481" spans="1:1" x14ac:dyDescent="0.25">
      <c r="A1481" s="2"/>
    </row>
    <row r="1483" spans="1:1" x14ac:dyDescent="0.25">
      <c r="A1483" s="2"/>
    </row>
    <row r="1485" spans="1:1" x14ac:dyDescent="0.25">
      <c r="A1485" s="2"/>
    </row>
    <row r="1487" spans="1:1" x14ac:dyDescent="0.25">
      <c r="A1487" s="2"/>
    </row>
    <row r="1489" spans="1:1" x14ac:dyDescent="0.25">
      <c r="A1489" s="2"/>
    </row>
    <row r="1491" spans="1:1" x14ac:dyDescent="0.25">
      <c r="A1491" s="2"/>
    </row>
    <row r="1493" spans="1:1" x14ac:dyDescent="0.25">
      <c r="A1493" s="2"/>
    </row>
    <row r="1495" spans="1:1" x14ac:dyDescent="0.25">
      <c r="A1495" s="2"/>
    </row>
    <row r="1497" spans="1:1" x14ac:dyDescent="0.25">
      <c r="A1497" s="2"/>
    </row>
    <row r="1499" spans="1:1" x14ac:dyDescent="0.25">
      <c r="A1499" s="2"/>
    </row>
    <row r="1501" spans="1:1" x14ac:dyDescent="0.25">
      <c r="A1501" s="2"/>
    </row>
    <row r="1503" spans="1:1" x14ac:dyDescent="0.25">
      <c r="A1503" s="2"/>
    </row>
    <row r="1505" spans="1:1" x14ac:dyDescent="0.25">
      <c r="A1505" s="2"/>
    </row>
    <row r="1507" spans="1:1" x14ac:dyDescent="0.25">
      <c r="A1507" s="2"/>
    </row>
    <row r="1509" spans="1:1" x14ac:dyDescent="0.25">
      <c r="A1509" s="2"/>
    </row>
    <row r="1511" spans="1:1" x14ac:dyDescent="0.25">
      <c r="A1511" s="2"/>
    </row>
    <row r="1513" spans="1:1" x14ac:dyDescent="0.25">
      <c r="A1513" s="2"/>
    </row>
    <row r="1515" spans="1:1" x14ac:dyDescent="0.25">
      <c r="A1515" s="2"/>
    </row>
    <row r="1517" spans="1:1" x14ac:dyDescent="0.25">
      <c r="A1517" s="2"/>
    </row>
    <row r="1519" spans="1:1" x14ac:dyDescent="0.25">
      <c r="A1519" s="2"/>
    </row>
    <row r="1521" spans="1:1" x14ac:dyDescent="0.25">
      <c r="A1521" s="2"/>
    </row>
    <row r="1523" spans="1:1" x14ac:dyDescent="0.25">
      <c r="A1523" s="2"/>
    </row>
    <row r="1525" spans="1:1" x14ac:dyDescent="0.25">
      <c r="A1525" s="2"/>
    </row>
    <row r="1527" spans="1:1" x14ac:dyDescent="0.25">
      <c r="A1527" s="2"/>
    </row>
    <row r="1529" spans="1:1" x14ac:dyDescent="0.25">
      <c r="A1529" s="2"/>
    </row>
    <row r="1531" spans="1:1" x14ac:dyDescent="0.25">
      <c r="A1531" s="2"/>
    </row>
    <row r="1533" spans="1:1" x14ac:dyDescent="0.25">
      <c r="A1533" s="2"/>
    </row>
    <row r="1535" spans="1:1" x14ac:dyDescent="0.25">
      <c r="A1535" s="2"/>
    </row>
    <row r="1537" spans="1:1" x14ac:dyDescent="0.25">
      <c r="A1537" s="2"/>
    </row>
    <row r="1539" spans="1:1" x14ac:dyDescent="0.25">
      <c r="A1539" s="2"/>
    </row>
    <row r="1541" spans="1:1" x14ac:dyDescent="0.25">
      <c r="A1541" s="2"/>
    </row>
    <row r="1543" spans="1:1" x14ac:dyDescent="0.25">
      <c r="A1543" s="2"/>
    </row>
    <row r="1545" spans="1:1" x14ac:dyDescent="0.25">
      <c r="A1545" s="2"/>
    </row>
    <row r="1547" spans="1:1" x14ac:dyDescent="0.25">
      <c r="A1547" s="2"/>
    </row>
    <row r="1549" spans="1:1" x14ac:dyDescent="0.25">
      <c r="A1549" s="2"/>
    </row>
    <row r="1551" spans="1:1" x14ac:dyDescent="0.25">
      <c r="A1551" s="2"/>
    </row>
    <row r="1553" spans="1:1" x14ac:dyDescent="0.25">
      <c r="A1553" s="2"/>
    </row>
    <row r="1555" spans="1:1" x14ac:dyDescent="0.25">
      <c r="A1555" s="2"/>
    </row>
    <row r="1557" spans="1:1" x14ac:dyDescent="0.25">
      <c r="A1557" s="2"/>
    </row>
    <row r="1559" spans="1:1" x14ac:dyDescent="0.25">
      <c r="A1559" s="2"/>
    </row>
    <row r="1561" spans="1:1" x14ac:dyDescent="0.25">
      <c r="A1561" s="2"/>
    </row>
    <row r="1563" spans="1:1" x14ac:dyDescent="0.25">
      <c r="A1563" s="2"/>
    </row>
    <row r="1565" spans="1:1" x14ac:dyDescent="0.25">
      <c r="A1565" s="2"/>
    </row>
    <row r="1567" spans="1:1" x14ac:dyDescent="0.25">
      <c r="A1567" s="2"/>
    </row>
    <row r="1569" spans="1:1" x14ac:dyDescent="0.25">
      <c r="A1569" s="2"/>
    </row>
    <row r="1571" spans="1:1" x14ac:dyDescent="0.25">
      <c r="A1571" s="2"/>
    </row>
    <row r="1573" spans="1:1" x14ac:dyDescent="0.25">
      <c r="A1573" s="2"/>
    </row>
    <row r="1575" spans="1:1" x14ac:dyDescent="0.25">
      <c r="A1575" s="2"/>
    </row>
    <row r="1577" spans="1:1" x14ac:dyDescent="0.25">
      <c r="A1577" s="2"/>
    </row>
    <row r="1579" spans="1:1" x14ac:dyDescent="0.25">
      <c r="A1579" s="2"/>
    </row>
    <row r="1581" spans="1:1" x14ac:dyDescent="0.25">
      <c r="A1581" s="2"/>
    </row>
    <row r="1583" spans="1:1" x14ac:dyDescent="0.25">
      <c r="A1583" s="2"/>
    </row>
    <row r="1585" spans="1:1" x14ac:dyDescent="0.25">
      <c r="A1585" s="2"/>
    </row>
    <row r="1587" spans="1:1" x14ac:dyDescent="0.25">
      <c r="A1587" s="2"/>
    </row>
    <row r="1589" spans="1:1" x14ac:dyDescent="0.25">
      <c r="A1589" s="2"/>
    </row>
    <row r="1591" spans="1:1" x14ac:dyDescent="0.25">
      <c r="A1591" s="2"/>
    </row>
    <row r="1593" spans="1:1" x14ac:dyDescent="0.25">
      <c r="A1593" s="2"/>
    </row>
    <row r="1595" spans="1:1" x14ac:dyDescent="0.25">
      <c r="A1595" s="2"/>
    </row>
    <row r="1597" spans="1:1" x14ac:dyDescent="0.25">
      <c r="A1597" s="2"/>
    </row>
    <row r="1599" spans="1:1" x14ac:dyDescent="0.25">
      <c r="A1599" s="2"/>
    </row>
    <row r="1601" spans="1:1" x14ac:dyDescent="0.25">
      <c r="A1601" s="2"/>
    </row>
    <row r="1603" spans="1:1" x14ac:dyDescent="0.25">
      <c r="A1603" s="2"/>
    </row>
    <row r="1605" spans="1:1" x14ac:dyDescent="0.25">
      <c r="A1605" s="2"/>
    </row>
    <row r="1607" spans="1:1" x14ac:dyDescent="0.25">
      <c r="A1607" s="2"/>
    </row>
    <row r="1609" spans="1:1" x14ac:dyDescent="0.25">
      <c r="A1609" s="2"/>
    </row>
    <row r="1611" spans="1:1" x14ac:dyDescent="0.25">
      <c r="A1611" s="2"/>
    </row>
    <row r="1613" spans="1:1" x14ac:dyDescent="0.25">
      <c r="A1613" s="2"/>
    </row>
    <row r="1615" spans="1:1" x14ac:dyDescent="0.25">
      <c r="A1615" s="2"/>
    </row>
    <row r="1617" spans="1:1" x14ac:dyDescent="0.25">
      <c r="A1617" s="2"/>
    </row>
    <row r="1619" spans="1:1" x14ac:dyDescent="0.25">
      <c r="A1619" s="2"/>
    </row>
    <row r="1621" spans="1:1" x14ac:dyDescent="0.25">
      <c r="A1621" s="2"/>
    </row>
    <row r="1623" spans="1:1" x14ac:dyDescent="0.25">
      <c r="A1623" s="2"/>
    </row>
    <row r="1625" spans="1:1" x14ac:dyDescent="0.25">
      <c r="A1625" s="2"/>
    </row>
    <row r="1627" spans="1:1" x14ac:dyDescent="0.25">
      <c r="A1627" s="2"/>
    </row>
    <row r="1629" spans="1:1" x14ac:dyDescent="0.25">
      <c r="A1629" s="2"/>
    </row>
    <row r="1631" spans="1:1" x14ac:dyDescent="0.25">
      <c r="A1631" s="2"/>
    </row>
    <row r="1633" spans="1:1" x14ac:dyDescent="0.25">
      <c r="A1633" s="2"/>
    </row>
    <row r="1635" spans="1:1" x14ac:dyDescent="0.25">
      <c r="A1635" s="2"/>
    </row>
    <row r="1637" spans="1:1" x14ac:dyDescent="0.25">
      <c r="A1637" s="2"/>
    </row>
    <row r="1639" spans="1:1" x14ac:dyDescent="0.25">
      <c r="A1639" s="2"/>
    </row>
    <row r="1641" spans="1:1" x14ac:dyDescent="0.25">
      <c r="A1641" s="2"/>
    </row>
    <row r="1643" spans="1:1" x14ac:dyDescent="0.25">
      <c r="A1643" s="2"/>
    </row>
    <row r="1645" spans="1:1" x14ac:dyDescent="0.25">
      <c r="A1645" s="2"/>
    </row>
    <row r="1647" spans="1:1" x14ac:dyDescent="0.25">
      <c r="A1647" s="2"/>
    </row>
    <row r="1649" spans="1:1" x14ac:dyDescent="0.25">
      <c r="A1649" s="2"/>
    </row>
    <row r="1651" spans="1:1" x14ac:dyDescent="0.25">
      <c r="A1651" s="2"/>
    </row>
    <row r="1653" spans="1:1" x14ac:dyDescent="0.25">
      <c r="A1653" s="2"/>
    </row>
    <row r="1655" spans="1:1" x14ac:dyDescent="0.25">
      <c r="A1655" s="2"/>
    </row>
    <row r="1657" spans="1:1" x14ac:dyDescent="0.25">
      <c r="A1657" s="2"/>
    </row>
    <row r="1659" spans="1:1" x14ac:dyDescent="0.25">
      <c r="A1659" s="2"/>
    </row>
    <row r="1661" spans="1:1" x14ac:dyDescent="0.25">
      <c r="A1661" s="2"/>
    </row>
    <row r="1663" spans="1:1" x14ac:dyDescent="0.25">
      <c r="A1663" s="2"/>
    </row>
    <row r="1665" spans="1:1" x14ac:dyDescent="0.25">
      <c r="A1665" s="2"/>
    </row>
    <row r="1667" spans="1:1" x14ac:dyDescent="0.25">
      <c r="A1667" s="2"/>
    </row>
    <row r="1669" spans="1:1" x14ac:dyDescent="0.25">
      <c r="A1669" s="2"/>
    </row>
    <row r="1671" spans="1:1" x14ac:dyDescent="0.25">
      <c r="A1671" s="2"/>
    </row>
    <row r="1673" spans="1:1" x14ac:dyDescent="0.25">
      <c r="A1673" s="2"/>
    </row>
    <row r="1675" spans="1:1" x14ac:dyDescent="0.25">
      <c r="A1675" s="2"/>
    </row>
    <row r="1677" spans="1:1" x14ac:dyDescent="0.25">
      <c r="A1677" s="2"/>
    </row>
    <row r="1679" spans="1:1" x14ac:dyDescent="0.25">
      <c r="A1679" s="2"/>
    </row>
    <row r="1681" spans="1:1" x14ac:dyDescent="0.25">
      <c r="A1681" s="2"/>
    </row>
    <row r="1683" spans="1:1" x14ac:dyDescent="0.25">
      <c r="A1683" s="2"/>
    </row>
    <row r="1685" spans="1:1" x14ac:dyDescent="0.25">
      <c r="A1685" s="2"/>
    </row>
    <row r="1687" spans="1:1" x14ac:dyDescent="0.25">
      <c r="A1687" s="2"/>
    </row>
    <row r="1689" spans="1:1" x14ac:dyDescent="0.25">
      <c r="A1689" s="2"/>
    </row>
    <row r="1691" spans="1:1" x14ac:dyDescent="0.25">
      <c r="A1691" s="2"/>
    </row>
    <row r="1693" spans="1:1" x14ac:dyDescent="0.25">
      <c r="A1693" s="2"/>
    </row>
    <row r="1695" spans="1:1" x14ac:dyDescent="0.25">
      <c r="A1695" s="2"/>
    </row>
    <row r="1697" spans="1:1" x14ac:dyDescent="0.25">
      <c r="A1697" s="2"/>
    </row>
    <row r="1699" spans="1:1" x14ac:dyDescent="0.25">
      <c r="A1699" s="2"/>
    </row>
    <row r="1701" spans="1:1" x14ac:dyDescent="0.25">
      <c r="A1701" s="2"/>
    </row>
    <row r="1703" spans="1:1" x14ac:dyDescent="0.25">
      <c r="A1703" s="2"/>
    </row>
    <row r="1705" spans="1:1" x14ac:dyDescent="0.25">
      <c r="A1705" s="2"/>
    </row>
    <row r="1707" spans="1:1" x14ac:dyDescent="0.25">
      <c r="A1707" s="2"/>
    </row>
    <row r="1709" spans="1:1" x14ac:dyDescent="0.25">
      <c r="A1709" s="2"/>
    </row>
    <row r="1711" spans="1:1" x14ac:dyDescent="0.25">
      <c r="A1711" s="2"/>
    </row>
    <row r="1713" spans="1:1" x14ac:dyDescent="0.25">
      <c r="A1713" s="2"/>
    </row>
    <row r="1715" spans="1:1" x14ac:dyDescent="0.25">
      <c r="A1715" s="2"/>
    </row>
    <row r="1717" spans="1:1" x14ac:dyDescent="0.25">
      <c r="A1717" s="2"/>
    </row>
    <row r="1719" spans="1:1" x14ac:dyDescent="0.25">
      <c r="A1719" s="2"/>
    </row>
    <row r="1721" spans="1:1" x14ac:dyDescent="0.25">
      <c r="A1721" s="2"/>
    </row>
    <row r="1723" spans="1:1" x14ac:dyDescent="0.25">
      <c r="A1723" s="2"/>
    </row>
    <row r="1725" spans="1:1" x14ac:dyDescent="0.25">
      <c r="A1725" s="2"/>
    </row>
    <row r="1727" spans="1:1" x14ac:dyDescent="0.25">
      <c r="A1727" s="2"/>
    </row>
    <row r="1729" spans="1:1" x14ac:dyDescent="0.25">
      <c r="A1729" s="2"/>
    </row>
    <row r="1731" spans="1:1" x14ac:dyDescent="0.25">
      <c r="A1731" s="2"/>
    </row>
    <row r="1733" spans="1:1" x14ac:dyDescent="0.25">
      <c r="A1733" s="2"/>
    </row>
    <row r="1735" spans="1:1" x14ac:dyDescent="0.25">
      <c r="A1735" s="2"/>
    </row>
    <row r="1737" spans="1:1" x14ac:dyDescent="0.25">
      <c r="A1737" s="2"/>
    </row>
    <row r="1739" spans="1:1" x14ac:dyDescent="0.25">
      <c r="A1739" s="2"/>
    </row>
    <row r="1741" spans="1:1" x14ac:dyDescent="0.25">
      <c r="A1741" s="2"/>
    </row>
    <row r="1743" spans="1:1" x14ac:dyDescent="0.25">
      <c r="A1743" s="2"/>
    </row>
    <row r="1745" spans="1:1" x14ac:dyDescent="0.25">
      <c r="A1745" s="2"/>
    </row>
    <row r="1747" spans="1:1" x14ac:dyDescent="0.25">
      <c r="A1747" s="2"/>
    </row>
    <row r="1749" spans="1:1" x14ac:dyDescent="0.25">
      <c r="A1749" s="2"/>
    </row>
    <row r="1751" spans="1:1" x14ac:dyDescent="0.25">
      <c r="A1751" s="2"/>
    </row>
    <row r="1753" spans="1:1" x14ac:dyDescent="0.25">
      <c r="A1753" s="2"/>
    </row>
    <row r="1755" spans="1:1" x14ac:dyDescent="0.25">
      <c r="A1755" s="2"/>
    </row>
    <row r="1757" spans="1:1" x14ac:dyDescent="0.25">
      <c r="A1757" s="2"/>
    </row>
    <row r="1759" spans="1:1" x14ac:dyDescent="0.25">
      <c r="A1759" s="2"/>
    </row>
    <row r="1761" spans="1:1" x14ac:dyDescent="0.25">
      <c r="A1761" s="2"/>
    </row>
    <row r="1763" spans="1:1" x14ac:dyDescent="0.25">
      <c r="A1763" s="2"/>
    </row>
    <row r="1765" spans="1:1" x14ac:dyDescent="0.25">
      <c r="A1765" s="2"/>
    </row>
    <row r="1767" spans="1:1" x14ac:dyDescent="0.25">
      <c r="A1767" s="2"/>
    </row>
    <row r="1769" spans="1:1" x14ac:dyDescent="0.25">
      <c r="A1769" s="2"/>
    </row>
    <row r="1771" spans="1:1" x14ac:dyDescent="0.25">
      <c r="A1771" s="2"/>
    </row>
    <row r="1773" spans="1:1" x14ac:dyDescent="0.25">
      <c r="A1773" s="2"/>
    </row>
    <row r="1775" spans="1:1" x14ac:dyDescent="0.25">
      <c r="A1775" s="2"/>
    </row>
    <row r="1777" spans="1:1" x14ac:dyDescent="0.25">
      <c r="A1777" s="2"/>
    </row>
    <row r="1779" spans="1:1" x14ac:dyDescent="0.25">
      <c r="A1779" s="2"/>
    </row>
    <row r="1781" spans="1:1" x14ac:dyDescent="0.25">
      <c r="A1781" s="2"/>
    </row>
    <row r="1783" spans="1:1" x14ac:dyDescent="0.25">
      <c r="A1783" s="2"/>
    </row>
    <row r="1785" spans="1:1" x14ac:dyDescent="0.25">
      <c r="A1785" s="2"/>
    </row>
    <row r="1787" spans="1:1" x14ac:dyDescent="0.25">
      <c r="A1787" s="2"/>
    </row>
    <row r="1789" spans="1:1" x14ac:dyDescent="0.25">
      <c r="A1789" s="2"/>
    </row>
    <row r="1791" spans="1:1" x14ac:dyDescent="0.25">
      <c r="A1791" s="2"/>
    </row>
    <row r="1793" spans="1:1" x14ac:dyDescent="0.25">
      <c r="A1793" s="2"/>
    </row>
    <row r="1795" spans="1:1" x14ac:dyDescent="0.25">
      <c r="A1795" s="2"/>
    </row>
    <row r="1797" spans="1:1" x14ac:dyDescent="0.25">
      <c r="A1797" s="2"/>
    </row>
    <row r="1799" spans="1:1" x14ac:dyDescent="0.25">
      <c r="A1799" s="2"/>
    </row>
    <row r="1801" spans="1:1" x14ac:dyDescent="0.25">
      <c r="A1801" s="2"/>
    </row>
    <row r="1803" spans="1:1" x14ac:dyDescent="0.25">
      <c r="A1803" s="2"/>
    </row>
    <row r="1805" spans="1:1" x14ac:dyDescent="0.25">
      <c r="A1805" s="2"/>
    </row>
    <row r="1807" spans="1:1" x14ac:dyDescent="0.25">
      <c r="A1807" s="2"/>
    </row>
    <row r="1809" spans="1:1" x14ac:dyDescent="0.25">
      <c r="A1809" s="2"/>
    </row>
    <row r="1811" spans="1:1" x14ac:dyDescent="0.25">
      <c r="A1811" s="2"/>
    </row>
    <row r="1813" spans="1:1" x14ac:dyDescent="0.25">
      <c r="A1813" s="2"/>
    </row>
    <row r="1815" spans="1:1" x14ac:dyDescent="0.25">
      <c r="A1815" s="2"/>
    </row>
    <row r="1817" spans="1:1" x14ac:dyDescent="0.25">
      <c r="A1817" s="2"/>
    </row>
    <row r="1819" spans="1:1" x14ac:dyDescent="0.25">
      <c r="A1819" s="2"/>
    </row>
    <row r="1821" spans="1:1" x14ac:dyDescent="0.25">
      <c r="A1821" s="2"/>
    </row>
    <row r="1823" spans="1:1" x14ac:dyDescent="0.25">
      <c r="A1823" s="2"/>
    </row>
    <row r="1825" spans="1:1" x14ac:dyDescent="0.25">
      <c r="A1825" s="2"/>
    </row>
    <row r="1827" spans="1:1" x14ac:dyDescent="0.25">
      <c r="A1827" s="2"/>
    </row>
    <row r="1829" spans="1:1" x14ac:dyDescent="0.25">
      <c r="A1829" s="2"/>
    </row>
    <row r="1831" spans="1:1" x14ac:dyDescent="0.25">
      <c r="A1831" s="2"/>
    </row>
    <row r="1833" spans="1:1" x14ac:dyDescent="0.25">
      <c r="A1833" s="2"/>
    </row>
    <row r="1835" spans="1:1" x14ac:dyDescent="0.25">
      <c r="A1835" s="2"/>
    </row>
    <row r="1837" spans="1:1" x14ac:dyDescent="0.25">
      <c r="A1837" s="2"/>
    </row>
    <row r="1839" spans="1:1" x14ac:dyDescent="0.25">
      <c r="A1839" s="2"/>
    </row>
    <row r="1841" spans="1:1" x14ac:dyDescent="0.25">
      <c r="A1841" s="2"/>
    </row>
    <row r="1843" spans="1:1" x14ac:dyDescent="0.25">
      <c r="A1843" s="2"/>
    </row>
    <row r="1845" spans="1:1" x14ac:dyDescent="0.25">
      <c r="A1845" s="2"/>
    </row>
    <row r="1847" spans="1:1" x14ac:dyDescent="0.25">
      <c r="A1847" s="2"/>
    </row>
    <row r="1849" spans="1:1" x14ac:dyDescent="0.25">
      <c r="A1849" s="2"/>
    </row>
    <row r="1851" spans="1:1" x14ac:dyDescent="0.25">
      <c r="A1851" s="2"/>
    </row>
    <row r="1853" spans="1:1" x14ac:dyDescent="0.25">
      <c r="A1853" s="2"/>
    </row>
    <row r="1855" spans="1:1" x14ac:dyDescent="0.25">
      <c r="A1855" s="2"/>
    </row>
    <row r="1857" spans="1:1" x14ac:dyDescent="0.25">
      <c r="A1857" s="2"/>
    </row>
    <row r="1859" spans="1:1" x14ac:dyDescent="0.25">
      <c r="A1859" s="2"/>
    </row>
    <row r="1861" spans="1:1" x14ac:dyDescent="0.25">
      <c r="A1861" s="2"/>
    </row>
    <row r="1863" spans="1:1" x14ac:dyDescent="0.25">
      <c r="A1863" s="2"/>
    </row>
    <row r="1865" spans="1:1" x14ac:dyDescent="0.25">
      <c r="A1865" s="2"/>
    </row>
    <row r="1867" spans="1:1" x14ac:dyDescent="0.25">
      <c r="A1867" s="2"/>
    </row>
    <row r="1869" spans="1:1" x14ac:dyDescent="0.25">
      <c r="A1869" s="2"/>
    </row>
    <row r="1871" spans="1:1" x14ac:dyDescent="0.25">
      <c r="A1871" s="2"/>
    </row>
    <row r="1873" spans="1:1" x14ac:dyDescent="0.25">
      <c r="A1873" s="2"/>
    </row>
    <row r="1875" spans="1:1" x14ac:dyDescent="0.25">
      <c r="A1875" s="2"/>
    </row>
    <row r="1877" spans="1:1" x14ac:dyDescent="0.25">
      <c r="A1877" s="2"/>
    </row>
    <row r="1879" spans="1:1" x14ac:dyDescent="0.25">
      <c r="A1879" s="2"/>
    </row>
    <row r="1881" spans="1:1" x14ac:dyDescent="0.25">
      <c r="A1881" s="2"/>
    </row>
    <row r="1883" spans="1:1" x14ac:dyDescent="0.25">
      <c r="A1883" s="2"/>
    </row>
    <row r="1885" spans="1:1" x14ac:dyDescent="0.25">
      <c r="A1885" s="2"/>
    </row>
    <row r="1887" spans="1:1" x14ac:dyDescent="0.25">
      <c r="A1887" s="2"/>
    </row>
    <row r="1889" spans="1:1" x14ac:dyDescent="0.25">
      <c r="A1889" s="2"/>
    </row>
    <row r="1891" spans="1:1" x14ac:dyDescent="0.25">
      <c r="A1891" s="2"/>
    </row>
    <row r="1893" spans="1:1" x14ac:dyDescent="0.25">
      <c r="A1893" s="2"/>
    </row>
    <row r="1895" spans="1:1" x14ac:dyDescent="0.25">
      <c r="A1895" s="2"/>
    </row>
    <row r="1897" spans="1:1" x14ac:dyDescent="0.25">
      <c r="A1897" s="2"/>
    </row>
    <row r="1899" spans="1:1" x14ac:dyDescent="0.25">
      <c r="A1899" s="2"/>
    </row>
    <row r="1901" spans="1:1" x14ac:dyDescent="0.25">
      <c r="A1901" s="2"/>
    </row>
    <row r="1903" spans="1:1" x14ac:dyDescent="0.25">
      <c r="A1903" s="2"/>
    </row>
    <row r="1905" spans="1:1" x14ac:dyDescent="0.25">
      <c r="A1905" s="2"/>
    </row>
    <row r="1907" spans="1:1" x14ac:dyDescent="0.25">
      <c r="A1907" s="2"/>
    </row>
    <row r="1909" spans="1:1" x14ac:dyDescent="0.25">
      <c r="A1909" s="2"/>
    </row>
    <row r="1911" spans="1:1" x14ac:dyDescent="0.25">
      <c r="A1911" s="2"/>
    </row>
    <row r="1913" spans="1:1" x14ac:dyDescent="0.25">
      <c r="A1913" s="2"/>
    </row>
    <row r="1915" spans="1:1" x14ac:dyDescent="0.25">
      <c r="A1915" s="2"/>
    </row>
    <row r="1917" spans="1:1" x14ac:dyDescent="0.25">
      <c r="A1917" s="2"/>
    </row>
    <row r="1919" spans="1:1" x14ac:dyDescent="0.25">
      <c r="A1919" s="2"/>
    </row>
    <row r="1921" spans="1:1" x14ac:dyDescent="0.25">
      <c r="A1921" s="2"/>
    </row>
    <row r="1923" spans="1:1" x14ac:dyDescent="0.25">
      <c r="A1923" s="2"/>
    </row>
    <row r="1925" spans="1:1" x14ac:dyDescent="0.25">
      <c r="A1925" s="2"/>
    </row>
    <row r="1927" spans="1:1" x14ac:dyDescent="0.25">
      <c r="A1927" s="2"/>
    </row>
    <row r="1929" spans="1:1" x14ac:dyDescent="0.25">
      <c r="A1929" s="2"/>
    </row>
    <row r="1931" spans="1:1" x14ac:dyDescent="0.25">
      <c r="A1931" s="2"/>
    </row>
    <row r="1933" spans="1:1" x14ac:dyDescent="0.25">
      <c r="A1933" s="2"/>
    </row>
    <row r="1935" spans="1:1" x14ac:dyDescent="0.25">
      <c r="A1935" s="2"/>
    </row>
    <row r="1937" spans="1:1" x14ac:dyDescent="0.25">
      <c r="A1937" s="2"/>
    </row>
    <row r="1939" spans="1:1" x14ac:dyDescent="0.25">
      <c r="A1939" s="2"/>
    </row>
    <row r="1941" spans="1:1" x14ac:dyDescent="0.25">
      <c r="A1941" s="2"/>
    </row>
    <row r="1943" spans="1:1" x14ac:dyDescent="0.25">
      <c r="A1943" s="2"/>
    </row>
    <row r="1945" spans="1:1" x14ac:dyDescent="0.25">
      <c r="A1945" s="2"/>
    </row>
    <row r="1947" spans="1:1" x14ac:dyDescent="0.25">
      <c r="A1947" s="2"/>
    </row>
    <row r="1949" spans="1:1" x14ac:dyDescent="0.25">
      <c r="A1949" s="2"/>
    </row>
    <row r="1951" spans="1:1" x14ac:dyDescent="0.25">
      <c r="A1951" s="2"/>
    </row>
    <row r="1953" spans="1:1" x14ac:dyDescent="0.25">
      <c r="A1953" s="2"/>
    </row>
    <row r="1955" spans="1:1" x14ac:dyDescent="0.25">
      <c r="A1955" s="2"/>
    </row>
    <row r="1957" spans="1:1" x14ac:dyDescent="0.25">
      <c r="A1957" s="2"/>
    </row>
    <row r="1959" spans="1:1" x14ac:dyDescent="0.25">
      <c r="A1959" s="2"/>
    </row>
    <row r="1961" spans="1:1" x14ac:dyDescent="0.25">
      <c r="A1961" s="2"/>
    </row>
    <row r="1963" spans="1:1" x14ac:dyDescent="0.25">
      <c r="A1963" s="2"/>
    </row>
    <row r="1965" spans="1:1" x14ac:dyDescent="0.25">
      <c r="A1965" s="2"/>
    </row>
    <row r="1967" spans="1:1" x14ac:dyDescent="0.25">
      <c r="A1967" s="2"/>
    </row>
    <row r="1969" spans="1:1" x14ac:dyDescent="0.25">
      <c r="A1969" s="2"/>
    </row>
    <row r="1971" spans="1:1" x14ac:dyDescent="0.25">
      <c r="A1971" s="2"/>
    </row>
    <row r="1973" spans="1:1" x14ac:dyDescent="0.25">
      <c r="A1973" s="2"/>
    </row>
    <row r="1975" spans="1:1" x14ac:dyDescent="0.25">
      <c r="A1975" s="2"/>
    </row>
    <row r="1977" spans="1:1" x14ac:dyDescent="0.25">
      <c r="A1977" s="2"/>
    </row>
    <row r="1979" spans="1:1" x14ac:dyDescent="0.25">
      <c r="A1979" s="2"/>
    </row>
    <row r="1981" spans="1:1" x14ac:dyDescent="0.25">
      <c r="A1981" s="2"/>
    </row>
    <row r="1983" spans="1:1" x14ac:dyDescent="0.25">
      <c r="A1983" s="2"/>
    </row>
    <row r="1985" spans="1:1" x14ac:dyDescent="0.25">
      <c r="A1985" s="2"/>
    </row>
    <row r="1987" spans="1:1" x14ac:dyDescent="0.25">
      <c r="A1987" s="2"/>
    </row>
    <row r="1989" spans="1:1" x14ac:dyDescent="0.25">
      <c r="A1989" s="2"/>
    </row>
    <row r="1991" spans="1:1" x14ac:dyDescent="0.25">
      <c r="A1991" s="2"/>
    </row>
    <row r="1993" spans="1:1" x14ac:dyDescent="0.25">
      <c r="A1993" s="2"/>
    </row>
    <row r="1995" spans="1:1" x14ac:dyDescent="0.25">
      <c r="A1995" s="2"/>
    </row>
    <row r="1997" spans="1:1" x14ac:dyDescent="0.25">
      <c r="A1997" s="2"/>
    </row>
    <row r="1999" spans="1:1" x14ac:dyDescent="0.25">
      <c r="A1999" s="2"/>
    </row>
    <row r="2001" spans="1:1" x14ac:dyDescent="0.25">
      <c r="A2001" s="2"/>
    </row>
    <row r="2003" spans="1:1" x14ac:dyDescent="0.25">
      <c r="A2003" s="2"/>
    </row>
    <row r="2005" spans="1:1" x14ac:dyDescent="0.25">
      <c r="A2005" s="2"/>
    </row>
    <row r="2007" spans="1:1" x14ac:dyDescent="0.25">
      <c r="A2007" s="2"/>
    </row>
    <row r="2009" spans="1:1" x14ac:dyDescent="0.25">
      <c r="A2009" s="2"/>
    </row>
    <row r="2011" spans="1:1" x14ac:dyDescent="0.25">
      <c r="A2011" s="2"/>
    </row>
    <row r="2013" spans="1:1" x14ac:dyDescent="0.25">
      <c r="A2013" s="2"/>
    </row>
    <row r="2015" spans="1:1" x14ac:dyDescent="0.25">
      <c r="A2015" s="2"/>
    </row>
    <row r="2017" spans="1:1" x14ac:dyDescent="0.25">
      <c r="A2017" s="2"/>
    </row>
    <row r="2019" spans="1:1" x14ac:dyDescent="0.25">
      <c r="A2019" s="2"/>
    </row>
    <row r="2021" spans="1:1" x14ac:dyDescent="0.25">
      <c r="A2021" s="2"/>
    </row>
  </sheetData>
  <sortState ref="A1:H2022">
    <sortCondition ref="B1:B202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F617"/>
  <sheetViews>
    <sheetView zoomScale="80" zoomScaleNormal="80" workbookViewId="0">
      <selection sqref="A1:F278"/>
    </sheetView>
  </sheetViews>
  <sheetFormatPr defaultRowHeight="15" x14ac:dyDescent="0.25"/>
  <cols>
    <col min="1" max="1" width="9.85546875" customWidth="1"/>
    <col min="2" max="2" width="15.7109375" customWidth="1"/>
    <col min="3" max="3" width="12.42578125" customWidth="1"/>
    <col min="4" max="4" width="12" customWidth="1"/>
    <col min="5" max="6" width="13" customWidth="1"/>
  </cols>
  <sheetData>
    <row r="1" spans="1:6" x14ac:dyDescent="0.25">
      <c r="A1" t="s">
        <v>0</v>
      </c>
      <c r="B1" t="s">
        <v>10</v>
      </c>
      <c r="C1" s="7">
        <v>0.14863999999999999</v>
      </c>
      <c r="D1">
        <v>0.14837</v>
      </c>
      <c r="E1">
        <v>0.148640456236</v>
      </c>
      <c r="F1">
        <v>0.14837</v>
      </c>
    </row>
    <row r="2" spans="1:6" x14ac:dyDescent="0.25">
      <c r="A2" t="s">
        <v>0</v>
      </c>
      <c r="B2" t="s">
        <v>8</v>
      </c>
      <c r="C2" s="1">
        <v>1.8881999999999999E-2</v>
      </c>
      <c r="D2" s="1">
        <v>1.882E-2</v>
      </c>
      <c r="E2" s="1">
        <v>1.8881999999999999E-2</v>
      </c>
      <c r="F2" s="1">
        <v>1.8846999999999999E-2</v>
      </c>
    </row>
    <row r="3" spans="1:6" x14ac:dyDescent="0.25">
      <c r="A3" t="s">
        <v>250</v>
      </c>
      <c r="B3" t="s">
        <v>18</v>
      </c>
      <c r="C3" s="7">
        <v>1.161002E-2</v>
      </c>
      <c r="D3">
        <v>1.158002E-2</v>
      </c>
      <c r="E3">
        <v>1.161002E-2</v>
      </c>
      <c r="F3">
        <v>1.158002E-2</v>
      </c>
    </row>
    <row r="4" spans="1:6" x14ac:dyDescent="0.25">
      <c r="A4" t="s">
        <v>250</v>
      </c>
      <c r="B4" t="s">
        <v>21</v>
      </c>
      <c r="C4" s="1">
        <v>2750.6714631599998</v>
      </c>
      <c r="D4" s="1">
        <v>2750.4975234799999</v>
      </c>
      <c r="E4" s="1">
        <v>2750.6714631599998</v>
      </c>
      <c r="F4" s="1">
        <v>2750.4975234799999</v>
      </c>
    </row>
    <row r="5" spans="1:6" x14ac:dyDescent="0.25">
      <c r="A5" s="2" t="s">
        <v>250</v>
      </c>
      <c r="B5" s="2" t="s">
        <v>17</v>
      </c>
      <c r="C5" s="7">
        <v>6.2609999999999999E-5</v>
      </c>
      <c r="D5" s="2">
        <v>6.2470000000000003E-5</v>
      </c>
      <c r="E5" s="1">
        <v>6.2609999999999999E-5</v>
      </c>
      <c r="F5" s="1">
        <v>6.2470000000000003E-5</v>
      </c>
    </row>
    <row r="6" spans="1:6" x14ac:dyDescent="0.25">
      <c r="A6" s="2" t="s">
        <v>250</v>
      </c>
      <c r="B6" s="2" t="s">
        <v>16</v>
      </c>
      <c r="C6" s="7">
        <v>1.5990000000000001E-2</v>
      </c>
      <c r="D6" s="2">
        <v>1.5989989999999999E-2</v>
      </c>
      <c r="E6" s="2">
        <v>1.5990000000000001E-2</v>
      </c>
      <c r="F6" s="2">
        <v>1.5989989999999999E-2</v>
      </c>
    </row>
    <row r="7" spans="1:6" x14ac:dyDescent="0.25">
      <c r="A7" s="2" t="s">
        <v>250</v>
      </c>
      <c r="B7" s="2" t="s">
        <v>12</v>
      </c>
      <c r="C7" s="1">
        <v>6.8099919999999994E-2</v>
      </c>
      <c r="D7" s="1">
        <v>6.7999989999999996E-2</v>
      </c>
      <c r="E7" s="1">
        <v>6.8099919999999994E-2</v>
      </c>
      <c r="F7" s="1">
        <v>6.7999989999999996E-2</v>
      </c>
    </row>
    <row r="8" spans="1:6" x14ac:dyDescent="0.25">
      <c r="A8" s="2" t="s">
        <v>250</v>
      </c>
      <c r="B8" s="2" t="s">
        <v>20</v>
      </c>
      <c r="C8" s="1">
        <v>0.14779999999999999</v>
      </c>
      <c r="D8" s="1">
        <v>0.14770907</v>
      </c>
      <c r="E8" s="1">
        <v>0.14777395786</v>
      </c>
      <c r="F8" s="1">
        <v>0.14770907</v>
      </c>
    </row>
    <row r="9" spans="1:6" x14ac:dyDescent="0.25">
      <c r="A9" s="2" t="s">
        <v>250</v>
      </c>
      <c r="B9" s="2" t="s">
        <v>14</v>
      </c>
      <c r="C9" s="7">
        <v>7.4493600000000004E-3</v>
      </c>
      <c r="D9" s="2">
        <v>7.4269899999999996E-3</v>
      </c>
      <c r="E9" s="2">
        <v>7.4493600000000004E-3</v>
      </c>
      <c r="F9" s="2">
        <v>7.4269899999999996E-3</v>
      </c>
    </row>
    <row r="10" spans="1:6" x14ac:dyDescent="0.25">
      <c r="A10" s="2" t="s">
        <v>250</v>
      </c>
      <c r="B10" s="2" t="s">
        <v>15</v>
      </c>
      <c r="C10" s="7">
        <v>0.123756</v>
      </c>
      <c r="D10" s="2">
        <v>0.12364609999999999</v>
      </c>
      <c r="E10" s="2">
        <v>0.123756</v>
      </c>
      <c r="F10" s="2">
        <v>0.12364609999999999</v>
      </c>
    </row>
    <row r="11" spans="1:6" x14ac:dyDescent="0.25">
      <c r="A11" s="2" t="s">
        <v>250</v>
      </c>
      <c r="B11" s="2" t="s">
        <v>13</v>
      </c>
      <c r="C11" s="7">
        <v>1.15E-6</v>
      </c>
      <c r="D11" s="2">
        <v>1.1400000000000001E-6</v>
      </c>
      <c r="E11" s="1">
        <v>1.15E-6</v>
      </c>
      <c r="F11" s="1">
        <v>1.1400000000000001E-6</v>
      </c>
    </row>
    <row r="12" spans="1:6" x14ac:dyDescent="0.25">
      <c r="A12" s="2" t="s">
        <v>250</v>
      </c>
      <c r="B12" s="2" t="s">
        <v>19</v>
      </c>
      <c r="C12" s="7">
        <v>1.8849979999999999E-2</v>
      </c>
      <c r="D12" s="2">
        <v>1.8839999999999999E-2</v>
      </c>
      <c r="E12" s="2">
        <v>1.8849979999999999E-2</v>
      </c>
      <c r="F12" s="2">
        <v>1.8839999999999999E-2</v>
      </c>
    </row>
    <row r="13" spans="1:6" x14ac:dyDescent="0.25">
      <c r="A13" s="2" t="s">
        <v>11</v>
      </c>
      <c r="B13" s="2" t="s">
        <v>16</v>
      </c>
      <c r="C13" s="7">
        <v>1.6151820000000001E-2</v>
      </c>
      <c r="D13" s="2">
        <v>1.6030010000000001E-2</v>
      </c>
      <c r="E13" s="2">
        <v>1.6151820000000001E-2</v>
      </c>
      <c r="F13" s="2">
        <v>1.6030010000000001E-2</v>
      </c>
    </row>
    <row r="14" spans="1:6" x14ac:dyDescent="0.25">
      <c r="A14" s="2" t="s">
        <v>11</v>
      </c>
      <c r="B14" s="2" t="s">
        <v>13</v>
      </c>
      <c r="C14" s="1">
        <v>1.15E-6</v>
      </c>
      <c r="D14" s="1">
        <v>1.1400000000000001E-6</v>
      </c>
      <c r="E14" s="1">
        <v>1.15E-6</v>
      </c>
      <c r="F14" s="1">
        <v>1.1400000000000001E-6</v>
      </c>
    </row>
    <row r="15" spans="1:6" x14ac:dyDescent="0.25">
      <c r="A15" s="2" t="s">
        <v>11</v>
      </c>
      <c r="B15" s="2" t="s">
        <v>17</v>
      </c>
      <c r="C15" s="1">
        <v>6.2799999999999995E-5</v>
      </c>
      <c r="D15" s="1">
        <v>6.2669999999999995E-5</v>
      </c>
      <c r="E15" s="1">
        <v>6.2799999999999995E-5</v>
      </c>
      <c r="F15" s="1">
        <v>6.2669999999999995E-5</v>
      </c>
    </row>
    <row r="16" spans="1:6" x14ac:dyDescent="0.25">
      <c r="A16" s="2" t="s">
        <v>11</v>
      </c>
      <c r="B16" s="2" t="s">
        <v>12</v>
      </c>
      <c r="C16" s="7">
        <v>6.8362210000000007E-2</v>
      </c>
      <c r="D16" s="2">
        <v>6.8000000000000005E-2</v>
      </c>
      <c r="E16" s="2">
        <v>6.8362210000000007E-2</v>
      </c>
      <c r="F16" s="2">
        <v>6.8000000000000005E-2</v>
      </c>
    </row>
    <row r="17" spans="1:6" x14ac:dyDescent="0.25">
      <c r="A17" s="2" t="s">
        <v>11</v>
      </c>
      <c r="B17" s="2" t="s">
        <v>19</v>
      </c>
      <c r="C17" s="7">
        <v>1.8908029999999999E-2</v>
      </c>
      <c r="D17" s="2">
        <v>1.8829909999999998E-2</v>
      </c>
      <c r="E17" s="2">
        <v>1.8908029999999999E-2</v>
      </c>
      <c r="F17" s="2">
        <v>1.8829458095400001E-2</v>
      </c>
    </row>
    <row r="18" spans="1:6" x14ac:dyDescent="0.25">
      <c r="A18" s="2" t="s">
        <v>11</v>
      </c>
      <c r="B18" s="2" t="s">
        <v>15</v>
      </c>
      <c r="C18" s="7">
        <v>0.12799998000000001</v>
      </c>
      <c r="D18" s="2">
        <v>0.12778232</v>
      </c>
      <c r="E18" s="2">
        <v>0.12799998000000001</v>
      </c>
      <c r="F18" s="2">
        <v>0.12778232</v>
      </c>
    </row>
    <row r="19" spans="1:6" x14ac:dyDescent="0.25">
      <c r="A19" s="2" t="s">
        <v>11</v>
      </c>
      <c r="B19" s="2" t="s">
        <v>21</v>
      </c>
      <c r="C19" s="7">
        <v>2752.27341862</v>
      </c>
      <c r="D19" s="2">
        <v>2752.2730000000001</v>
      </c>
      <c r="E19" s="2">
        <v>2757.71727762</v>
      </c>
      <c r="F19" s="2">
        <v>2752.2730000000001</v>
      </c>
    </row>
    <row r="20" spans="1:6" x14ac:dyDescent="0.25">
      <c r="A20" s="2" t="s">
        <v>11</v>
      </c>
      <c r="B20" s="2" t="s">
        <v>14</v>
      </c>
      <c r="C20" s="7">
        <v>7.4420800000000002E-3</v>
      </c>
      <c r="D20" s="2">
        <v>7.3911300000000001E-3</v>
      </c>
      <c r="E20" s="1">
        <v>7.4420800000000002E-3</v>
      </c>
      <c r="F20" s="1">
        <v>7.39114E-3</v>
      </c>
    </row>
    <row r="21" spans="1:6" x14ac:dyDescent="0.25">
      <c r="A21" s="2" t="s">
        <v>11</v>
      </c>
      <c r="B21" s="2" t="s">
        <v>18</v>
      </c>
      <c r="C21" s="1">
        <v>1.1711350000000001E-2</v>
      </c>
      <c r="D21" s="1">
        <v>1.150904E-2</v>
      </c>
      <c r="E21" s="1">
        <v>1.1711350000000001E-2</v>
      </c>
      <c r="F21" s="1">
        <v>1.150904E-2</v>
      </c>
    </row>
    <row r="22" spans="1:6" x14ac:dyDescent="0.25">
      <c r="A22" s="2" t="s">
        <v>11</v>
      </c>
      <c r="B22" s="2" t="s">
        <v>20</v>
      </c>
      <c r="C22" s="1">
        <v>0.14830916</v>
      </c>
      <c r="D22" s="1">
        <v>0.14807639</v>
      </c>
      <c r="E22" s="1">
        <v>0.14830916</v>
      </c>
      <c r="F22" s="1">
        <v>0.147774628573</v>
      </c>
    </row>
    <row r="23" spans="1:6" x14ac:dyDescent="0.25">
      <c r="A23" s="2" t="s">
        <v>86</v>
      </c>
      <c r="B23" s="2" t="s">
        <v>8</v>
      </c>
      <c r="C23" s="1">
        <v>1.8866999999999998E-2</v>
      </c>
      <c r="D23" s="1">
        <v>1.8814999999999998E-2</v>
      </c>
      <c r="E23" s="1">
        <v>1.8866999999999998E-2</v>
      </c>
      <c r="F23" s="1">
        <v>1.8814999999999998E-2</v>
      </c>
    </row>
    <row r="24" spans="1:6" x14ac:dyDescent="0.25">
      <c r="A24" s="2" t="s">
        <v>86</v>
      </c>
      <c r="B24" s="2" t="s">
        <v>33</v>
      </c>
      <c r="C24" s="1">
        <v>6.8618999999999999E-2</v>
      </c>
      <c r="D24" s="1">
        <v>6.8010000000000001E-2</v>
      </c>
      <c r="E24" s="1">
        <v>6.8617999999999998E-2</v>
      </c>
      <c r="F24" s="1">
        <v>6.8010000000000001E-2</v>
      </c>
    </row>
    <row r="25" spans="1:6" x14ac:dyDescent="0.25">
      <c r="A25" s="2" t="s">
        <v>86</v>
      </c>
      <c r="B25" s="2" t="s">
        <v>80</v>
      </c>
      <c r="C25" s="1">
        <v>1.11E-2</v>
      </c>
      <c r="D25" s="1">
        <v>1.1098999999999999E-2</v>
      </c>
      <c r="E25" s="1">
        <v>1.11E-2</v>
      </c>
      <c r="F25" s="1">
        <v>1.1098999999999999E-2</v>
      </c>
    </row>
    <row r="26" spans="1:6" x14ac:dyDescent="0.25">
      <c r="A26" s="2" t="s">
        <v>86</v>
      </c>
      <c r="B26" s="2" t="s">
        <v>4</v>
      </c>
      <c r="C26" s="1">
        <v>0.124</v>
      </c>
      <c r="D26" s="1">
        <v>0.123001</v>
      </c>
      <c r="E26" s="1">
        <v>0.12338499999999999</v>
      </c>
      <c r="F26" s="1">
        <v>0.12302299999999999</v>
      </c>
    </row>
    <row r="27" spans="1:6" x14ac:dyDescent="0.25">
      <c r="A27" s="2" t="s">
        <v>86</v>
      </c>
      <c r="B27" s="2" t="s">
        <v>3</v>
      </c>
      <c r="C27" s="1">
        <v>7.4424699999999996E-3</v>
      </c>
      <c r="D27" s="1">
        <v>7.4099999999999999E-3</v>
      </c>
      <c r="E27" s="1">
        <v>7.4100099999999999E-3</v>
      </c>
      <c r="F27" s="1">
        <v>7.4100099999999999E-3</v>
      </c>
    </row>
    <row r="28" spans="1:6" x14ac:dyDescent="0.25">
      <c r="A28" s="2" t="s">
        <v>86</v>
      </c>
      <c r="B28" s="2" t="s">
        <v>6</v>
      </c>
      <c r="C28" s="1">
        <v>1.5962E-2</v>
      </c>
      <c r="D28" s="1">
        <v>1.5921000000000001E-2</v>
      </c>
      <c r="E28" s="1">
        <v>1.5966999999999999E-2</v>
      </c>
      <c r="F28" s="1">
        <v>1.5925999999999999E-2</v>
      </c>
    </row>
    <row r="29" spans="1:6" x14ac:dyDescent="0.25">
      <c r="A29" s="2" t="s">
        <v>86</v>
      </c>
      <c r="B29" s="2" t="s">
        <v>10</v>
      </c>
      <c r="C29" s="1">
        <v>0.14799999999999999</v>
      </c>
      <c r="D29" s="1">
        <v>0.14774999999999999</v>
      </c>
      <c r="E29" s="1">
        <v>0.14799999999999999</v>
      </c>
      <c r="F29" s="1">
        <v>0.14774999999999999</v>
      </c>
    </row>
    <row r="30" spans="1:6" x14ac:dyDescent="0.25">
      <c r="A30" s="2" t="s">
        <v>74</v>
      </c>
      <c r="B30" s="2" t="s">
        <v>8</v>
      </c>
      <c r="C30" s="1">
        <v>1.8901000000000001E-2</v>
      </c>
      <c r="D30" s="1">
        <v>1.89E-2</v>
      </c>
      <c r="E30" s="1">
        <v>1.8901000000000001E-2</v>
      </c>
      <c r="F30" s="1">
        <v>1.89E-2</v>
      </c>
    </row>
    <row r="31" spans="1:6" x14ac:dyDescent="0.25">
      <c r="A31" s="2" t="s">
        <v>74</v>
      </c>
      <c r="B31" s="2" t="s">
        <v>33</v>
      </c>
      <c r="C31" s="1">
        <v>6.8197999999999995E-2</v>
      </c>
      <c r="D31" s="1">
        <v>6.7943000000000003E-2</v>
      </c>
      <c r="E31" s="1">
        <v>6.8197999999999995E-2</v>
      </c>
      <c r="F31" s="1">
        <v>6.7943000000000003E-2</v>
      </c>
    </row>
    <row r="32" spans="1:6" x14ac:dyDescent="0.25">
      <c r="A32" s="2" t="s">
        <v>74</v>
      </c>
      <c r="B32" s="2" t="s">
        <v>80</v>
      </c>
      <c r="C32" s="1">
        <v>1.34E-2</v>
      </c>
      <c r="D32" s="1">
        <v>1.1004999999999999E-2</v>
      </c>
      <c r="E32" s="1">
        <v>1.34E-2</v>
      </c>
      <c r="F32" s="1">
        <v>1.1004119999999999E-2</v>
      </c>
    </row>
    <row r="33" spans="1:6" x14ac:dyDescent="0.25">
      <c r="A33" s="2" t="s">
        <v>74</v>
      </c>
      <c r="B33" s="2" t="s">
        <v>6</v>
      </c>
      <c r="C33" s="1">
        <v>1.5990000000000001E-2</v>
      </c>
      <c r="D33" s="1">
        <v>1.5980000000000001E-2</v>
      </c>
      <c r="E33" s="1">
        <v>1.5994000000000001E-2</v>
      </c>
      <c r="F33" s="1">
        <v>1.5980000000000001E-2</v>
      </c>
    </row>
    <row r="34" spans="1:6" x14ac:dyDescent="0.25">
      <c r="A34" s="2" t="s">
        <v>74</v>
      </c>
      <c r="B34" s="2" t="s">
        <v>10</v>
      </c>
      <c r="C34" s="1">
        <v>0.14780099999999999</v>
      </c>
      <c r="D34" s="1">
        <v>0.14779999999999999</v>
      </c>
      <c r="E34" s="1">
        <v>0.14780099999999999</v>
      </c>
      <c r="F34" s="1">
        <v>0.14770936400000001</v>
      </c>
    </row>
    <row r="35" spans="1:6" x14ac:dyDescent="0.25">
      <c r="A35" s="2" t="s">
        <v>74</v>
      </c>
      <c r="B35" s="2" t="s">
        <v>46</v>
      </c>
      <c r="C35" s="1">
        <v>6.2760000000000002E-5</v>
      </c>
      <c r="D35" s="1">
        <v>6.2749999999999994E-5</v>
      </c>
      <c r="E35" s="1">
        <v>6.2760000000000002E-5</v>
      </c>
      <c r="F35" s="1">
        <v>6.2749999999999994E-5</v>
      </c>
    </row>
    <row r="36" spans="1:6" x14ac:dyDescent="0.25">
      <c r="A36" s="2" t="s">
        <v>74</v>
      </c>
      <c r="B36" s="2" t="s">
        <v>3</v>
      </c>
      <c r="C36" s="1">
        <v>7.4590000000000004E-3</v>
      </c>
      <c r="D36" s="1">
        <v>7.4139999999999996E-3</v>
      </c>
      <c r="E36" s="1">
        <v>7.4590000000000004E-3</v>
      </c>
      <c r="F36" s="1">
        <v>7.4139999999999996E-3</v>
      </c>
    </row>
    <row r="37" spans="1:6" x14ac:dyDescent="0.25">
      <c r="A37" s="2" t="s">
        <v>74</v>
      </c>
      <c r="B37" s="2" t="s">
        <v>4</v>
      </c>
      <c r="C37" s="1">
        <v>0.123733</v>
      </c>
      <c r="D37" s="1">
        <v>0.1237</v>
      </c>
      <c r="E37" s="1">
        <v>0.123721</v>
      </c>
      <c r="F37" s="1">
        <v>0.123641536</v>
      </c>
    </row>
    <row r="38" spans="1:6" x14ac:dyDescent="0.25">
      <c r="A38" s="2" t="s">
        <v>74</v>
      </c>
      <c r="B38" s="2" t="s">
        <v>35</v>
      </c>
      <c r="C38" s="1">
        <v>1.1489999999999999E-6</v>
      </c>
      <c r="D38" s="1">
        <v>1.142E-6</v>
      </c>
      <c r="E38" s="1">
        <v>1.1489999999999999E-6</v>
      </c>
      <c r="F38" s="1">
        <v>1.142E-6</v>
      </c>
    </row>
    <row r="39" spans="1:6" x14ac:dyDescent="0.25">
      <c r="A39" s="2" t="s">
        <v>251</v>
      </c>
      <c r="B39" s="2" t="s">
        <v>33</v>
      </c>
      <c r="C39" s="1">
        <v>6.7999989999999996E-2</v>
      </c>
      <c r="D39" s="1">
        <v>6.7660010000000007E-2</v>
      </c>
      <c r="E39" s="1">
        <v>6.8888989929200006E-2</v>
      </c>
      <c r="F39" s="1">
        <v>6.7660003999999996E-2</v>
      </c>
    </row>
    <row r="40" spans="1:6" x14ac:dyDescent="0.25">
      <c r="A40" s="2" t="s">
        <v>251</v>
      </c>
      <c r="B40" s="2" t="s">
        <v>35</v>
      </c>
      <c r="C40" s="1">
        <v>1.17E-6</v>
      </c>
      <c r="D40" s="1">
        <v>1.1599999999999999E-6</v>
      </c>
      <c r="E40" s="1">
        <v>1.17E-6</v>
      </c>
      <c r="F40" s="1">
        <v>1.1599999999999999E-6</v>
      </c>
    </row>
    <row r="41" spans="1:6" x14ac:dyDescent="0.25">
      <c r="A41" s="2" t="s">
        <v>251</v>
      </c>
      <c r="B41" s="2" t="s">
        <v>3</v>
      </c>
      <c r="C41" s="1">
        <v>7.6999599999999996E-3</v>
      </c>
      <c r="D41" s="1">
        <v>7.4200000000000004E-3</v>
      </c>
      <c r="E41" s="1">
        <v>7.6999694736200001E-3</v>
      </c>
      <c r="F41" s="1">
        <v>7.4166380790899999E-3</v>
      </c>
    </row>
    <row r="42" spans="1:6" x14ac:dyDescent="0.25">
      <c r="A42" s="2" t="s">
        <v>251</v>
      </c>
      <c r="B42" s="2" t="s">
        <v>50</v>
      </c>
      <c r="C42" s="1">
        <v>2.1759999999999998E-5</v>
      </c>
      <c r="D42" s="1">
        <v>2.1180000000000001E-5</v>
      </c>
      <c r="E42" s="1">
        <v>2.1759999999999998E-5</v>
      </c>
      <c r="F42" s="1">
        <v>2.1180000000000001E-5</v>
      </c>
    </row>
    <row r="43" spans="1:6" x14ac:dyDescent="0.25">
      <c r="A43" s="2" t="s">
        <v>251</v>
      </c>
      <c r="B43" s="2" t="s">
        <v>6</v>
      </c>
      <c r="C43" s="1">
        <v>1.6299890000000001E-2</v>
      </c>
      <c r="D43" s="1">
        <v>1.600035E-2</v>
      </c>
      <c r="E43" s="1">
        <v>1.6299886250099999E-2</v>
      </c>
      <c r="F43" s="1">
        <v>1.600035E-2</v>
      </c>
    </row>
    <row r="44" spans="1:6" x14ac:dyDescent="0.25">
      <c r="A44" s="2" t="s">
        <v>251</v>
      </c>
      <c r="B44" s="2" t="s">
        <v>10</v>
      </c>
      <c r="C44" s="1">
        <v>0.14999997000000001</v>
      </c>
      <c r="D44" s="1">
        <v>0.14720006999999999</v>
      </c>
      <c r="E44" s="1">
        <v>0.150400477127</v>
      </c>
      <c r="F44" s="1">
        <v>0.14720006999999999</v>
      </c>
    </row>
    <row r="45" spans="1:6" x14ac:dyDescent="0.25">
      <c r="A45" s="2" t="s">
        <v>251</v>
      </c>
      <c r="B45" s="2" t="s">
        <v>25</v>
      </c>
      <c r="C45" s="1">
        <v>1.97E-3</v>
      </c>
      <c r="D45" s="1">
        <v>1.61706E-3</v>
      </c>
      <c r="E45" s="1">
        <v>1.97E-3</v>
      </c>
      <c r="F45" s="1">
        <v>1.61706E-3</v>
      </c>
    </row>
    <row r="46" spans="1:6" x14ac:dyDescent="0.25">
      <c r="A46" s="2" t="s">
        <v>251</v>
      </c>
      <c r="B46" s="2" t="s">
        <v>4</v>
      </c>
      <c r="C46" s="1">
        <v>0.13199896</v>
      </c>
      <c r="D46" s="1">
        <v>0.13199895</v>
      </c>
      <c r="E46" s="1">
        <v>0.131998969789</v>
      </c>
      <c r="F46" s="1">
        <v>0.13138428883</v>
      </c>
    </row>
    <row r="47" spans="1:6" x14ac:dyDescent="0.25">
      <c r="A47" s="2" t="s">
        <v>69</v>
      </c>
      <c r="B47" s="2" t="s">
        <v>2</v>
      </c>
      <c r="C47" s="1">
        <v>2855.9661000000001</v>
      </c>
      <c r="D47" s="1">
        <v>2852.9</v>
      </c>
      <c r="E47" s="1">
        <v>2855.9661000000001</v>
      </c>
      <c r="F47" s="1">
        <v>2852.6059152399998</v>
      </c>
    </row>
    <row r="48" spans="1:6" x14ac:dyDescent="0.25">
      <c r="A48" s="2" t="s">
        <v>69</v>
      </c>
      <c r="B48" s="2" t="s">
        <v>5</v>
      </c>
      <c r="C48" s="1">
        <v>364.68924985000001</v>
      </c>
      <c r="D48" s="1">
        <v>359.00000403000001</v>
      </c>
      <c r="E48" s="1">
        <v>364.68924985000001</v>
      </c>
      <c r="F48" s="1">
        <v>359.00000402400002</v>
      </c>
    </row>
    <row r="49" spans="1:6" x14ac:dyDescent="0.25">
      <c r="A49" s="2" t="s">
        <v>69</v>
      </c>
      <c r="B49" s="2" t="s">
        <v>70</v>
      </c>
      <c r="C49" s="1">
        <v>171300</v>
      </c>
      <c r="D49" s="1">
        <v>169057.42</v>
      </c>
      <c r="E49" s="1">
        <v>171309.348192</v>
      </c>
      <c r="F49" s="1">
        <v>169057.4008</v>
      </c>
    </row>
    <row r="50" spans="1:6" x14ac:dyDescent="0.25">
      <c r="A50" s="2" t="s">
        <v>69</v>
      </c>
      <c r="B50" s="2" t="s">
        <v>71</v>
      </c>
      <c r="C50" s="1">
        <v>1.4440000000000001E-5</v>
      </c>
      <c r="D50" s="1">
        <v>1.4049999999999999E-5</v>
      </c>
      <c r="E50" s="1">
        <v>1.4440000000000001E-5</v>
      </c>
      <c r="F50" s="1">
        <v>1.4049999999999999E-5</v>
      </c>
    </row>
    <row r="51" spans="1:6" x14ac:dyDescent="0.25">
      <c r="A51" s="2" t="s">
        <v>69</v>
      </c>
      <c r="B51" s="2" t="s">
        <v>4</v>
      </c>
      <c r="C51" s="1">
        <v>0.12579976000000001</v>
      </c>
      <c r="D51" s="1">
        <v>0.12500022</v>
      </c>
      <c r="E51" s="1">
        <v>0.12579976000000001</v>
      </c>
      <c r="F51" s="1">
        <v>0.12500022</v>
      </c>
    </row>
    <row r="52" spans="1:6" x14ac:dyDescent="0.25">
      <c r="A52" s="2" t="s">
        <v>72</v>
      </c>
      <c r="B52" s="2" t="s">
        <v>5</v>
      </c>
      <c r="C52" s="1">
        <v>342.13294033</v>
      </c>
      <c r="D52" s="1">
        <v>340.06</v>
      </c>
      <c r="E52" s="1">
        <v>343.77912952399998</v>
      </c>
      <c r="F52" s="1">
        <v>340.06</v>
      </c>
    </row>
    <row r="53" spans="1:6" x14ac:dyDescent="0.25">
      <c r="A53" s="2" t="s">
        <v>87</v>
      </c>
      <c r="B53" s="2" t="s">
        <v>228</v>
      </c>
      <c r="C53" s="1">
        <v>59.1</v>
      </c>
      <c r="D53" s="1">
        <v>58.000010000000003</v>
      </c>
      <c r="E53" s="1">
        <v>59.1</v>
      </c>
      <c r="F53" s="1">
        <v>58.000010000000003</v>
      </c>
    </row>
    <row r="54" spans="1:6" x14ac:dyDescent="0.25">
      <c r="A54" s="2" t="s">
        <v>87</v>
      </c>
      <c r="B54" s="2" t="s">
        <v>137</v>
      </c>
      <c r="C54" s="1">
        <v>1.125</v>
      </c>
      <c r="D54" s="1">
        <v>1.1010200000000001</v>
      </c>
      <c r="E54" s="1">
        <v>1.125</v>
      </c>
      <c r="F54" s="1">
        <v>1.1010200000000001</v>
      </c>
    </row>
    <row r="55" spans="1:6" x14ac:dyDescent="0.25">
      <c r="A55" s="2" t="s">
        <v>87</v>
      </c>
      <c r="B55" s="2" t="s">
        <v>2</v>
      </c>
      <c r="C55" s="1">
        <v>2774.99</v>
      </c>
      <c r="D55" s="1">
        <v>2750.01</v>
      </c>
      <c r="E55" s="1">
        <v>2774.99</v>
      </c>
      <c r="F55" s="1">
        <v>2732.7810877299999</v>
      </c>
    </row>
    <row r="56" spans="1:6" x14ac:dyDescent="0.25">
      <c r="A56" s="2" t="s">
        <v>87</v>
      </c>
      <c r="B56" s="2" t="s">
        <v>73</v>
      </c>
      <c r="C56" s="1">
        <v>2507.2800099999999</v>
      </c>
      <c r="D56" s="1">
        <v>2460.0000599999998</v>
      </c>
      <c r="E56" s="1">
        <v>2595.7563189699999</v>
      </c>
      <c r="F56" s="1">
        <v>2300.2236837800001</v>
      </c>
    </row>
    <row r="57" spans="1:6" x14ac:dyDescent="0.25">
      <c r="A57" s="2" t="s">
        <v>87</v>
      </c>
      <c r="B57" s="2" t="s">
        <v>23</v>
      </c>
      <c r="C57" s="1">
        <v>162000</v>
      </c>
      <c r="D57" s="1">
        <v>158800</v>
      </c>
      <c r="E57" s="1">
        <v>165924.36308899999</v>
      </c>
      <c r="F57" s="1">
        <v>158800</v>
      </c>
    </row>
    <row r="58" spans="1:6" x14ac:dyDescent="0.25">
      <c r="A58" s="2" t="s">
        <v>87</v>
      </c>
      <c r="B58" s="2" t="s">
        <v>7</v>
      </c>
      <c r="C58" s="1">
        <v>45.899990000000003</v>
      </c>
      <c r="D58" s="1">
        <v>44.2</v>
      </c>
      <c r="E58" s="1">
        <v>45.899990000000003</v>
      </c>
      <c r="F58" s="1">
        <v>44.2</v>
      </c>
    </row>
    <row r="59" spans="1:6" x14ac:dyDescent="0.25">
      <c r="A59" s="2" t="s">
        <v>87</v>
      </c>
      <c r="B59" s="2" t="s">
        <v>6</v>
      </c>
      <c r="C59" s="1">
        <v>1.6451790000000001E-2</v>
      </c>
      <c r="D59" s="1">
        <v>1.550664E-2</v>
      </c>
      <c r="E59" s="1">
        <v>1.6451779999999999E-2</v>
      </c>
      <c r="F59" s="1">
        <v>1.550664E-2</v>
      </c>
    </row>
    <row r="60" spans="1:6" x14ac:dyDescent="0.25">
      <c r="A60" s="2" t="s">
        <v>87</v>
      </c>
      <c r="B60" s="2" t="s">
        <v>210</v>
      </c>
      <c r="C60" s="1">
        <v>0.17</v>
      </c>
      <c r="D60" s="1">
        <v>0.01</v>
      </c>
      <c r="E60" s="1">
        <v>0.17</v>
      </c>
      <c r="F60" s="1">
        <v>0.01</v>
      </c>
    </row>
    <row r="61" spans="1:6" x14ac:dyDescent="0.25">
      <c r="A61" s="2" t="s">
        <v>87</v>
      </c>
      <c r="B61" s="2" t="s">
        <v>133</v>
      </c>
      <c r="C61" s="1">
        <v>1.6794899999999999</v>
      </c>
      <c r="D61" s="1">
        <v>1.6003799999999999</v>
      </c>
      <c r="E61" s="1">
        <v>1.6794899999999999</v>
      </c>
      <c r="F61" s="1">
        <v>1.6003799999999999</v>
      </c>
    </row>
    <row r="62" spans="1:6" x14ac:dyDescent="0.25">
      <c r="A62" s="2" t="s">
        <v>87</v>
      </c>
      <c r="B62" s="2" t="s">
        <v>75</v>
      </c>
      <c r="C62" s="1">
        <v>6.0999000000000003E-4</v>
      </c>
      <c r="D62" s="1">
        <v>5.9999999999999995E-4</v>
      </c>
      <c r="E62" s="1">
        <v>6.0999000000000003E-4</v>
      </c>
      <c r="F62" s="1">
        <v>5.9999999999999995E-4</v>
      </c>
    </row>
    <row r="63" spans="1:6" x14ac:dyDescent="0.25">
      <c r="A63" s="2" t="s">
        <v>87</v>
      </c>
      <c r="B63" s="2" t="s">
        <v>132</v>
      </c>
      <c r="C63" s="1">
        <v>99</v>
      </c>
      <c r="D63" s="1">
        <v>89</v>
      </c>
      <c r="E63" s="1">
        <v>99</v>
      </c>
      <c r="F63" s="1">
        <v>89</v>
      </c>
    </row>
    <row r="64" spans="1:6" x14ac:dyDescent="0.25">
      <c r="A64" s="2" t="s">
        <v>87</v>
      </c>
      <c r="B64" s="2" t="s">
        <v>130</v>
      </c>
      <c r="C64" s="1">
        <v>9.7000000000000003E-3</v>
      </c>
      <c r="D64" s="1">
        <v>7.4000000000000003E-3</v>
      </c>
      <c r="E64" s="1">
        <v>9.7000000000000003E-3</v>
      </c>
      <c r="F64" s="1">
        <v>7.4000000000000003E-3</v>
      </c>
    </row>
    <row r="65" spans="1:6" x14ac:dyDescent="0.25">
      <c r="A65" s="2" t="s">
        <v>87</v>
      </c>
      <c r="B65" s="2" t="s">
        <v>131</v>
      </c>
      <c r="C65" s="1">
        <v>5.8399599999999999E-3</v>
      </c>
      <c r="D65" s="1">
        <v>4.0192700000000001E-3</v>
      </c>
      <c r="E65" s="1">
        <v>5.8399599999999999E-3</v>
      </c>
      <c r="F65" s="1">
        <v>4.0192800000000001E-3</v>
      </c>
    </row>
    <row r="66" spans="1:6" x14ac:dyDescent="0.25">
      <c r="A66" s="2" t="s">
        <v>87</v>
      </c>
      <c r="B66" s="2" t="s">
        <v>134</v>
      </c>
      <c r="C66" s="1">
        <v>4.7999989999999999E-2</v>
      </c>
      <c r="D66" s="1">
        <v>1.1000070000000001E-2</v>
      </c>
      <c r="E66" s="1">
        <v>4.7999989999999999E-2</v>
      </c>
      <c r="F66" s="1">
        <v>1.1000070000000001E-2</v>
      </c>
    </row>
    <row r="67" spans="1:6" x14ac:dyDescent="0.25">
      <c r="A67" s="2" t="s">
        <v>87</v>
      </c>
      <c r="B67" s="2" t="s">
        <v>26</v>
      </c>
      <c r="C67" s="1">
        <v>9.0998000000000001E-4</v>
      </c>
      <c r="D67" s="1">
        <v>8.5002000000000005E-4</v>
      </c>
      <c r="E67" s="1">
        <v>9.0998000000000001E-4</v>
      </c>
      <c r="F67" s="1">
        <v>8.5002000000000005E-4</v>
      </c>
    </row>
    <row r="68" spans="1:6" x14ac:dyDescent="0.25">
      <c r="A68" s="2" t="s">
        <v>87</v>
      </c>
      <c r="B68" s="2" t="s">
        <v>36</v>
      </c>
      <c r="C68" s="1">
        <v>3.1554999999999999E-3</v>
      </c>
      <c r="D68" s="1">
        <v>3.0701399999999998E-3</v>
      </c>
      <c r="E68" s="1">
        <v>3.1554999999999999E-3</v>
      </c>
      <c r="F68" s="1">
        <v>3.0701399999999998E-3</v>
      </c>
    </row>
    <row r="69" spans="1:6" x14ac:dyDescent="0.25">
      <c r="A69" s="2" t="s">
        <v>87</v>
      </c>
      <c r="B69" s="2" t="s">
        <v>35</v>
      </c>
      <c r="C69" s="1">
        <v>1.17E-6</v>
      </c>
      <c r="D69" s="1">
        <v>1.1400000000000001E-6</v>
      </c>
      <c r="E69" s="1">
        <v>1.17E-6</v>
      </c>
      <c r="F69" s="1">
        <v>1.1400000000000001E-6</v>
      </c>
    </row>
    <row r="70" spans="1:6" x14ac:dyDescent="0.25">
      <c r="A70" s="2" t="s">
        <v>87</v>
      </c>
      <c r="B70" s="2" t="s">
        <v>34</v>
      </c>
      <c r="C70" s="1">
        <v>191</v>
      </c>
      <c r="D70" s="1">
        <v>183</v>
      </c>
      <c r="E70" s="1">
        <v>191.72361719899999</v>
      </c>
      <c r="F70" s="1">
        <v>183</v>
      </c>
    </row>
    <row r="71" spans="1:6" x14ac:dyDescent="0.25">
      <c r="A71" s="2" t="s">
        <v>87</v>
      </c>
      <c r="B71" s="2" t="s">
        <v>33</v>
      </c>
      <c r="C71" s="1">
        <v>6.859999E-2</v>
      </c>
      <c r="D71" s="1">
        <v>6.7000000000000004E-2</v>
      </c>
      <c r="E71" s="1">
        <v>6.859999E-2</v>
      </c>
      <c r="F71" s="1">
        <v>6.7000000000000004E-2</v>
      </c>
    </row>
    <row r="72" spans="1:6" x14ac:dyDescent="0.25">
      <c r="A72" s="2" t="s">
        <v>87</v>
      </c>
      <c r="B72" s="2" t="s">
        <v>24</v>
      </c>
      <c r="C72" s="1">
        <v>9.1967000000000004E-4</v>
      </c>
      <c r="D72" s="1">
        <v>8.5689999999999996E-4</v>
      </c>
      <c r="E72" s="1">
        <v>9.1967000000000004E-4</v>
      </c>
      <c r="F72" s="1">
        <v>8.5689999999999996E-4</v>
      </c>
    </row>
    <row r="73" spans="1:6" x14ac:dyDescent="0.25">
      <c r="A73" s="2" t="s">
        <v>87</v>
      </c>
      <c r="B73" s="2" t="s">
        <v>173</v>
      </c>
      <c r="C73" s="1">
        <v>2.7998999999999998E-4</v>
      </c>
      <c r="D73" s="1">
        <v>1.9002999999999999E-4</v>
      </c>
      <c r="E73" s="1">
        <v>2.7998999999999998E-4</v>
      </c>
      <c r="F73" s="1">
        <v>1.9002999999999999E-4</v>
      </c>
    </row>
    <row r="74" spans="1:6" x14ac:dyDescent="0.25">
      <c r="A74" s="2" t="s">
        <v>87</v>
      </c>
      <c r="B74" s="2" t="s">
        <v>110</v>
      </c>
      <c r="C74" s="1">
        <v>6.5900000000000003E-5</v>
      </c>
      <c r="D74" s="1">
        <v>6.2199999999999994E-5</v>
      </c>
      <c r="E74" s="1">
        <v>6.5900000000000003E-5</v>
      </c>
      <c r="F74" s="1">
        <v>6.2199999999999994E-5</v>
      </c>
    </row>
    <row r="75" spans="1:6" x14ac:dyDescent="0.25">
      <c r="A75" s="2" t="s">
        <v>87</v>
      </c>
      <c r="B75" s="2" t="s">
        <v>5</v>
      </c>
      <c r="C75" s="1">
        <v>354.49964999999997</v>
      </c>
      <c r="D75" s="1">
        <v>337</v>
      </c>
      <c r="E75" s="1">
        <v>354.49964999999997</v>
      </c>
      <c r="F75" s="1">
        <v>336.01659917199999</v>
      </c>
    </row>
    <row r="76" spans="1:6" x14ac:dyDescent="0.25">
      <c r="A76" s="2" t="s">
        <v>87</v>
      </c>
      <c r="B76" s="2" t="s">
        <v>4</v>
      </c>
      <c r="C76" s="1">
        <v>0.12498367000000001</v>
      </c>
      <c r="D76" s="1">
        <v>0.12343058</v>
      </c>
      <c r="E76" s="1">
        <v>0.12498367000000001</v>
      </c>
      <c r="F76" s="1">
        <v>0.123430560728</v>
      </c>
    </row>
    <row r="77" spans="1:6" x14ac:dyDescent="0.25">
      <c r="A77" s="2" t="s">
        <v>87</v>
      </c>
      <c r="B77" s="2" t="s">
        <v>136</v>
      </c>
      <c r="C77" s="1">
        <v>23189.999980000001</v>
      </c>
      <c r="D77" s="1">
        <v>18400</v>
      </c>
      <c r="E77" s="1">
        <v>23189.999984999999</v>
      </c>
      <c r="F77" s="1">
        <v>18351.95</v>
      </c>
    </row>
    <row r="78" spans="1:6" x14ac:dyDescent="0.25">
      <c r="A78" s="2" t="s">
        <v>87</v>
      </c>
      <c r="B78" s="2" t="s">
        <v>55</v>
      </c>
      <c r="C78" s="1">
        <v>1.9799999999999999E-4</v>
      </c>
      <c r="D78" s="1">
        <v>1.9000000000000001E-4</v>
      </c>
      <c r="E78" s="1">
        <v>1.9799999999999999E-4</v>
      </c>
      <c r="F78" s="1">
        <v>1.9000000000000001E-4</v>
      </c>
    </row>
    <row r="79" spans="1:6" x14ac:dyDescent="0.25">
      <c r="A79" s="2" t="s">
        <v>87</v>
      </c>
      <c r="B79" s="2" t="s">
        <v>212</v>
      </c>
      <c r="C79" s="1">
        <v>31</v>
      </c>
      <c r="D79" s="1">
        <v>29.5</v>
      </c>
      <c r="E79" s="1">
        <v>31</v>
      </c>
      <c r="F79" s="1">
        <v>29.5</v>
      </c>
    </row>
    <row r="80" spans="1:6" x14ac:dyDescent="0.25">
      <c r="A80" s="2" t="s">
        <v>87</v>
      </c>
      <c r="B80" s="2" t="s">
        <v>224</v>
      </c>
      <c r="C80" s="1">
        <v>1.4176999999999999E-4</v>
      </c>
      <c r="D80" s="1">
        <v>1.3999999999999999E-4</v>
      </c>
      <c r="E80" s="1">
        <v>1.4176999999999999E-4</v>
      </c>
      <c r="F80" s="1">
        <v>1.3999999999999999E-4</v>
      </c>
    </row>
    <row r="81" spans="1:6" x14ac:dyDescent="0.25">
      <c r="A81" s="2" t="s">
        <v>87</v>
      </c>
      <c r="B81" s="2" t="s">
        <v>54</v>
      </c>
      <c r="C81" s="1">
        <v>1.2099999999999999E-5</v>
      </c>
      <c r="D81" s="1">
        <v>1.2089999999999999E-5</v>
      </c>
      <c r="E81" s="1">
        <v>1.2099999999999999E-5</v>
      </c>
      <c r="F81" s="1">
        <v>1.2089999999999999E-5</v>
      </c>
    </row>
    <row r="82" spans="1:6" x14ac:dyDescent="0.25">
      <c r="A82" s="2" t="s">
        <v>87</v>
      </c>
      <c r="B82" s="2" t="s">
        <v>79</v>
      </c>
      <c r="C82" s="1">
        <v>2.0437999999999999E-4</v>
      </c>
      <c r="D82" s="1">
        <v>1.9708E-4</v>
      </c>
      <c r="E82" s="1">
        <v>2.0437999999999999E-4</v>
      </c>
      <c r="F82" s="1">
        <v>1.9708E-4</v>
      </c>
    </row>
    <row r="83" spans="1:6" x14ac:dyDescent="0.25">
      <c r="A83" s="2" t="s">
        <v>87</v>
      </c>
      <c r="B83" s="2" t="s">
        <v>91</v>
      </c>
      <c r="C83" s="1">
        <v>3.891E-2</v>
      </c>
      <c r="D83" s="1">
        <v>3.141E-2</v>
      </c>
      <c r="E83" s="1">
        <v>3.891E-2</v>
      </c>
      <c r="F83" s="1">
        <v>3.141E-2</v>
      </c>
    </row>
    <row r="84" spans="1:6" x14ac:dyDescent="0.25">
      <c r="A84" s="2" t="s">
        <v>87</v>
      </c>
      <c r="B84" s="2" t="s">
        <v>90</v>
      </c>
      <c r="C84" s="1">
        <v>1.398E-5</v>
      </c>
      <c r="D84" s="1">
        <v>1.218E-5</v>
      </c>
      <c r="E84" s="1">
        <v>1.398E-5</v>
      </c>
      <c r="F84" s="1">
        <v>1.218E-5</v>
      </c>
    </row>
    <row r="85" spans="1:6" x14ac:dyDescent="0.25">
      <c r="A85" s="2" t="s">
        <v>87</v>
      </c>
      <c r="B85" s="2" t="s">
        <v>172</v>
      </c>
      <c r="C85" s="1">
        <v>2.5900000000000002E-6</v>
      </c>
      <c r="D85" s="1">
        <v>2.3099999999999999E-6</v>
      </c>
      <c r="E85" s="1">
        <v>2.5900000000000002E-6</v>
      </c>
      <c r="F85" s="1">
        <v>2.3099999999999999E-6</v>
      </c>
    </row>
    <row r="86" spans="1:6" x14ac:dyDescent="0.25">
      <c r="A86" s="2" t="s">
        <v>87</v>
      </c>
      <c r="B86" s="2" t="s">
        <v>146</v>
      </c>
      <c r="C86" s="1">
        <v>1.4019999999999999E-2</v>
      </c>
      <c r="D86" s="1">
        <v>1.0149999999999999E-2</v>
      </c>
      <c r="E86" s="1">
        <v>1.401E-2</v>
      </c>
      <c r="F86" s="1">
        <v>1.0149999999999999E-2</v>
      </c>
    </row>
    <row r="87" spans="1:6" x14ac:dyDescent="0.25">
      <c r="A87" s="2" t="s">
        <v>87</v>
      </c>
      <c r="B87" s="2" t="s">
        <v>145</v>
      </c>
      <c r="C87" s="1">
        <v>4.7099999999999998E-6</v>
      </c>
      <c r="D87" s="1">
        <v>4.6700000000000002E-6</v>
      </c>
      <c r="E87" s="1">
        <v>4.7099999999999998E-6</v>
      </c>
      <c r="F87" s="1">
        <v>4.6700000000000002E-6</v>
      </c>
    </row>
    <row r="88" spans="1:6" x14ac:dyDescent="0.25">
      <c r="A88" s="2" t="s">
        <v>87</v>
      </c>
      <c r="B88" s="2" t="s">
        <v>99</v>
      </c>
      <c r="C88" s="1">
        <v>1.02E-4</v>
      </c>
      <c r="D88" s="1">
        <v>9.5459999999999997E-5</v>
      </c>
      <c r="E88" s="1">
        <v>1.02E-4</v>
      </c>
      <c r="F88" s="1">
        <v>9.5459999999999997E-5</v>
      </c>
    </row>
    <row r="89" spans="1:6" x14ac:dyDescent="0.25">
      <c r="A89" s="2" t="s">
        <v>87</v>
      </c>
      <c r="B89" s="2" t="s">
        <v>217</v>
      </c>
      <c r="C89" s="1">
        <v>4.7700000000000001E-6</v>
      </c>
      <c r="D89" s="1">
        <v>4.6299999999999997E-6</v>
      </c>
      <c r="E89" s="1">
        <v>4.7700000000000001E-6</v>
      </c>
      <c r="F89" s="1">
        <v>4.6299999999999997E-6</v>
      </c>
    </row>
    <row r="90" spans="1:6" x14ac:dyDescent="0.25">
      <c r="A90" s="2" t="s">
        <v>87</v>
      </c>
      <c r="B90" s="2" t="s">
        <v>100</v>
      </c>
      <c r="C90" s="1">
        <v>3.2218999999999998E-4</v>
      </c>
      <c r="D90" s="1">
        <v>2.5501000000000001E-4</v>
      </c>
      <c r="E90" s="1">
        <v>3.2218999999999998E-4</v>
      </c>
      <c r="F90" s="1">
        <v>2.5501000000000001E-4</v>
      </c>
    </row>
    <row r="91" spans="1:6" x14ac:dyDescent="0.25">
      <c r="A91" s="2" t="s">
        <v>87</v>
      </c>
      <c r="B91" s="2" t="s">
        <v>230</v>
      </c>
      <c r="C91" s="1">
        <v>3.1949999999999997E-5</v>
      </c>
      <c r="D91" s="1">
        <v>2.7610000000000002E-5</v>
      </c>
      <c r="E91" s="1">
        <v>3.1949999999999997E-5</v>
      </c>
      <c r="F91" s="1">
        <v>2.7610000000000002E-5</v>
      </c>
    </row>
    <row r="92" spans="1:6" x14ac:dyDescent="0.25">
      <c r="A92" s="2" t="s">
        <v>87</v>
      </c>
      <c r="B92" s="2" t="s">
        <v>106</v>
      </c>
      <c r="C92" s="1">
        <v>3.478E-4</v>
      </c>
      <c r="D92" s="1">
        <v>3.1502E-4</v>
      </c>
      <c r="E92" s="1">
        <v>3.478E-4</v>
      </c>
      <c r="F92" s="1">
        <v>3.1502E-4</v>
      </c>
    </row>
    <row r="93" spans="1:6" x14ac:dyDescent="0.25">
      <c r="A93" s="2" t="s">
        <v>87</v>
      </c>
      <c r="B93" s="2" t="s">
        <v>107</v>
      </c>
      <c r="C93" s="1">
        <v>3.4497299999999998E-3</v>
      </c>
      <c r="D93" s="1">
        <v>2.0800100000000002E-3</v>
      </c>
      <c r="E93" s="1">
        <v>3.4497299999999998E-3</v>
      </c>
      <c r="F93" s="1">
        <v>2.0800100000000002E-3</v>
      </c>
    </row>
    <row r="94" spans="1:6" x14ac:dyDescent="0.25">
      <c r="A94" s="2" t="s">
        <v>87</v>
      </c>
      <c r="B94" s="2" t="s">
        <v>108</v>
      </c>
      <c r="C94" s="1">
        <v>3.1999999899999998</v>
      </c>
      <c r="D94" s="1">
        <v>1.3506</v>
      </c>
      <c r="E94" s="1">
        <v>3.1999999899999998</v>
      </c>
      <c r="F94" s="1">
        <v>1.3506</v>
      </c>
    </row>
    <row r="95" spans="1:6" x14ac:dyDescent="0.25">
      <c r="A95" s="2" t="s">
        <v>87</v>
      </c>
      <c r="B95" s="2" t="s">
        <v>211</v>
      </c>
      <c r="C95" s="1">
        <v>7.6000000000000004E-4</v>
      </c>
      <c r="D95" s="1">
        <v>6.1656000000000005E-4</v>
      </c>
      <c r="E95" s="1">
        <v>7.6000000000000004E-4</v>
      </c>
      <c r="F95" s="1">
        <v>6.1656000000000005E-4</v>
      </c>
    </row>
    <row r="96" spans="1:6" x14ac:dyDescent="0.25">
      <c r="A96" s="2" t="s">
        <v>87</v>
      </c>
      <c r="B96" s="2" t="s">
        <v>68</v>
      </c>
      <c r="C96" s="1">
        <v>8.0000000000000002E-3</v>
      </c>
      <c r="D96" s="1">
        <v>6.2500000000000003E-3</v>
      </c>
      <c r="E96" s="1">
        <v>8.0000000000000002E-3</v>
      </c>
      <c r="F96" s="1">
        <v>6.2500000000000003E-3</v>
      </c>
    </row>
    <row r="97" spans="1:6" x14ac:dyDescent="0.25">
      <c r="A97" s="2" t="s">
        <v>87</v>
      </c>
      <c r="B97" s="2" t="s">
        <v>67</v>
      </c>
      <c r="C97" s="1">
        <v>2.6000000000000001E-6</v>
      </c>
      <c r="D97" s="1">
        <v>2.2900000000000001E-6</v>
      </c>
      <c r="E97" s="1">
        <v>2.6000000000000001E-6</v>
      </c>
      <c r="F97" s="1">
        <v>2.2900000000000001E-6</v>
      </c>
    </row>
    <row r="98" spans="1:6" x14ac:dyDescent="0.25">
      <c r="A98" s="2" t="s">
        <v>87</v>
      </c>
      <c r="B98" s="2" t="s">
        <v>243</v>
      </c>
      <c r="C98" s="1">
        <v>0.5</v>
      </c>
      <c r="D98" s="1">
        <v>0.34499999999999997</v>
      </c>
      <c r="E98" s="1">
        <v>0.5</v>
      </c>
      <c r="F98" s="1">
        <v>0.34499999999999997</v>
      </c>
    </row>
    <row r="99" spans="1:6" x14ac:dyDescent="0.25">
      <c r="A99" s="2" t="s">
        <v>87</v>
      </c>
      <c r="B99" s="2" t="s">
        <v>109</v>
      </c>
      <c r="C99" s="1">
        <v>5.9999999999999997E-7</v>
      </c>
      <c r="D99" s="1">
        <v>5.4000000000000002E-7</v>
      </c>
      <c r="E99" s="1">
        <v>5.9999999999999997E-7</v>
      </c>
      <c r="F99" s="1">
        <v>5.4000000000000002E-7</v>
      </c>
    </row>
    <row r="100" spans="1:6" x14ac:dyDescent="0.25">
      <c r="A100" s="2" t="s">
        <v>87</v>
      </c>
      <c r="B100" s="2" t="s">
        <v>168</v>
      </c>
      <c r="C100" s="1">
        <v>3.6494200000000001</v>
      </c>
      <c r="D100" s="1">
        <v>3.4272999999999998</v>
      </c>
      <c r="E100" s="1">
        <v>3.64941</v>
      </c>
      <c r="F100" s="1">
        <v>3.42728786707</v>
      </c>
    </row>
    <row r="101" spans="1:6" x14ac:dyDescent="0.25">
      <c r="A101" s="2" t="s">
        <v>87</v>
      </c>
      <c r="B101" s="2" t="s">
        <v>78</v>
      </c>
      <c r="C101" s="1">
        <v>1.2955499999999999E-3</v>
      </c>
      <c r="D101" s="1">
        <v>1.20966E-3</v>
      </c>
      <c r="E101" s="1">
        <v>1.2955499999999999E-3</v>
      </c>
      <c r="F101" s="1">
        <v>1.20966E-3</v>
      </c>
    </row>
    <row r="102" spans="1:6" x14ac:dyDescent="0.25">
      <c r="A102" s="2" t="s">
        <v>87</v>
      </c>
      <c r="B102" s="2" t="s">
        <v>38</v>
      </c>
      <c r="C102" s="1">
        <v>2.3120000000000002E-2</v>
      </c>
      <c r="D102" s="1">
        <v>2.2110000000000001E-2</v>
      </c>
      <c r="E102" s="1">
        <v>2.3109999999999999E-2</v>
      </c>
      <c r="F102" s="1">
        <v>2.2110000000000001E-2</v>
      </c>
    </row>
    <row r="103" spans="1:6" x14ac:dyDescent="0.25">
      <c r="A103" s="2" t="s">
        <v>87</v>
      </c>
      <c r="B103" s="2" t="s">
        <v>37</v>
      </c>
      <c r="C103" s="1">
        <v>8.3999999999999992E-6</v>
      </c>
      <c r="D103" s="1">
        <v>8.3000000000000002E-6</v>
      </c>
      <c r="E103" s="1">
        <v>8.3999999999999992E-6</v>
      </c>
      <c r="F103" s="1">
        <v>8.3000000000000002E-6</v>
      </c>
    </row>
    <row r="104" spans="1:6" x14ac:dyDescent="0.25">
      <c r="A104" s="2" t="s">
        <v>87</v>
      </c>
      <c r="B104" s="2" t="s">
        <v>129</v>
      </c>
      <c r="C104" s="1">
        <v>1.45</v>
      </c>
      <c r="D104" s="1">
        <v>1.222</v>
      </c>
      <c r="E104" s="1">
        <v>1.45</v>
      </c>
      <c r="F104" s="1">
        <v>1.222</v>
      </c>
    </row>
    <row r="105" spans="1:6" x14ac:dyDescent="0.25">
      <c r="A105" s="2" t="s">
        <v>87</v>
      </c>
      <c r="B105" s="2" t="s">
        <v>154</v>
      </c>
      <c r="C105" s="1">
        <v>2.7999999999999999E-6</v>
      </c>
      <c r="D105" s="1">
        <v>2.6800000000000002E-6</v>
      </c>
      <c r="E105" s="1">
        <v>2.7999999999999999E-6</v>
      </c>
      <c r="F105" s="1">
        <v>2.6800000000000002E-6</v>
      </c>
    </row>
    <row r="106" spans="1:6" x14ac:dyDescent="0.25">
      <c r="A106" s="2" t="s">
        <v>87</v>
      </c>
      <c r="B106" s="2" t="s">
        <v>43</v>
      </c>
      <c r="C106" s="1">
        <v>3.3030000000000001E-5</v>
      </c>
      <c r="D106" s="1">
        <v>2.9799999999999999E-5</v>
      </c>
      <c r="E106" s="1">
        <v>3.3030000000000001E-5</v>
      </c>
      <c r="F106" s="1">
        <v>2.9799999999999999E-5</v>
      </c>
    </row>
    <row r="107" spans="1:6" x14ac:dyDescent="0.25">
      <c r="A107" s="2" t="s">
        <v>87</v>
      </c>
      <c r="B107" s="2" t="s">
        <v>97</v>
      </c>
      <c r="C107" s="1">
        <v>1.57E-3</v>
      </c>
      <c r="D107" s="1">
        <v>1.2999999999999999E-3</v>
      </c>
      <c r="E107" s="1">
        <v>1.57E-3</v>
      </c>
      <c r="F107" s="1">
        <v>1.2999999999999999E-3</v>
      </c>
    </row>
    <row r="108" spans="1:6" x14ac:dyDescent="0.25">
      <c r="A108" s="2" t="s">
        <v>87</v>
      </c>
      <c r="B108" s="2" t="s">
        <v>96</v>
      </c>
      <c r="C108" s="1">
        <v>5.0999999999999999E-7</v>
      </c>
      <c r="D108" s="1">
        <v>4.5999999999999999E-7</v>
      </c>
      <c r="E108" s="1">
        <v>5.0999999999999999E-7</v>
      </c>
      <c r="F108" s="1">
        <v>4.5999999999999999E-7</v>
      </c>
    </row>
    <row r="109" spans="1:6" x14ac:dyDescent="0.25">
      <c r="A109" s="2" t="s">
        <v>87</v>
      </c>
      <c r="B109" s="2" t="s">
        <v>42</v>
      </c>
      <c r="C109" s="1">
        <v>0.55589</v>
      </c>
      <c r="D109" s="1">
        <v>0.53</v>
      </c>
      <c r="E109" s="1">
        <v>0.55589</v>
      </c>
      <c r="F109" s="1">
        <v>0.53</v>
      </c>
    </row>
    <row r="110" spans="1:6" x14ac:dyDescent="0.25">
      <c r="A110" s="2" t="s">
        <v>87</v>
      </c>
      <c r="B110" s="2" t="s">
        <v>41</v>
      </c>
      <c r="C110" s="1">
        <v>2.0149999999999999E-4</v>
      </c>
      <c r="D110" s="1">
        <v>1.9834E-4</v>
      </c>
      <c r="E110" s="1">
        <v>2.0149999999999999E-4</v>
      </c>
      <c r="F110" s="1">
        <v>1.9834E-4</v>
      </c>
    </row>
    <row r="111" spans="1:6" x14ac:dyDescent="0.25">
      <c r="A111" s="2" t="s">
        <v>87</v>
      </c>
      <c r="B111" s="2" t="s">
        <v>167</v>
      </c>
      <c r="C111" s="1">
        <v>89.99</v>
      </c>
      <c r="D111" s="1">
        <v>15.600099999999999</v>
      </c>
      <c r="E111" s="1">
        <v>89.99</v>
      </c>
      <c r="F111" s="1">
        <v>15.600099999999999</v>
      </c>
    </row>
    <row r="112" spans="1:6" x14ac:dyDescent="0.25">
      <c r="A112" s="2" t="s">
        <v>87</v>
      </c>
      <c r="B112" s="2" t="s">
        <v>166</v>
      </c>
      <c r="C112" s="1">
        <v>2.37996E-3</v>
      </c>
      <c r="D112" s="1">
        <v>1.2400499999999999E-3</v>
      </c>
      <c r="E112" s="1">
        <v>2.37996E-3</v>
      </c>
      <c r="F112" s="1">
        <v>1.2400499999999999E-3</v>
      </c>
    </row>
    <row r="113" spans="1:6" x14ac:dyDescent="0.25">
      <c r="A113" s="2" t="s">
        <v>87</v>
      </c>
      <c r="B113" s="2" t="s">
        <v>205</v>
      </c>
      <c r="C113" s="1">
        <v>1.4450000000000001E-5</v>
      </c>
      <c r="D113" s="1">
        <v>1.189E-5</v>
      </c>
      <c r="E113" s="1">
        <v>1.4450000000000001E-5</v>
      </c>
      <c r="F113" s="1">
        <v>1.189E-5</v>
      </c>
    </row>
    <row r="114" spans="1:6" x14ac:dyDescent="0.25">
      <c r="A114" s="2" t="s">
        <v>87</v>
      </c>
      <c r="B114" s="2" t="s">
        <v>150</v>
      </c>
      <c r="C114" s="1">
        <v>1.5309399999999999E-3</v>
      </c>
      <c r="D114" s="1">
        <v>1.46626E-3</v>
      </c>
      <c r="E114" s="1">
        <v>1.5309399999999999E-3</v>
      </c>
      <c r="F114" s="1">
        <v>1.46626E-3</v>
      </c>
    </row>
    <row r="115" spans="1:6" x14ac:dyDescent="0.25">
      <c r="A115" s="2" t="s">
        <v>87</v>
      </c>
      <c r="B115" s="2" t="s">
        <v>213</v>
      </c>
      <c r="C115" s="1">
        <v>9.4909999999999998E-5</v>
      </c>
      <c r="D115" s="1">
        <v>7.7789999999999999E-5</v>
      </c>
      <c r="E115" s="1">
        <v>9.4909999999999998E-5</v>
      </c>
      <c r="F115" s="1">
        <v>7.7789999999999999E-5</v>
      </c>
    </row>
    <row r="116" spans="1:6" x14ac:dyDescent="0.25">
      <c r="A116" s="2" t="s">
        <v>87</v>
      </c>
      <c r="B116" s="2" t="s">
        <v>95</v>
      </c>
      <c r="C116" s="1">
        <v>1.9987E-4</v>
      </c>
      <c r="D116" s="1">
        <v>1.7950999999999999E-4</v>
      </c>
      <c r="E116" s="1">
        <v>1.9987E-4</v>
      </c>
      <c r="F116" s="1">
        <v>1.795E-4</v>
      </c>
    </row>
    <row r="117" spans="1:6" x14ac:dyDescent="0.25">
      <c r="A117" s="2" t="s">
        <v>87</v>
      </c>
      <c r="B117" s="2" t="s">
        <v>218</v>
      </c>
      <c r="C117" s="1">
        <v>9.0989999999999994E-5</v>
      </c>
      <c r="D117" s="1">
        <v>8.4300000000000003E-5</v>
      </c>
      <c r="E117" s="1">
        <v>9.0989999999999994E-5</v>
      </c>
      <c r="F117" s="1">
        <v>8.4300000000000003E-5</v>
      </c>
    </row>
    <row r="118" spans="1:6" x14ac:dyDescent="0.25">
      <c r="A118" s="2" t="s">
        <v>87</v>
      </c>
      <c r="B118" s="2" t="s">
        <v>115</v>
      </c>
      <c r="C118" s="1">
        <v>1.1270000000000001E-5</v>
      </c>
      <c r="D118" s="1">
        <v>1.1039999999999999E-5</v>
      </c>
      <c r="E118" s="1">
        <v>1.1270000000000001E-5</v>
      </c>
      <c r="F118" s="1">
        <v>1.1039999999999999E-5</v>
      </c>
    </row>
    <row r="119" spans="1:6" x14ac:dyDescent="0.25">
      <c r="A119" s="2" t="s">
        <v>87</v>
      </c>
      <c r="B119" s="2" t="s">
        <v>231</v>
      </c>
      <c r="C119" s="1">
        <v>2.2393000000000001E-4</v>
      </c>
      <c r="D119" s="1">
        <v>1.8503000000000001E-4</v>
      </c>
      <c r="E119" s="1">
        <v>2.2393000000000001E-4</v>
      </c>
      <c r="F119" s="1">
        <v>1.8503000000000001E-4</v>
      </c>
    </row>
    <row r="120" spans="1:6" x14ac:dyDescent="0.25">
      <c r="A120" s="2" t="s">
        <v>87</v>
      </c>
      <c r="B120" s="2" t="s">
        <v>222</v>
      </c>
      <c r="C120" s="1">
        <v>0.99511000000000005</v>
      </c>
      <c r="D120" s="1">
        <v>0.372</v>
      </c>
      <c r="E120" s="1">
        <v>0.99511000000000005</v>
      </c>
      <c r="F120" s="1">
        <v>0.372</v>
      </c>
    </row>
    <row r="121" spans="1:6" x14ac:dyDescent="0.25">
      <c r="A121" s="2" t="s">
        <v>87</v>
      </c>
      <c r="B121" s="2" t="s">
        <v>220</v>
      </c>
      <c r="C121" s="1">
        <v>3.7059000000000001E-4</v>
      </c>
      <c r="D121" s="1">
        <v>3.3049000000000002E-4</v>
      </c>
      <c r="E121" s="1">
        <v>3.7059000000000001E-4</v>
      </c>
      <c r="F121" s="1">
        <v>3.3048000000000002E-4</v>
      </c>
    </row>
    <row r="122" spans="1:6" x14ac:dyDescent="0.25">
      <c r="A122" s="2" t="s">
        <v>87</v>
      </c>
      <c r="B122" s="2" t="s">
        <v>221</v>
      </c>
      <c r="C122" s="1">
        <v>2.489978E-2</v>
      </c>
      <c r="D122" s="1">
        <v>5.5599000000000002E-4</v>
      </c>
      <c r="E122" s="1">
        <v>2.489978E-2</v>
      </c>
      <c r="F122" s="1">
        <v>5.5599000000000002E-4</v>
      </c>
    </row>
    <row r="123" spans="1:6" x14ac:dyDescent="0.25">
      <c r="A123" s="2" t="s">
        <v>87</v>
      </c>
      <c r="B123" s="2" t="s">
        <v>81</v>
      </c>
      <c r="C123" s="1">
        <v>8.3772000000000002E-4</v>
      </c>
      <c r="D123" s="1">
        <v>7.6911999999999998E-4</v>
      </c>
      <c r="E123" s="1">
        <v>8.3772000000000002E-4</v>
      </c>
      <c r="F123" s="1">
        <v>7.6911999999999998E-4</v>
      </c>
    </row>
    <row r="124" spans="1:6" x14ac:dyDescent="0.25">
      <c r="A124" s="2" t="s">
        <v>87</v>
      </c>
      <c r="B124" s="2" t="s">
        <v>153</v>
      </c>
      <c r="C124" s="1">
        <v>6.9E-6</v>
      </c>
      <c r="D124" s="1">
        <v>5.5400000000000003E-6</v>
      </c>
      <c r="E124" s="1">
        <v>6.9E-6</v>
      </c>
      <c r="F124" s="1">
        <v>5.5400000000000003E-6</v>
      </c>
    </row>
    <row r="125" spans="1:6" x14ac:dyDescent="0.25">
      <c r="A125" s="2" t="s">
        <v>87</v>
      </c>
      <c r="B125" s="2" t="s">
        <v>9</v>
      </c>
      <c r="C125" s="1">
        <v>52.493940000000002</v>
      </c>
      <c r="D125" s="1">
        <v>52.1</v>
      </c>
      <c r="E125" s="1">
        <v>52.493940000000002</v>
      </c>
      <c r="F125" s="1">
        <v>51.625975565200001</v>
      </c>
    </row>
    <row r="126" spans="1:6" x14ac:dyDescent="0.25">
      <c r="A126" s="2" t="s">
        <v>87</v>
      </c>
      <c r="B126" s="2" t="s">
        <v>8</v>
      </c>
      <c r="C126" s="1">
        <v>1.915E-2</v>
      </c>
      <c r="D126" s="1">
        <v>1.892491E-2</v>
      </c>
      <c r="E126" s="1">
        <v>1.915E-2</v>
      </c>
      <c r="F126" s="1">
        <v>1.892491E-2</v>
      </c>
    </row>
    <row r="127" spans="1:6" x14ac:dyDescent="0.25">
      <c r="A127" s="2" t="s">
        <v>87</v>
      </c>
      <c r="B127" s="2" t="s">
        <v>101</v>
      </c>
      <c r="C127" s="1">
        <v>1.1849E-4</v>
      </c>
      <c r="D127" s="1">
        <v>1.1003E-4</v>
      </c>
      <c r="E127" s="1">
        <v>1.1849E-4</v>
      </c>
      <c r="F127" s="1">
        <v>1.1003E-4</v>
      </c>
    </row>
    <row r="128" spans="1:6" x14ac:dyDescent="0.25">
      <c r="A128" s="2" t="s">
        <v>87</v>
      </c>
      <c r="B128" s="2" t="s">
        <v>105</v>
      </c>
      <c r="C128" s="1">
        <v>4.01</v>
      </c>
      <c r="D128" s="1">
        <v>3.28</v>
      </c>
      <c r="E128" s="1">
        <v>4.01</v>
      </c>
      <c r="F128" s="1">
        <v>3.28</v>
      </c>
    </row>
    <row r="129" spans="1:6" x14ac:dyDescent="0.25">
      <c r="A129" s="2" t="s">
        <v>87</v>
      </c>
      <c r="B129" s="2" t="s">
        <v>104</v>
      </c>
      <c r="C129" s="1">
        <v>6</v>
      </c>
      <c r="D129" s="1">
        <v>1.2055</v>
      </c>
      <c r="E129" s="1">
        <v>6</v>
      </c>
      <c r="F129" s="1">
        <v>1.2055</v>
      </c>
    </row>
    <row r="130" spans="1:6" x14ac:dyDescent="0.25">
      <c r="A130" s="2" t="s">
        <v>87</v>
      </c>
      <c r="B130" s="2" t="s">
        <v>103</v>
      </c>
      <c r="C130" s="1">
        <v>1.4400000000000001E-3</v>
      </c>
      <c r="D130" s="1">
        <v>1.43709E-3</v>
      </c>
      <c r="E130" s="1">
        <v>1.4400000000000001E-3</v>
      </c>
      <c r="F130" s="1">
        <v>1.43709E-3</v>
      </c>
    </row>
    <row r="131" spans="1:6" x14ac:dyDescent="0.25">
      <c r="A131" s="2" t="s">
        <v>87</v>
      </c>
      <c r="B131" s="2" t="s">
        <v>39</v>
      </c>
      <c r="C131" s="1">
        <v>6.64E-6</v>
      </c>
      <c r="D131" s="1">
        <v>5.9499999999999998E-6</v>
      </c>
      <c r="E131" s="1">
        <v>6.64E-6</v>
      </c>
      <c r="F131" s="1">
        <v>5.9499999999999998E-6</v>
      </c>
    </row>
    <row r="132" spans="1:6" x14ac:dyDescent="0.25">
      <c r="A132" s="2" t="s">
        <v>87</v>
      </c>
      <c r="B132" s="2" t="s">
        <v>232</v>
      </c>
      <c r="C132" s="1">
        <v>7.9662000000000005E-4</v>
      </c>
      <c r="D132" s="1">
        <v>6.5258000000000004E-4</v>
      </c>
      <c r="E132" s="1">
        <v>7.9662000000000005E-4</v>
      </c>
      <c r="F132" s="1">
        <v>6.5258000000000004E-4</v>
      </c>
    </row>
    <row r="133" spans="1:6" x14ac:dyDescent="0.25">
      <c r="A133" s="2" t="s">
        <v>87</v>
      </c>
      <c r="B133" s="2" t="s">
        <v>233</v>
      </c>
      <c r="C133" s="1">
        <v>15</v>
      </c>
      <c r="D133" s="1">
        <v>1.0000009999999999</v>
      </c>
      <c r="E133" s="1">
        <v>15</v>
      </c>
      <c r="F133" s="1">
        <v>1.0000009999999999</v>
      </c>
    </row>
    <row r="134" spans="1:6" x14ac:dyDescent="0.25">
      <c r="A134" s="2" t="s">
        <v>87</v>
      </c>
      <c r="B134" s="2" t="s">
        <v>29</v>
      </c>
      <c r="C134" s="1">
        <v>3.09E-2</v>
      </c>
      <c r="D134" s="1">
        <v>2.4E-2</v>
      </c>
      <c r="E134" s="1">
        <v>3.09E-2</v>
      </c>
      <c r="F134" s="1">
        <v>2.4E-2</v>
      </c>
    </row>
    <row r="135" spans="1:6" x14ac:dyDescent="0.25">
      <c r="A135" s="2" t="s">
        <v>87</v>
      </c>
      <c r="B135" s="2" t="s">
        <v>28</v>
      </c>
      <c r="C135" s="1">
        <v>9.5300000000000002E-6</v>
      </c>
      <c r="D135" s="1">
        <v>8.9099999999999994E-6</v>
      </c>
      <c r="E135" s="1">
        <v>9.5300000000000002E-6</v>
      </c>
      <c r="F135" s="1">
        <v>8.9099999999999994E-6</v>
      </c>
    </row>
    <row r="136" spans="1:6" x14ac:dyDescent="0.25">
      <c r="A136" s="2" t="s">
        <v>87</v>
      </c>
      <c r="B136" s="2" t="s">
        <v>93</v>
      </c>
      <c r="C136" s="1">
        <v>3.4979</v>
      </c>
      <c r="D136" s="1">
        <v>0.40569</v>
      </c>
      <c r="E136" s="1">
        <v>3.4979</v>
      </c>
      <c r="F136" s="1">
        <v>0.40569</v>
      </c>
    </row>
    <row r="137" spans="1:6" x14ac:dyDescent="0.25">
      <c r="A137" s="2" t="s">
        <v>87</v>
      </c>
      <c r="B137" s="2" t="s">
        <v>92</v>
      </c>
      <c r="C137" s="1">
        <v>3.4776000000000002E-4</v>
      </c>
      <c r="D137" s="1">
        <v>6.3670000000000005E-5</v>
      </c>
      <c r="E137" s="1">
        <v>3.4776000000000002E-4</v>
      </c>
      <c r="F137" s="1">
        <v>6.3670000000000005E-5</v>
      </c>
    </row>
    <row r="138" spans="1:6" x14ac:dyDescent="0.25">
      <c r="A138" s="2" t="s">
        <v>87</v>
      </c>
      <c r="B138" s="2" t="s">
        <v>94</v>
      </c>
      <c r="C138" s="1">
        <v>1.55E-6</v>
      </c>
      <c r="D138" s="1">
        <v>1.1999999999999999E-6</v>
      </c>
      <c r="E138" s="1">
        <v>1.55E-6</v>
      </c>
      <c r="F138" s="1">
        <v>1.1999999999999999E-6</v>
      </c>
    </row>
    <row r="139" spans="1:6" x14ac:dyDescent="0.25">
      <c r="A139" s="2" t="s">
        <v>87</v>
      </c>
      <c r="B139" s="2" t="s">
        <v>190</v>
      </c>
      <c r="C139" s="1">
        <v>9.3400000000000004E-6</v>
      </c>
      <c r="D139" s="1">
        <v>8.7800000000000006E-6</v>
      </c>
      <c r="E139" s="1">
        <v>9.3400000000000004E-6</v>
      </c>
      <c r="F139" s="1">
        <v>8.7800000000000006E-6</v>
      </c>
    </row>
    <row r="140" spans="1:6" x14ac:dyDescent="0.25">
      <c r="A140" s="2" t="s">
        <v>87</v>
      </c>
      <c r="B140" s="2" t="s">
        <v>191</v>
      </c>
      <c r="C140" s="1">
        <v>7.3200000000000004E-5</v>
      </c>
      <c r="D140" s="1">
        <v>6.5510000000000001E-5</v>
      </c>
      <c r="E140" s="1">
        <v>7.4049873825999998E-5</v>
      </c>
      <c r="F140" s="1">
        <v>6.5510000000000001E-5</v>
      </c>
    </row>
    <row r="141" spans="1:6" x14ac:dyDescent="0.25">
      <c r="A141" s="2" t="s">
        <v>87</v>
      </c>
      <c r="B141" s="2" t="s">
        <v>31</v>
      </c>
      <c r="C141" s="1">
        <v>5.8599999999999998E-6</v>
      </c>
      <c r="D141" s="1">
        <v>5.7699999999999998E-6</v>
      </c>
      <c r="E141" s="1">
        <v>5.8599999999999998E-6</v>
      </c>
      <c r="F141" s="1">
        <v>5.7699999999999998E-6</v>
      </c>
    </row>
    <row r="142" spans="1:6" x14ac:dyDescent="0.25">
      <c r="A142" s="2" t="s">
        <v>87</v>
      </c>
      <c r="B142" s="2" t="s">
        <v>135</v>
      </c>
      <c r="C142" s="1">
        <v>1.146E-5</v>
      </c>
      <c r="D142" s="1">
        <v>1.004E-5</v>
      </c>
      <c r="E142" s="1">
        <v>1.146E-5</v>
      </c>
      <c r="F142" s="1">
        <v>1.004E-5</v>
      </c>
    </row>
    <row r="143" spans="1:6" x14ac:dyDescent="0.25">
      <c r="A143" s="2" t="s">
        <v>87</v>
      </c>
      <c r="B143" s="2" t="s">
        <v>46</v>
      </c>
      <c r="C143" s="1">
        <v>7.0909999999999997E-5</v>
      </c>
      <c r="D143" s="1">
        <v>6.0040000000000001E-5</v>
      </c>
      <c r="E143" s="1">
        <v>7.0909999999999997E-5</v>
      </c>
      <c r="F143" s="1">
        <v>6.0040000000000001E-5</v>
      </c>
    </row>
    <row r="144" spans="1:6" x14ac:dyDescent="0.25">
      <c r="A144" s="2" t="s">
        <v>87</v>
      </c>
      <c r="B144" s="2" t="s">
        <v>128</v>
      </c>
      <c r="C144" s="1">
        <v>2.0910000000000002E-2</v>
      </c>
      <c r="D144" s="1">
        <v>2.001E-2</v>
      </c>
      <c r="E144" s="1">
        <v>2.0910000000000002E-2</v>
      </c>
      <c r="F144" s="1">
        <v>2.001E-2</v>
      </c>
    </row>
    <row r="145" spans="1:6" x14ac:dyDescent="0.25">
      <c r="A145" s="2" t="s">
        <v>87</v>
      </c>
      <c r="B145" s="2" t="s">
        <v>126</v>
      </c>
      <c r="C145" s="1">
        <v>7.7000000000000008E-6</v>
      </c>
      <c r="D145" s="1">
        <v>7.3100000000000003E-6</v>
      </c>
      <c r="E145" s="1">
        <v>7.7000000000000008E-6</v>
      </c>
      <c r="F145" s="1">
        <v>7.3100000000000003E-6</v>
      </c>
    </row>
    <row r="146" spans="1:6" x14ac:dyDescent="0.25">
      <c r="A146" s="2" t="s">
        <v>87</v>
      </c>
      <c r="B146" s="2" t="s">
        <v>127</v>
      </c>
      <c r="C146" s="1">
        <v>3.7995299999999999</v>
      </c>
      <c r="D146" s="1">
        <v>0.78000999999999998</v>
      </c>
      <c r="E146" s="1">
        <v>3.7995299999999999</v>
      </c>
      <c r="F146" s="1">
        <v>0.78000999999999998</v>
      </c>
    </row>
    <row r="147" spans="1:6" x14ac:dyDescent="0.25">
      <c r="A147" s="2" t="s">
        <v>87</v>
      </c>
      <c r="B147" s="2" t="s">
        <v>164</v>
      </c>
      <c r="C147" s="1">
        <v>0.28999999999999998</v>
      </c>
      <c r="D147" s="1">
        <v>0.18</v>
      </c>
      <c r="E147" s="1">
        <v>0.28999999999999998</v>
      </c>
      <c r="F147" s="1">
        <v>0.18</v>
      </c>
    </row>
    <row r="148" spans="1:6" x14ac:dyDescent="0.25">
      <c r="A148" s="2" t="s">
        <v>87</v>
      </c>
      <c r="B148" s="2" t="s">
        <v>162</v>
      </c>
      <c r="C148" s="1">
        <v>9.09E-5</v>
      </c>
      <c r="D148" s="1">
        <v>8.7000000000000001E-5</v>
      </c>
      <c r="E148" s="1">
        <v>9.09E-5</v>
      </c>
      <c r="F148" s="1">
        <v>8.7000000000000001E-5</v>
      </c>
    </row>
    <row r="149" spans="1:6" x14ac:dyDescent="0.25">
      <c r="A149" s="2" t="s">
        <v>87</v>
      </c>
      <c r="B149" s="2" t="s">
        <v>163</v>
      </c>
      <c r="C149" s="1">
        <v>49.989559999999997</v>
      </c>
      <c r="D149" s="1">
        <v>0.65161000000000002</v>
      </c>
      <c r="E149" s="1">
        <v>49.989559999999997</v>
      </c>
      <c r="F149" s="1">
        <v>0.65161000000000002</v>
      </c>
    </row>
    <row r="150" spans="1:6" x14ac:dyDescent="0.25">
      <c r="A150" s="2" t="s">
        <v>87</v>
      </c>
      <c r="B150" s="2" t="s">
        <v>47</v>
      </c>
      <c r="C150" s="1">
        <v>7.4994000000000005E-4</v>
      </c>
      <c r="D150" s="1">
        <v>4.7831000000000002E-4</v>
      </c>
      <c r="E150" s="1">
        <v>7.4994000000000005E-4</v>
      </c>
      <c r="F150" s="1">
        <v>4.7831000000000002E-4</v>
      </c>
    </row>
    <row r="151" spans="1:6" x14ac:dyDescent="0.25">
      <c r="A151" s="2" t="s">
        <v>87</v>
      </c>
      <c r="B151" s="2" t="s">
        <v>124</v>
      </c>
      <c r="C151" s="1">
        <v>2.93E-2</v>
      </c>
      <c r="D151" s="1">
        <v>2.324E-2</v>
      </c>
      <c r="E151" s="1">
        <v>2.93E-2</v>
      </c>
      <c r="F151" s="1">
        <v>2.324E-2</v>
      </c>
    </row>
    <row r="152" spans="1:6" x14ac:dyDescent="0.25">
      <c r="A152" s="2" t="s">
        <v>87</v>
      </c>
      <c r="B152" s="2" t="s">
        <v>123</v>
      </c>
      <c r="C152" s="1">
        <v>1.097E-5</v>
      </c>
      <c r="D152" s="1">
        <v>7.9999999999999996E-6</v>
      </c>
      <c r="E152" s="1">
        <v>1.097E-5</v>
      </c>
      <c r="F152" s="1">
        <v>7.9999999999999996E-6</v>
      </c>
    </row>
    <row r="153" spans="1:6" x14ac:dyDescent="0.25">
      <c r="A153" s="2" t="s">
        <v>87</v>
      </c>
      <c r="B153" s="2" t="s">
        <v>63</v>
      </c>
      <c r="C153" s="1">
        <v>7.77E-3</v>
      </c>
      <c r="D153" s="1">
        <v>6.7299999999999999E-3</v>
      </c>
      <c r="E153" s="1">
        <v>7.77E-3</v>
      </c>
      <c r="F153" s="1">
        <v>6.7299999999999999E-3</v>
      </c>
    </row>
    <row r="154" spans="1:6" x14ac:dyDescent="0.25">
      <c r="A154" s="2" t="s">
        <v>87</v>
      </c>
      <c r="B154" s="2" t="s">
        <v>62</v>
      </c>
      <c r="C154" s="1">
        <v>2.6000000000000001E-6</v>
      </c>
      <c r="D154" s="1">
        <v>2.5100000000000001E-6</v>
      </c>
      <c r="E154" s="1">
        <v>2.6000000000000001E-6</v>
      </c>
      <c r="F154" s="1">
        <v>2.5100000000000001E-6</v>
      </c>
    </row>
    <row r="155" spans="1:6" x14ac:dyDescent="0.25">
      <c r="A155" s="2" t="s">
        <v>87</v>
      </c>
      <c r="B155" s="2" t="s">
        <v>242</v>
      </c>
      <c r="C155" s="1">
        <v>0.08</v>
      </c>
      <c r="D155" s="1">
        <v>6.3280000000000003E-2</v>
      </c>
      <c r="E155" s="1">
        <v>0.08</v>
      </c>
      <c r="F155" s="1">
        <v>6.3280000000000003E-2</v>
      </c>
    </row>
    <row r="156" spans="1:6" x14ac:dyDescent="0.25">
      <c r="A156" s="2" t="s">
        <v>87</v>
      </c>
      <c r="B156" s="2" t="s">
        <v>241</v>
      </c>
      <c r="C156" s="1">
        <v>2.5179999999999999E-5</v>
      </c>
      <c r="D156" s="1">
        <v>2.4309999999999999E-5</v>
      </c>
      <c r="E156" s="1">
        <v>2.5179999999999999E-5</v>
      </c>
      <c r="F156" s="1">
        <v>2.4309999999999999E-5</v>
      </c>
    </row>
    <row r="157" spans="1:6" x14ac:dyDescent="0.25">
      <c r="A157" s="2" t="s">
        <v>87</v>
      </c>
      <c r="B157" s="2" t="s">
        <v>30</v>
      </c>
      <c r="C157" s="1">
        <v>3.8E-6</v>
      </c>
      <c r="D157" s="1">
        <v>3.1099999999999999E-6</v>
      </c>
      <c r="E157" s="1">
        <v>3.8E-6</v>
      </c>
      <c r="F157" s="1">
        <v>3.1099999999999999E-6</v>
      </c>
    </row>
    <row r="158" spans="1:6" x14ac:dyDescent="0.25">
      <c r="A158" s="2" t="s">
        <v>87</v>
      </c>
      <c r="B158" s="2" t="s">
        <v>125</v>
      </c>
      <c r="C158" s="1">
        <v>1.997E-5</v>
      </c>
      <c r="D158" s="1">
        <v>1.8E-5</v>
      </c>
      <c r="E158" s="1">
        <v>1.997E-5</v>
      </c>
      <c r="F158" s="1">
        <v>1.8E-5</v>
      </c>
    </row>
    <row r="159" spans="1:6" x14ac:dyDescent="0.25">
      <c r="A159" s="2" t="s">
        <v>87</v>
      </c>
      <c r="B159" s="2" t="s">
        <v>64</v>
      </c>
      <c r="C159" s="1">
        <v>1.1400000000000001E-4</v>
      </c>
      <c r="D159" s="1">
        <v>1.0514E-4</v>
      </c>
      <c r="E159" s="1">
        <v>1.1400000000000001E-4</v>
      </c>
      <c r="F159" s="1">
        <v>1.0514E-4</v>
      </c>
    </row>
    <row r="160" spans="1:6" x14ac:dyDescent="0.25">
      <c r="A160" s="2" t="s">
        <v>87</v>
      </c>
      <c r="B160" s="2" t="s">
        <v>151</v>
      </c>
      <c r="C160" s="1">
        <v>5.8999999999999998E-5</v>
      </c>
      <c r="D160" s="1">
        <v>5.3999999999999998E-5</v>
      </c>
      <c r="E160" s="1">
        <v>5.8999999999999998E-5</v>
      </c>
      <c r="F160" s="1">
        <v>5.3999999999999998E-5</v>
      </c>
    </row>
    <row r="161" spans="1:6" x14ac:dyDescent="0.25">
      <c r="A161" s="2" t="s">
        <v>87</v>
      </c>
      <c r="B161" s="2" t="s">
        <v>144</v>
      </c>
      <c r="C161" s="1">
        <v>1.03567E-3</v>
      </c>
      <c r="D161" s="1">
        <v>1.00001E-3</v>
      </c>
      <c r="E161" s="1">
        <v>1.03567E-3</v>
      </c>
      <c r="F161" s="1">
        <v>1.00001E-3</v>
      </c>
    </row>
    <row r="162" spans="1:6" x14ac:dyDescent="0.25">
      <c r="A162" s="2" t="s">
        <v>87</v>
      </c>
      <c r="B162" s="2" t="s">
        <v>229</v>
      </c>
      <c r="C162" s="1">
        <v>2.17E-6</v>
      </c>
      <c r="D162" s="1">
        <v>1.6700000000000001E-6</v>
      </c>
      <c r="E162" s="1">
        <v>2.17E-6</v>
      </c>
      <c r="F162" s="1">
        <v>1.6700000000000001E-6</v>
      </c>
    </row>
    <row r="163" spans="1:6" x14ac:dyDescent="0.25">
      <c r="A163" s="2" t="s">
        <v>87</v>
      </c>
      <c r="B163" s="2" t="s">
        <v>32</v>
      </c>
      <c r="C163" s="1">
        <v>2.5499000000000002E-4</v>
      </c>
      <c r="D163" s="1">
        <v>1.9699999999999999E-4</v>
      </c>
      <c r="E163" s="1">
        <v>2.5499000000000002E-4</v>
      </c>
      <c r="F163" s="1">
        <v>1.9699999999999999E-4</v>
      </c>
    </row>
    <row r="164" spans="1:6" x14ac:dyDescent="0.25">
      <c r="A164" s="2" t="s">
        <v>87</v>
      </c>
      <c r="B164" s="2" t="s">
        <v>102</v>
      </c>
      <c r="C164" s="1">
        <v>1.9940000000000001E-3</v>
      </c>
      <c r="D164" s="1">
        <v>5.0109000000000004E-4</v>
      </c>
      <c r="E164" s="1">
        <v>1.9940000000000001E-3</v>
      </c>
      <c r="F164" s="1">
        <v>5.0109000000000004E-4</v>
      </c>
    </row>
    <row r="165" spans="1:6" x14ac:dyDescent="0.25">
      <c r="A165" s="2" t="s">
        <v>87</v>
      </c>
      <c r="B165" s="2" t="s">
        <v>58</v>
      </c>
      <c r="C165" s="1">
        <v>2E-8</v>
      </c>
      <c r="D165" s="1">
        <v>1E-8</v>
      </c>
      <c r="E165" s="1">
        <v>2E-8</v>
      </c>
      <c r="F165" s="1">
        <v>1E-8</v>
      </c>
    </row>
    <row r="166" spans="1:6" x14ac:dyDescent="0.25">
      <c r="A166" s="2" t="s">
        <v>87</v>
      </c>
      <c r="B166" s="2" t="s">
        <v>98</v>
      </c>
      <c r="C166" s="1">
        <v>3.3939999999999997E-5</v>
      </c>
      <c r="D166" s="1">
        <v>3.0000000000000001E-5</v>
      </c>
      <c r="E166" s="1">
        <v>3.3939999999999997E-5</v>
      </c>
      <c r="F166" s="1">
        <v>3.0000000000000001E-5</v>
      </c>
    </row>
    <row r="167" spans="1:6" x14ac:dyDescent="0.25">
      <c r="A167" s="2" t="s">
        <v>87</v>
      </c>
      <c r="B167" s="2" t="s">
        <v>234</v>
      </c>
      <c r="C167" s="1">
        <v>3.8999E-4</v>
      </c>
      <c r="D167" s="1">
        <v>3.3610999999999998E-4</v>
      </c>
      <c r="E167" s="1">
        <v>3.8999E-4</v>
      </c>
      <c r="F167" s="1">
        <v>3.3610999999999998E-4</v>
      </c>
    </row>
    <row r="168" spans="1:6" x14ac:dyDescent="0.25">
      <c r="A168" s="2" t="s">
        <v>87</v>
      </c>
      <c r="B168" s="2" t="s">
        <v>66</v>
      </c>
      <c r="C168" s="1">
        <v>2.6849999999999999E-5</v>
      </c>
      <c r="D168" s="1">
        <v>1.9020000000000001E-5</v>
      </c>
      <c r="E168" s="1">
        <v>2.6849999999999999E-5</v>
      </c>
      <c r="F168" s="1">
        <v>1.9020000000000001E-5</v>
      </c>
    </row>
    <row r="169" spans="1:6" x14ac:dyDescent="0.25">
      <c r="A169" s="2" t="s">
        <v>87</v>
      </c>
      <c r="B169" s="2" t="s">
        <v>122</v>
      </c>
      <c r="C169" s="1">
        <v>1.0000000000000001E-5</v>
      </c>
      <c r="D169" s="1">
        <v>0</v>
      </c>
      <c r="E169" s="1">
        <v>1.0000000000000001E-5</v>
      </c>
      <c r="F169" s="1">
        <v>0</v>
      </c>
    </row>
    <row r="170" spans="1:6" x14ac:dyDescent="0.25">
      <c r="A170" s="2" t="s">
        <v>87</v>
      </c>
      <c r="B170" s="2" t="s">
        <v>120</v>
      </c>
      <c r="C170" s="1">
        <v>1.0000000000000001E-5</v>
      </c>
      <c r="D170" s="1">
        <v>0</v>
      </c>
      <c r="E170" s="1">
        <v>1.0000000000000001E-5</v>
      </c>
      <c r="F170" s="1">
        <v>0</v>
      </c>
    </row>
    <row r="171" spans="1:6" x14ac:dyDescent="0.25">
      <c r="A171" s="2" t="s">
        <v>87</v>
      </c>
      <c r="B171" s="2" t="s">
        <v>119</v>
      </c>
      <c r="C171" s="1">
        <v>1E-8</v>
      </c>
      <c r="D171" s="1">
        <v>0</v>
      </c>
      <c r="E171" s="1">
        <v>1E-8</v>
      </c>
      <c r="F171" s="1">
        <v>0</v>
      </c>
    </row>
    <row r="172" spans="1:6" x14ac:dyDescent="0.25">
      <c r="A172" s="2" t="s">
        <v>87</v>
      </c>
      <c r="B172" s="2" t="s">
        <v>121</v>
      </c>
      <c r="C172" s="1">
        <v>1E-4</v>
      </c>
      <c r="D172" s="1">
        <v>8.0000000000000007E-5</v>
      </c>
      <c r="E172" s="1">
        <v>1E-4</v>
      </c>
      <c r="F172" s="1">
        <v>8.0000000000000007E-5</v>
      </c>
    </row>
    <row r="173" spans="1:6" x14ac:dyDescent="0.25">
      <c r="A173" s="2" t="s">
        <v>87</v>
      </c>
      <c r="B173" s="2" t="s">
        <v>77</v>
      </c>
      <c r="C173" s="1">
        <v>1.5406300000000001E-3</v>
      </c>
      <c r="D173" s="1">
        <v>1.4499999999999999E-3</v>
      </c>
      <c r="E173" s="1">
        <v>1.5406300000000001E-3</v>
      </c>
      <c r="F173" s="1">
        <v>1.4499999999999999E-3</v>
      </c>
    </row>
    <row r="174" spans="1:6" x14ac:dyDescent="0.25">
      <c r="A174" s="2" t="s">
        <v>87</v>
      </c>
      <c r="B174" s="2" t="s">
        <v>53</v>
      </c>
      <c r="C174" s="1">
        <v>1.79E-6</v>
      </c>
      <c r="D174" s="1">
        <v>1.7799999999999999E-6</v>
      </c>
      <c r="E174" s="1">
        <v>1.79E-6</v>
      </c>
      <c r="F174" s="1">
        <v>1.7799999999999999E-6</v>
      </c>
    </row>
    <row r="175" spans="1:6" x14ac:dyDescent="0.25">
      <c r="A175" s="2" t="s">
        <v>87</v>
      </c>
      <c r="B175" s="2" t="s">
        <v>248</v>
      </c>
      <c r="C175" s="1">
        <v>0.17730000000000001</v>
      </c>
      <c r="D175" s="1">
        <v>0.13100999999999999</v>
      </c>
      <c r="E175" s="1">
        <v>0.17730000000000001</v>
      </c>
      <c r="F175" s="1">
        <v>0.13100999999999999</v>
      </c>
    </row>
    <row r="176" spans="1:6" x14ac:dyDescent="0.25">
      <c r="A176" s="2" t="s">
        <v>87</v>
      </c>
      <c r="B176" s="2" t="s">
        <v>246</v>
      </c>
      <c r="C176" s="1">
        <v>0.32900000000000001</v>
      </c>
      <c r="D176" s="1">
        <v>3.5009999999999999E-2</v>
      </c>
      <c r="E176" s="1">
        <v>0.32900000000000001</v>
      </c>
      <c r="F176" s="1">
        <v>3.5009999999999999E-2</v>
      </c>
    </row>
    <row r="177" spans="1:6" x14ac:dyDescent="0.25">
      <c r="A177" s="2" t="s">
        <v>87</v>
      </c>
      <c r="B177" s="2" t="s">
        <v>244</v>
      </c>
      <c r="C177" s="1">
        <v>5.8999999999999998E-5</v>
      </c>
      <c r="D177" s="1">
        <v>4.8340000000000001E-5</v>
      </c>
      <c r="E177" s="1">
        <v>5.8999999999999998E-5</v>
      </c>
      <c r="F177" s="1">
        <v>4.8340000000000001E-5</v>
      </c>
    </row>
    <row r="178" spans="1:6" x14ac:dyDescent="0.25">
      <c r="A178" s="2" t="s">
        <v>87</v>
      </c>
      <c r="B178" s="2" t="s">
        <v>247</v>
      </c>
      <c r="C178" s="1">
        <v>18.95</v>
      </c>
      <c r="D178" s="1">
        <v>5</v>
      </c>
      <c r="E178" s="1">
        <v>18.95</v>
      </c>
      <c r="F178" s="1">
        <v>5</v>
      </c>
    </row>
    <row r="179" spans="1:6" x14ac:dyDescent="0.25">
      <c r="A179" s="2" t="s">
        <v>87</v>
      </c>
      <c r="B179" s="2" t="s">
        <v>245</v>
      </c>
      <c r="C179" s="1">
        <v>8.5994999999999995E-4</v>
      </c>
      <c r="D179" s="1">
        <v>2.9999999999999997E-4</v>
      </c>
      <c r="E179" s="1">
        <v>8.5994999999999995E-4</v>
      </c>
      <c r="F179" s="1">
        <v>2.9999999999999997E-4</v>
      </c>
    </row>
    <row r="180" spans="1:6" x14ac:dyDescent="0.25">
      <c r="A180" s="2" t="s">
        <v>87</v>
      </c>
      <c r="B180" s="2" t="s">
        <v>249</v>
      </c>
      <c r="C180" s="1">
        <v>6.8555899999999999E-3</v>
      </c>
      <c r="D180" s="1">
        <v>9.1003000000000004E-4</v>
      </c>
      <c r="E180" s="1">
        <v>6.8555899999999999E-3</v>
      </c>
      <c r="F180" s="1">
        <v>9.1003000000000004E-4</v>
      </c>
    </row>
    <row r="181" spans="1:6" x14ac:dyDescent="0.25">
      <c r="A181" s="2" t="s">
        <v>87</v>
      </c>
      <c r="B181" s="2" t="s">
        <v>118</v>
      </c>
      <c r="C181" s="1">
        <v>5.21E-2</v>
      </c>
      <c r="D181" s="1">
        <v>5.1999999999999998E-2</v>
      </c>
      <c r="E181" s="1">
        <v>5.21E-2</v>
      </c>
      <c r="F181" s="1">
        <v>5.1999999999999998E-2</v>
      </c>
    </row>
    <row r="182" spans="1:6" x14ac:dyDescent="0.25">
      <c r="A182" s="2" t="s">
        <v>87</v>
      </c>
      <c r="B182" s="2" t="s">
        <v>116</v>
      </c>
      <c r="C182" s="1">
        <v>2.2840000000000002E-5</v>
      </c>
      <c r="D182" s="1">
        <v>1.95E-5</v>
      </c>
      <c r="E182" s="1">
        <v>2.2840000000000002E-5</v>
      </c>
      <c r="F182" s="1">
        <v>1.95E-5</v>
      </c>
    </row>
    <row r="183" spans="1:6" x14ac:dyDescent="0.25">
      <c r="A183" s="2" t="s">
        <v>87</v>
      </c>
      <c r="B183" s="2" t="s">
        <v>117</v>
      </c>
      <c r="C183" s="1">
        <v>3.4988E-4</v>
      </c>
      <c r="D183" s="1">
        <v>9.8339999999999997E-5</v>
      </c>
      <c r="E183" s="1">
        <v>3.4988E-4</v>
      </c>
      <c r="F183" s="1">
        <v>9.8339999999999997E-5</v>
      </c>
    </row>
    <row r="184" spans="1:6" x14ac:dyDescent="0.25">
      <c r="A184" s="2" t="s">
        <v>87</v>
      </c>
      <c r="B184" s="2" t="s">
        <v>88</v>
      </c>
      <c r="C184" s="1">
        <v>9.8469999999999997E-5</v>
      </c>
      <c r="D184" s="1">
        <v>8.0000000000000007E-5</v>
      </c>
      <c r="E184" s="1">
        <v>9.8469999999999997E-5</v>
      </c>
      <c r="F184" s="1">
        <v>8.0000000000000007E-5</v>
      </c>
    </row>
    <row r="185" spans="1:6" x14ac:dyDescent="0.25">
      <c r="A185" s="2" t="s">
        <v>87</v>
      </c>
      <c r="B185" s="2" t="s">
        <v>169</v>
      </c>
      <c r="C185" s="1">
        <v>1.0000000000000001E-5</v>
      </c>
      <c r="D185" s="1">
        <v>8.8799999999999997E-6</v>
      </c>
      <c r="E185" s="1">
        <v>1.0000000000000001E-5</v>
      </c>
      <c r="F185" s="1">
        <v>8.8799999999999997E-6</v>
      </c>
    </row>
    <row r="186" spans="1:6" x14ac:dyDescent="0.25">
      <c r="A186" s="2" t="s">
        <v>87</v>
      </c>
      <c r="B186" s="2" t="s">
        <v>1</v>
      </c>
      <c r="C186" s="1">
        <v>2.0960199999999998E-2</v>
      </c>
      <c r="D186" s="1">
        <v>2.0290519999999999E-2</v>
      </c>
      <c r="E186" s="1">
        <v>2.0960199999999998E-2</v>
      </c>
      <c r="F186" s="1">
        <v>2.0290512506800001E-2</v>
      </c>
    </row>
    <row r="187" spans="1:6" x14ac:dyDescent="0.25">
      <c r="A187" s="2" t="s">
        <v>87</v>
      </c>
      <c r="B187" s="2" t="s">
        <v>25</v>
      </c>
      <c r="C187" s="1">
        <v>1.9599999999999999E-3</v>
      </c>
      <c r="D187" s="1">
        <v>1.8400000000000001E-3</v>
      </c>
      <c r="E187" s="1">
        <v>1.9599999999999999E-3</v>
      </c>
      <c r="F187" s="1">
        <v>1.8400000000000001E-3</v>
      </c>
    </row>
    <row r="188" spans="1:6" x14ac:dyDescent="0.25">
      <c r="A188" s="2" t="s">
        <v>87</v>
      </c>
      <c r="B188" s="2" t="s">
        <v>65</v>
      </c>
      <c r="C188" s="1">
        <v>1.76E-4</v>
      </c>
      <c r="D188" s="1">
        <v>1.75E-4</v>
      </c>
      <c r="E188" s="1">
        <v>1.76E-4</v>
      </c>
      <c r="F188" s="1">
        <v>1.75E-4</v>
      </c>
    </row>
    <row r="189" spans="1:6" x14ac:dyDescent="0.25">
      <c r="A189" s="2" t="s">
        <v>87</v>
      </c>
      <c r="B189" s="2" t="s">
        <v>89</v>
      </c>
      <c r="C189" s="1">
        <v>1.37E-6</v>
      </c>
      <c r="D189" s="1">
        <v>1.3E-6</v>
      </c>
      <c r="E189" s="1">
        <v>1.37E-6</v>
      </c>
      <c r="F189" s="1">
        <v>1.3E-6</v>
      </c>
    </row>
    <row r="190" spans="1:6" x14ac:dyDescent="0.25">
      <c r="A190" s="2" t="s">
        <v>87</v>
      </c>
      <c r="B190" s="2" t="s">
        <v>165</v>
      </c>
      <c r="C190" s="1">
        <v>5.5899999999999997E-5</v>
      </c>
      <c r="D190" s="1">
        <v>3.5290000000000003E-5</v>
      </c>
      <c r="E190" s="1">
        <v>5.5899999999999997E-5</v>
      </c>
      <c r="F190" s="1">
        <v>3.5290000000000003E-5</v>
      </c>
    </row>
    <row r="191" spans="1:6" x14ac:dyDescent="0.25">
      <c r="A191" s="2" t="s">
        <v>87</v>
      </c>
      <c r="B191" s="2" t="s">
        <v>45</v>
      </c>
      <c r="C191" s="1">
        <v>2.4E-2</v>
      </c>
      <c r="D191" s="1">
        <v>2.3189999999999999E-2</v>
      </c>
      <c r="E191" s="1">
        <v>2.4E-2</v>
      </c>
      <c r="F191" s="1">
        <v>2.3189999999999999E-2</v>
      </c>
    </row>
    <row r="192" spans="1:6" x14ac:dyDescent="0.25">
      <c r="A192" s="2" t="s">
        <v>87</v>
      </c>
      <c r="B192" s="2" t="s">
        <v>175</v>
      </c>
      <c r="C192" s="1">
        <v>6.9989999999999997E-2</v>
      </c>
      <c r="D192" s="1">
        <v>6.9800000000000001E-3</v>
      </c>
      <c r="E192" s="1">
        <v>6.9989999999999997E-2</v>
      </c>
      <c r="F192" s="1">
        <v>6.9800000000000001E-3</v>
      </c>
    </row>
    <row r="193" spans="1:6" x14ac:dyDescent="0.25">
      <c r="A193" s="2" t="s">
        <v>87</v>
      </c>
      <c r="B193" s="2" t="s">
        <v>44</v>
      </c>
      <c r="C193" s="1">
        <v>8.8000000000000004E-6</v>
      </c>
      <c r="D193" s="1">
        <v>8.4500000000000004E-6</v>
      </c>
      <c r="E193" s="1">
        <v>8.8000000000000004E-6</v>
      </c>
      <c r="F193" s="1">
        <v>8.4500000000000004E-6</v>
      </c>
    </row>
    <row r="194" spans="1:6" x14ac:dyDescent="0.25">
      <c r="A194" s="2" t="s">
        <v>87</v>
      </c>
      <c r="B194" s="2" t="s">
        <v>176</v>
      </c>
      <c r="C194" s="1">
        <v>1.69</v>
      </c>
      <c r="D194" s="1">
        <v>1.2</v>
      </c>
      <c r="E194" s="1">
        <v>1.69</v>
      </c>
      <c r="F194" s="1">
        <v>1.2</v>
      </c>
    </row>
    <row r="195" spans="1:6" x14ac:dyDescent="0.25">
      <c r="A195" s="2" t="s">
        <v>87</v>
      </c>
      <c r="B195" s="2" t="s">
        <v>174</v>
      </c>
      <c r="C195" s="1">
        <v>9.9809999999999995E-5</v>
      </c>
      <c r="D195" s="1">
        <v>3.1130000000000002E-5</v>
      </c>
      <c r="E195" s="1">
        <v>9.9809999999999995E-5</v>
      </c>
      <c r="F195" s="1">
        <v>3.1130000000000002E-5</v>
      </c>
    </row>
    <row r="196" spans="1:6" x14ac:dyDescent="0.25">
      <c r="A196" s="2" t="s">
        <v>87</v>
      </c>
      <c r="B196" s="2" t="s">
        <v>52</v>
      </c>
      <c r="C196" s="1">
        <v>6.4949999999999994E-2</v>
      </c>
      <c r="D196" s="1">
        <v>4.6030000000000001E-2</v>
      </c>
      <c r="E196" s="1">
        <v>6.4949999999999994E-2</v>
      </c>
      <c r="F196" s="1">
        <v>4.6030000000000001E-2</v>
      </c>
    </row>
    <row r="197" spans="1:6" x14ac:dyDescent="0.25">
      <c r="A197" s="2" t="s">
        <v>87</v>
      </c>
      <c r="B197" s="2" t="s">
        <v>195</v>
      </c>
      <c r="C197" s="1">
        <v>0.33977000000000002</v>
      </c>
      <c r="D197" s="1">
        <v>1.15E-2</v>
      </c>
      <c r="E197" s="1">
        <v>0.33977000000000002</v>
      </c>
      <c r="F197" s="1">
        <v>1.15E-2</v>
      </c>
    </row>
    <row r="198" spans="1:6" x14ac:dyDescent="0.25">
      <c r="A198" s="2" t="s">
        <v>87</v>
      </c>
      <c r="B198" s="2" t="s">
        <v>50</v>
      </c>
      <c r="C198" s="1">
        <v>2.1849999999999999E-5</v>
      </c>
      <c r="D198" s="1">
        <v>2.1250000000000002E-5</v>
      </c>
      <c r="E198" s="1">
        <v>2.1849999999999999E-5</v>
      </c>
      <c r="F198" s="1">
        <v>2.1250000000000002E-5</v>
      </c>
    </row>
    <row r="199" spans="1:6" x14ac:dyDescent="0.25">
      <c r="A199" s="2" t="s">
        <v>87</v>
      </c>
      <c r="B199" s="2" t="s">
        <v>51</v>
      </c>
      <c r="C199" s="1">
        <v>4.9998999999999998E-3</v>
      </c>
      <c r="D199" s="1">
        <v>1E-3</v>
      </c>
      <c r="E199" s="1">
        <v>4.9998999999999998E-3</v>
      </c>
      <c r="F199" s="1">
        <v>1E-3</v>
      </c>
    </row>
    <row r="200" spans="1:6" x14ac:dyDescent="0.25">
      <c r="A200" s="2" t="s">
        <v>87</v>
      </c>
      <c r="B200" s="2" t="s">
        <v>197</v>
      </c>
      <c r="C200" s="1">
        <v>8.98996</v>
      </c>
      <c r="D200" s="1">
        <v>0.7056</v>
      </c>
      <c r="E200" s="1">
        <v>8.98996</v>
      </c>
      <c r="F200" s="1">
        <v>0.7056</v>
      </c>
    </row>
    <row r="201" spans="1:6" x14ac:dyDescent="0.25">
      <c r="A201" s="2" t="s">
        <v>87</v>
      </c>
      <c r="B201" s="2" t="s">
        <v>193</v>
      </c>
      <c r="C201" s="1">
        <v>9.999099999999999E-4</v>
      </c>
      <c r="D201" s="1">
        <v>9.9900000000000002E-5</v>
      </c>
      <c r="E201" s="1">
        <v>9.999099999999999E-4</v>
      </c>
      <c r="F201" s="1">
        <v>9.9900000000000002E-5</v>
      </c>
    </row>
    <row r="202" spans="1:6" x14ac:dyDescent="0.25">
      <c r="A202" s="2" t="s">
        <v>87</v>
      </c>
      <c r="B202" s="2" t="s">
        <v>194</v>
      </c>
      <c r="C202" s="1">
        <v>3.4394999999999998E-4</v>
      </c>
      <c r="D202" s="1">
        <v>1.2066999999999999E-4</v>
      </c>
      <c r="E202" s="1">
        <v>3.4394999999999998E-4</v>
      </c>
      <c r="F202" s="1">
        <v>1.2066999999999999E-4</v>
      </c>
    </row>
    <row r="203" spans="1:6" x14ac:dyDescent="0.25">
      <c r="A203" s="2" t="s">
        <v>87</v>
      </c>
      <c r="B203" s="2" t="s">
        <v>192</v>
      </c>
      <c r="C203" s="1">
        <v>0.20979998999999999</v>
      </c>
      <c r="D203" s="1">
        <v>1.000002E-2</v>
      </c>
      <c r="E203" s="1">
        <v>0.20979998999999999</v>
      </c>
      <c r="F203" s="1">
        <v>1.000002E-2</v>
      </c>
    </row>
    <row r="204" spans="1:6" x14ac:dyDescent="0.25">
      <c r="A204" s="2" t="s">
        <v>87</v>
      </c>
      <c r="B204" s="2" t="s">
        <v>198</v>
      </c>
      <c r="C204" s="1">
        <v>4.49951E-3</v>
      </c>
      <c r="D204" s="1">
        <v>4.4799999999999999E-4</v>
      </c>
      <c r="E204" s="1">
        <v>4.49951E-3</v>
      </c>
      <c r="F204" s="1">
        <v>4.4799999999999999E-4</v>
      </c>
    </row>
    <row r="205" spans="1:6" x14ac:dyDescent="0.25">
      <c r="A205" s="2" t="s">
        <v>87</v>
      </c>
      <c r="B205" s="2" t="s">
        <v>196</v>
      </c>
      <c r="C205" s="1">
        <v>0.51554999999999995</v>
      </c>
      <c r="D205" s="1">
        <v>9.9899999999999992E-6</v>
      </c>
      <c r="E205" s="1">
        <v>0.51554999999999995</v>
      </c>
      <c r="F205" s="1">
        <v>9.9899999999999992E-6</v>
      </c>
    </row>
    <row r="206" spans="1:6" x14ac:dyDescent="0.25">
      <c r="A206" s="2" t="s">
        <v>87</v>
      </c>
      <c r="B206" s="2" t="s">
        <v>181</v>
      </c>
      <c r="C206" s="1">
        <v>2.1999999899999998</v>
      </c>
      <c r="D206" s="1">
        <v>1.92062</v>
      </c>
      <c r="E206" s="1">
        <v>2.1999999899999998</v>
      </c>
      <c r="F206" s="1">
        <v>1.92062</v>
      </c>
    </row>
    <row r="207" spans="1:6" x14ac:dyDescent="0.25">
      <c r="A207" s="2" t="s">
        <v>87</v>
      </c>
      <c r="B207" s="2" t="s">
        <v>180</v>
      </c>
      <c r="C207" s="1">
        <v>2.9950000000000001</v>
      </c>
      <c r="D207" s="1">
        <v>1.5</v>
      </c>
      <c r="E207" s="1">
        <v>2.9950000000000001</v>
      </c>
      <c r="F207" s="1">
        <v>1.5</v>
      </c>
    </row>
    <row r="208" spans="1:6" x14ac:dyDescent="0.25">
      <c r="A208" s="2" t="s">
        <v>87</v>
      </c>
      <c r="B208" s="2" t="s">
        <v>177</v>
      </c>
      <c r="C208" s="1">
        <v>7.7099999999999998E-4</v>
      </c>
      <c r="D208" s="1">
        <v>7.6999999999999996E-4</v>
      </c>
      <c r="E208" s="1">
        <v>7.7100460400000002E-4</v>
      </c>
      <c r="F208" s="1">
        <v>7.6999999999999996E-4</v>
      </c>
    </row>
    <row r="209" spans="1:6" x14ac:dyDescent="0.25">
      <c r="A209" s="2" t="s">
        <v>87</v>
      </c>
      <c r="B209" s="2" t="s">
        <v>179</v>
      </c>
      <c r="C209" s="1">
        <v>8.9999899999999994E-3</v>
      </c>
      <c r="D209" s="1">
        <v>2.3000099999999999E-3</v>
      </c>
      <c r="E209" s="1">
        <v>8.9999899999999994E-3</v>
      </c>
      <c r="F209" s="1">
        <v>2.3000099999999999E-3</v>
      </c>
    </row>
    <row r="210" spans="1:6" x14ac:dyDescent="0.25">
      <c r="A210" s="2" t="s">
        <v>87</v>
      </c>
      <c r="B210" s="2" t="s">
        <v>178</v>
      </c>
      <c r="C210" s="1">
        <v>11.999999989999999</v>
      </c>
      <c r="D210" s="1">
        <v>4</v>
      </c>
      <c r="E210" s="1">
        <v>11.999999989999999</v>
      </c>
      <c r="F210" s="1">
        <v>4</v>
      </c>
    </row>
    <row r="211" spans="1:6" x14ac:dyDescent="0.25">
      <c r="A211" s="2" t="s">
        <v>87</v>
      </c>
      <c r="B211" s="2" t="s">
        <v>83</v>
      </c>
      <c r="C211" s="1">
        <v>8.3599999999999994E-3</v>
      </c>
      <c r="D211" s="1">
        <v>8.3599899999999994E-3</v>
      </c>
      <c r="E211" s="1">
        <v>8.3599999999999994E-3</v>
      </c>
      <c r="F211" s="1">
        <v>8.2912381150699998E-3</v>
      </c>
    </row>
    <row r="212" spans="1:6" x14ac:dyDescent="0.25">
      <c r="A212" s="2" t="s">
        <v>87</v>
      </c>
      <c r="B212" s="2" t="s">
        <v>84</v>
      </c>
      <c r="C212" s="1">
        <v>2.0149999999999999E-3</v>
      </c>
      <c r="D212" s="1">
        <v>1.9304999999999999E-3</v>
      </c>
      <c r="E212" s="1">
        <v>2.0149999999999999E-3</v>
      </c>
      <c r="F212" s="1">
        <v>1.9304999999999999E-3</v>
      </c>
    </row>
    <row r="213" spans="1:6" x14ac:dyDescent="0.25">
      <c r="A213" s="2" t="s">
        <v>87</v>
      </c>
      <c r="B213" s="2" t="s">
        <v>155</v>
      </c>
      <c r="C213" s="1">
        <v>1.1033E-4</v>
      </c>
      <c r="D213" s="1">
        <v>1.0014999999999999E-4</v>
      </c>
      <c r="E213" s="1">
        <v>1.1033E-4</v>
      </c>
      <c r="F213" s="1">
        <v>1.0014999999999999E-4</v>
      </c>
    </row>
    <row r="214" spans="1:6" x14ac:dyDescent="0.25">
      <c r="A214" s="2" t="s">
        <v>87</v>
      </c>
      <c r="B214" s="2" t="s">
        <v>112</v>
      </c>
      <c r="C214" s="1">
        <v>0.25098999999999999</v>
      </c>
      <c r="D214" s="1">
        <v>0.1021</v>
      </c>
      <c r="E214" s="1">
        <v>0.25098999999999999</v>
      </c>
      <c r="F214" s="1">
        <v>0.1021</v>
      </c>
    </row>
    <row r="215" spans="1:6" x14ac:dyDescent="0.25">
      <c r="A215" s="2" t="s">
        <v>87</v>
      </c>
      <c r="B215" s="2" t="s">
        <v>111</v>
      </c>
      <c r="C215" s="1">
        <v>5.6900000000000001E-5</v>
      </c>
      <c r="D215" s="1">
        <v>4.3999999999999999E-5</v>
      </c>
      <c r="E215" s="1">
        <v>5.6900000000000001E-5</v>
      </c>
      <c r="F215" s="1">
        <v>4.3999999999999999E-5</v>
      </c>
    </row>
    <row r="216" spans="1:6" x14ac:dyDescent="0.25">
      <c r="A216" s="2" t="s">
        <v>87</v>
      </c>
      <c r="B216" s="2" t="s">
        <v>113</v>
      </c>
      <c r="C216" s="1">
        <v>5</v>
      </c>
      <c r="D216" s="1">
        <v>2.85000001</v>
      </c>
      <c r="E216" s="1">
        <v>5</v>
      </c>
      <c r="F216" s="1">
        <v>2.85000001</v>
      </c>
    </row>
    <row r="217" spans="1:6" x14ac:dyDescent="0.25">
      <c r="A217" s="2" t="s">
        <v>87</v>
      </c>
      <c r="B217" s="2" t="s">
        <v>114</v>
      </c>
      <c r="C217" s="1">
        <v>3.1879E-3</v>
      </c>
      <c r="D217" s="1">
        <v>3.00118E-3</v>
      </c>
      <c r="E217" s="1">
        <v>3.1879E-3</v>
      </c>
      <c r="F217" s="1">
        <v>3.00118E-3</v>
      </c>
    </row>
    <row r="218" spans="1:6" x14ac:dyDescent="0.25">
      <c r="A218" s="2" t="s">
        <v>87</v>
      </c>
      <c r="B218" s="2" t="s">
        <v>219</v>
      </c>
      <c r="C218" s="1">
        <v>3.4399899999999999</v>
      </c>
      <c r="D218" s="1">
        <v>2.6</v>
      </c>
      <c r="E218" s="1">
        <v>3.4399899999999999</v>
      </c>
      <c r="F218" s="1">
        <v>2.6</v>
      </c>
    </row>
    <row r="219" spans="1:6" x14ac:dyDescent="0.25">
      <c r="A219" s="2" t="s">
        <v>87</v>
      </c>
      <c r="B219" s="2" t="s">
        <v>82</v>
      </c>
      <c r="C219" s="1">
        <v>1.1297600000000001E-3</v>
      </c>
      <c r="D219" s="1">
        <v>1E-3</v>
      </c>
      <c r="E219" s="1">
        <v>1.1297600000000001E-3</v>
      </c>
      <c r="F219" s="1">
        <v>1E-3</v>
      </c>
    </row>
    <row r="220" spans="1:6" x14ac:dyDescent="0.25">
      <c r="A220" s="2" t="s">
        <v>87</v>
      </c>
      <c r="B220" s="2" t="s">
        <v>240</v>
      </c>
      <c r="C220" s="1">
        <v>6.9999999999999997E-7</v>
      </c>
      <c r="D220" s="1">
        <v>6.3E-7</v>
      </c>
      <c r="E220" s="1">
        <v>6.9999999999999997E-7</v>
      </c>
      <c r="F220" s="1">
        <v>6.3E-7</v>
      </c>
    </row>
    <row r="221" spans="1:6" x14ac:dyDescent="0.25">
      <c r="A221" s="2" t="s">
        <v>87</v>
      </c>
      <c r="B221" s="2" t="s">
        <v>56</v>
      </c>
      <c r="C221" s="1">
        <v>5.1900000000000003E-6</v>
      </c>
      <c r="D221" s="1">
        <v>5.1200000000000001E-6</v>
      </c>
      <c r="E221" s="1">
        <v>5.1900000000000003E-6</v>
      </c>
      <c r="F221" s="1">
        <v>5.1200000000000001E-6</v>
      </c>
    </row>
    <row r="222" spans="1:6" x14ac:dyDescent="0.25">
      <c r="A222" s="2" t="s">
        <v>87</v>
      </c>
      <c r="B222" s="2" t="s">
        <v>149</v>
      </c>
      <c r="C222" s="1">
        <v>0.22500000000000001</v>
      </c>
      <c r="D222" s="1">
        <v>0.17100000000000001</v>
      </c>
      <c r="E222" s="1">
        <v>0.22500000000000001</v>
      </c>
      <c r="F222" s="1">
        <v>0.17100000000000001</v>
      </c>
    </row>
    <row r="223" spans="1:6" x14ac:dyDescent="0.25">
      <c r="A223" s="2" t="s">
        <v>87</v>
      </c>
      <c r="B223" s="2" t="s">
        <v>147</v>
      </c>
      <c r="C223" s="1">
        <v>8.3449999999999996E-5</v>
      </c>
      <c r="D223" s="1">
        <v>8.0610000000000002E-5</v>
      </c>
      <c r="E223" s="1">
        <v>8.3449999999999996E-5</v>
      </c>
      <c r="F223" s="1">
        <v>8.0610000000000002E-5</v>
      </c>
    </row>
    <row r="224" spans="1:6" x14ac:dyDescent="0.25">
      <c r="A224" s="2" t="s">
        <v>87</v>
      </c>
      <c r="B224" s="2" t="s">
        <v>148</v>
      </c>
      <c r="C224" s="1">
        <v>6.9948000000000005E-4</v>
      </c>
      <c r="D224" s="1">
        <v>5.7832999999999995E-4</v>
      </c>
      <c r="E224" s="1">
        <v>6.9948000000000005E-4</v>
      </c>
      <c r="F224" s="1">
        <v>5.7832999999999995E-4</v>
      </c>
    </row>
    <row r="225" spans="1:6" x14ac:dyDescent="0.25">
      <c r="A225" s="2" t="s">
        <v>87</v>
      </c>
      <c r="B225" s="2" t="s">
        <v>188</v>
      </c>
      <c r="C225" s="1">
        <v>2.4</v>
      </c>
      <c r="D225" s="1">
        <v>1.61</v>
      </c>
      <c r="E225" s="1">
        <v>2.4</v>
      </c>
      <c r="F225" s="1">
        <v>1.61</v>
      </c>
    </row>
    <row r="226" spans="1:6" x14ac:dyDescent="0.25">
      <c r="A226" s="2" t="s">
        <v>87</v>
      </c>
      <c r="B226" s="2" t="s">
        <v>186</v>
      </c>
      <c r="C226" s="1">
        <v>2.9990000000000001</v>
      </c>
      <c r="D226" s="1">
        <v>2.4080000000000001E-2</v>
      </c>
      <c r="E226" s="1">
        <v>2.9990000000000001</v>
      </c>
      <c r="F226" s="1">
        <v>2.4080000000000001E-2</v>
      </c>
    </row>
    <row r="227" spans="1:6" x14ac:dyDescent="0.25">
      <c r="A227" s="2" t="s">
        <v>87</v>
      </c>
      <c r="B227" s="2" t="s">
        <v>183</v>
      </c>
      <c r="C227" s="1">
        <v>7.8658999999999999E-4</v>
      </c>
      <c r="D227" s="1">
        <v>6.4092000000000001E-4</v>
      </c>
      <c r="E227" s="1">
        <v>7.8658999999999999E-4</v>
      </c>
      <c r="F227" s="1">
        <v>6.4092000000000001E-4</v>
      </c>
    </row>
    <row r="228" spans="1:6" x14ac:dyDescent="0.25">
      <c r="A228" s="2" t="s">
        <v>87</v>
      </c>
      <c r="B228" s="2" t="s">
        <v>187</v>
      </c>
      <c r="C228" s="1">
        <v>340.995</v>
      </c>
      <c r="D228" s="1">
        <v>26.001000000000001</v>
      </c>
      <c r="E228" s="1">
        <v>340.995</v>
      </c>
      <c r="F228" s="1">
        <v>26.001000000000001</v>
      </c>
    </row>
    <row r="229" spans="1:6" x14ac:dyDescent="0.25">
      <c r="A229" s="2" t="s">
        <v>87</v>
      </c>
      <c r="B229" s="2" t="s">
        <v>184</v>
      </c>
      <c r="C229" s="1">
        <v>2.4989850000000001E-2</v>
      </c>
      <c r="D229" s="1">
        <v>2.5000000000000001E-3</v>
      </c>
      <c r="E229" s="1">
        <v>2.4989850000000001E-2</v>
      </c>
      <c r="F229" s="1">
        <v>2.5000000000000001E-3</v>
      </c>
    </row>
    <row r="230" spans="1:6" x14ac:dyDescent="0.25">
      <c r="A230" s="2" t="s">
        <v>87</v>
      </c>
      <c r="B230" s="2" t="s">
        <v>185</v>
      </c>
      <c r="C230" s="1">
        <v>6.8998499999999999E-3</v>
      </c>
      <c r="D230" s="1">
        <v>2.0002399999999999E-3</v>
      </c>
      <c r="E230" s="1">
        <v>6.8998499999999999E-3</v>
      </c>
      <c r="F230" s="1">
        <v>2.0002399999999999E-3</v>
      </c>
    </row>
    <row r="231" spans="1:6" x14ac:dyDescent="0.25">
      <c r="A231" s="2" t="s">
        <v>87</v>
      </c>
      <c r="B231" s="2" t="s">
        <v>189</v>
      </c>
      <c r="C231" s="1">
        <v>0.16999987</v>
      </c>
      <c r="D231" s="1">
        <v>1.7001099999999999E-3</v>
      </c>
      <c r="E231" s="1">
        <v>0.16999987</v>
      </c>
      <c r="F231" s="1">
        <v>1.7001099999999999E-3</v>
      </c>
    </row>
    <row r="232" spans="1:6" x14ac:dyDescent="0.25">
      <c r="A232" s="2" t="s">
        <v>87</v>
      </c>
      <c r="B232" s="2" t="s">
        <v>160</v>
      </c>
      <c r="C232" s="1">
        <v>25</v>
      </c>
      <c r="D232" s="1">
        <v>2.5000000000000001E-2</v>
      </c>
      <c r="E232" s="1">
        <v>25</v>
      </c>
      <c r="F232" s="1">
        <v>2.5000000000000001E-2</v>
      </c>
    </row>
    <row r="233" spans="1:6" x14ac:dyDescent="0.25">
      <c r="A233" s="2" t="s">
        <v>87</v>
      </c>
      <c r="B233" s="2" t="s">
        <v>40</v>
      </c>
      <c r="C233" s="1">
        <v>7.4888000000000003E-3</v>
      </c>
      <c r="D233" s="1">
        <v>6.5677699999999997E-3</v>
      </c>
      <c r="E233" s="1">
        <v>7.4888000000000003E-3</v>
      </c>
      <c r="F233" s="1">
        <v>6.5677699999999997E-3</v>
      </c>
    </row>
    <row r="234" spans="1:6" x14ac:dyDescent="0.25">
      <c r="A234" s="2" t="s">
        <v>87</v>
      </c>
      <c r="B234" s="2" t="s">
        <v>161</v>
      </c>
      <c r="C234" s="1">
        <v>1299</v>
      </c>
      <c r="D234" s="1">
        <v>750</v>
      </c>
      <c r="E234" s="1">
        <v>1299</v>
      </c>
      <c r="F234" s="1">
        <v>750</v>
      </c>
    </row>
    <row r="235" spans="1:6" x14ac:dyDescent="0.25">
      <c r="A235" s="2" t="s">
        <v>87</v>
      </c>
      <c r="B235" s="2" t="s">
        <v>159</v>
      </c>
      <c r="C235" s="1">
        <v>7.4999999999999997E-2</v>
      </c>
      <c r="D235" s="1">
        <v>7.5001499999999997E-3</v>
      </c>
      <c r="E235" s="1">
        <v>7.4999999999999997E-2</v>
      </c>
      <c r="F235" s="1">
        <v>7.5001499999999997E-3</v>
      </c>
    </row>
    <row r="236" spans="1:6" x14ac:dyDescent="0.25">
      <c r="A236" s="2" t="s">
        <v>87</v>
      </c>
      <c r="B236" s="2" t="s">
        <v>201</v>
      </c>
      <c r="C236" s="1">
        <v>3.1960000000000002E-2</v>
      </c>
      <c r="D236" s="1">
        <v>1.9099999999999999E-2</v>
      </c>
      <c r="E236" s="1">
        <v>3.1960000000000002E-2</v>
      </c>
      <c r="F236" s="1">
        <v>1.9099999999999999E-2</v>
      </c>
    </row>
    <row r="237" spans="1:6" x14ac:dyDescent="0.25">
      <c r="A237" s="2" t="s">
        <v>87</v>
      </c>
      <c r="B237" s="2" t="s">
        <v>199</v>
      </c>
      <c r="C237" s="1">
        <v>8.9299999999999992E-6</v>
      </c>
      <c r="D237" s="1">
        <v>8.0199999999999994E-6</v>
      </c>
      <c r="E237" s="1">
        <v>8.9299999999999992E-6</v>
      </c>
      <c r="F237" s="1">
        <v>8.0199999999999994E-6</v>
      </c>
    </row>
    <row r="238" spans="1:6" x14ac:dyDescent="0.25">
      <c r="A238" s="2" t="s">
        <v>87</v>
      </c>
      <c r="B238" s="2" t="s">
        <v>200</v>
      </c>
      <c r="C238" s="1">
        <v>8.6769999999999998E-5</v>
      </c>
      <c r="D238" s="1">
        <v>4.8999999999999998E-5</v>
      </c>
      <c r="E238" s="1">
        <v>8.6769999999999998E-5</v>
      </c>
      <c r="F238" s="1">
        <v>4.8999999999999998E-5</v>
      </c>
    </row>
    <row r="239" spans="1:6" x14ac:dyDescent="0.25">
      <c r="A239" s="2" t="s">
        <v>87</v>
      </c>
      <c r="B239" s="2" t="s">
        <v>76</v>
      </c>
      <c r="C239" s="1">
        <v>1.4996000000000001E-4</v>
      </c>
      <c r="D239" s="1">
        <v>1.1459999999999999E-4</v>
      </c>
      <c r="E239" s="1">
        <v>1.4996000000000001E-4</v>
      </c>
      <c r="F239" s="1">
        <v>1.1459999999999999E-4</v>
      </c>
    </row>
    <row r="240" spans="1:6" x14ac:dyDescent="0.25">
      <c r="A240" s="2" t="s">
        <v>87</v>
      </c>
      <c r="B240" s="2" t="s">
        <v>152</v>
      </c>
      <c r="C240" s="1">
        <v>1.1984999999999999E-3</v>
      </c>
      <c r="D240" s="1">
        <v>6.5558999999999995E-4</v>
      </c>
      <c r="E240" s="1">
        <v>1.1984999999999999E-3</v>
      </c>
      <c r="F240" s="1">
        <v>6.5558999999999995E-4</v>
      </c>
    </row>
    <row r="241" spans="1:6" x14ac:dyDescent="0.25">
      <c r="A241" s="2" t="s">
        <v>87</v>
      </c>
      <c r="B241" s="2" t="s">
        <v>170</v>
      </c>
      <c r="C241" s="1">
        <v>2.5100399999999998E-3</v>
      </c>
      <c r="D241" s="1">
        <v>2.3900000000000002E-3</v>
      </c>
      <c r="E241" s="1">
        <v>2.9698797458399999E-3</v>
      </c>
      <c r="F241" s="1">
        <v>2.3900000000000002E-3</v>
      </c>
    </row>
    <row r="242" spans="1:6" x14ac:dyDescent="0.25">
      <c r="A242" s="2" t="s">
        <v>87</v>
      </c>
      <c r="B242" s="2" t="s">
        <v>171</v>
      </c>
      <c r="C242" s="1">
        <v>2.4008999999999999E-2</v>
      </c>
      <c r="D242" s="1">
        <v>2.4E-2</v>
      </c>
      <c r="E242" s="1">
        <v>2.4008999999999999E-2</v>
      </c>
      <c r="F242" s="1">
        <v>2.4E-2</v>
      </c>
    </row>
    <row r="243" spans="1:6" x14ac:dyDescent="0.25">
      <c r="A243" s="2" t="s">
        <v>87</v>
      </c>
      <c r="B243" s="2" t="s">
        <v>85</v>
      </c>
      <c r="C243" s="1">
        <v>2.6397999999999998E-4</v>
      </c>
      <c r="D243" s="1">
        <v>2.4000000000000001E-4</v>
      </c>
      <c r="E243" s="1">
        <v>2.6397999999999998E-4</v>
      </c>
      <c r="F243" s="1">
        <v>2.4000000000000001E-4</v>
      </c>
    </row>
    <row r="244" spans="1:6" x14ac:dyDescent="0.25">
      <c r="A244" s="2" t="s">
        <v>87</v>
      </c>
      <c r="B244" s="2" t="s">
        <v>239</v>
      </c>
      <c r="C244" s="1">
        <v>2.5996399999999999E-3</v>
      </c>
      <c r="D244" s="1">
        <v>1.30021E-3</v>
      </c>
      <c r="E244" s="1">
        <v>2.5996399999999999E-3</v>
      </c>
      <c r="F244" s="1">
        <v>1.30021E-3</v>
      </c>
    </row>
    <row r="245" spans="1:6" x14ac:dyDescent="0.25">
      <c r="A245" s="2" t="s">
        <v>87</v>
      </c>
      <c r="B245" s="2" t="s">
        <v>226</v>
      </c>
      <c r="C245" s="1">
        <v>4.3990000000000001E-2</v>
      </c>
      <c r="D245" s="1">
        <v>1.01E-3</v>
      </c>
      <c r="E245" s="1">
        <v>4.3990000000000001E-2</v>
      </c>
      <c r="F245" s="1">
        <v>1.01E-3</v>
      </c>
    </row>
    <row r="246" spans="1:6" x14ac:dyDescent="0.25">
      <c r="A246" s="2" t="s">
        <v>87</v>
      </c>
      <c r="B246" s="2" t="s">
        <v>225</v>
      </c>
      <c r="C246" s="1">
        <v>8.3999999999999992E-6</v>
      </c>
      <c r="D246" s="1">
        <v>6.4999999999999996E-6</v>
      </c>
      <c r="E246" s="1">
        <v>8.3999999999999992E-6</v>
      </c>
      <c r="F246" s="1">
        <v>6.4999999999999996E-6</v>
      </c>
    </row>
    <row r="247" spans="1:6" x14ac:dyDescent="0.25">
      <c r="A247" s="2" t="s">
        <v>87</v>
      </c>
      <c r="B247" s="2" t="s">
        <v>209</v>
      </c>
      <c r="C247" s="1">
        <v>0.65</v>
      </c>
      <c r="D247" s="1">
        <v>0.50009999999999999</v>
      </c>
      <c r="E247" s="1">
        <v>0.65</v>
      </c>
      <c r="F247" s="1">
        <v>0.50009999999999999</v>
      </c>
    </row>
    <row r="248" spans="1:6" x14ac:dyDescent="0.25">
      <c r="A248" s="2" t="s">
        <v>87</v>
      </c>
      <c r="B248" s="2" t="s">
        <v>206</v>
      </c>
      <c r="C248" s="1">
        <v>1.9709E-4</v>
      </c>
      <c r="D248" s="1">
        <v>1.95E-4</v>
      </c>
      <c r="E248" s="1">
        <v>1.9709E-4</v>
      </c>
      <c r="F248" s="1">
        <v>1.95E-4</v>
      </c>
    </row>
    <row r="249" spans="1:6" x14ac:dyDescent="0.25">
      <c r="A249" s="2" t="s">
        <v>87</v>
      </c>
      <c r="B249" s="2" t="s">
        <v>208</v>
      </c>
      <c r="C249" s="1">
        <v>148</v>
      </c>
      <c r="D249" s="1">
        <v>7.3601900000000002</v>
      </c>
      <c r="E249" s="1">
        <v>148</v>
      </c>
      <c r="F249" s="1">
        <v>7.3601900000000002</v>
      </c>
    </row>
    <row r="250" spans="1:6" x14ac:dyDescent="0.25">
      <c r="A250" s="2" t="s">
        <v>87</v>
      </c>
      <c r="B250" s="2" t="s">
        <v>207</v>
      </c>
      <c r="C250" s="1">
        <v>2E-3</v>
      </c>
      <c r="D250" s="1">
        <v>1.1239100000000001E-3</v>
      </c>
      <c r="E250" s="1">
        <v>2E-3</v>
      </c>
      <c r="F250" s="1">
        <v>1.1239100000000001E-3</v>
      </c>
    </row>
    <row r="251" spans="1:6" x14ac:dyDescent="0.25">
      <c r="A251" s="2" t="s">
        <v>87</v>
      </c>
      <c r="B251" s="2" t="s">
        <v>61</v>
      </c>
      <c r="C251" s="1">
        <v>9.3960000000000002E-2</v>
      </c>
      <c r="D251" s="1">
        <v>8.0500000000000002E-2</v>
      </c>
      <c r="E251" s="1">
        <v>9.3960000000000002E-2</v>
      </c>
      <c r="F251" s="1">
        <v>8.0500000000000002E-2</v>
      </c>
    </row>
    <row r="252" spans="1:6" x14ac:dyDescent="0.25">
      <c r="A252" s="2" t="s">
        <v>87</v>
      </c>
      <c r="B252" s="2" t="s">
        <v>59</v>
      </c>
      <c r="C252" s="1">
        <v>3.362E-5</v>
      </c>
      <c r="D252" s="1">
        <v>3.3470000000000003E-5</v>
      </c>
      <c r="E252" s="1">
        <v>3.3629999236E-5</v>
      </c>
      <c r="F252" s="1">
        <v>3.3470000000000003E-5</v>
      </c>
    </row>
    <row r="253" spans="1:6" x14ac:dyDescent="0.25">
      <c r="A253" s="2" t="s">
        <v>87</v>
      </c>
      <c r="B253" s="2" t="s">
        <v>60</v>
      </c>
      <c r="C253" s="1">
        <v>2.9998999999999998E-3</v>
      </c>
      <c r="D253" s="1">
        <v>6.1003000000000001E-4</v>
      </c>
      <c r="E253" s="1">
        <v>2.9998999999999998E-3</v>
      </c>
      <c r="F253" s="1">
        <v>6.1003000000000001E-4</v>
      </c>
    </row>
    <row r="254" spans="1:6" x14ac:dyDescent="0.25">
      <c r="A254" s="2" t="s">
        <v>87</v>
      </c>
      <c r="B254" s="2" t="s">
        <v>227</v>
      </c>
      <c r="C254" s="1">
        <v>2.7E-4</v>
      </c>
      <c r="D254" s="1">
        <v>2.1001E-4</v>
      </c>
      <c r="E254" s="1">
        <v>2.7E-4</v>
      </c>
      <c r="F254" s="1">
        <v>2.1001E-4</v>
      </c>
    </row>
    <row r="255" spans="1:6" x14ac:dyDescent="0.25">
      <c r="A255" s="2" t="s">
        <v>87</v>
      </c>
      <c r="B255" s="2" t="s">
        <v>216</v>
      </c>
      <c r="C255" s="1">
        <v>8.9700000000000006</v>
      </c>
      <c r="D255" s="1">
        <v>7.5</v>
      </c>
      <c r="E255" s="1">
        <v>8.9700000000000006</v>
      </c>
      <c r="F255" s="1">
        <v>7.5</v>
      </c>
    </row>
    <row r="256" spans="1:6" x14ac:dyDescent="0.25">
      <c r="A256" s="2" t="s">
        <v>87</v>
      </c>
      <c r="B256" s="2" t="s">
        <v>214</v>
      </c>
      <c r="C256" s="1">
        <v>3.1499700000000002E-3</v>
      </c>
      <c r="D256" s="1">
        <v>2.7097800000000002E-3</v>
      </c>
      <c r="E256" s="1">
        <v>3.1499700000000002E-3</v>
      </c>
      <c r="F256" s="1">
        <v>2.7097800000000002E-3</v>
      </c>
    </row>
    <row r="257" spans="1:6" x14ac:dyDescent="0.25">
      <c r="A257" s="2" t="s">
        <v>87</v>
      </c>
      <c r="B257" s="2" t="s">
        <v>215</v>
      </c>
      <c r="C257" s="1">
        <v>2.6998000000000001E-2</v>
      </c>
      <c r="D257" s="1">
        <v>1.37001E-2</v>
      </c>
      <c r="E257" s="1">
        <v>2.6998000000000001E-2</v>
      </c>
      <c r="F257" s="1">
        <v>1.37001E-2</v>
      </c>
    </row>
    <row r="258" spans="1:6" x14ac:dyDescent="0.25">
      <c r="A258" s="2" t="s">
        <v>87</v>
      </c>
      <c r="B258" s="2" t="s">
        <v>49</v>
      </c>
      <c r="C258" s="1">
        <v>8.5000000000000006E-2</v>
      </c>
      <c r="D258" s="1">
        <v>0.08</v>
      </c>
      <c r="E258" s="1">
        <v>8.5000000000000006E-2</v>
      </c>
      <c r="F258" s="1">
        <v>0.08</v>
      </c>
    </row>
    <row r="259" spans="1:6" x14ac:dyDescent="0.25">
      <c r="A259" s="2" t="s">
        <v>87</v>
      </c>
      <c r="B259" s="2" t="s">
        <v>48</v>
      </c>
      <c r="C259" s="1">
        <v>3.0000000000000001E-5</v>
      </c>
      <c r="D259" s="1">
        <v>2.8E-5</v>
      </c>
      <c r="E259" s="1">
        <v>3.0000000000000001E-5</v>
      </c>
      <c r="F259" s="1">
        <v>2.8E-5</v>
      </c>
    </row>
    <row r="260" spans="1:6" x14ac:dyDescent="0.25">
      <c r="A260" s="2" t="s">
        <v>87</v>
      </c>
      <c r="B260" s="2" t="s">
        <v>182</v>
      </c>
      <c r="C260" s="1">
        <v>4.0000000000000002E-4</v>
      </c>
      <c r="D260" s="1">
        <v>2.5000000000000001E-4</v>
      </c>
      <c r="E260" s="1">
        <v>4.0000000000000002E-4</v>
      </c>
      <c r="F260" s="1">
        <v>2.5000000000000001E-4</v>
      </c>
    </row>
    <row r="261" spans="1:6" x14ac:dyDescent="0.25">
      <c r="A261" s="2" t="s">
        <v>87</v>
      </c>
      <c r="B261" s="2" t="s">
        <v>143</v>
      </c>
      <c r="C261" s="1">
        <v>19500</v>
      </c>
      <c r="D261" s="1">
        <v>15600</v>
      </c>
      <c r="E261" s="1">
        <v>19500</v>
      </c>
      <c r="F261" s="1">
        <v>15600</v>
      </c>
    </row>
    <row r="262" spans="1:6" x14ac:dyDescent="0.25">
      <c r="A262" s="2" t="s">
        <v>87</v>
      </c>
      <c r="B262" s="2" t="s">
        <v>141</v>
      </c>
      <c r="C262" s="1">
        <v>6.1999999299999997</v>
      </c>
      <c r="D262" s="1">
        <v>5.7500000599999996</v>
      </c>
      <c r="E262" s="1">
        <v>6.1999999299999997</v>
      </c>
      <c r="F262" s="1">
        <v>5.7500000599999996</v>
      </c>
    </row>
    <row r="263" spans="1:6" x14ac:dyDescent="0.25">
      <c r="A263" s="2" t="s">
        <v>87</v>
      </c>
      <c r="B263" s="2" t="s">
        <v>142</v>
      </c>
      <c r="C263" s="1">
        <v>52.77</v>
      </c>
      <c r="D263" s="1">
        <v>38.781457039999999</v>
      </c>
      <c r="E263" s="1">
        <v>52.77</v>
      </c>
      <c r="F263" s="1">
        <v>5.7326180897299999</v>
      </c>
    </row>
    <row r="264" spans="1:6" x14ac:dyDescent="0.25">
      <c r="A264" s="2" t="s">
        <v>87</v>
      </c>
      <c r="B264" s="2" t="s">
        <v>158</v>
      </c>
      <c r="C264" s="1">
        <v>8.5000000000000006E-2</v>
      </c>
      <c r="D264" s="1">
        <v>7.0000000000000007E-2</v>
      </c>
      <c r="E264" s="1">
        <v>8.5000000000000006E-2</v>
      </c>
      <c r="F264" s="1">
        <v>7.0000000000000007E-2</v>
      </c>
    </row>
    <row r="265" spans="1:6" x14ac:dyDescent="0.25">
      <c r="A265" s="2" t="s">
        <v>87</v>
      </c>
      <c r="B265" s="2" t="s">
        <v>156</v>
      </c>
      <c r="C265" s="1">
        <v>2.885E-5</v>
      </c>
      <c r="D265" s="1">
        <v>2.09E-5</v>
      </c>
      <c r="E265" s="1">
        <v>2.885E-5</v>
      </c>
      <c r="F265" s="1">
        <v>2.09E-5</v>
      </c>
    </row>
    <row r="266" spans="1:6" x14ac:dyDescent="0.25">
      <c r="A266" s="2" t="s">
        <v>87</v>
      </c>
      <c r="B266" s="2" t="s">
        <v>157</v>
      </c>
      <c r="C266" s="1">
        <v>2.4999000000000001E-4</v>
      </c>
      <c r="D266" s="1">
        <v>1.9002999999999999E-4</v>
      </c>
      <c r="E266" s="1">
        <v>2.4999000000000001E-4</v>
      </c>
      <c r="F266" s="1">
        <v>1.9002999999999999E-4</v>
      </c>
    </row>
    <row r="267" spans="1:6" x14ac:dyDescent="0.25">
      <c r="A267" s="2" t="s">
        <v>87</v>
      </c>
      <c r="B267" s="2" t="s">
        <v>204</v>
      </c>
      <c r="C267" s="1">
        <v>0.29996</v>
      </c>
      <c r="D267" s="1">
        <v>0.22514000000000001</v>
      </c>
      <c r="E267" s="1">
        <v>0.29996</v>
      </c>
      <c r="F267" s="1">
        <v>0.22514000000000001</v>
      </c>
    </row>
    <row r="268" spans="1:6" x14ac:dyDescent="0.25">
      <c r="A268" s="2" t="s">
        <v>87</v>
      </c>
      <c r="B268" s="2" t="s">
        <v>202</v>
      </c>
      <c r="C268" s="1">
        <v>1.0098999999999999E-4</v>
      </c>
      <c r="D268" s="1">
        <v>9.0019999999999995E-5</v>
      </c>
      <c r="E268" s="1">
        <v>1.0098999999999999E-4</v>
      </c>
      <c r="F268" s="1">
        <v>9.0019999999999995E-5</v>
      </c>
    </row>
    <row r="269" spans="1:6" x14ac:dyDescent="0.25">
      <c r="A269" s="2" t="s">
        <v>87</v>
      </c>
      <c r="B269" s="2" t="s">
        <v>203</v>
      </c>
      <c r="C269" s="1">
        <v>8.6499999999999999E-4</v>
      </c>
      <c r="D269" s="1">
        <v>5.0000999999999995E-4</v>
      </c>
      <c r="E269" s="1">
        <v>8.6499999999999999E-4</v>
      </c>
      <c r="F269" s="1">
        <v>5.0000999999999995E-4</v>
      </c>
    </row>
    <row r="270" spans="1:6" x14ac:dyDescent="0.25">
      <c r="A270" s="2" t="s">
        <v>87</v>
      </c>
      <c r="B270" s="2" t="s">
        <v>57</v>
      </c>
      <c r="C270" s="1">
        <v>2.83E-5</v>
      </c>
      <c r="D270" s="1">
        <v>2.667E-5</v>
      </c>
      <c r="E270" s="1">
        <v>2.83E-5</v>
      </c>
      <c r="F270" s="1">
        <v>2.667E-5</v>
      </c>
    </row>
    <row r="271" spans="1:6" x14ac:dyDescent="0.25">
      <c r="A271" s="2" t="s">
        <v>87</v>
      </c>
      <c r="B271" s="2" t="s">
        <v>223</v>
      </c>
      <c r="C271" s="1">
        <v>3.1990000000000002E-4</v>
      </c>
      <c r="D271" s="1">
        <v>1.2149E-4</v>
      </c>
      <c r="E271" s="1">
        <v>3.1990000000000002E-4</v>
      </c>
      <c r="F271" s="1">
        <v>1.2149E-4</v>
      </c>
    </row>
    <row r="272" spans="1:6" x14ac:dyDescent="0.25">
      <c r="A272" s="2" t="s">
        <v>87</v>
      </c>
      <c r="B272" s="2" t="s">
        <v>140</v>
      </c>
      <c r="C272" s="1">
        <v>0.11</v>
      </c>
      <c r="D272" s="1">
        <v>5.8119999999999998E-2</v>
      </c>
      <c r="E272" s="1">
        <v>0.11</v>
      </c>
      <c r="F272" s="1">
        <v>5.8119999999999998E-2</v>
      </c>
    </row>
    <row r="273" spans="1:6" x14ac:dyDescent="0.25">
      <c r="A273" s="2" t="s">
        <v>87</v>
      </c>
      <c r="B273" s="2" t="s">
        <v>138</v>
      </c>
      <c r="C273" s="1">
        <v>3.6300000000000001E-5</v>
      </c>
      <c r="D273" s="1">
        <v>3.6269999999999997E-5</v>
      </c>
      <c r="E273" s="1">
        <v>3.6300000000000001E-5</v>
      </c>
      <c r="F273" s="1">
        <v>3.6269999999999997E-5</v>
      </c>
    </row>
    <row r="274" spans="1:6" x14ac:dyDescent="0.25">
      <c r="A274" s="2" t="s">
        <v>87</v>
      </c>
      <c r="B274" s="2" t="s">
        <v>139</v>
      </c>
      <c r="C274" s="1">
        <v>3.4998999999999998E-3</v>
      </c>
      <c r="D274" s="1">
        <v>1.2799999999999999E-5</v>
      </c>
      <c r="E274" s="1">
        <v>3.4998999999999998E-3</v>
      </c>
      <c r="F274" s="1">
        <v>1.2799999999999999E-5</v>
      </c>
    </row>
    <row r="275" spans="1:6" x14ac:dyDescent="0.25">
      <c r="A275" s="2" t="s">
        <v>87</v>
      </c>
      <c r="B275" s="2" t="s">
        <v>238</v>
      </c>
      <c r="C275" s="1">
        <v>0.8</v>
      </c>
      <c r="D275" s="1">
        <v>0.60001000000000004</v>
      </c>
      <c r="E275" s="1">
        <v>0.8</v>
      </c>
      <c r="F275" s="1">
        <v>0.60001000000000004</v>
      </c>
    </row>
    <row r="276" spans="1:6" x14ac:dyDescent="0.25">
      <c r="A276" s="2" t="s">
        <v>87</v>
      </c>
      <c r="B276" s="2" t="s">
        <v>237</v>
      </c>
      <c r="C276" s="1">
        <v>0.7</v>
      </c>
      <c r="D276" s="1">
        <v>0.25</v>
      </c>
      <c r="E276" s="1">
        <v>0.7</v>
      </c>
      <c r="F276" s="1">
        <v>0.25</v>
      </c>
    </row>
    <row r="277" spans="1:6" x14ac:dyDescent="0.25">
      <c r="A277" s="2" t="s">
        <v>87</v>
      </c>
      <c r="B277" s="2" t="s">
        <v>235</v>
      </c>
      <c r="C277" s="1">
        <v>2.4992999999999999E-4</v>
      </c>
      <c r="D277" s="1">
        <v>2.0101E-4</v>
      </c>
      <c r="E277" s="1">
        <v>2.4992999999999999E-4</v>
      </c>
      <c r="F277" s="1">
        <v>2.0101E-4</v>
      </c>
    </row>
    <row r="278" spans="1:6" x14ac:dyDescent="0.25">
      <c r="A278" s="2" t="s">
        <v>87</v>
      </c>
      <c r="B278" s="2" t="s">
        <v>236</v>
      </c>
      <c r="C278" s="1">
        <v>3.8999899999999999E-3</v>
      </c>
      <c r="D278" s="1">
        <v>1.00066E-3</v>
      </c>
      <c r="E278" s="1">
        <v>3.8999899999999999E-3</v>
      </c>
      <c r="F278" s="1">
        <v>1.00066E-3</v>
      </c>
    </row>
    <row r="279" spans="1:6" x14ac:dyDescent="0.25">
      <c r="A279" s="2"/>
      <c r="B279" s="2"/>
      <c r="C279" s="7"/>
      <c r="D279" s="2"/>
      <c r="E279" s="2"/>
      <c r="F279" s="2"/>
    </row>
    <row r="280" spans="1:6" x14ac:dyDescent="0.25">
      <c r="A280" s="2"/>
      <c r="B280" s="2"/>
      <c r="C280" s="1"/>
      <c r="D280" s="1"/>
      <c r="E280" s="1"/>
      <c r="F280" s="1"/>
    </row>
    <row r="281" spans="1:6" x14ac:dyDescent="0.25">
      <c r="A281" s="2"/>
      <c r="B281" s="2"/>
      <c r="C281" s="1"/>
      <c r="D281" s="1"/>
      <c r="E281" s="1"/>
      <c r="F281" s="1"/>
    </row>
    <row r="282" spans="1:6" x14ac:dyDescent="0.25">
      <c r="A282" s="2"/>
      <c r="B282" s="2"/>
      <c r="C282" s="1"/>
      <c r="D282" s="1"/>
      <c r="E282" s="1"/>
      <c r="F282" s="1"/>
    </row>
    <row r="283" spans="1:6" x14ac:dyDescent="0.25">
      <c r="A283" s="2"/>
      <c r="B283" s="2"/>
      <c r="C283" s="7"/>
      <c r="D283" s="2"/>
      <c r="E283" s="2"/>
      <c r="F283" s="2"/>
    </row>
    <row r="284" spans="1:6" x14ac:dyDescent="0.25">
      <c r="A284" s="2"/>
      <c r="B284" s="2"/>
      <c r="C284" s="7"/>
      <c r="D284" s="2"/>
      <c r="E284" s="2"/>
      <c r="F284" s="2"/>
    </row>
    <row r="285" spans="1:6" x14ac:dyDescent="0.25">
      <c r="A285" s="2"/>
      <c r="B285" s="2"/>
      <c r="C285" s="7"/>
      <c r="D285" s="1"/>
      <c r="E285" s="1"/>
      <c r="F285" s="1"/>
    </row>
    <row r="286" spans="1:6" x14ac:dyDescent="0.25">
      <c r="A286" s="2"/>
      <c r="B286" s="2"/>
      <c r="C286" s="1"/>
      <c r="D286" s="1"/>
      <c r="E286" s="1"/>
      <c r="F286" s="1"/>
    </row>
    <row r="287" spans="1:6" x14ac:dyDescent="0.25">
      <c r="A287" s="2"/>
      <c r="B287" s="2"/>
      <c r="C287" s="1"/>
      <c r="D287" s="1"/>
      <c r="E287" s="1"/>
      <c r="F287" s="1"/>
    </row>
    <row r="288" spans="1:6" x14ac:dyDescent="0.25">
      <c r="A288" s="2"/>
      <c r="B288" s="2"/>
      <c r="C288" s="1"/>
      <c r="D288" s="1"/>
      <c r="E288" s="1"/>
      <c r="F288" s="1"/>
    </row>
    <row r="289" spans="1:6" x14ac:dyDescent="0.25">
      <c r="A289" s="2"/>
      <c r="B289" s="2"/>
      <c r="C289" s="1"/>
      <c r="D289" s="1"/>
      <c r="E289" s="1"/>
      <c r="F289" s="1"/>
    </row>
    <row r="290" spans="1:6" x14ac:dyDescent="0.25">
      <c r="A290" s="2"/>
      <c r="B290" s="2"/>
      <c r="C290" s="1"/>
      <c r="D290" s="1"/>
      <c r="E290" s="1"/>
      <c r="F290" s="1"/>
    </row>
    <row r="291" spans="1:6" x14ac:dyDescent="0.25">
      <c r="A291" s="2"/>
      <c r="B291" s="2"/>
      <c r="C291" s="7"/>
      <c r="D291" s="1"/>
      <c r="E291" s="1"/>
      <c r="F291" s="1"/>
    </row>
    <row r="292" spans="1:6" x14ac:dyDescent="0.25">
      <c r="A292" s="2"/>
      <c r="B292" s="2"/>
      <c r="C292" s="7"/>
      <c r="D292" s="2"/>
      <c r="E292" s="2"/>
      <c r="F292" s="2"/>
    </row>
    <row r="293" spans="1:6" x14ac:dyDescent="0.25">
      <c r="A293" s="2"/>
      <c r="B293" s="2"/>
      <c r="C293" s="1"/>
      <c r="D293" s="1"/>
      <c r="E293" s="1"/>
      <c r="F293" s="1"/>
    </row>
    <row r="294" spans="1:6" x14ac:dyDescent="0.25">
      <c r="A294" s="2"/>
      <c r="B294" s="2"/>
      <c r="C294" s="1"/>
      <c r="D294" s="1"/>
      <c r="E294" s="1"/>
      <c r="F294" s="1"/>
    </row>
    <row r="295" spans="1:6" x14ac:dyDescent="0.25">
      <c r="A295" s="2"/>
      <c r="B295" s="2"/>
      <c r="C295" s="1"/>
      <c r="D295" s="1"/>
      <c r="E295" s="1"/>
      <c r="F295" s="1"/>
    </row>
    <row r="296" spans="1:6" x14ac:dyDescent="0.25">
      <c r="A296" s="2"/>
      <c r="B296" s="2"/>
      <c r="C296" s="1"/>
      <c r="D296" s="1"/>
      <c r="E296" s="1"/>
      <c r="F296" s="1"/>
    </row>
    <row r="297" spans="1:6" x14ac:dyDescent="0.25">
      <c r="A297" s="2"/>
      <c r="B297" s="2"/>
      <c r="C297" s="7"/>
      <c r="D297" s="1"/>
      <c r="E297" s="2"/>
      <c r="F297" s="1"/>
    </row>
    <row r="298" spans="1:6" x14ac:dyDescent="0.25">
      <c r="A298" s="2"/>
      <c r="B298" s="2"/>
      <c r="C298" s="7"/>
      <c r="D298" s="1"/>
      <c r="E298" s="1"/>
      <c r="F298" s="1"/>
    </row>
    <row r="299" spans="1:6" x14ac:dyDescent="0.25">
      <c r="A299" s="2"/>
      <c r="B299" s="2"/>
      <c r="C299" s="1"/>
      <c r="D299" s="1"/>
      <c r="E299" s="1"/>
      <c r="F299" s="1"/>
    </row>
    <row r="300" spans="1:6" x14ac:dyDescent="0.25">
      <c r="A300" s="2"/>
      <c r="B300" s="2"/>
      <c r="C300" s="1"/>
      <c r="D300" s="1"/>
      <c r="E300" s="1"/>
      <c r="F300" s="1"/>
    </row>
    <row r="301" spans="1:6" x14ac:dyDescent="0.25">
      <c r="A301" s="2"/>
      <c r="B301" s="2"/>
      <c r="C301" s="7"/>
      <c r="D301" s="1"/>
      <c r="E301" s="1"/>
      <c r="F301" s="1"/>
    </row>
    <row r="302" spans="1:6" x14ac:dyDescent="0.25">
      <c r="A302" s="2"/>
      <c r="B302" s="2"/>
      <c r="C302" s="1"/>
      <c r="D302" s="1"/>
      <c r="E302" s="1"/>
      <c r="F302" s="1"/>
    </row>
    <row r="303" spans="1:6" x14ac:dyDescent="0.25">
      <c r="A303" s="2"/>
      <c r="B303" s="2"/>
      <c r="C303" s="1"/>
      <c r="D303" s="1"/>
      <c r="E303" s="1"/>
      <c r="F303" s="1"/>
    </row>
    <row r="304" spans="1:6" x14ac:dyDescent="0.25">
      <c r="A304" s="2"/>
      <c r="B304" s="2"/>
      <c r="C304" s="1"/>
      <c r="D304" s="1"/>
      <c r="E304" s="1"/>
      <c r="F304" s="1"/>
    </row>
    <row r="305" spans="1:6" x14ac:dyDescent="0.25">
      <c r="A305" s="2"/>
      <c r="B305" s="2"/>
      <c r="C305" s="1"/>
      <c r="D305" s="1"/>
      <c r="E305" s="1"/>
      <c r="F305" s="1"/>
    </row>
    <row r="306" spans="1:6" x14ac:dyDescent="0.25">
      <c r="A306" s="2"/>
      <c r="B306" s="2"/>
      <c r="C306" s="7"/>
      <c r="D306" s="1"/>
      <c r="E306" s="1"/>
      <c r="F306" s="1"/>
    </row>
    <row r="307" spans="1:6" x14ac:dyDescent="0.25">
      <c r="A307" s="2"/>
      <c r="B307" s="2"/>
      <c r="C307" s="1"/>
      <c r="D307" s="1"/>
      <c r="E307" s="1"/>
      <c r="F307" s="1"/>
    </row>
    <row r="308" spans="1:6" x14ac:dyDescent="0.25">
      <c r="A308" s="2"/>
      <c r="B308" s="2"/>
      <c r="C308" s="1"/>
      <c r="D308" s="1"/>
      <c r="E308" s="1"/>
      <c r="F308" s="1"/>
    </row>
    <row r="309" spans="1:6" x14ac:dyDescent="0.25">
      <c r="A309" s="2"/>
      <c r="B309" s="2"/>
      <c r="C309" s="1"/>
      <c r="D309" s="1"/>
      <c r="E309" s="1"/>
      <c r="F309" s="1"/>
    </row>
    <row r="310" spans="1:6" x14ac:dyDescent="0.25">
      <c r="A310" s="2"/>
      <c r="B310" s="2"/>
      <c r="C310" s="1"/>
      <c r="D310" s="1"/>
      <c r="E310" s="1"/>
      <c r="F310" s="1"/>
    </row>
    <row r="311" spans="1:6" x14ac:dyDescent="0.25">
      <c r="A311" s="2"/>
      <c r="B311" s="2"/>
      <c r="C311" s="1"/>
      <c r="D311" s="1"/>
      <c r="E311" s="1"/>
      <c r="F311" s="1"/>
    </row>
    <row r="312" spans="1:6" x14ac:dyDescent="0.25">
      <c r="A312" s="2"/>
      <c r="B312" s="2"/>
      <c r="C312" s="1"/>
      <c r="D312" s="1"/>
      <c r="E312" s="1"/>
      <c r="F312" s="1"/>
    </row>
    <row r="313" spans="1:6" x14ac:dyDescent="0.25">
      <c r="A313" s="2"/>
      <c r="B313" s="2"/>
      <c r="C313" s="1"/>
      <c r="D313" s="1"/>
      <c r="E313" s="1"/>
      <c r="F313" s="1"/>
    </row>
    <row r="314" spans="1:6" x14ac:dyDescent="0.25">
      <c r="A314" s="2"/>
      <c r="B314" s="2"/>
      <c r="C314" s="1"/>
      <c r="D314" s="1"/>
      <c r="E314" s="1"/>
      <c r="F314" s="1"/>
    </row>
    <row r="315" spans="1:6" x14ac:dyDescent="0.25">
      <c r="A315" s="2"/>
      <c r="B315" s="2"/>
      <c r="C315" s="1"/>
      <c r="D315" s="1"/>
      <c r="E315" s="1"/>
      <c r="F315" s="1"/>
    </row>
    <row r="316" spans="1:6" x14ac:dyDescent="0.25">
      <c r="A316" s="2"/>
      <c r="B316" s="2"/>
      <c r="C316" s="1"/>
      <c r="D316" s="1"/>
      <c r="E316" s="1"/>
      <c r="F316" s="1"/>
    </row>
    <row r="317" spans="1:6" x14ac:dyDescent="0.25">
      <c r="A317" s="2"/>
      <c r="B317" s="2"/>
      <c r="C317" s="1"/>
      <c r="D317" s="1"/>
      <c r="E317" s="1"/>
      <c r="F317" s="1"/>
    </row>
    <row r="318" spans="1:6" x14ac:dyDescent="0.25">
      <c r="A318" s="2"/>
      <c r="B318" s="2"/>
      <c r="C318" s="1"/>
      <c r="D318" s="1"/>
      <c r="E318" s="1"/>
      <c r="F318" s="1"/>
    </row>
    <row r="319" spans="1:6" x14ac:dyDescent="0.25">
      <c r="A319" s="2"/>
      <c r="B319" s="2"/>
      <c r="C319" s="1"/>
      <c r="D319" s="1"/>
      <c r="E319" s="1"/>
      <c r="F319" s="1"/>
    </row>
    <row r="320" spans="1:6" x14ac:dyDescent="0.25">
      <c r="A320" s="2"/>
      <c r="B320" s="2"/>
      <c r="C320" s="1"/>
      <c r="D320" s="1"/>
      <c r="E320" s="1"/>
      <c r="F320" s="1"/>
    </row>
    <row r="321" spans="1:6" x14ac:dyDescent="0.25">
      <c r="A321" s="2"/>
      <c r="B321" s="2"/>
      <c r="C321" s="1"/>
      <c r="D321" s="1"/>
      <c r="E321" s="1"/>
      <c r="F321" s="1"/>
    </row>
    <row r="322" spans="1:6" x14ac:dyDescent="0.25">
      <c r="A322" s="2"/>
      <c r="B322" s="2"/>
      <c r="C322" s="1"/>
      <c r="D322" s="1"/>
      <c r="E322" s="1"/>
      <c r="F322" s="1"/>
    </row>
    <row r="323" spans="1:6" x14ac:dyDescent="0.25">
      <c r="A323" s="2"/>
      <c r="B323" s="2"/>
      <c r="C323" s="7"/>
      <c r="D323" s="2"/>
      <c r="E323" s="2"/>
      <c r="F323" s="2"/>
    </row>
    <row r="324" spans="1:6" x14ac:dyDescent="0.25">
      <c r="A324" s="2"/>
      <c r="B324" s="2"/>
      <c r="C324" s="7"/>
      <c r="D324" s="2"/>
      <c r="E324" s="2"/>
      <c r="F324" s="2"/>
    </row>
    <row r="325" spans="1:6" x14ac:dyDescent="0.25">
      <c r="A325" s="2"/>
      <c r="B325" s="2"/>
      <c r="C325" s="7"/>
      <c r="D325" s="2"/>
      <c r="E325" s="2"/>
      <c r="F325" s="2"/>
    </row>
    <row r="326" spans="1:6" x14ac:dyDescent="0.25">
      <c r="A326" s="2"/>
      <c r="B326" s="2"/>
      <c r="C326" s="7"/>
      <c r="D326" s="2"/>
      <c r="E326" s="2"/>
      <c r="F326" s="2"/>
    </row>
    <row r="327" spans="1:6" x14ac:dyDescent="0.25">
      <c r="A327" s="2"/>
      <c r="B327" s="2"/>
      <c r="C327" s="7"/>
      <c r="D327" s="2"/>
      <c r="E327" s="2"/>
      <c r="F327" s="2"/>
    </row>
    <row r="328" spans="1:6" x14ac:dyDescent="0.25">
      <c r="A328" s="2"/>
      <c r="B328" s="2"/>
      <c r="C328" s="7"/>
      <c r="D328" s="2"/>
      <c r="E328" s="2"/>
      <c r="F328" s="2"/>
    </row>
    <row r="329" spans="1:6" x14ac:dyDescent="0.25">
      <c r="A329" s="2"/>
      <c r="B329" s="2"/>
      <c r="C329" s="7"/>
      <c r="D329" s="2"/>
      <c r="E329" s="2"/>
      <c r="F329" s="2"/>
    </row>
    <row r="330" spans="1:6" x14ac:dyDescent="0.25">
      <c r="A330" s="2"/>
      <c r="B330" s="2"/>
      <c r="C330" s="7"/>
      <c r="D330" s="2"/>
      <c r="E330" s="2"/>
      <c r="F330" s="2"/>
    </row>
    <row r="331" spans="1:6" x14ac:dyDescent="0.25">
      <c r="A331" s="2"/>
      <c r="B331" s="2"/>
      <c r="C331" s="7"/>
      <c r="D331" s="2"/>
      <c r="E331" s="2"/>
      <c r="F331" s="2"/>
    </row>
    <row r="332" spans="1:6" x14ac:dyDescent="0.25">
      <c r="A332" s="2"/>
      <c r="B332" s="2"/>
      <c r="C332" s="7"/>
      <c r="D332" s="2"/>
      <c r="E332" s="2"/>
      <c r="F332" s="2"/>
    </row>
    <row r="333" spans="1:6" x14ac:dyDescent="0.25">
      <c r="A333" s="2"/>
      <c r="B333" s="2"/>
      <c r="C333" s="7"/>
      <c r="D333" s="2"/>
      <c r="E333" s="2"/>
      <c r="F333" s="2"/>
    </row>
    <row r="334" spans="1:6" x14ac:dyDescent="0.25">
      <c r="A334" s="2"/>
      <c r="B334" s="2"/>
      <c r="C334" s="7"/>
      <c r="D334" s="2"/>
      <c r="E334" s="2"/>
      <c r="F334" s="2"/>
    </row>
    <row r="335" spans="1:6" x14ac:dyDescent="0.25">
      <c r="A335" s="2"/>
      <c r="B335" s="2"/>
      <c r="C335" s="7"/>
      <c r="D335" s="2"/>
      <c r="E335" s="2"/>
      <c r="F335" s="2"/>
    </row>
    <row r="336" spans="1:6" x14ac:dyDescent="0.25">
      <c r="A336" s="2"/>
      <c r="B336" s="2"/>
      <c r="C336" s="7"/>
      <c r="D336" s="2"/>
      <c r="E336" s="2"/>
      <c r="F336" s="2"/>
    </row>
    <row r="337" spans="1:6" x14ac:dyDescent="0.25">
      <c r="A337" s="2"/>
      <c r="B337" s="2"/>
      <c r="C337" s="7"/>
      <c r="D337" s="2"/>
      <c r="E337" s="2"/>
      <c r="F337" s="2"/>
    </row>
    <row r="338" spans="1:6" x14ac:dyDescent="0.25">
      <c r="A338" s="2"/>
      <c r="B338" s="2"/>
      <c r="C338" s="7"/>
      <c r="D338" s="2"/>
      <c r="E338" s="1"/>
      <c r="F338" s="1"/>
    </row>
    <row r="339" spans="1:6" x14ac:dyDescent="0.25">
      <c r="A339" s="2"/>
      <c r="B339" s="2"/>
      <c r="C339" s="7"/>
      <c r="D339" s="2"/>
      <c r="E339" s="2"/>
      <c r="F339" s="2"/>
    </row>
    <row r="340" spans="1:6" x14ac:dyDescent="0.25">
      <c r="A340" s="2"/>
      <c r="B340" s="2"/>
      <c r="C340" s="7"/>
      <c r="D340" s="2"/>
      <c r="E340" s="2"/>
      <c r="F340" s="2"/>
    </row>
    <row r="341" spans="1:6" x14ac:dyDescent="0.25">
      <c r="A341" s="2"/>
      <c r="B341" s="2"/>
      <c r="C341" s="7"/>
      <c r="D341" s="2"/>
      <c r="E341" s="2"/>
      <c r="F341" s="2"/>
    </row>
    <row r="342" spans="1:6" x14ac:dyDescent="0.25">
      <c r="A342" s="2"/>
      <c r="B342" s="2"/>
      <c r="C342" s="7"/>
      <c r="D342" s="2"/>
      <c r="E342" s="2"/>
      <c r="F342" s="2"/>
    </row>
    <row r="343" spans="1:6" x14ac:dyDescent="0.25">
      <c r="A343" s="2"/>
      <c r="B343" s="2"/>
      <c r="C343" s="7"/>
      <c r="D343" s="2"/>
      <c r="E343" s="2"/>
      <c r="F343" s="2"/>
    </row>
    <row r="344" spans="1:6" x14ac:dyDescent="0.25">
      <c r="A344" s="2"/>
      <c r="B344" s="2"/>
      <c r="C344" s="7"/>
      <c r="D344" s="2"/>
      <c r="E344" s="1"/>
      <c r="F344" s="1"/>
    </row>
    <row r="345" spans="1:6" x14ac:dyDescent="0.25">
      <c r="A345" s="2"/>
      <c r="B345" s="2"/>
      <c r="C345" s="7"/>
      <c r="D345" s="2"/>
      <c r="E345" s="2"/>
      <c r="F345" s="2"/>
    </row>
    <row r="346" spans="1:6" x14ac:dyDescent="0.25">
      <c r="A346" s="2"/>
      <c r="B346" s="2"/>
      <c r="C346" s="7"/>
      <c r="D346" s="2"/>
      <c r="E346" s="2"/>
      <c r="F346" s="2"/>
    </row>
    <row r="347" spans="1:6" x14ac:dyDescent="0.25">
      <c r="A347" s="2"/>
      <c r="B347" s="2"/>
      <c r="C347" s="7"/>
      <c r="D347" s="1"/>
      <c r="E347" s="1"/>
      <c r="F347" s="1"/>
    </row>
    <row r="348" spans="1:6" x14ac:dyDescent="0.25">
      <c r="A348" s="2"/>
      <c r="B348" s="2"/>
      <c r="C348" s="7"/>
      <c r="D348" s="1"/>
      <c r="E348" s="1"/>
      <c r="F348" s="1"/>
    </row>
    <row r="349" spans="1:6" x14ac:dyDescent="0.25">
      <c r="A349" s="2"/>
      <c r="B349" s="2"/>
      <c r="C349" s="7"/>
      <c r="D349" s="2"/>
      <c r="E349" s="2"/>
      <c r="F349" s="2"/>
    </row>
    <row r="350" spans="1:6" x14ac:dyDescent="0.25">
      <c r="A350" s="2"/>
      <c r="B350" s="2"/>
      <c r="C350" s="7"/>
      <c r="D350" s="2"/>
      <c r="E350" s="2"/>
      <c r="F350" s="2"/>
    </row>
    <row r="351" spans="1:6" x14ac:dyDescent="0.25">
      <c r="A351" s="2"/>
      <c r="B351" s="2"/>
      <c r="C351" s="7"/>
      <c r="D351" s="2"/>
      <c r="E351" s="2"/>
      <c r="F351" s="2"/>
    </row>
    <row r="352" spans="1:6" x14ac:dyDescent="0.25">
      <c r="A352" s="2"/>
      <c r="B352" s="2"/>
      <c r="C352" s="7"/>
      <c r="D352" s="2"/>
      <c r="E352" s="2"/>
      <c r="F352" s="2"/>
    </row>
    <row r="353" spans="1:6" x14ac:dyDescent="0.25">
      <c r="A353" s="2"/>
      <c r="B353" s="2"/>
      <c r="C353" s="7"/>
      <c r="D353" s="2"/>
      <c r="E353" s="2"/>
      <c r="F353" s="2"/>
    </row>
    <row r="354" spans="1:6" x14ac:dyDescent="0.25">
      <c r="A354" s="2"/>
      <c r="B354" s="2"/>
      <c r="C354" s="7"/>
      <c r="D354" s="2"/>
      <c r="E354" s="2"/>
      <c r="F354" s="2"/>
    </row>
    <row r="355" spans="1:6" x14ac:dyDescent="0.25">
      <c r="A355" s="2"/>
      <c r="B355" s="2"/>
      <c r="C355" s="7"/>
      <c r="D355" s="2"/>
      <c r="E355" s="2"/>
      <c r="F355" s="2"/>
    </row>
    <row r="356" spans="1:6" x14ac:dyDescent="0.25">
      <c r="A356" s="2"/>
      <c r="B356" s="2"/>
      <c r="C356" s="7"/>
      <c r="D356" s="2"/>
      <c r="E356" s="2"/>
      <c r="F356" s="2"/>
    </row>
    <row r="357" spans="1:6" x14ac:dyDescent="0.25">
      <c r="A357" s="2"/>
      <c r="B357" s="2"/>
      <c r="C357" s="7"/>
      <c r="D357" s="2"/>
      <c r="E357" s="2"/>
      <c r="F357" s="2"/>
    </row>
    <row r="358" spans="1:6" x14ac:dyDescent="0.25">
      <c r="A358" s="2"/>
      <c r="B358" s="2"/>
      <c r="C358" s="7"/>
      <c r="D358" s="2"/>
      <c r="E358" s="2"/>
      <c r="F358" s="2"/>
    </row>
    <row r="359" spans="1:6" x14ac:dyDescent="0.25">
      <c r="A359" s="2"/>
      <c r="B359" s="2"/>
      <c r="C359" s="7"/>
      <c r="D359" s="2"/>
      <c r="E359" s="2"/>
      <c r="F359" s="2"/>
    </row>
    <row r="360" spans="1:6" x14ac:dyDescent="0.25">
      <c r="A360" s="2"/>
      <c r="B360" s="2"/>
      <c r="C360" s="7"/>
      <c r="D360" s="2"/>
      <c r="E360" s="2"/>
      <c r="F360" s="2"/>
    </row>
    <row r="361" spans="1:6" x14ac:dyDescent="0.25">
      <c r="A361" s="2"/>
      <c r="B361" s="2"/>
      <c r="C361" s="7"/>
      <c r="D361" s="2"/>
      <c r="E361" s="2"/>
      <c r="F361" s="2"/>
    </row>
    <row r="362" spans="1:6" x14ac:dyDescent="0.25">
      <c r="A362" s="2"/>
      <c r="B362" s="2"/>
      <c r="C362" s="7"/>
      <c r="D362" s="2"/>
      <c r="E362" s="2"/>
      <c r="F362" s="2"/>
    </row>
    <row r="363" spans="1:6" x14ac:dyDescent="0.25">
      <c r="A363" s="2"/>
      <c r="B363" s="2"/>
      <c r="C363" s="7"/>
      <c r="D363" s="2"/>
      <c r="E363" s="2"/>
      <c r="F363" s="2"/>
    </row>
    <row r="364" spans="1:6" x14ac:dyDescent="0.25">
      <c r="A364" s="2"/>
      <c r="B364" s="2"/>
      <c r="C364" s="7"/>
      <c r="D364" s="1"/>
      <c r="E364" s="1"/>
      <c r="F364" s="1"/>
    </row>
    <row r="365" spans="1:6" x14ac:dyDescent="0.25">
      <c r="A365" s="2"/>
      <c r="B365" s="2"/>
      <c r="C365" s="7"/>
      <c r="D365" s="2"/>
      <c r="E365" s="2"/>
      <c r="F365" s="2"/>
    </row>
    <row r="366" spans="1:6" x14ac:dyDescent="0.25">
      <c r="A366" s="2"/>
      <c r="B366" s="2"/>
      <c r="C366" s="7"/>
      <c r="D366" s="1"/>
      <c r="E366" s="1"/>
      <c r="F366" s="1"/>
    </row>
    <row r="367" spans="1:6" x14ac:dyDescent="0.25">
      <c r="A367" s="2"/>
      <c r="B367" s="2"/>
      <c r="C367" s="7"/>
      <c r="D367" s="2"/>
      <c r="E367" s="2"/>
      <c r="F367" s="2"/>
    </row>
    <row r="368" spans="1:6" x14ac:dyDescent="0.25">
      <c r="A368" s="2"/>
      <c r="B368" s="2"/>
      <c r="C368" s="7"/>
      <c r="D368" s="2"/>
      <c r="E368" s="2"/>
      <c r="F368" s="2"/>
    </row>
    <row r="369" spans="1:6" x14ac:dyDescent="0.25">
      <c r="A369" s="2"/>
      <c r="B369" s="2"/>
      <c r="C369" s="7"/>
      <c r="D369" s="2"/>
      <c r="E369" s="2"/>
      <c r="F369" s="2"/>
    </row>
    <row r="370" spans="1:6" x14ac:dyDescent="0.25">
      <c r="A370" s="2"/>
      <c r="B370" s="2"/>
      <c r="C370" s="7"/>
      <c r="D370" s="2"/>
      <c r="E370" s="2"/>
      <c r="F370" s="2"/>
    </row>
    <row r="371" spans="1:6" x14ac:dyDescent="0.25">
      <c r="A371" s="2"/>
      <c r="B371" s="2"/>
      <c r="C371" s="7"/>
      <c r="D371" s="2"/>
      <c r="E371" s="2"/>
      <c r="F371" s="2"/>
    </row>
    <row r="372" spans="1:6" x14ac:dyDescent="0.25">
      <c r="A372" s="2"/>
      <c r="B372" s="2"/>
      <c r="C372" s="7"/>
      <c r="D372" s="2"/>
      <c r="E372" s="2"/>
      <c r="F372" s="2"/>
    </row>
    <row r="373" spans="1:6" x14ac:dyDescent="0.25">
      <c r="A373" s="2"/>
      <c r="B373" s="2"/>
      <c r="C373" s="7"/>
      <c r="D373" s="2"/>
      <c r="E373" s="2"/>
      <c r="F373" s="2"/>
    </row>
    <row r="374" spans="1:6" x14ac:dyDescent="0.25">
      <c r="A374" s="2"/>
      <c r="B374" s="2"/>
      <c r="C374" s="7"/>
      <c r="D374" s="1"/>
      <c r="E374" s="1"/>
      <c r="F374" s="1"/>
    </row>
    <row r="375" spans="1:6" x14ac:dyDescent="0.25">
      <c r="A375" s="2"/>
      <c r="B375" s="2"/>
      <c r="C375" s="7"/>
      <c r="D375" s="2"/>
      <c r="E375" s="2"/>
      <c r="F375" s="2"/>
    </row>
    <row r="376" spans="1:6" x14ac:dyDescent="0.25">
      <c r="A376" s="2"/>
      <c r="B376" s="2"/>
      <c r="C376" s="7"/>
      <c r="D376" s="2"/>
      <c r="E376" s="2"/>
      <c r="F376" s="2"/>
    </row>
    <row r="377" spans="1:6" x14ac:dyDescent="0.25">
      <c r="A377" s="2"/>
      <c r="B377" s="2"/>
      <c r="C377" s="7"/>
      <c r="D377" s="2"/>
      <c r="E377" s="2"/>
      <c r="F377" s="2"/>
    </row>
    <row r="378" spans="1:6" x14ac:dyDescent="0.25">
      <c r="A378" s="2"/>
      <c r="B378" s="2"/>
      <c r="C378" s="7"/>
      <c r="D378" s="2"/>
      <c r="E378" s="2"/>
      <c r="F378" s="2"/>
    </row>
    <row r="379" spans="1:6" x14ac:dyDescent="0.25">
      <c r="A379" s="2"/>
      <c r="B379" s="2"/>
      <c r="C379" s="7"/>
      <c r="D379" s="2"/>
      <c r="E379" s="2"/>
      <c r="F379" s="2"/>
    </row>
    <row r="380" spans="1:6" x14ac:dyDescent="0.25">
      <c r="A380" s="2"/>
      <c r="B380" s="2"/>
      <c r="C380" s="7"/>
      <c r="D380" s="2"/>
      <c r="E380" s="2"/>
      <c r="F380" s="2"/>
    </row>
    <row r="381" spans="1:6" x14ac:dyDescent="0.25">
      <c r="A381" s="2"/>
      <c r="B381" s="2"/>
      <c r="C381" s="7"/>
      <c r="D381" s="2"/>
      <c r="E381" s="2"/>
      <c r="F381" s="2"/>
    </row>
    <row r="382" spans="1:6" x14ac:dyDescent="0.25">
      <c r="A382" s="2"/>
      <c r="B382" s="2"/>
      <c r="C382" s="7"/>
      <c r="D382" s="2"/>
      <c r="E382" s="2"/>
      <c r="F382" s="2"/>
    </row>
    <row r="383" spans="1:6" x14ac:dyDescent="0.25">
      <c r="A383" s="2"/>
      <c r="B383" s="2"/>
      <c r="C383" s="7"/>
      <c r="D383" s="2"/>
      <c r="E383" s="2"/>
      <c r="F383" s="2"/>
    </row>
    <row r="384" spans="1:6" x14ac:dyDescent="0.25">
      <c r="A384" s="2"/>
      <c r="B384" s="2"/>
      <c r="C384" s="7"/>
      <c r="D384" s="2"/>
      <c r="E384" s="2"/>
      <c r="F384" s="2"/>
    </row>
    <row r="385" spans="1:6" x14ac:dyDescent="0.25">
      <c r="A385" s="2"/>
      <c r="B385" s="2"/>
      <c r="C385" s="7"/>
      <c r="D385" s="2"/>
      <c r="E385" s="1"/>
      <c r="F385" s="1"/>
    </row>
    <row r="386" spans="1:6" x14ac:dyDescent="0.25">
      <c r="A386" s="2"/>
      <c r="B386" s="2"/>
      <c r="C386" s="7"/>
      <c r="D386" s="2"/>
      <c r="E386" s="2"/>
      <c r="F386" s="2"/>
    </row>
    <row r="387" spans="1:6" x14ac:dyDescent="0.25">
      <c r="A387" s="2"/>
      <c r="B387" s="2"/>
      <c r="C387" s="7"/>
      <c r="D387" s="2"/>
      <c r="E387" s="2"/>
      <c r="F387" s="2"/>
    </row>
    <row r="388" spans="1:6" x14ac:dyDescent="0.25">
      <c r="A388" s="2"/>
      <c r="B388" s="2"/>
      <c r="C388" s="7"/>
      <c r="D388" s="2"/>
      <c r="E388" s="2"/>
      <c r="F388" s="2"/>
    </row>
    <row r="389" spans="1:6" x14ac:dyDescent="0.25">
      <c r="A389" s="2"/>
      <c r="B389" s="2"/>
      <c r="C389" s="7"/>
      <c r="D389" s="2"/>
      <c r="E389" s="2"/>
      <c r="F389" s="2"/>
    </row>
    <row r="390" spans="1:6" x14ac:dyDescent="0.25">
      <c r="A390" s="2"/>
      <c r="B390" s="2"/>
      <c r="C390" s="7"/>
      <c r="D390" s="2"/>
      <c r="E390" s="2"/>
      <c r="F390" s="2"/>
    </row>
    <row r="391" spans="1:6" x14ac:dyDescent="0.25">
      <c r="A391" s="2"/>
      <c r="B391" s="2"/>
      <c r="C391" s="7"/>
      <c r="D391" s="2"/>
      <c r="E391" s="2"/>
      <c r="F391" s="2"/>
    </row>
    <row r="392" spans="1:6" x14ac:dyDescent="0.25">
      <c r="A392" s="2"/>
      <c r="B392" s="2"/>
      <c r="C392" s="7"/>
      <c r="D392" s="2"/>
      <c r="E392" s="2"/>
      <c r="F392" s="2"/>
    </row>
    <row r="393" spans="1:6" x14ac:dyDescent="0.25">
      <c r="A393" s="2"/>
      <c r="B393" s="2"/>
      <c r="C393" s="7"/>
      <c r="D393" s="2"/>
      <c r="E393" s="2"/>
      <c r="F393" s="2"/>
    </row>
    <row r="394" spans="1:6" x14ac:dyDescent="0.25">
      <c r="A394" s="2"/>
      <c r="B394" s="2"/>
      <c r="C394" s="7"/>
      <c r="D394" s="2"/>
      <c r="E394" s="2"/>
      <c r="F394" s="2"/>
    </row>
    <row r="395" spans="1:6" x14ac:dyDescent="0.25">
      <c r="A395" s="2"/>
      <c r="B395" s="2"/>
      <c r="C395" s="7"/>
      <c r="D395" s="2"/>
      <c r="E395" s="2"/>
      <c r="F395" s="2"/>
    </row>
    <row r="396" spans="1:6" x14ac:dyDescent="0.25">
      <c r="A396" s="2"/>
      <c r="B396" s="2"/>
      <c r="C396" s="7"/>
      <c r="D396" s="2"/>
      <c r="E396" s="2"/>
      <c r="F396" s="2"/>
    </row>
    <row r="397" spans="1:6" x14ac:dyDescent="0.25">
      <c r="A397" s="2"/>
      <c r="B397" s="2"/>
      <c r="C397" s="7"/>
      <c r="D397" s="2"/>
      <c r="E397" s="2"/>
      <c r="F397" s="2"/>
    </row>
    <row r="398" spans="1:6" x14ac:dyDescent="0.25">
      <c r="A398" s="2"/>
      <c r="B398" s="2"/>
      <c r="C398" s="7"/>
      <c r="D398" s="2"/>
      <c r="E398" s="2"/>
      <c r="F398" s="2"/>
    </row>
    <row r="399" spans="1:6" x14ac:dyDescent="0.25">
      <c r="A399" s="2"/>
      <c r="B399" s="2"/>
      <c r="C399" s="7"/>
      <c r="D399" s="2"/>
      <c r="E399" s="2"/>
      <c r="F399" s="2"/>
    </row>
    <row r="400" spans="1:6" x14ac:dyDescent="0.25">
      <c r="A400" s="2"/>
      <c r="B400" s="2"/>
      <c r="C400" s="7"/>
      <c r="D400" s="2"/>
      <c r="E400" s="2"/>
      <c r="F400" s="2"/>
    </row>
    <row r="401" spans="1:6" x14ac:dyDescent="0.25">
      <c r="A401" s="2"/>
      <c r="B401" s="2"/>
      <c r="C401" s="7"/>
      <c r="D401" s="2"/>
      <c r="E401" s="2"/>
      <c r="F401" s="2"/>
    </row>
    <row r="402" spans="1:6" x14ac:dyDescent="0.25">
      <c r="A402" s="2"/>
      <c r="B402" s="2"/>
      <c r="C402" s="7"/>
      <c r="D402" s="2"/>
      <c r="E402" s="2"/>
      <c r="F402" s="2"/>
    </row>
    <row r="403" spans="1:6" x14ac:dyDescent="0.25">
      <c r="A403" s="2"/>
      <c r="B403" s="2"/>
      <c r="C403" s="7"/>
      <c r="D403" s="2"/>
      <c r="E403" s="2"/>
      <c r="F403" s="2"/>
    </row>
    <row r="404" spans="1:6" x14ac:dyDescent="0.25">
      <c r="A404" s="2"/>
      <c r="B404" s="2"/>
      <c r="C404" s="7"/>
      <c r="D404" s="2"/>
      <c r="E404" s="2"/>
      <c r="F404" s="2"/>
    </row>
    <row r="405" spans="1:6" x14ac:dyDescent="0.25">
      <c r="A405" s="2"/>
      <c r="B405" s="2"/>
      <c r="C405" s="7"/>
      <c r="D405" s="2"/>
      <c r="E405" s="2"/>
      <c r="F405" s="2"/>
    </row>
    <row r="406" spans="1:6" x14ac:dyDescent="0.25">
      <c r="A406" s="2"/>
      <c r="B406" s="2"/>
      <c r="C406" s="7"/>
      <c r="D406" s="2"/>
      <c r="E406" s="2"/>
      <c r="F406" s="2"/>
    </row>
    <row r="407" spans="1:6" x14ac:dyDescent="0.25">
      <c r="A407" s="2"/>
      <c r="B407" s="2"/>
      <c r="C407" s="7"/>
      <c r="D407" s="2"/>
      <c r="E407" s="2"/>
      <c r="F407" s="2"/>
    </row>
    <row r="408" spans="1:6" x14ac:dyDescent="0.25">
      <c r="A408" s="2"/>
      <c r="B408" s="2"/>
      <c r="C408" s="7"/>
      <c r="D408" s="1"/>
      <c r="E408" s="1"/>
      <c r="F408" s="1"/>
    </row>
    <row r="409" spans="1:6" x14ac:dyDescent="0.25">
      <c r="A409" s="2"/>
      <c r="B409" s="2"/>
      <c r="C409" s="7"/>
      <c r="D409" s="2"/>
      <c r="E409" s="2"/>
      <c r="F409" s="2"/>
    </row>
    <row r="410" spans="1:6" x14ac:dyDescent="0.25">
      <c r="A410" s="2"/>
      <c r="B410" s="2"/>
      <c r="C410" s="7"/>
      <c r="D410" s="2"/>
      <c r="E410" s="2"/>
      <c r="F410" s="2"/>
    </row>
    <row r="411" spans="1:6" x14ac:dyDescent="0.25">
      <c r="A411" s="2"/>
      <c r="B411" s="2"/>
      <c r="C411" s="7"/>
      <c r="D411" s="2"/>
      <c r="E411" s="2"/>
      <c r="F411" s="2"/>
    </row>
    <row r="412" spans="1:6" x14ac:dyDescent="0.25">
      <c r="A412" s="2"/>
      <c r="B412" s="2"/>
      <c r="C412" s="7"/>
      <c r="D412" s="2"/>
      <c r="E412" s="2"/>
      <c r="F412" s="2"/>
    </row>
    <row r="413" spans="1:6" x14ac:dyDescent="0.25">
      <c r="A413" s="2"/>
      <c r="B413" s="2"/>
      <c r="C413" s="7"/>
      <c r="D413" s="1"/>
      <c r="E413" s="1"/>
      <c r="F413" s="1"/>
    </row>
    <row r="414" spans="1:6" x14ac:dyDescent="0.25">
      <c r="A414" s="2"/>
      <c r="B414" s="2"/>
      <c r="C414" s="7"/>
      <c r="D414" s="2"/>
      <c r="E414" s="2"/>
      <c r="F414" s="2"/>
    </row>
    <row r="415" spans="1:6" x14ac:dyDescent="0.25">
      <c r="A415" s="2"/>
      <c r="B415" s="2"/>
      <c r="C415" s="7"/>
      <c r="D415" s="2"/>
      <c r="E415" s="2"/>
      <c r="F415" s="2"/>
    </row>
    <row r="416" spans="1:6" x14ac:dyDescent="0.25">
      <c r="A416" s="2"/>
      <c r="B416" s="2"/>
      <c r="C416" s="7"/>
      <c r="D416" s="2"/>
      <c r="E416" s="2"/>
      <c r="F416" s="2"/>
    </row>
    <row r="417" spans="1:6" x14ac:dyDescent="0.25">
      <c r="A417" s="2"/>
      <c r="B417" s="2"/>
      <c r="C417" s="7"/>
      <c r="D417" s="2"/>
      <c r="E417" s="2"/>
      <c r="F417" s="2"/>
    </row>
    <row r="418" spans="1:6" x14ac:dyDescent="0.25">
      <c r="A418" s="2"/>
      <c r="B418" s="2"/>
      <c r="C418" s="7"/>
      <c r="D418" s="2"/>
      <c r="E418" s="2"/>
      <c r="F418" s="2"/>
    </row>
    <row r="419" spans="1:6" x14ac:dyDescent="0.25">
      <c r="A419" s="2"/>
      <c r="B419" s="2"/>
      <c r="C419" s="7"/>
      <c r="D419" s="2"/>
      <c r="E419" s="2"/>
      <c r="F419" s="2"/>
    </row>
    <row r="420" spans="1:6" x14ac:dyDescent="0.25">
      <c r="A420" s="2"/>
      <c r="B420" s="2"/>
      <c r="C420" s="7"/>
      <c r="D420" s="1"/>
      <c r="E420" s="1"/>
      <c r="F420" s="1"/>
    </row>
    <row r="421" spans="1:6" x14ac:dyDescent="0.25">
      <c r="A421" s="2"/>
      <c r="B421" s="2"/>
      <c r="C421" s="7"/>
      <c r="D421" s="2"/>
      <c r="E421" s="2"/>
      <c r="F421" s="2"/>
    </row>
    <row r="422" spans="1:6" x14ac:dyDescent="0.25">
      <c r="A422" s="2"/>
      <c r="B422" s="2"/>
      <c r="C422" s="7"/>
      <c r="D422" s="2"/>
      <c r="E422" s="2"/>
      <c r="F422" s="2"/>
    </row>
    <row r="423" spans="1:6" x14ac:dyDescent="0.25">
      <c r="A423" s="2"/>
      <c r="B423" s="2"/>
      <c r="C423" s="7"/>
      <c r="D423" s="1"/>
      <c r="E423" s="1"/>
      <c r="F423" s="1"/>
    </row>
    <row r="424" spans="1:6" x14ac:dyDescent="0.25">
      <c r="A424" s="2"/>
      <c r="B424" s="2"/>
      <c r="C424" s="7"/>
      <c r="D424" s="1"/>
      <c r="E424" s="1"/>
      <c r="F424" s="1"/>
    </row>
    <row r="425" spans="1:6" x14ac:dyDescent="0.25">
      <c r="A425" s="2"/>
      <c r="B425" s="2"/>
      <c r="C425" s="7"/>
      <c r="D425" s="2"/>
      <c r="E425" s="2"/>
      <c r="F425" s="2"/>
    </row>
    <row r="426" spans="1:6" x14ac:dyDescent="0.25">
      <c r="A426" s="2"/>
      <c r="B426" s="2"/>
      <c r="C426" s="7"/>
      <c r="D426" s="1"/>
      <c r="E426" s="1"/>
      <c r="F426" s="1"/>
    </row>
    <row r="427" spans="1:6" x14ac:dyDescent="0.25">
      <c r="A427" s="2"/>
      <c r="B427" s="2"/>
      <c r="C427" s="7"/>
      <c r="D427" s="2"/>
      <c r="E427" s="2"/>
      <c r="F427" s="2"/>
    </row>
    <row r="428" spans="1:6" x14ac:dyDescent="0.25">
      <c r="A428" s="2"/>
      <c r="B428" s="2"/>
      <c r="C428" s="7"/>
      <c r="D428" s="1"/>
      <c r="E428" s="1"/>
      <c r="F428" s="1"/>
    </row>
    <row r="429" spans="1:6" x14ac:dyDescent="0.25">
      <c r="A429" s="2"/>
      <c r="B429" s="2"/>
      <c r="C429" s="7"/>
      <c r="D429" s="2"/>
      <c r="E429" s="2"/>
      <c r="F429" s="2"/>
    </row>
    <row r="430" spans="1:6" x14ac:dyDescent="0.25">
      <c r="A430" s="2"/>
      <c r="B430" s="2"/>
      <c r="C430" s="7"/>
      <c r="D430" s="1"/>
      <c r="E430" s="1"/>
      <c r="F430" s="1"/>
    </row>
    <row r="431" spans="1:6" x14ac:dyDescent="0.25">
      <c r="A431" s="2"/>
      <c r="B431" s="2"/>
      <c r="C431" s="7"/>
      <c r="D431" s="2"/>
      <c r="E431" s="2"/>
      <c r="F431" s="2"/>
    </row>
    <row r="432" spans="1:6" x14ac:dyDescent="0.25">
      <c r="A432" s="2"/>
      <c r="B432" s="2"/>
      <c r="C432" s="7"/>
      <c r="D432" s="2"/>
      <c r="E432" s="2"/>
      <c r="F432" s="2"/>
    </row>
    <row r="433" spans="1:6" x14ac:dyDescent="0.25">
      <c r="A433" s="2"/>
      <c r="B433" s="2"/>
      <c r="C433" s="7"/>
      <c r="D433" s="2"/>
      <c r="E433" s="2"/>
      <c r="F433" s="2"/>
    </row>
    <row r="434" spans="1:6" x14ac:dyDescent="0.25">
      <c r="A434" s="2"/>
      <c r="B434" s="2"/>
      <c r="C434" s="7"/>
      <c r="D434" s="2"/>
      <c r="E434" s="2"/>
      <c r="F434" s="2"/>
    </row>
    <row r="435" spans="1:6" x14ac:dyDescent="0.25">
      <c r="A435" s="2"/>
      <c r="B435" s="2"/>
      <c r="C435" s="7"/>
      <c r="D435" s="2"/>
      <c r="E435" s="2"/>
      <c r="F435" s="2"/>
    </row>
    <row r="436" spans="1:6" x14ac:dyDescent="0.25">
      <c r="A436" s="2"/>
      <c r="B436" s="2"/>
      <c r="C436" s="7"/>
      <c r="D436" s="1"/>
      <c r="E436" s="1"/>
      <c r="F436" s="1"/>
    </row>
    <row r="437" spans="1:6" x14ac:dyDescent="0.25">
      <c r="A437" s="2"/>
      <c r="B437" s="2"/>
      <c r="C437" s="7"/>
      <c r="D437" s="2"/>
      <c r="E437" s="2"/>
      <c r="F437" s="2"/>
    </row>
    <row r="438" spans="1:6" x14ac:dyDescent="0.25">
      <c r="A438" s="2"/>
      <c r="B438" s="2"/>
      <c r="C438" s="7"/>
      <c r="D438" s="1"/>
      <c r="E438" s="1"/>
      <c r="F438" s="1"/>
    </row>
    <row r="439" spans="1:6" x14ac:dyDescent="0.25">
      <c r="A439" s="2"/>
      <c r="B439" s="2"/>
      <c r="C439" s="7"/>
      <c r="D439" s="2"/>
      <c r="E439" s="2"/>
      <c r="F439" s="2"/>
    </row>
    <row r="440" spans="1:6" x14ac:dyDescent="0.25">
      <c r="A440" s="2"/>
      <c r="B440" s="2"/>
      <c r="C440" s="7"/>
      <c r="D440" s="2"/>
      <c r="E440" s="2"/>
      <c r="F440" s="2"/>
    </row>
    <row r="441" spans="1:6" x14ac:dyDescent="0.25">
      <c r="A441" s="2"/>
      <c r="B441" s="2"/>
      <c r="C441" s="7"/>
      <c r="D441" s="2"/>
      <c r="E441" s="2"/>
      <c r="F441" s="2"/>
    </row>
    <row r="442" spans="1:6" x14ac:dyDescent="0.25">
      <c r="A442" s="2"/>
      <c r="B442" s="2"/>
      <c r="C442" s="7"/>
      <c r="D442" s="1"/>
      <c r="E442" s="1"/>
      <c r="F442" s="1"/>
    </row>
    <row r="443" spans="1:6" x14ac:dyDescent="0.25">
      <c r="A443" s="2"/>
      <c r="B443" s="2"/>
      <c r="C443" s="7"/>
      <c r="D443" s="2"/>
      <c r="E443" s="2"/>
      <c r="F443" s="2"/>
    </row>
    <row r="444" spans="1:6" x14ac:dyDescent="0.25">
      <c r="A444" s="2"/>
      <c r="B444" s="2"/>
      <c r="C444" s="7"/>
      <c r="D444" s="1"/>
      <c r="E444" s="1"/>
      <c r="F444" s="1"/>
    </row>
    <row r="445" spans="1:6" x14ac:dyDescent="0.25">
      <c r="A445" s="2"/>
      <c r="B445" s="2"/>
      <c r="C445" s="7"/>
      <c r="D445" s="1"/>
      <c r="E445" s="1"/>
      <c r="F445" s="1"/>
    </row>
    <row r="446" spans="1:6" x14ac:dyDescent="0.25">
      <c r="A446" s="2"/>
      <c r="B446" s="2"/>
      <c r="C446" s="7"/>
      <c r="D446" s="2"/>
      <c r="E446" s="2"/>
      <c r="F446" s="2"/>
    </row>
    <row r="447" spans="1:6" x14ac:dyDescent="0.25">
      <c r="A447" s="2"/>
      <c r="B447" s="2"/>
      <c r="C447" s="7"/>
      <c r="D447" s="1"/>
      <c r="E447" s="1"/>
      <c r="F447" s="1"/>
    </row>
    <row r="448" spans="1:6" x14ac:dyDescent="0.25">
      <c r="A448" s="2"/>
      <c r="B448" s="2"/>
      <c r="C448" s="7"/>
      <c r="D448" s="2"/>
      <c r="E448" s="2"/>
      <c r="F448" s="2"/>
    </row>
    <row r="449" spans="1:6" x14ac:dyDescent="0.25">
      <c r="A449" s="2"/>
      <c r="B449" s="2"/>
      <c r="C449" s="7"/>
      <c r="D449" s="2"/>
      <c r="E449" s="2"/>
      <c r="F449" s="2"/>
    </row>
    <row r="450" spans="1:6" x14ac:dyDescent="0.25">
      <c r="A450" s="2"/>
      <c r="B450" s="2"/>
      <c r="C450" s="7"/>
      <c r="D450" s="2"/>
      <c r="E450" s="2"/>
      <c r="F450" s="2"/>
    </row>
    <row r="451" spans="1:6" x14ac:dyDescent="0.25">
      <c r="A451" s="2"/>
      <c r="B451" s="2"/>
      <c r="C451" s="7"/>
      <c r="D451" s="2"/>
      <c r="E451" s="2"/>
      <c r="F451" s="2"/>
    </row>
    <row r="452" spans="1:6" x14ac:dyDescent="0.25">
      <c r="A452" s="2"/>
      <c r="B452" s="2"/>
      <c r="C452" s="7"/>
      <c r="D452" s="1"/>
      <c r="E452" s="1"/>
      <c r="F452" s="1"/>
    </row>
    <row r="453" spans="1:6" x14ac:dyDescent="0.25">
      <c r="A453" s="2"/>
      <c r="B453" s="2"/>
      <c r="C453" s="7"/>
      <c r="D453" s="2"/>
      <c r="E453" s="2"/>
      <c r="F453" s="2"/>
    </row>
    <row r="454" spans="1:6" x14ac:dyDescent="0.25">
      <c r="A454" s="2"/>
      <c r="B454" s="2"/>
      <c r="C454" s="7"/>
      <c r="D454" s="1"/>
      <c r="E454" s="1"/>
      <c r="F454" s="1"/>
    </row>
    <row r="455" spans="1:6" x14ac:dyDescent="0.25">
      <c r="A455" s="2"/>
      <c r="B455" s="2"/>
      <c r="C455" s="7"/>
      <c r="D455" s="2"/>
      <c r="E455" s="2"/>
      <c r="F455" s="2"/>
    </row>
    <row r="456" spans="1:6" x14ac:dyDescent="0.25">
      <c r="A456" s="2"/>
      <c r="B456" s="2"/>
      <c r="C456" s="7"/>
      <c r="D456" s="1"/>
      <c r="E456" s="1"/>
      <c r="F456" s="1"/>
    </row>
    <row r="457" spans="1:6" x14ac:dyDescent="0.25">
      <c r="A457" s="2"/>
      <c r="B457" s="2"/>
      <c r="C457" s="7"/>
      <c r="D457" s="1"/>
      <c r="E457" s="1"/>
      <c r="F457" s="1"/>
    </row>
    <row r="458" spans="1:6" x14ac:dyDescent="0.25">
      <c r="A458" s="2"/>
      <c r="B458" s="2"/>
      <c r="C458" s="7"/>
      <c r="D458" s="2"/>
      <c r="E458" s="2"/>
      <c r="F458" s="2"/>
    </row>
    <row r="459" spans="1:6" x14ac:dyDescent="0.25">
      <c r="A459" s="2"/>
      <c r="B459" s="2"/>
      <c r="C459" s="7"/>
      <c r="D459" s="2"/>
      <c r="E459" s="2"/>
      <c r="F459" s="2"/>
    </row>
    <row r="460" spans="1:6" x14ac:dyDescent="0.25">
      <c r="A460" s="2"/>
      <c r="B460" s="2"/>
      <c r="C460" s="7"/>
      <c r="D460" s="2"/>
      <c r="E460" s="2"/>
      <c r="F460" s="2"/>
    </row>
    <row r="461" spans="1:6" x14ac:dyDescent="0.25">
      <c r="A461" s="2"/>
      <c r="B461" s="2"/>
      <c r="C461" s="7"/>
      <c r="D461" s="2"/>
      <c r="E461" s="2"/>
      <c r="F461" s="2"/>
    </row>
    <row r="462" spans="1:6" x14ac:dyDescent="0.25">
      <c r="A462" s="2"/>
      <c r="B462" s="2"/>
      <c r="C462" s="7"/>
      <c r="D462" s="2"/>
      <c r="E462" s="2"/>
      <c r="F462" s="2"/>
    </row>
    <row r="463" spans="1:6" x14ac:dyDescent="0.25">
      <c r="A463" s="2"/>
      <c r="B463" s="2"/>
      <c r="C463" s="7"/>
      <c r="D463" s="1"/>
      <c r="E463" s="1"/>
      <c r="F463" s="1"/>
    </row>
    <row r="464" spans="1:6" x14ac:dyDescent="0.25">
      <c r="A464" s="2"/>
      <c r="B464" s="2"/>
      <c r="C464" s="7"/>
      <c r="D464" s="2"/>
      <c r="E464" s="2"/>
      <c r="F464" s="2"/>
    </row>
    <row r="465" spans="1:6" x14ac:dyDescent="0.25">
      <c r="A465" s="2"/>
      <c r="B465" s="2"/>
      <c r="C465" s="7"/>
      <c r="D465" s="2"/>
      <c r="E465" s="2"/>
      <c r="F465" s="2"/>
    </row>
    <row r="466" spans="1:6" x14ac:dyDescent="0.25">
      <c r="A466" s="2"/>
      <c r="B466" s="2"/>
      <c r="C466" s="7"/>
      <c r="D466" s="2"/>
      <c r="E466" s="2"/>
      <c r="F466" s="2"/>
    </row>
    <row r="467" spans="1:6" x14ac:dyDescent="0.25">
      <c r="A467" s="2"/>
      <c r="B467" s="2"/>
      <c r="C467" s="7"/>
      <c r="D467" s="2"/>
      <c r="E467" s="2"/>
      <c r="F467" s="2"/>
    </row>
    <row r="468" spans="1:6" x14ac:dyDescent="0.25">
      <c r="A468" s="2"/>
      <c r="B468" s="2"/>
      <c r="C468" s="7"/>
      <c r="D468" s="2"/>
      <c r="E468" s="2"/>
      <c r="F468" s="2"/>
    </row>
    <row r="469" spans="1:6" x14ac:dyDescent="0.25">
      <c r="A469" s="2"/>
      <c r="B469" s="2"/>
      <c r="C469" s="7"/>
      <c r="D469" s="2"/>
      <c r="E469" s="2"/>
      <c r="F469" s="2"/>
    </row>
    <row r="470" spans="1:6" x14ac:dyDescent="0.25">
      <c r="A470" s="2"/>
      <c r="B470" s="2"/>
      <c r="C470" s="7"/>
      <c r="D470" s="1"/>
      <c r="E470" s="1"/>
      <c r="F470" s="1"/>
    </row>
    <row r="471" spans="1:6" x14ac:dyDescent="0.25">
      <c r="A471" s="2"/>
      <c r="B471" s="2"/>
      <c r="C471" s="7"/>
      <c r="D471" s="2"/>
      <c r="E471" s="2"/>
      <c r="F471" s="2"/>
    </row>
    <row r="472" spans="1:6" x14ac:dyDescent="0.25">
      <c r="A472" s="2"/>
      <c r="B472" s="2"/>
      <c r="C472" s="7"/>
      <c r="D472" s="2"/>
      <c r="E472" s="2"/>
      <c r="F472" s="2"/>
    </row>
    <row r="473" spans="1:6" x14ac:dyDescent="0.25">
      <c r="A473" s="2"/>
      <c r="B473" s="2"/>
      <c r="C473" s="7"/>
      <c r="D473" s="2"/>
      <c r="E473" s="2"/>
      <c r="F473" s="2"/>
    </row>
    <row r="474" spans="1:6" x14ac:dyDescent="0.25">
      <c r="A474" s="2"/>
      <c r="B474" s="2"/>
      <c r="C474" s="7"/>
      <c r="D474" s="1"/>
      <c r="E474" s="1"/>
      <c r="F474" s="1"/>
    </row>
    <row r="475" spans="1:6" x14ac:dyDescent="0.25">
      <c r="A475" s="2"/>
      <c r="B475" s="2"/>
      <c r="C475" s="7"/>
      <c r="D475" s="2"/>
      <c r="E475" s="2"/>
      <c r="F475" s="2"/>
    </row>
    <row r="476" spans="1:6" x14ac:dyDescent="0.25">
      <c r="A476" s="2"/>
      <c r="B476" s="2"/>
      <c r="C476" s="7"/>
      <c r="D476" s="1"/>
      <c r="E476" s="2"/>
      <c r="F476" s="1"/>
    </row>
    <row r="477" spans="1:6" x14ac:dyDescent="0.25">
      <c r="A477" s="2"/>
      <c r="B477" s="2"/>
      <c r="C477" s="7"/>
      <c r="D477" s="1"/>
      <c r="E477" s="1"/>
      <c r="F477" s="1"/>
    </row>
    <row r="478" spans="1:6" x14ac:dyDescent="0.25">
      <c r="A478" s="2"/>
      <c r="B478" s="2"/>
      <c r="C478" s="7"/>
      <c r="D478" s="1"/>
      <c r="E478" s="1"/>
      <c r="F478" s="1"/>
    </row>
    <row r="479" spans="1:6" x14ac:dyDescent="0.25">
      <c r="A479" s="2"/>
      <c r="B479" s="2"/>
      <c r="C479" s="7"/>
      <c r="D479" s="1"/>
      <c r="E479" s="1"/>
      <c r="F479" s="1"/>
    </row>
    <row r="480" spans="1:6" x14ac:dyDescent="0.25">
      <c r="A480" s="2"/>
      <c r="B480" s="2"/>
      <c r="C480" s="7"/>
      <c r="D480" s="1"/>
      <c r="E480" s="1"/>
      <c r="F480" s="1"/>
    </row>
    <row r="481" spans="1:6" x14ac:dyDescent="0.25">
      <c r="A481" s="2"/>
      <c r="B481" s="2"/>
      <c r="C481" s="7"/>
      <c r="D481" s="1"/>
      <c r="E481" s="1"/>
      <c r="F481" s="1"/>
    </row>
    <row r="482" spans="1:6" x14ac:dyDescent="0.25">
      <c r="A482" s="2"/>
      <c r="B482" s="2"/>
      <c r="C482" s="7"/>
      <c r="D482" s="1"/>
      <c r="E482" s="1"/>
      <c r="F482" s="1"/>
    </row>
    <row r="483" spans="1:6" x14ac:dyDescent="0.25">
      <c r="A483" s="2"/>
      <c r="B483" s="2"/>
      <c r="C483" s="7"/>
      <c r="D483" s="2"/>
      <c r="E483" s="2"/>
      <c r="F483" s="2"/>
    </row>
    <row r="484" spans="1:6" x14ac:dyDescent="0.25">
      <c r="A484" s="2"/>
      <c r="B484" s="2"/>
      <c r="C484" s="7"/>
      <c r="D484" s="1"/>
      <c r="E484" s="1"/>
      <c r="F484" s="1"/>
    </row>
    <row r="485" spans="1:6" x14ac:dyDescent="0.25">
      <c r="A485" s="2"/>
      <c r="B485" s="2"/>
      <c r="C485" s="7"/>
      <c r="D485" s="2"/>
      <c r="E485" s="2"/>
      <c r="F485" s="2"/>
    </row>
    <row r="486" spans="1:6" x14ac:dyDescent="0.25">
      <c r="A486" s="2"/>
      <c r="B486" s="2"/>
      <c r="C486" s="7"/>
      <c r="D486" s="2"/>
      <c r="E486" s="2"/>
      <c r="F486" s="2"/>
    </row>
    <row r="487" spans="1:6" x14ac:dyDescent="0.25">
      <c r="A487" s="2"/>
      <c r="B487" s="2"/>
      <c r="C487" s="7"/>
      <c r="D487" s="1"/>
      <c r="E487" s="1"/>
      <c r="F487" s="1"/>
    </row>
    <row r="488" spans="1:6" x14ac:dyDescent="0.25">
      <c r="A488" s="2"/>
      <c r="B488" s="2"/>
      <c r="C488" s="7"/>
      <c r="D488" s="2"/>
      <c r="E488" s="2"/>
      <c r="F488" s="2"/>
    </row>
    <row r="489" spans="1:6" x14ac:dyDescent="0.25">
      <c r="A489" s="2"/>
      <c r="B489" s="2"/>
      <c r="C489" s="7"/>
      <c r="D489" s="2"/>
      <c r="E489" s="2"/>
      <c r="F489" s="2"/>
    </row>
    <row r="490" spans="1:6" x14ac:dyDescent="0.25">
      <c r="A490" s="2"/>
      <c r="B490" s="2"/>
      <c r="C490" s="7"/>
      <c r="D490" s="2"/>
      <c r="E490" s="2"/>
      <c r="F490" s="2"/>
    </row>
    <row r="491" spans="1:6" x14ac:dyDescent="0.25">
      <c r="A491" s="2"/>
      <c r="B491" s="2"/>
      <c r="C491" s="7"/>
      <c r="D491" s="1"/>
      <c r="E491" s="1"/>
      <c r="F491" s="1"/>
    </row>
    <row r="492" spans="1:6" x14ac:dyDescent="0.25">
      <c r="A492" s="2"/>
      <c r="B492" s="2"/>
      <c r="C492" s="7"/>
      <c r="D492" s="2"/>
      <c r="E492" s="2"/>
      <c r="F492" s="2"/>
    </row>
    <row r="493" spans="1:6" x14ac:dyDescent="0.25">
      <c r="A493" s="2"/>
      <c r="B493" s="2"/>
      <c r="C493" s="7"/>
      <c r="D493" s="1"/>
      <c r="E493" s="1"/>
      <c r="F493" s="1"/>
    </row>
    <row r="494" spans="1:6" x14ac:dyDescent="0.25">
      <c r="A494" s="2"/>
      <c r="B494" s="2"/>
      <c r="C494" s="7"/>
      <c r="D494" s="2"/>
      <c r="E494" s="2"/>
      <c r="F494" s="2"/>
    </row>
    <row r="495" spans="1:6" x14ac:dyDescent="0.25">
      <c r="A495" s="2"/>
      <c r="B495" s="2"/>
      <c r="C495" s="7"/>
      <c r="D495" s="1"/>
      <c r="E495" s="1"/>
      <c r="F495" s="1"/>
    </row>
    <row r="496" spans="1:6" x14ac:dyDescent="0.25">
      <c r="A496" s="2"/>
      <c r="B496" s="2"/>
      <c r="C496" s="7"/>
      <c r="D496" s="1"/>
      <c r="E496" s="1"/>
      <c r="F496" s="1"/>
    </row>
    <row r="497" spans="1:6" x14ac:dyDescent="0.25">
      <c r="A497" s="2"/>
      <c r="B497" s="2"/>
      <c r="C497" s="7"/>
      <c r="D497" s="1"/>
      <c r="E497" s="1"/>
      <c r="F497" s="1"/>
    </row>
    <row r="498" spans="1:6" x14ac:dyDescent="0.25">
      <c r="A498" s="2"/>
      <c r="B498" s="2"/>
      <c r="C498" s="7"/>
      <c r="D498" s="2"/>
      <c r="E498" s="2"/>
      <c r="F498" s="2"/>
    </row>
    <row r="499" spans="1:6" x14ac:dyDescent="0.25">
      <c r="A499" s="2"/>
      <c r="B499" s="2"/>
      <c r="C499" s="7"/>
      <c r="D499" s="1"/>
      <c r="E499" s="1"/>
      <c r="F499" s="1"/>
    </row>
    <row r="500" spans="1:6" x14ac:dyDescent="0.25">
      <c r="A500" s="2"/>
      <c r="B500" s="2"/>
      <c r="C500" s="7"/>
      <c r="D500" s="2"/>
      <c r="E500" s="2"/>
      <c r="F500" s="2"/>
    </row>
    <row r="501" spans="1:6" x14ac:dyDescent="0.25">
      <c r="A501" s="2"/>
      <c r="B501" s="2"/>
      <c r="C501" s="7"/>
      <c r="D501" s="1"/>
      <c r="E501" s="1"/>
      <c r="F501" s="1"/>
    </row>
    <row r="502" spans="1:6" x14ac:dyDescent="0.25">
      <c r="A502" s="2"/>
      <c r="B502" s="2"/>
      <c r="C502" s="7"/>
      <c r="D502" s="2"/>
      <c r="E502" s="2"/>
      <c r="F502" s="2"/>
    </row>
    <row r="503" spans="1:6" x14ac:dyDescent="0.25">
      <c r="A503" s="2"/>
      <c r="B503" s="2"/>
      <c r="C503" s="7"/>
      <c r="D503" s="2"/>
      <c r="E503" s="2"/>
      <c r="F503" s="2"/>
    </row>
    <row r="504" spans="1:6" x14ac:dyDescent="0.25">
      <c r="A504" s="2"/>
      <c r="B504" s="2"/>
      <c r="C504" s="7"/>
      <c r="D504" s="1"/>
      <c r="E504" s="1"/>
      <c r="F504" s="1"/>
    </row>
    <row r="505" spans="1:6" x14ac:dyDescent="0.25">
      <c r="A505" s="2"/>
      <c r="B505" s="2"/>
      <c r="C505" s="7"/>
      <c r="D505" s="1"/>
      <c r="E505" s="1"/>
      <c r="F505" s="1"/>
    </row>
    <row r="506" spans="1:6" x14ac:dyDescent="0.25">
      <c r="A506" s="2"/>
      <c r="B506" s="2"/>
      <c r="C506" s="7"/>
      <c r="D506" s="2"/>
      <c r="E506" s="2"/>
      <c r="F506" s="2"/>
    </row>
    <row r="507" spans="1:6" x14ac:dyDescent="0.25">
      <c r="A507" s="2"/>
      <c r="B507" s="2"/>
      <c r="C507" s="7"/>
      <c r="D507" s="1"/>
      <c r="E507" s="1"/>
      <c r="F507" s="1"/>
    </row>
    <row r="508" spans="1:6" x14ac:dyDescent="0.25">
      <c r="A508" s="2"/>
      <c r="B508" s="2"/>
      <c r="C508" s="7"/>
      <c r="D508" s="2"/>
      <c r="E508" s="1"/>
      <c r="F508" s="2"/>
    </row>
    <row r="509" spans="1:6" x14ac:dyDescent="0.25">
      <c r="A509" s="2"/>
      <c r="B509" s="2"/>
      <c r="C509" s="7"/>
      <c r="D509" s="2"/>
      <c r="E509" s="1"/>
      <c r="F509" s="2"/>
    </row>
    <row r="510" spans="1:6" x14ac:dyDescent="0.25">
      <c r="A510" s="2"/>
      <c r="B510" s="2"/>
      <c r="C510" s="7"/>
      <c r="D510" s="2"/>
      <c r="E510" s="1"/>
      <c r="F510" s="2"/>
    </row>
    <row r="511" spans="1:6" x14ac:dyDescent="0.25">
      <c r="A511" s="2"/>
      <c r="B511" s="2"/>
      <c r="C511" s="7"/>
      <c r="D511" s="1"/>
      <c r="E511" s="2"/>
      <c r="F511" s="1"/>
    </row>
    <row r="512" spans="1:6" x14ac:dyDescent="0.25">
      <c r="A512" s="2"/>
      <c r="B512" s="2"/>
      <c r="C512" s="7"/>
      <c r="D512" s="2"/>
      <c r="E512" s="2"/>
      <c r="F512" s="2"/>
    </row>
    <row r="513" spans="1:6" x14ac:dyDescent="0.25">
      <c r="A513" s="2"/>
      <c r="B513" s="2"/>
      <c r="C513" s="7"/>
      <c r="D513" s="1"/>
      <c r="E513" s="1"/>
      <c r="F513" s="1"/>
    </row>
    <row r="514" spans="1:6" x14ac:dyDescent="0.25">
      <c r="A514" s="2"/>
      <c r="B514" s="2"/>
      <c r="C514" s="7"/>
      <c r="D514" s="2"/>
      <c r="E514" s="2"/>
      <c r="F514" s="2"/>
    </row>
    <row r="515" spans="1:6" x14ac:dyDescent="0.25">
      <c r="A515" s="2"/>
      <c r="B515" s="2"/>
      <c r="C515" s="7"/>
      <c r="D515" s="2"/>
      <c r="E515" s="2"/>
      <c r="F515" s="2"/>
    </row>
    <row r="516" spans="1:6" x14ac:dyDescent="0.25">
      <c r="A516" s="2"/>
      <c r="B516" s="2"/>
      <c r="C516" s="7"/>
      <c r="D516" s="1"/>
      <c r="E516" s="1"/>
      <c r="F516" s="1"/>
    </row>
    <row r="517" spans="1:6" x14ac:dyDescent="0.25">
      <c r="A517" s="2"/>
      <c r="B517" s="2"/>
      <c r="C517" s="7"/>
      <c r="D517" s="2"/>
      <c r="E517" s="2"/>
      <c r="F517" s="2"/>
    </row>
    <row r="518" spans="1:6" x14ac:dyDescent="0.25">
      <c r="A518" s="2"/>
      <c r="B518" s="2"/>
      <c r="C518" s="7"/>
      <c r="D518" s="2"/>
      <c r="E518" s="2"/>
      <c r="F518" s="2"/>
    </row>
    <row r="519" spans="1:6" x14ac:dyDescent="0.25">
      <c r="A519" s="2"/>
      <c r="B519" s="2"/>
      <c r="C519" s="7"/>
      <c r="D519" s="2"/>
      <c r="E519" s="2"/>
      <c r="F519" s="2"/>
    </row>
    <row r="520" spans="1:6" x14ac:dyDescent="0.25">
      <c r="A520" s="2"/>
      <c r="B520" s="2"/>
      <c r="C520" s="7"/>
      <c r="D520" s="2"/>
      <c r="E520" s="2"/>
      <c r="F520" s="2"/>
    </row>
    <row r="521" spans="1:6" x14ac:dyDescent="0.25">
      <c r="A521" s="2"/>
      <c r="B521" s="2"/>
      <c r="C521" s="7"/>
      <c r="D521" s="1"/>
      <c r="E521" s="1"/>
      <c r="F521" s="1"/>
    </row>
    <row r="522" spans="1:6" x14ac:dyDescent="0.25">
      <c r="A522" s="2"/>
      <c r="B522" s="2"/>
      <c r="C522" s="7"/>
      <c r="D522" s="1"/>
      <c r="E522" s="2"/>
      <c r="F522" s="1"/>
    </row>
    <row r="523" spans="1:6" x14ac:dyDescent="0.25">
      <c r="A523" s="2"/>
      <c r="B523" s="2"/>
      <c r="C523" s="7"/>
      <c r="D523" s="1"/>
      <c r="E523" s="1"/>
      <c r="F523" s="1"/>
    </row>
    <row r="524" spans="1:6" x14ac:dyDescent="0.25">
      <c r="A524" s="2"/>
      <c r="B524" s="2"/>
      <c r="C524" s="7"/>
      <c r="D524" s="1"/>
      <c r="E524" s="1"/>
      <c r="F524" s="1"/>
    </row>
    <row r="525" spans="1:6" x14ac:dyDescent="0.25">
      <c r="A525" s="2"/>
      <c r="B525" s="2"/>
      <c r="C525" s="7"/>
      <c r="D525" s="2"/>
      <c r="E525" s="2"/>
      <c r="F525" s="2"/>
    </row>
    <row r="526" spans="1:6" x14ac:dyDescent="0.25">
      <c r="A526" s="2"/>
      <c r="B526" s="2"/>
      <c r="C526" s="7"/>
      <c r="D526" s="2"/>
      <c r="E526" s="2"/>
      <c r="F526" s="2"/>
    </row>
    <row r="527" spans="1:6" x14ac:dyDescent="0.25">
      <c r="A527" s="2"/>
      <c r="B527" s="2"/>
      <c r="C527" s="7"/>
      <c r="D527" s="2"/>
      <c r="E527" s="2"/>
      <c r="F527" s="2"/>
    </row>
    <row r="528" spans="1:6" x14ac:dyDescent="0.25">
      <c r="A528" s="2"/>
      <c r="B528" s="2"/>
      <c r="C528" s="7"/>
      <c r="D528" s="1"/>
      <c r="E528" s="1"/>
      <c r="F528" s="1"/>
    </row>
    <row r="529" spans="1:6" x14ac:dyDescent="0.25">
      <c r="A529" s="2"/>
      <c r="B529" s="2"/>
      <c r="C529" s="7"/>
      <c r="D529" s="1"/>
      <c r="E529" s="1"/>
      <c r="F529" s="1"/>
    </row>
    <row r="530" spans="1:6" x14ac:dyDescent="0.25">
      <c r="A530" s="2"/>
      <c r="B530" s="2"/>
      <c r="C530" s="7"/>
      <c r="D530" s="2"/>
      <c r="E530" s="2"/>
      <c r="F530" s="2"/>
    </row>
    <row r="531" spans="1:6" x14ac:dyDescent="0.25">
      <c r="A531" s="2"/>
      <c r="B531" s="2"/>
      <c r="C531" s="7"/>
      <c r="D531" s="2"/>
      <c r="E531" s="2"/>
      <c r="F531" s="2"/>
    </row>
    <row r="532" spans="1:6" x14ac:dyDescent="0.25">
      <c r="A532" s="2"/>
      <c r="B532" s="2"/>
      <c r="C532" s="7"/>
      <c r="D532" s="1"/>
      <c r="E532" s="1"/>
      <c r="F532" s="1"/>
    </row>
    <row r="533" spans="1:6" x14ac:dyDescent="0.25">
      <c r="A533" s="2"/>
      <c r="B533" s="2"/>
      <c r="C533" s="7"/>
      <c r="D533" s="2"/>
      <c r="E533" s="2"/>
      <c r="F533" s="2"/>
    </row>
    <row r="534" spans="1:6" x14ac:dyDescent="0.25">
      <c r="A534" s="2"/>
      <c r="B534" s="2"/>
      <c r="C534" s="7"/>
      <c r="D534" s="1"/>
      <c r="E534" s="1"/>
      <c r="F534" s="1"/>
    </row>
    <row r="535" spans="1:6" x14ac:dyDescent="0.25">
      <c r="A535" s="2"/>
      <c r="B535" s="2"/>
      <c r="C535" s="7"/>
      <c r="D535" s="2"/>
      <c r="E535" s="2"/>
      <c r="F535" s="2"/>
    </row>
    <row r="536" spans="1:6" x14ac:dyDescent="0.25">
      <c r="A536" s="2"/>
      <c r="B536" s="2"/>
      <c r="C536" s="7"/>
      <c r="D536" s="2"/>
      <c r="E536" s="2"/>
      <c r="F536" s="2"/>
    </row>
    <row r="537" spans="1:6" x14ac:dyDescent="0.25">
      <c r="A537" s="2"/>
      <c r="B537" s="2"/>
      <c r="C537" s="7"/>
      <c r="D537" s="1"/>
      <c r="E537" s="1"/>
      <c r="F537" s="1"/>
    </row>
    <row r="538" spans="1:6" x14ac:dyDescent="0.25">
      <c r="A538" s="2"/>
      <c r="B538" s="2"/>
      <c r="C538" s="7"/>
      <c r="D538" s="2"/>
      <c r="E538" s="2"/>
      <c r="F538" s="2"/>
    </row>
    <row r="539" spans="1:6" x14ac:dyDescent="0.25">
      <c r="A539" s="2"/>
      <c r="B539" s="2"/>
      <c r="C539" s="7"/>
      <c r="D539" s="2"/>
      <c r="E539" s="2"/>
      <c r="F539" s="2"/>
    </row>
    <row r="540" spans="1:6" x14ac:dyDescent="0.25">
      <c r="A540" s="2"/>
      <c r="B540" s="2"/>
      <c r="C540" s="7"/>
      <c r="D540" s="1"/>
      <c r="E540" s="2"/>
      <c r="F540" s="1"/>
    </row>
    <row r="541" spans="1:6" x14ac:dyDescent="0.25">
      <c r="A541" s="2"/>
      <c r="B541" s="2"/>
      <c r="C541" s="7"/>
      <c r="D541" s="2"/>
      <c r="E541" s="2"/>
      <c r="F541" s="2"/>
    </row>
    <row r="542" spans="1:6" x14ac:dyDescent="0.25">
      <c r="A542" s="2"/>
      <c r="B542" s="2"/>
      <c r="C542" s="7"/>
      <c r="D542" s="2"/>
      <c r="E542" s="2"/>
      <c r="F542" s="2"/>
    </row>
    <row r="543" spans="1:6" x14ac:dyDescent="0.25">
      <c r="A543" s="2"/>
      <c r="B543" s="2"/>
      <c r="C543" s="7"/>
      <c r="D543" s="2"/>
      <c r="E543" s="2"/>
      <c r="F543" s="2"/>
    </row>
    <row r="544" spans="1:6" x14ac:dyDescent="0.25">
      <c r="A544" s="2"/>
      <c r="B544" s="2"/>
      <c r="C544" s="7"/>
      <c r="D544" s="2"/>
      <c r="E544" s="2"/>
      <c r="F544" s="2"/>
    </row>
    <row r="545" spans="1:6" x14ac:dyDescent="0.25">
      <c r="A545" s="2"/>
      <c r="B545" s="2"/>
      <c r="C545" s="7"/>
      <c r="D545" s="2"/>
      <c r="E545" s="2"/>
      <c r="F545" s="2"/>
    </row>
    <row r="546" spans="1:6" x14ac:dyDescent="0.25">
      <c r="A546" s="2"/>
      <c r="B546" s="2"/>
      <c r="C546" s="7"/>
      <c r="D546" s="2"/>
      <c r="E546" s="2"/>
      <c r="F546" s="2"/>
    </row>
    <row r="547" spans="1:6" x14ac:dyDescent="0.25">
      <c r="A547" s="2"/>
      <c r="B547" s="2"/>
      <c r="C547" s="7"/>
      <c r="D547" s="2"/>
      <c r="E547" s="2"/>
      <c r="F547" s="2"/>
    </row>
    <row r="548" spans="1:6" x14ac:dyDescent="0.25">
      <c r="A548" s="2"/>
      <c r="B548" s="2"/>
      <c r="C548" s="7"/>
      <c r="D548" s="2"/>
      <c r="E548" s="2"/>
      <c r="F548" s="2"/>
    </row>
    <row r="549" spans="1:6" x14ac:dyDescent="0.25">
      <c r="A549" s="2"/>
      <c r="B549" s="2"/>
      <c r="C549" s="7"/>
      <c r="D549" s="2"/>
      <c r="E549" s="2"/>
      <c r="F549" s="2"/>
    </row>
    <row r="550" spans="1:6" x14ac:dyDescent="0.25">
      <c r="A550" s="2"/>
      <c r="B550" s="2"/>
      <c r="C550" s="7"/>
      <c r="D550" s="2"/>
      <c r="E550" s="2"/>
      <c r="F550" s="2"/>
    </row>
    <row r="551" spans="1:6" x14ac:dyDescent="0.25">
      <c r="A551" s="2"/>
      <c r="B551" s="2"/>
      <c r="C551" s="7"/>
      <c r="D551" s="2"/>
      <c r="E551" s="2"/>
      <c r="F551" s="2"/>
    </row>
    <row r="552" spans="1:6" x14ac:dyDescent="0.25">
      <c r="A552" s="2"/>
      <c r="B552" s="2"/>
      <c r="C552" s="7"/>
      <c r="D552" s="2"/>
      <c r="E552" s="2"/>
      <c r="F552" s="2"/>
    </row>
    <row r="553" spans="1:6" x14ac:dyDescent="0.25">
      <c r="A553" s="2"/>
      <c r="B553" s="2"/>
      <c r="C553" s="7"/>
      <c r="D553" s="2"/>
      <c r="E553" s="2"/>
      <c r="F553" s="2"/>
    </row>
    <row r="554" spans="1:6" x14ac:dyDescent="0.25">
      <c r="A554" s="2"/>
      <c r="B554" s="2"/>
      <c r="C554" s="7"/>
      <c r="D554" s="1"/>
      <c r="E554" s="1"/>
      <c r="F554" s="1"/>
    </row>
    <row r="555" spans="1:6" x14ac:dyDescent="0.25">
      <c r="A555" s="2"/>
      <c r="B555" s="2"/>
      <c r="C555" s="7"/>
      <c r="D555" s="2"/>
      <c r="E555" s="2"/>
      <c r="F555" s="2"/>
    </row>
    <row r="556" spans="1:6" x14ac:dyDescent="0.25">
      <c r="A556" s="2"/>
      <c r="B556" s="2"/>
      <c r="C556" s="7"/>
      <c r="D556" s="2"/>
      <c r="E556" s="2"/>
      <c r="F556" s="2"/>
    </row>
    <row r="557" spans="1:6" x14ac:dyDescent="0.25">
      <c r="A557" s="2"/>
      <c r="B557" s="2"/>
      <c r="C557" s="7"/>
      <c r="D557" s="2"/>
      <c r="E557" s="2"/>
      <c r="F557" s="2"/>
    </row>
    <row r="558" spans="1:6" x14ac:dyDescent="0.25">
      <c r="A558" s="2"/>
      <c r="B558" s="2"/>
      <c r="C558" s="7"/>
      <c r="D558" s="2"/>
      <c r="E558" s="2"/>
      <c r="F558" s="2"/>
    </row>
    <row r="559" spans="1:6" x14ac:dyDescent="0.25">
      <c r="A559" s="2"/>
      <c r="B559" s="2"/>
      <c r="C559" s="7"/>
      <c r="D559" s="1"/>
      <c r="E559" s="1"/>
      <c r="F559" s="1"/>
    </row>
    <row r="560" spans="1:6" x14ac:dyDescent="0.25">
      <c r="A560" s="2"/>
      <c r="B560" s="2"/>
      <c r="C560" s="7"/>
      <c r="D560" s="1"/>
      <c r="E560" s="1"/>
      <c r="F560" s="1"/>
    </row>
    <row r="561" spans="1:6" x14ac:dyDescent="0.25">
      <c r="A561" s="2"/>
      <c r="B561" s="2"/>
      <c r="C561" s="7"/>
      <c r="D561" s="2"/>
      <c r="E561" s="2"/>
      <c r="F561" s="2"/>
    </row>
    <row r="562" spans="1:6" x14ac:dyDescent="0.25">
      <c r="A562" s="2"/>
      <c r="B562" s="2"/>
      <c r="C562" s="7"/>
      <c r="D562" s="1"/>
      <c r="E562" s="1"/>
      <c r="F562" s="1"/>
    </row>
    <row r="563" spans="1:6" x14ac:dyDescent="0.25">
      <c r="A563" s="2"/>
      <c r="B563" s="2"/>
      <c r="C563" s="7"/>
      <c r="D563" s="2"/>
      <c r="E563" s="2"/>
      <c r="F563" s="2"/>
    </row>
    <row r="564" spans="1:6" x14ac:dyDescent="0.25">
      <c r="A564" s="2"/>
      <c r="B564" s="2"/>
      <c r="C564" s="7"/>
      <c r="D564" s="2"/>
      <c r="E564" s="2"/>
      <c r="F564" s="2"/>
    </row>
    <row r="565" spans="1:6" x14ac:dyDescent="0.25">
      <c r="A565" s="2"/>
      <c r="B565" s="2"/>
      <c r="C565" s="7"/>
      <c r="D565" s="2"/>
      <c r="E565" s="2"/>
      <c r="F565" s="2"/>
    </row>
    <row r="566" spans="1:6" x14ac:dyDescent="0.25">
      <c r="A566" s="2"/>
      <c r="B566" s="2"/>
      <c r="C566" s="7"/>
      <c r="D566" s="2"/>
      <c r="E566" s="2"/>
      <c r="F566" s="2"/>
    </row>
    <row r="567" spans="1:6" x14ac:dyDescent="0.25">
      <c r="A567" s="2"/>
      <c r="B567" s="2"/>
      <c r="C567" s="7"/>
      <c r="D567" s="2"/>
      <c r="E567" s="2"/>
      <c r="F567" s="2"/>
    </row>
    <row r="568" spans="1:6" x14ac:dyDescent="0.25">
      <c r="A568" s="2"/>
      <c r="B568" s="2"/>
      <c r="C568" s="7"/>
      <c r="D568" s="2"/>
      <c r="E568" s="2"/>
      <c r="F568" s="2"/>
    </row>
    <row r="569" spans="1:6" x14ac:dyDescent="0.25">
      <c r="A569" s="2"/>
      <c r="B569" s="2"/>
      <c r="C569" s="7"/>
      <c r="D569" s="2"/>
      <c r="E569" s="2"/>
      <c r="F569" s="2"/>
    </row>
    <row r="570" spans="1:6" x14ac:dyDescent="0.25">
      <c r="A570" s="2"/>
      <c r="B570" s="2"/>
      <c r="C570" s="7"/>
      <c r="D570" s="2"/>
      <c r="E570" s="2"/>
      <c r="F570" s="2"/>
    </row>
    <row r="571" spans="1:6" x14ac:dyDescent="0.25">
      <c r="A571" s="2"/>
      <c r="B571" s="2"/>
      <c r="C571" s="7"/>
      <c r="D571" s="2"/>
      <c r="E571" s="2"/>
      <c r="F571" s="2"/>
    </row>
    <row r="572" spans="1:6" x14ac:dyDescent="0.25">
      <c r="A572" s="2"/>
      <c r="B572" s="2"/>
      <c r="C572" s="7"/>
      <c r="D572" s="2"/>
      <c r="E572" s="2"/>
      <c r="F572" s="2"/>
    </row>
    <row r="573" spans="1:6" x14ac:dyDescent="0.25">
      <c r="A573" s="2"/>
      <c r="B573" s="2"/>
      <c r="C573" s="7"/>
      <c r="D573" s="2"/>
      <c r="E573" s="2"/>
      <c r="F573" s="2"/>
    </row>
    <row r="574" spans="1:6" x14ac:dyDescent="0.25">
      <c r="A574" s="2"/>
      <c r="B574" s="2"/>
      <c r="C574" s="7"/>
      <c r="D574" s="2"/>
      <c r="E574" s="2"/>
      <c r="F574" s="2"/>
    </row>
    <row r="575" spans="1:6" x14ac:dyDescent="0.25">
      <c r="A575" s="2"/>
      <c r="B575" s="2"/>
      <c r="C575" s="7"/>
      <c r="D575" s="2"/>
      <c r="E575" s="2"/>
      <c r="F575" s="2"/>
    </row>
    <row r="576" spans="1:6" x14ac:dyDescent="0.25">
      <c r="A576" s="2"/>
      <c r="B576" s="2"/>
      <c r="C576" s="7"/>
      <c r="D576" s="1"/>
      <c r="E576" s="1"/>
      <c r="F576" s="1"/>
    </row>
    <row r="577" spans="1:6" x14ac:dyDescent="0.25">
      <c r="A577" s="2"/>
      <c r="B577" s="2"/>
      <c r="C577" s="7"/>
      <c r="D577" s="1"/>
      <c r="E577" s="1"/>
      <c r="F577" s="1"/>
    </row>
    <row r="578" spans="1:6" x14ac:dyDescent="0.25">
      <c r="A578" s="2"/>
      <c r="B578" s="2"/>
      <c r="C578" s="7"/>
      <c r="D578" s="2"/>
      <c r="E578" s="2"/>
      <c r="F578" s="2"/>
    </row>
    <row r="579" spans="1:6" x14ac:dyDescent="0.25">
      <c r="A579" s="2"/>
      <c r="B579" s="2"/>
      <c r="C579" s="7"/>
      <c r="D579" s="2"/>
      <c r="E579" s="2"/>
      <c r="F579" s="2"/>
    </row>
    <row r="580" spans="1:6" x14ac:dyDescent="0.25">
      <c r="A580" s="2"/>
      <c r="B580" s="2"/>
      <c r="C580" s="7"/>
      <c r="D580" s="2"/>
      <c r="E580" s="2"/>
      <c r="F580" s="2"/>
    </row>
    <row r="581" spans="1:6" x14ac:dyDescent="0.25">
      <c r="A581" s="2"/>
      <c r="B581" s="2"/>
      <c r="C581" s="7"/>
      <c r="D581" s="2"/>
      <c r="E581" s="2"/>
      <c r="F581" s="2"/>
    </row>
    <row r="582" spans="1:6" x14ac:dyDescent="0.25">
      <c r="A582" s="2"/>
      <c r="B582" s="2"/>
      <c r="C582" s="7"/>
      <c r="D582" s="2"/>
      <c r="E582" s="2"/>
      <c r="F582" s="2"/>
    </row>
    <row r="583" spans="1:6" x14ac:dyDescent="0.25">
      <c r="A583" s="2"/>
      <c r="B583" s="2"/>
      <c r="C583" s="7"/>
      <c r="D583" s="2"/>
      <c r="E583" s="2"/>
      <c r="F583" s="2"/>
    </row>
    <row r="584" spans="1:6" x14ac:dyDescent="0.25">
      <c r="A584" s="2"/>
      <c r="B584" s="2"/>
      <c r="C584" s="7"/>
      <c r="D584" s="2"/>
      <c r="E584" s="2"/>
      <c r="F584" s="2"/>
    </row>
    <row r="585" spans="1:6" x14ac:dyDescent="0.25">
      <c r="A585" s="2"/>
      <c r="B585" s="2"/>
      <c r="C585" s="7"/>
      <c r="D585" s="1"/>
      <c r="E585" s="1"/>
      <c r="F585" s="1"/>
    </row>
    <row r="586" spans="1:6" x14ac:dyDescent="0.25">
      <c r="A586" s="2"/>
      <c r="B586" s="2"/>
      <c r="C586" s="7"/>
      <c r="D586" s="2"/>
      <c r="E586" s="2"/>
      <c r="F586" s="2"/>
    </row>
    <row r="587" spans="1:6" x14ac:dyDescent="0.25">
      <c r="A587" s="2"/>
      <c r="B587" s="2"/>
      <c r="C587" s="7"/>
      <c r="D587" s="2"/>
      <c r="E587" s="2"/>
      <c r="F587" s="2"/>
    </row>
    <row r="588" spans="1:6" x14ac:dyDescent="0.25">
      <c r="A588" s="2"/>
      <c r="B588" s="2"/>
      <c r="C588" s="7"/>
      <c r="D588" s="2"/>
      <c r="E588" s="2"/>
      <c r="F588" s="2"/>
    </row>
    <row r="589" spans="1:6" x14ac:dyDescent="0.25">
      <c r="A589" s="2"/>
      <c r="B589" s="2"/>
      <c r="C589" s="7"/>
      <c r="D589" s="2"/>
      <c r="E589" s="2"/>
      <c r="F589" s="2"/>
    </row>
    <row r="590" spans="1:6" x14ac:dyDescent="0.25">
      <c r="A590" s="2"/>
      <c r="B590" s="2"/>
      <c r="C590" s="7"/>
      <c r="D590" s="2"/>
      <c r="E590" s="2"/>
      <c r="F590" s="2"/>
    </row>
    <row r="591" spans="1:6" x14ac:dyDescent="0.25">
      <c r="A591" s="2"/>
      <c r="B591" s="2"/>
      <c r="C591" s="7"/>
      <c r="D591" s="1"/>
      <c r="E591" s="1"/>
      <c r="F591" s="1"/>
    </row>
    <row r="592" spans="1:6" x14ac:dyDescent="0.25">
      <c r="A592" s="2"/>
      <c r="B592" s="2"/>
      <c r="C592" s="7"/>
      <c r="D592" s="2"/>
      <c r="E592" s="2"/>
      <c r="F592" s="2"/>
    </row>
    <row r="593" spans="1:6" x14ac:dyDescent="0.25">
      <c r="A593" s="2"/>
      <c r="B593" s="2"/>
      <c r="C593" s="7"/>
      <c r="D593" s="2"/>
      <c r="E593" s="2"/>
      <c r="F593" s="2"/>
    </row>
    <row r="594" spans="1:6" x14ac:dyDescent="0.25">
      <c r="A594" s="2"/>
      <c r="B594" s="2"/>
      <c r="C594" s="7"/>
      <c r="D594" s="2"/>
      <c r="E594" s="2"/>
      <c r="F594" s="2"/>
    </row>
    <row r="595" spans="1:6" x14ac:dyDescent="0.25">
      <c r="A595" s="2"/>
      <c r="B595" s="2"/>
      <c r="C595" s="7"/>
      <c r="D595" s="2"/>
      <c r="E595" s="2"/>
      <c r="F595" s="2"/>
    </row>
    <row r="596" spans="1:6" x14ac:dyDescent="0.25">
      <c r="A596" s="2"/>
      <c r="B596" s="2"/>
      <c r="C596" s="7"/>
      <c r="D596" s="2"/>
      <c r="E596" s="2"/>
      <c r="F596" s="2"/>
    </row>
    <row r="597" spans="1:6" x14ac:dyDescent="0.25">
      <c r="A597" s="2"/>
      <c r="B597" s="2"/>
      <c r="C597" s="7"/>
      <c r="D597" s="2"/>
      <c r="E597" s="2"/>
      <c r="F597" s="2"/>
    </row>
    <row r="598" spans="1:6" x14ac:dyDescent="0.25">
      <c r="A598" s="2"/>
      <c r="B598" s="2"/>
      <c r="C598" s="7"/>
      <c r="D598" s="1"/>
      <c r="E598" s="1"/>
      <c r="F598" s="1"/>
    </row>
    <row r="599" spans="1:6" x14ac:dyDescent="0.25">
      <c r="A599" s="2"/>
      <c r="B599" s="2"/>
      <c r="C599" s="7"/>
      <c r="D599" s="2"/>
      <c r="E599" s="2"/>
      <c r="F599" s="2"/>
    </row>
    <row r="600" spans="1:6" x14ac:dyDescent="0.25">
      <c r="A600" s="2"/>
      <c r="B600" s="2"/>
      <c r="C600" s="7"/>
      <c r="D600" s="2"/>
      <c r="E600" s="2"/>
      <c r="F600" s="2"/>
    </row>
    <row r="601" spans="1:6" x14ac:dyDescent="0.25">
      <c r="A601" s="2"/>
      <c r="B601" s="2"/>
      <c r="C601" s="7"/>
      <c r="D601" s="2"/>
      <c r="E601" s="2"/>
      <c r="F601" s="2"/>
    </row>
    <row r="602" spans="1:6" x14ac:dyDescent="0.25">
      <c r="A602" s="2"/>
      <c r="B602" s="2"/>
      <c r="C602" s="7"/>
      <c r="D602" s="2"/>
      <c r="E602" s="2"/>
      <c r="F602" s="2"/>
    </row>
    <row r="603" spans="1:6" x14ac:dyDescent="0.25">
      <c r="A603" s="2"/>
      <c r="B603" s="2"/>
      <c r="C603" s="7"/>
      <c r="D603" s="2"/>
      <c r="E603" s="2"/>
      <c r="F603" s="2"/>
    </row>
    <row r="604" spans="1:6" x14ac:dyDescent="0.25">
      <c r="A604" s="2"/>
      <c r="B604" s="2"/>
      <c r="C604" s="7"/>
      <c r="D604" s="1"/>
      <c r="E604" s="1"/>
      <c r="F604" s="1"/>
    </row>
    <row r="605" spans="1:6" x14ac:dyDescent="0.25">
      <c r="A605" s="2"/>
      <c r="B605" s="2"/>
      <c r="C605" s="7"/>
      <c r="D605" s="2"/>
      <c r="E605" s="2"/>
      <c r="F605" s="2"/>
    </row>
    <row r="606" spans="1:6" x14ac:dyDescent="0.25">
      <c r="A606" s="2"/>
      <c r="B606" s="2"/>
      <c r="C606" s="7"/>
      <c r="D606" s="2"/>
      <c r="E606" s="2"/>
      <c r="F606" s="2"/>
    </row>
    <row r="607" spans="1:6" x14ac:dyDescent="0.25">
      <c r="A607" s="2"/>
      <c r="B607" s="2"/>
      <c r="C607" s="7"/>
      <c r="D607" s="2"/>
      <c r="E607" s="2"/>
      <c r="F607" s="2"/>
    </row>
    <row r="608" spans="1:6" x14ac:dyDescent="0.25">
      <c r="A608" s="2"/>
      <c r="B608" s="2"/>
      <c r="C608" s="7"/>
      <c r="D608" s="2"/>
      <c r="E608" s="2"/>
      <c r="F608" s="2"/>
    </row>
    <row r="609" spans="1:6" x14ac:dyDescent="0.25">
      <c r="A609" s="2"/>
      <c r="B609" s="2"/>
      <c r="C609" s="7"/>
      <c r="D609" s="1"/>
      <c r="E609" s="1"/>
      <c r="F609" s="1"/>
    </row>
    <row r="610" spans="1:6" x14ac:dyDescent="0.25">
      <c r="A610" s="2"/>
      <c r="B610" s="2"/>
      <c r="C610" s="7"/>
      <c r="D610" s="2"/>
      <c r="E610" s="2"/>
      <c r="F610" s="2"/>
    </row>
    <row r="611" spans="1:6" x14ac:dyDescent="0.25">
      <c r="A611" s="2"/>
      <c r="B611" s="2"/>
      <c r="C611" s="7"/>
      <c r="D611" s="2"/>
      <c r="E611" s="2"/>
      <c r="F611" s="2"/>
    </row>
    <row r="612" spans="1:6" x14ac:dyDescent="0.25">
      <c r="A612" s="2"/>
      <c r="B612" s="2"/>
      <c r="C612" s="7"/>
      <c r="D612" s="1"/>
      <c r="E612" s="1"/>
      <c r="F612" s="1"/>
    </row>
    <row r="613" spans="1:6" x14ac:dyDescent="0.25">
      <c r="A613" s="2"/>
      <c r="B613" s="2"/>
      <c r="C613" s="7"/>
      <c r="D613" s="1"/>
      <c r="E613" s="2"/>
      <c r="F613" s="1"/>
    </row>
    <row r="614" spans="1:6" x14ac:dyDescent="0.25">
      <c r="A614" s="2"/>
      <c r="B614" s="2"/>
      <c r="C614" s="7"/>
      <c r="D614" s="2"/>
      <c r="E614" s="2"/>
      <c r="F614" s="2"/>
    </row>
    <row r="615" spans="1:6" x14ac:dyDescent="0.25">
      <c r="A615" s="2"/>
      <c r="B615" s="2"/>
      <c r="C615" s="7"/>
      <c r="D615" s="2"/>
      <c r="E615" s="2"/>
      <c r="F615" s="2"/>
    </row>
    <row r="616" spans="1:6" x14ac:dyDescent="0.25">
      <c r="A616" s="2"/>
      <c r="B616" s="2"/>
      <c r="C616" s="7"/>
      <c r="D616" s="2"/>
      <c r="E616" s="2"/>
      <c r="F616" s="2"/>
    </row>
    <row r="617" spans="1:6" x14ac:dyDescent="0.25">
      <c r="A617" s="2"/>
      <c r="B617" s="2"/>
      <c r="C617" s="7"/>
      <c r="D617" s="2"/>
      <c r="E617" s="2"/>
      <c r="F617"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B15"/>
  <sheetViews>
    <sheetView zoomScale="80" zoomScaleNormal="80" workbookViewId="0">
      <selection activeCell="B2" sqref="B2:B8"/>
    </sheetView>
  </sheetViews>
  <sheetFormatPr defaultRowHeight="15" x14ac:dyDescent="0.25"/>
  <cols>
    <col min="1" max="1" width="14.28515625" style="2" bestFit="1" customWidth="1"/>
    <col min="2" max="16384" width="9.140625" style="2"/>
  </cols>
  <sheetData>
    <row r="1" spans="1:2" x14ac:dyDescent="0.25">
      <c r="A1" s="2" t="s">
        <v>266</v>
      </c>
      <c r="B1" s="2" t="s">
        <v>273</v>
      </c>
    </row>
    <row r="2" spans="1:2" x14ac:dyDescent="0.25">
      <c r="A2" s="10" t="s">
        <v>22</v>
      </c>
      <c r="B2" s="11">
        <v>2E-3</v>
      </c>
    </row>
    <row r="3" spans="1:2" x14ac:dyDescent="0.25">
      <c r="A3" s="10" t="s">
        <v>272</v>
      </c>
      <c r="B3" s="11">
        <v>2E-3</v>
      </c>
    </row>
    <row r="4" spans="1:2" x14ac:dyDescent="0.25">
      <c r="A4" s="10" t="s">
        <v>250</v>
      </c>
      <c r="B4" s="11">
        <v>2.5000000000000001E-3</v>
      </c>
    </row>
    <row r="5" spans="1:2" x14ac:dyDescent="0.25">
      <c r="A5" s="10" t="s">
        <v>271</v>
      </c>
      <c r="B5" s="11">
        <v>2E-3</v>
      </c>
    </row>
    <row r="6" spans="1:2" x14ac:dyDescent="0.25">
      <c r="A6" s="2" t="s">
        <v>270</v>
      </c>
    </row>
    <row r="7" spans="1:2" x14ac:dyDescent="0.25">
      <c r="A7" s="10" t="s">
        <v>11</v>
      </c>
      <c r="B7" s="11">
        <v>2.5000000000000001E-3</v>
      </c>
    </row>
    <row r="8" spans="1:2" x14ac:dyDescent="0.25">
      <c r="A8" s="10" t="s">
        <v>86</v>
      </c>
      <c r="B8" s="11">
        <v>2.5999999999999999E-3</v>
      </c>
    </row>
    <row r="9" spans="1:2" x14ac:dyDescent="0.25">
      <c r="A9" s="10" t="s">
        <v>74</v>
      </c>
      <c r="B9" s="11">
        <v>1E-3</v>
      </c>
    </row>
    <row r="10" spans="1:2" x14ac:dyDescent="0.25">
      <c r="A10" s="10" t="s">
        <v>251</v>
      </c>
      <c r="B10" s="11">
        <v>2E-3</v>
      </c>
    </row>
    <row r="11" spans="1:2" x14ac:dyDescent="0.25">
      <c r="A11" s="10" t="s">
        <v>69</v>
      </c>
      <c r="B11" s="11">
        <v>2E-3</v>
      </c>
    </row>
    <row r="12" spans="1:2" x14ac:dyDescent="0.25">
      <c r="A12" s="10" t="s">
        <v>72</v>
      </c>
      <c r="B12" s="11">
        <v>2E-3</v>
      </c>
    </row>
    <row r="13" spans="1:2" x14ac:dyDescent="0.25">
      <c r="A13" s="10" t="s">
        <v>27</v>
      </c>
      <c r="B13" s="11">
        <v>2E-3</v>
      </c>
    </row>
    <row r="15" spans="1:2" x14ac:dyDescent="0.25">
      <c r="A15" s="10" t="s">
        <v>269</v>
      </c>
    </row>
  </sheetData>
  <hyperlinks>
    <hyperlink ref="A2" r:id="rId1"/>
    <hyperlink ref="A3" r:id="rId2"/>
    <hyperlink ref="A4" r:id="rId3"/>
    <hyperlink ref="A5" r:id="rId4"/>
    <hyperlink ref="A15" r:id="rId5"/>
    <hyperlink ref="A7" r:id="rId6"/>
    <hyperlink ref="A8" r:id="rId7"/>
    <hyperlink ref="A9" r:id="rId8"/>
    <hyperlink ref="A10" r:id="rId9"/>
    <hyperlink ref="A11" r:id="rId10"/>
    <hyperlink ref="A12" r:id="rId11"/>
    <hyperlink ref="A13" r:id="rId12" display="c-cex"/>
  </hyperlinks>
  <pageMargins left="0.7" right="0.7" top="0.75" bottom="0.75" header="0.3" footer="0.3"/>
  <pageSetup paperSize="9" orientation="portrait" r:id="rId1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BTC</vt:lpstr>
      <vt:lpstr>data</vt:lpstr>
      <vt:lpstr>common</vt:lpstr>
      <vt:lpstr>Fees</vt:lpstr>
      <vt:lpstr>common!common_2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ADAR</dc:creator>
  <cp:lastModifiedBy>ADAR</cp:lastModifiedBy>
  <dcterms:created xsi:type="dcterms:W3CDTF">2017-06-16T22:19:54Z</dcterms:created>
  <dcterms:modified xsi:type="dcterms:W3CDTF">2017-06-20T20:35:57Z</dcterms:modified>
</cp:coreProperties>
</file>